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<sst xmlns="http://schemas.openxmlformats.org/spreadsheetml/2006/main" count="2395" uniqueCount="263">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</sst>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-11182.25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46327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46327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46327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46327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46327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46327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46327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46329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46329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-52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46331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46331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46331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46334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-57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46336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-59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46336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46336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-59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46338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-61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46340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46340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46340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-64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46341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46344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46346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46346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46347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-70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46348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-71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46351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46351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-74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46357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46357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46357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46357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46357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46357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46359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46359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46361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46361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46362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-85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46364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-87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46364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46366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-89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46366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-89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46368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46370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46370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-93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46371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46371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-94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46371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-94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46372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-95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46374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-97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46376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46376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46376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-99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46377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-100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46378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-101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46378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-101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46381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46381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-104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-107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46277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46388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46388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46388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46388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46388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46388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46390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46390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46392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46392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46392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46395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46397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46397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46399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46401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-124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46401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46401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46402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46402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-125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46405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-128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46405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-128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46405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-128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46407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46408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46409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46412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46412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46412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46417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46388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-111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46419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-142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46419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-142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46419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-142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46419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-142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46419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-142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46419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-142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46419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46421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46421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46423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46423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46423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46426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-149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46428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46428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46428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-151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46430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46430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46432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-155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46432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-156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46433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-156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46433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-156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46434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46436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46438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-161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46438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-161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46438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-161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46439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-162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46440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46443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46443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-166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-169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4755.25</v>
      </c>
      <c r="G1" s="12" t="n">
        <f aca="false">SUM(G5:G300)</f>
        <v>792.541666666667</v>
      </c>
      <c r="H1" s="12" t="n">
        <f aca="false">SUM(H5:H300)</f>
        <v>3962.70833333333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4755.25</v>
      </c>
      <c r="M1" s="16" t="n">
        <f aca="true">TODAY()</f>
        <v>46277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291.666666666667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46447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46447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46447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46447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46447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46447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46449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-172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46449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-172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46451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46451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46451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46452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46454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46456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46458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46460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-183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46460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46460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-184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46461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-184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46461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-184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46464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46464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46466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46466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-189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46466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-189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46467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-190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46468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-191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46471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46471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-194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46458</v>
      </c>
      <c r="B37" s="2" t="s">
        <v>222</v>
      </c>
      <c r="D37" s="2" t="s">
        <v>223</v>
      </c>
      <c r="E37" s="2" t="s">
        <v>159</v>
      </c>
      <c r="F37" s="30" t="n">
        <v>350</v>
      </c>
      <c r="G37" s="6" t="n">
        <f aca="false">IF(F37&lt;&gt;0,F37*G$2/(100+G$2)," ")</f>
        <v>58.3333333333333</v>
      </c>
      <c r="H37" s="6" t="n">
        <f aca="false">IF((F37&lt;&gt;0),F37-G37," ")</f>
        <v>291.666666666667</v>
      </c>
      <c r="I37" s="5"/>
      <c r="L37" s="7" t="n">
        <f aca="false">IF(F37&lt;&gt;0,F37-K37," ")</f>
        <v>350</v>
      </c>
      <c r="M37" s="8" t="n">
        <f aca="false">IF((F37-K37)&lt;&gt;0,M$1-A37," ")</f>
        <v>-181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n">
        <f aca="false">IF((E37="a"),H37," ")</f>
        <v>291.666666666667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224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46277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46478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46478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46478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46478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46478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46478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46480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-203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46480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46482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46482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46485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-208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46485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-208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46487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46487</v>
      </c>
      <c r="B18" s="2" t="s">
        <v>130</v>
      </c>
      <c r="D18" s="2" t="s">
        <v>225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-210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46489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46491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-214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46491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-214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-215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46492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-215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46492</v>
      </c>
      <c r="B24" s="2" t="s">
        <v>226</v>
      </c>
      <c r="D24" s="2" t="s">
        <v>227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-215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46493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46495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-218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46495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-218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46497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46498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46499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46499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46502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46502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-225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46502</v>
      </c>
      <c r="B34" s="2" t="s">
        <v>145</v>
      </c>
      <c r="D34" s="2" t="s">
        <v>228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-230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46507</v>
      </c>
      <c r="B37" s="2" t="s">
        <v>195</v>
      </c>
      <c r="C37" s="3" t="s">
        <v>229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46478</v>
      </c>
      <c r="B38" s="2" t="s">
        <v>199</v>
      </c>
      <c r="C38" s="3" t="s">
        <v>230</v>
      </c>
      <c r="D38" s="2" t="s">
        <v>231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-201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46508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46508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46508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46508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46508</v>
      </c>
      <c r="B9" s="2" t="s">
        <v>232</v>
      </c>
      <c r="D9" s="2" t="s">
        <v>233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46508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46508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46510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46510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46512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46512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46512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46515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46517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46517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46517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-240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46517</v>
      </c>
      <c r="B21" s="2" t="s">
        <v>157</v>
      </c>
      <c r="D21" s="2" t="s">
        <v>234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46519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46521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46521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-244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46521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46522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46522</v>
      </c>
      <c r="B28" s="2" t="s">
        <v>235</v>
      </c>
      <c r="D28" s="2" t="s">
        <v>236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46525</v>
      </c>
      <c r="B29" s="2" t="s">
        <v>186</v>
      </c>
      <c r="D29" s="2" t="s">
        <v>237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46525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46527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46527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46528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-251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46529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46532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46532</v>
      </c>
      <c r="B36" s="2" t="s">
        <v>145</v>
      </c>
      <c r="D36" s="2" t="s">
        <v>238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46532</v>
      </c>
      <c r="B37" s="2" t="s">
        <v>239</v>
      </c>
      <c r="C37" s="3" t="s">
        <v>240</v>
      </c>
      <c r="D37" s="2" t="s">
        <v>241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-258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-261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46277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46539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46539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46539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46539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46539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46539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46541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-264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46541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46543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46543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46544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46546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46548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46550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46552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46552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-276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46553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-276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46553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-276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46553</v>
      </c>
      <c r="B24" s="2" t="s">
        <v>181</v>
      </c>
      <c r="C24" s="3" t="s">
        <v>242</v>
      </c>
      <c r="D24" s="2" t="s">
        <v>243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-276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46554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-277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46556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-279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46558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46558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-281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46558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-281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46559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46560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46563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46563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-289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46569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46569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46569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46569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46569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46569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46571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46571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46573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46573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46573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46576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46578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-301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46578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-301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46580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46582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-305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46582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-305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46582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-306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46583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-306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46583</v>
      </c>
      <c r="B25" s="2" t="s">
        <v>244</v>
      </c>
      <c r="D25" s="2" t="s">
        <v>245</v>
      </c>
      <c r="E25" s="2" t="s">
        <v>246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-306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247</v>
      </c>
    </row>
    <row r="26" customFormat="false" ht="12" hidden="false" customHeight="false" outlineLevel="0" collapsed="false">
      <c r="A26" s="28" t="n">
        <v>46586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-309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46586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-309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46588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46589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-312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46590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-313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46593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-316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46593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-316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46593</v>
      </c>
      <c r="B33" s="2" t="s">
        <v>145</v>
      </c>
      <c r="D33" s="2" t="s">
        <v>248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-316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-319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46599</v>
      </c>
      <c r="B36" s="2" t="s">
        <v>249</v>
      </c>
      <c r="D36" s="2" t="s">
        <v>250</v>
      </c>
      <c r="E36" s="2" t="s">
        <v>251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252</v>
      </c>
    </row>
    <row r="37" customFormat="false" ht="12" hidden="false" customHeight="false" outlineLevel="0" collapsed="false">
      <c r="A37" s="28" t="n">
        <v>46599</v>
      </c>
      <c r="B37" s="2" t="s">
        <v>195</v>
      </c>
      <c r="C37" s="3" t="s">
        <v>253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46600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46600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46600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46600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46600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46600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46602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46602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46604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46604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46604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46607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46607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46609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46609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46609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-332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46611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46613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46613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-336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46614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46615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46617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46619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46619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46619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46620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-343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46621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46621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-344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46624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46624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-347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-353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46277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46631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46631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46633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46633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46635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46635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46635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46636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-359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46640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-363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46642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46642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46644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46644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-367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46644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-367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46645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-368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46645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-368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46648</v>
      </c>
      <c r="B27" s="2" t="s">
        <v>216</v>
      </c>
      <c r="D27" s="2" t="s">
        <v>254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46648</v>
      </c>
      <c r="B28" s="2" t="s">
        <v>186</v>
      </c>
      <c r="D28" s="2" t="s">
        <v>255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46648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46650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46650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-373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46651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46652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46655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46655</v>
      </c>
      <c r="B35" s="2" t="s">
        <v>145</v>
      </c>
      <c r="D35" s="2" t="s">
        <v>256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-381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-381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46277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46661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46661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46661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46661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46661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46661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46663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46663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46665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46665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46668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46670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46670</v>
      </c>
      <c r="B17" s="2" t="s">
        <v>130</v>
      </c>
      <c r="D17" s="2" t="s">
        <v>225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46672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-395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46674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-397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46674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-397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-398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46675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-398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46676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-399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46678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-401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46678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46680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46681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-404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46682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-405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46682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46685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-408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46685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-408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46685</v>
      </c>
      <c r="B32" s="2" t="s">
        <v>145</v>
      </c>
      <c r="D32" s="2" t="s">
        <v>248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-408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-411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-414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46691</v>
      </c>
      <c r="B35" s="2" t="s">
        <v>195</v>
      </c>
      <c r="C35" s="3" t="s">
        <v>257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-414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258</v>
      </c>
      <c r="B1" s="9"/>
      <c r="C1" s="10" t="n">
        <f aca="false">-SUM([1]TrialBalance!$EJ$28:$EJ$31)</f>
        <v>11182.25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259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260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261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262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