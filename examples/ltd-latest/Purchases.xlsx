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<sst xmlns="http://schemas.openxmlformats.org/spreadsheetml/2006/main" count="2419" uniqueCount="266">
  <si>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</si>
  <si>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</si>
  <si>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</si>
  <si>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</si>
  <si>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</si>
  <si>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</si>
  <si>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</si>
  <si>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</si>
  <si>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</si>
  <si>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</si>
  <si>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</si>
  <si>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</si>
  <si>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</si>
  <si>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</si>
  <si>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</si>
  <si>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</si>
  <si>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</si>
  <si>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</si>
  <si>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</si>
  <si>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</si>
  <si>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</si>
  <si>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</si>
  <si>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</si>
  <si>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</si>
  <si>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</si>
  <si>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</si>
  <si>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</si>
  <si>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</si>
  <si>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</si>
  <si>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</si>
  <si>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</si>
  <si>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</si>
  <si>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</si>
  <si>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</si>
  <si>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</si>
  <si>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</si>
  <si>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</si>
  <si>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</si>
  <si>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</si>
  <si>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</si>
  <si>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</si>
  <si>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</si>
  <si>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</si>
  <si>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Business Entertainment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</si>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</sst>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5edeb905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5edeb905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-11182.25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customFormat="fals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46295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/>
      <c r="B5" s="5" t="s">
        <v>14</v>
      </c>
      <c r="C5" s="29" t="s">
        <v>15</v>
      </c>
      <c r="D5" s="5"/>
      <c r="E5" s="2"/>
      <c r="F5" s="30"/>
      <c r="G5" s="6" t="str">
        <f aca="false">IF(F5&lt;&gt;0,F5*G$2/(100+G$2)," ")</f>
        <v> </v>
      </c>
      <c r="H5" s="6" t="n">
        <v>1200</v>
      </c>
      <c r="I5" s="5"/>
      <c r="L5" s="7" t="str">
        <f aca="false">IF(F5&lt;&gt;0,F5-K5," ")</f>
        <v> </v>
      </c>
      <c r="M5" s="8" t="str">
        <f aca="false">IF((F5-K5)&lt;&gt;0,M$1-A5," ")</f>
        <v> 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46295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46327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-32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46327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46327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46327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46327</v>
      </c>
      <c r="B9" s="2" t="s">
        <v>88</v>
      </c>
      <c r="D9" s="2" t="s">
        <v>89</v>
      </c>
      <c r="E9" s="2" t="s">
        <v>90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-32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91</v>
      </c>
    </row>
    <row r="10" customFormat="false" ht="12" hidden="false" customHeight="false" outlineLevel="0" collapsed="false">
      <c r="A10" s="28" t="n">
        <v>46327</v>
      </c>
      <c r="B10" s="2" t="s">
        <v>92</v>
      </c>
      <c r="D10" s="2" t="s">
        <v>93</v>
      </c>
      <c r="E10" s="2" t="s">
        <v>86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87</v>
      </c>
    </row>
    <row r="11" customFormat="false" ht="12" hidden="false" customHeight="false" outlineLevel="0" collapsed="false">
      <c r="A11" s="28" t="n">
        <v>46327</v>
      </c>
      <c r="B11" s="2" t="s">
        <v>94</v>
      </c>
      <c r="D11" s="2" t="s">
        <v>95</v>
      </c>
      <c r="E11" s="2" t="s">
        <v>80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81</v>
      </c>
    </row>
    <row r="12" customFormat="false" ht="12" hidden="false" customHeight="false" outlineLevel="0" collapsed="false">
      <c r="A12" s="28" t="n">
        <v>46329</v>
      </c>
      <c r="B12" s="2" t="s">
        <v>96</v>
      </c>
      <c r="D12" s="2" t="s">
        <v>97</v>
      </c>
      <c r="E12" s="2" t="s">
        <v>86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87</v>
      </c>
    </row>
    <row r="13" customFormat="false" ht="12" hidden="false" customHeight="false" outlineLevel="0" collapsed="false">
      <c r="A13" s="28" t="n">
        <v>46329</v>
      </c>
      <c r="B13" s="2" t="s">
        <v>98</v>
      </c>
      <c r="D13" s="2" t="s">
        <v>99</v>
      </c>
      <c r="E13" s="2" t="s">
        <v>100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46331</v>
      </c>
      <c r="B14" s="2" t="s">
        <v>102</v>
      </c>
      <c r="D14" s="2" t="s">
        <v>103</v>
      </c>
      <c r="E14" s="2" t="s">
        <v>100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101</v>
      </c>
    </row>
    <row r="15" customFormat="false" ht="12" hidden="false" customHeight="false" outlineLevel="0" collapsed="false">
      <c r="A15" s="28" t="n">
        <v>46331</v>
      </c>
      <c r="B15" s="2" t="s">
        <v>104</v>
      </c>
      <c r="D15" s="2" t="s">
        <v>105</v>
      </c>
      <c r="E15" s="2" t="s">
        <v>106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107</v>
      </c>
    </row>
    <row r="16" customFormat="false" ht="12" hidden="false" customHeight="false" outlineLevel="0" collapsed="false">
      <c r="A16" s="28" t="n">
        <v>46331</v>
      </c>
      <c r="B16" s="2" t="s">
        <v>108</v>
      </c>
      <c r="D16" s="2" t="s">
        <v>109</v>
      </c>
      <c r="E16" s="2" t="s">
        <v>86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87</v>
      </c>
    </row>
    <row r="17" customFormat="false" ht="12" hidden="false" customHeight="false" outlineLevel="0" collapsed="false">
      <c r="A17" s="28" t="n">
        <v>46334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46336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46336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46336</v>
      </c>
      <c r="B20" s="2" t="s">
        <v>120</v>
      </c>
      <c r="D20" s="2" t="s">
        <v>121</v>
      </c>
      <c r="E20" s="2" t="s">
        <v>122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-41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46338</v>
      </c>
      <c r="B21" s="2" t="s">
        <v>124</v>
      </c>
      <c r="D21" s="2" t="s">
        <v>125</v>
      </c>
      <c r="E21" s="2" t="s">
        <v>106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46340</v>
      </c>
      <c r="B22" s="2" t="s">
        <v>126</v>
      </c>
      <c r="D22" s="2" t="s">
        <v>127</v>
      </c>
      <c r="E22" s="2" t="s">
        <v>100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-45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101</v>
      </c>
    </row>
    <row r="23" customFormat="false" ht="12" hidden="false" customHeight="false" outlineLevel="0" collapsed="false">
      <c r="A23" s="28" t="n">
        <v>46340</v>
      </c>
      <c r="B23" s="2" t="s">
        <v>128</v>
      </c>
      <c r="D23" s="2" t="s">
        <v>129</v>
      </c>
      <c r="E23" s="2" t="s">
        <v>112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46340</v>
      </c>
      <c r="B24" s="2" t="s">
        <v>130</v>
      </c>
      <c r="D24" s="2" t="s">
        <v>131</v>
      </c>
      <c r="E24" s="2" t="s">
        <v>112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113</v>
      </c>
    </row>
    <row r="25" customFormat="false" ht="12" hidden="false" customHeight="false" outlineLevel="0" collapsed="false">
      <c r="A25" s="28" t="n">
        <v>46341</v>
      </c>
      <c r="B25" s="2" t="s">
        <v>20</v>
      </c>
      <c r="D25" s="2" t="s">
        <v>105</v>
      </c>
      <c r="E25" s="2" t="s">
        <v>106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107</v>
      </c>
    </row>
    <row r="26" customFormat="false" ht="12" hidden="false" customHeight="false" outlineLevel="0" collapsed="false">
      <c r="A26" s="28" t="n">
        <v>46341</v>
      </c>
      <c r="B26" s="2" t="s">
        <v>132</v>
      </c>
      <c r="D26" s="2" t="s">
        <v>133</v>
      </c>
      <c r="E26" s="2" t="s">
        <v>80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46344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46346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46346</v>
      </c>
      <c r="B29" s="2" t="s">
        <v>137</v>
      </c>
      <c r="D29" s="2" t="s">
        <v>138</v>
      </c>
      <c r="E29" s="2" t="s">
        <v>139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140</v>
      </c>
    </row>
    <row r="30" customFormat="false" ht="12" hidden="false" customHeight="false" outlineLevel="0" collapsed="false">
      <c r="A30" s="28" t="n">
        <v>46347</v>
      </c>
      <c r="B30" s="2" t="s">
        <v>141</v>
      </c>
      <c r="D30" s="2" t="s">
        <v>142</v>
      </c>
      <c r="E30" s="2" t="s">
        <v>112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-52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113</v>
      </c>
    </row>
    <row r="31" customFormat="false" ht="12" hidden="false" customHeight="false" outlineLevel="0" collapsed="false">
      <c r="A31" s="28" t="n">
        <v>46348</v>
      </c>
      <c r="B31" s="2" t="s">
        <v>143</v>
      </c>
      <c r="D31" s="2" t="s">
        <v>144</v>
      </c>
      <c r="E31" s="2" t="s">
        <v>100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46351</v>
      </c>
      <c r="B32" s="2" t="s">
        <v>145</v>
      </c>
      <c r="D32" s="2" t="s">
        <v>146</v>
      </c>
      <c r="E32" s="2" t="s">
        <v>100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46351</v>
      </c>
      <c r="B33" s="2" t="s">
        <v>147</v>
      </c>
      <c r="D33" s="2" t="s">
        <v>148</v>
      </c>
      <c r="E33" s="2" t="s">
        <v>106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-56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46354</v>
      </c>
      <c r="B34" s="2" t="s">
        <v>20</v>
      </c>
      <c r="D34" s="2" t="s">
        <v>149</v>
      </c>
      <c r="E34" s="2" t="s">
        <v>106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46356</v>
      </c>
      <c r="B35" s="2" t="s">
        <v>16</v>
      </c>
      <c r="D35" s="2" t="s">
        <v>150</v>
      </c>
      <c r="E35" s="2" t="s">
        <v>151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152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46295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46357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-62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46357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46357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46357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46357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46357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46359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-64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46359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46361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46361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46362</v>
      </c>
      <c r="B15" s="2" t="s">
        <v>153</v>
      </c>
      <c r="D15" s="2" t="s">
        <v>154</v>
      </c>
      <c r="E15" s="2" t="s">
        <v>112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-67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46364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46364</v>
      </c>
      <c r="B17" s="2" t="s">
        <v>155</v>
      </c>
      <c r="D17" s="2" t="s">
        <v>156</v>
      </c>
      <c r="E17" s="2" t="s">
        <v>157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-69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158</v>
      </c>
    </row>
    <row r="18" customFormat="false" ht="12" hidden="false" customHeight="false" outlineLevel="0" collapsed="false">
      <c r="A18" s="28" t="n">
        <v>46366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-71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46366</v>
      </c>
      <c r="B19" s="2" t="s">
        <v>159</v>
      </c>
      <c r="D19" s="2" t="s">
        <v>160</v>
      </c>
      <c r="E19" s="2" t="s">
        <v>161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-71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162</v>
      </c>
    </row>
    <row r="20" customFormat="false" ht="12" hidden="false" customHeight="false" outlineLevel="0" collapsed="false">
      <c r="A20" s="28" t="n">
        <v>46368</v>
      </c>
      <c r="B20" s="2" t="s">
        <v>124</v>
      </c>
      <c r="D20" s="2" t="s">
        <v>125</v>
      </c>
      <c r="E20" s="2" t="s">
        <v>106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-73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107</v>
      </c>
    </row>
    <row r="21" customFormat="false" ht="12" hidden="false" customHeight="false" outlineLevel="0" collapsed="false">
      <c r="A21" s="28" t="n">
        <v>46370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46370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46371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-76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46371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-76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46371</v>
      </c>
      <c r="B25" s="2" t="s">
        <v>163</v>
      </c>
      <c r="D25" s="2" t="s">
        <v>164</v>
      </c>
      <c r="E25" s="2" t="s">
        <v>122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-76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123</v>
      </c>
    </row>
    <row r="26" customFormat="false" ht="12" hidden="false" customHeight="false" outlineLevel="0" collapsed="false">
      <c r="A26" s="28" t="n">
        <v>46371</v>
      </c>
      <c r="B26" s="2" t="s">
        <v>165</v>
      </c>
      <c r="C26" s="3" t="s">
        <v>166</v>
      </c>
      <c r="D26" s="2" t="s">
        <v>167</v>
      </c>
      <c r="E26" s="2" t="s">
        <v>168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-76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AJ26" s="17" t="str">
        <f aca="false">IF((E26="e"),H26," ")</f>
        <v> </v>
      </c>
      <c r="BZ26" s="2" t="s">
        <v>169</v>
      </c>
    </row>
    <row r="27" customFormat="false" ht="12" hidden="false" customHeight="false" outlineLevel="0" collapsed="false">
      <c r="A27" s="28" t="n">
        <v>46372</v>
      </c>
      <c r="B27" s="2" t="s">
        <v>170</v>
      </c>
      <c r="D27" s="2" t="s">
        <v>171</v>
      </c>
      <c r="E27" s="2" t="s">
        <v>80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-77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81</v>
      </c>
    </row>
    <row r="28" customFormat="false" ht="12" hidden="false" customHeight="false" outlineLevel="0" collapsed="false">
      <c r="A28" s="28" t="n">
        <v>46374</v>
      </c>
      <c r="B28" s="2" t="s">
        <v>134</v>
      </c>
      <c r="D28" s="2" t="s">
        <v>105</v>
      </c>
      <c r="E28" s="2" t="s">
        <v>106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107</v>
      </c>
    </row>
    <row r="29" customFormat="false" ht="12" hidden="false" customHeight="false" outlineLevel="0" collapsed="false">
      <c r="A29" s="28" t="n">
        <v>46376</v>
      </c>
      <c r="B29" s="2" t="s">
        <v>135</v>
      </c>
      <c r="D29" s="2" t="s">
        <v>136</v>
      </c>
      <c r="E29" s="2" t="s">
        <v>80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-81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81</v>
      </c>
    </row>
    <row r="30" customFormat="false" ht="12" hidden="false" customHeight="false" outlineLevel="0" collapsed="false">
      <c r="A30" s="28" t="n">
        <v>46376</v>
      </c>
      <c r="B30" s="2" t="s">
        <v>172</v>
      </c>
      <c r="D30" s="2" t="s">
        <v>173</v>
      </c>
      <c r="E30" s="2" t="s">
        <v>174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-81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175</v>
      </c>
    </row>
    <row r="31" customFormat="false" ht="12" hidden="false" customHeight="false" outlineLevel="0" collapsed="false">
      <c r="A31" s="28" t="n">
        <v>46376</v>
      </c>
      <c r="B31" s="2" t="s">
        <v>176</v>
      </c>
      <c r="D31" s="2" t="s">
        <v>177</v>
      </c>
      <c r="E31" s="2" t="s">
        <v>122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-81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123</v>
      </c>
    </row>
    <row r="32" customFormat="false" ht="12" hidden="false" customHeight="false" outlineLevel="0" collapsed="false">
      <c r="A32" s="28" t="n">
        <v>46377</v>
      </c>
      <c r="B32" s="2" t="s">
        <v>141</v>
      </c>
      <c r="D32" s="2" t="s">
        <v>142</v>
      </c>
      <c r="E32" s="2" t="s">
        <v>112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113</v>
      </c>
    </row>
    <row r="33" customFormat="false" ht="12" hidden="false" customHeight="false" outlineLevel="0" collapsed="false">
      <c r="A33" s="28" t="n">
        <v>46378</v>
      </c>
      <c r="B33" s="2" t="s">
        <v>143</v>
      </c>
      <c r="D33" s="2" t="s">
        <v>144</v>
      </c>
      <c r="E33" s="2" t="s">
        <v>100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46378</v>
      </c>
      <c r="B34" s="2" t="s">
        <v>178</v>
      </c>
      <c r="D34" s="2" t="s">
        <v>179</v>
      </c>
      <c r="E34" s="2" t="s">
        <v>106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-83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46381</v>
      </c>
      <c r="B35" s="2" t="s">
        <v>145</v>
      </c>
      <c r="D35" s="2" t="s">
        <v>146</v>
      </c>
      <c r="E35" s="2" t="s">
        <v>100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-86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101</v>
      </c>
    </row>
    <row r="36" customFormat="false" ht="12" hidden="false" customHeight="false" outlineLevel="0" collapsed="false">
      <c r="A36" s="28" t="n">
        <v>46381</v>
      </c>
      <c r="B36" s="2" t="s">
        <v>147</v>
      </c>
      <c r="D36" s="2" t="s">
        <v>180</v>
      </c>
      <c r="E36" s="2" t="s">
        <v>106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-86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46384</v>
      </c>
      <c r="B37" s="2" t="s">
        <v>20</v>
      </c>
      <c r="D37" s="2" t="s">
        <v>149</v>
      </c>
      <c r="E37" s="2" t="s">
        <v>106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-89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107</v>
      </c>
    </row>
    <row r="38" customFormat="false" ht="12" hidden="false" customHeight="false" outlineLevel="0" collapsed="false">
      <c r="A38" s="28" t="n">
        <v>46387</v>
      </c>
      <c r="B38" s="2" t="s">
        <v>16</v>
      </c>
      <c r="D38" s="2" t="s">
        <v>150</v>
      </c>
      <c r="E38" s="2" t="s">
        <v>151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-92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  <c r="BZ38" s="2" t="s">
        <v>152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46295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12" t="n">
        <f aca="false">SUM(AJ5:AJ300)</f>
        <v>0</v>
      </c>
      <c r="AK1" s="12" t="n">
        <f aca="false">SUM(AK5:AK300)</f>
        <v>1000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46388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-93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46388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46388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46388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46388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46388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46390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-95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46390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-95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46392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46392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46392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46395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46397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46397</v>
      </c>
      <c r="B18" s="2" t="s">
        <v>181</v>
      </c>
      <c r="D18" s="2" t="s">
        <v>182</v>
      </c>
      <c r="E18" s="2" t="s">
        <v>80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-102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81</v>
      </c>
    </row>
    <row r="19" customFormat="false" ht="12" hidden="false" customHeight="false" outlineLevel="0" collapsed="false">
      <c r="A19" s="28" t="n">
        <v>46399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46401</v>
      </c>
      <c r="B20" s="2" t="s">
        <v>126</v>
      </c>
      <c r="D20" s="2" t="s">
        <v>127</v>
      </c>
      <c r="E20" s="2" t="s">
        <v>100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-106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101</v>
      </c>
    </row>
    <row r="21" customFormat="false" ht="12" hidden="false" customHeight="false" outlineLevel="0" collapsed="false">
      <c r="A21" s="28" t="n">
        <v>46401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46401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46402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-107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46402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-107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46402</v>
      </c>
      <c r="B25" s="2" t="s">
        <v>183</v>
      </c>
      <c r="C25" s="3" t="s">
        <v>184</v>
      </c>
      <c r="D25" s="2" t="s">
        <v>185</v>
      </c>
      <c r="E25" s="2" t="s">
        <v>186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-107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AK25" s="17" t="n">
        <v>1000</v>
      </c>
      <c r="BZ25" s="2" t="s">
        <v>187</v>
      </c>
    </row>
    <row r="26" customFormat="false" ht="12" hidden="false" customHeight="false" outlineLevel="0" collapsed="false">
      <c r="A26" s="28" t="n">
        <v>46405</v>
      </c>
      <c r="B26" s="2" t="s">
        <v>188</v>
      </c>
      <c r="D26" s="2" t="s">
        <v>189</v>
      </c>
      <c r="E26" s="2" t="s">
        <v>112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-110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113</v>
      </c>
    </row>
    <row r="27" customFormat="false" ht="12" hidden="false" customHeight="false" outlineLevel="0" collapsed="false">
      <c r="A27" s="28" t="n">
        <v>46405</v>
      </c>
      <c r="B27" s="2" t="s">
        <v>190</v>
      </c>
      <c r="D27" s="2" t="s">
        <v>191</v>
      </c>
      <c r="E27" s="2" t="s">
        <v>122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-110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123</v>
      </c>
    </row>
    <row r="28" customFormat="false" ht="12" hidden="false" customHeight="false" outlineLevel="0" collapsed="false">
      <c r="A28" s="28" t="n">
        <v>46405</v>
      </c>
      <c r="B28" s="2" t="s">
        <v>134</v>
      </c>
      <c r="D28" s="2" t="s">
        <v>105</v>
      </c>
      <c r="E28" s="2" t="s">
        <v>106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107</v>
      </c>
    </row>
    <row r="29" customFormat="false" ht="12" hidden="false" customHeight="false" outlineLevel="0" collapsed="false">
      <c r="A29" s="28" t="n">
        <v>46407</v>
      </c>
      <c r="B29" s="2" t="s">
        <v>135</v>
      </c>
      <c r="D29" s="2" t="s">
        <v>136</v>
      </c>
      <c r="E29" s="2" t="s">
        <v>80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81</v>
      </c>
    </row>
    <row r="30" customFormat="false" ht="12" hidden="false" customHeight="false" outlineLevel="0" collapsed="false">
      <c r="A30" s="28" t="n">
        <v>46408</v>
      </c>
      <c r="B30" s="2" t="s">
        <v>141</v>
      </c>
      <c r="D30" s="2" t="s">
        <v>142</v>
      </c>
      <c r="E30" s="2" t="s">
        <v>112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-113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113</v>
      </c>
    </row>
    <row r="31" customFormat="false" ht="12" hidden="false" customHeight="false" outlineLevel="0" collapsed="false">
      <c r="A31" s="28" t="n">
        <v>46409</v>
      </c>
      <c r="B31" s="2" t="s">
        <v>143</v>
      </c>
      <c r="D31" s="2" t="s">
        <v>144</v>
      </c>
      <c r="E31" s="2" t="s">
        <v>100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-114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46412</v>
      </c>
      <c r="B32" s="2" t="s">
        <v>192</v>
      </c>
      <c r="D32" s="2" t="s">
        <v>193</v>
      </c>
      <c r="E32" s="2" t="s">
        <v>194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-117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195</v>
      </c>
    </row>
    <row r="33" customFormat="false" ht="12" hidden="false" customHeight="false" outlineLevel="0" collapsed="false">
      <c r="A33" s="28" t="n">
        <v>46412</v>
      </c>
      <c r="B33" s="2" t="s">
        <v>145</v>
      </c>
      <c r="D33" s="2" t="s">
        <v>146</v>
      </c>
      <c r="E33" s="2" t="s">
        <v>100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46412</v>
      </c>
      <c r="B34" s="2" t="s">
        <v>147</v>
      </c>
      <c r="D34" s="2" t="s">
        <v>196</v>
      </c>
      <c r="E34" s="2" t="s">
        <v>106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-117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46415</v>
      </c>
      <c r="B35" s="2" t="s">
        <v>20</v>
      </c>
      <c r="D35" s="2" t="s">
        <v>149</v>
      </c>
      <c r="E35" s="2" t="s">
        <v>106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46417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46417</v>
      </c>
      <c r="B37" s="2" t="s">
        <v>197</v>
      </c>
      <c r="C37" s="3" t="s">
        <v>198</v>
      </c>
      <c r="D37" s="2" t="s">
        <v>199</v>
      </c>
      <c r="E37" s="2" t="s">
        <v>151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-122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200</v>
      </c>
    </row>
    <row r="38" customFormat="false" ht="12" hidden="false" customHeight="false" outlineLevel="0" collapsed="false">
      <c r="A38" s="28" t="n">
        <v>46388</v>
      </c>
      <c r="B38" s="2" t="s">
        <v>201</v>
      </c>
      <c r="C38" s="3" t="s">
        <v>202</v>
      </c>
      <c r="D38" s="2" t="s">
        <v>203</v>
      </c>
      <c r="E38" s="2" t="s">
        <v>168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-93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AJ38" s="17" t="str">
        <f aca="false">IF((E38="e"),H38," ")</f>
        <v> </v>
      </c>
      <c r="BZ38" s="2" t="s">
        <v>169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46295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46419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-124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46419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46419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46419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46419</v>
      </c>
      <c r="B9" s="2" t="s">
        <v>204</v>
      </c>
      <c r="D9" s="2" t="s">
        <v>205</v>
      </c>
      <c r="E9" s="2" t="s">
        <v>206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-124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AJ9" s="17" t="str">
        <f aca="false">IF((E9="e"),H9," ")</f>
        <v> </v>
      </c>
      <c r="BZ9" s="2" t="s">
        <v>207</v>
      </c>
    </row>
    <row r="10" customFormat="false" ht="12" hidden="false" customHeight="false" outlineLevel="0" collapsed="false">
      <c r="A10" s="28" t="n">
        <v>46419</v>
      </c>
      <c r="B10" s="2" t="s">
        <v>92</v>
      </c>
      <c r="D10" s="2" t="s">
        <v>93</v>
      </c>
      <c r="E10" s="2" t="s">
        <v>86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-124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87</v>
      </c>
    </row>
    <row r="11" customFormat="false" ht="12" hidden="false" customHeight="false" outlineLevel="0" collapsed="false">
      <c r="A11" s="28" t="n">
        <v>46419</v>
      </c>
      <c r="B11" s="2" t="s">
        <v>94</v>
      </c>
      <c r="D11" s="2" t="s">
        <v>95</v>
      </c>
      <c r="E11" s="2" t="s">
        <v>80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-124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81</v>
      </c>
    </row>
    <row r="12" customFormat="false" ht="12" hidden="false" customHeight="false" outlineLevel="0" collapsed="false">
      <c r="A12" s="28" t="n">
        <v>46421</v>
      </c>
      <c r="B12" s="2" t="s">
        <v>96</v>
      </c>
      <c r="D12" s="2" t="s">
        <v>97</v>
      </c>
      <c r="E12" s="2" t="s">
        <v>86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-126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87</v>
      </c>
    </row>
    <row r="13" customFormat="false" ht="12" hidden="false" customHeight="false" outlineLevel="0" collapsed="false">
      <c r="A13" s="28" t="n">
        <v>46421</v>
      </c>
      <c r="B13" s="2" t="s">
        <v>98</v>
      </c>
      <c r="D13" s="2" t="s">
        <v>99</v>
      </c>
      <c r="E13" s="2" t="s">
        <v>100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-126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46423</v>
      </c>
      <c r="B14" s="2" t="s">
        <v>102</v>
      </c>
      <c r="D14" s="2" t="s">
        <v>103</v>
      </c>
      <c r="E14" s="2" t="s">
        <v>100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-128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101</v>
      </c>
    </row>
    <row r="15" customFormat="false" ht="12" hidden="false" customHeight="false" outlineLevel="0" collapsed="false">
      <c r="A15" s="28" t="n">
        <v>46423</v>
      </c>
      <c r="B15" s="2" t="s">
        <v>208</v>
      </c>
      <c r="D15" s="2" t="s">
        <v>209</v>
      </c>
      <c r="E15" s="2" t="s">
        <v>161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-128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162</v>
      </c>
    </row>
    <row r="16" customFormat="false" ht="12" hidden="false" customHeight="false" outlineLevel="0" collapsed="false">
      <c r="A16" s="28" t="n">
        <v>46423</v>
      </c>
      <c r="B16" s="2" t="s">
        <v>104</v>
      </c>
      <c r="D16" s="2" t="s">
        <v>105</v>
      </c>
      <c r="E16" s="2" t="s">
        <v>106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-128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107</v>
      </c>
    </row>
    <row r="17" customFormat="false" ht="12" hidden="false" customHeight="false" outlineLevel="0" collapsed="false">
      <c r="A17" s="28" t="n">
        <v>46426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46428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-133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46428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-133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46428</v>
      </c>
      <c r="B20" s="2" t="s">
        <v>120</v>
      </c>
      <c r="D20" s="2" t="s">
        <v>121</v>
      </c>
      <c r="E20" s="2" t="s">
        <v>122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-133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46430</v>
      </c>
      <c r="B21" s="2" t="s">
        <v>124</v>
      </c>
      <c r="D21" s="2" t="s">
        <v>125</v>
      </c>
      <c r="E21" s="2" t="s">
        <v>106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46430</v>
      </c>
      <c r="B22" s="2" t="s">
        <v>210</v>
      </c>
      <c r="D22" s="2" t="s">
        <v>211</v>
      </c>
      <c r="E22" s="2" t="s">
        <v>157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-135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158</v>
      </c>
    </row>
    <row r="23" customFormat="false" ht="12" hidden="false" customHeight="false" outlineLevel="0" collapsed="false">
      <c r="A23" s="28" t="n">
        <v>46432</v>
      </c>
      <c r="B23" s="2" t="s">
        <v>128</v>
      </c>
      <c r="D23" s="2" t="s">
        <v>129</v>
      </c>
      <c r="E23" s="2" t="s">
        <v>112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46432</v>
      </c>
      <c r="B24" s="2" t="s">
        <v>130</v>
      </c>
      <c r="D24" s="2" t="s">
        <v>131</v>
      </c>
      <c r="E24" s="2" t="s">
        <v>112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113</v>
      </c>
    </row>
    <row r="25" customFormat="false" ht="12" hidden="false" customHeight="false" outlineLevel="0" collapsed="false">
      <c r="A25" s="28" t="n">
        <v>46433</v>
      </c>
      <c r="B25" s="2" t="s">
        <v>20</v>
      </c>
      <c r="D25" s="2" t="s">
        <v>105</v>
      </c>
      <c r="E25" s="2" t="s">
        <v>106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-138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107</v>
      </c>
    </row>
    <row r="26" customFormat="false" ht="12" hidden="false" customHeight="false" outlineLevel="0" collapsed="false">
      <c r="A26" s="28" t="n">
        <v>46433</v>
      </c>
      <c r="B26" s="2" t="s">
        <v>132</v>
      </c>
      <c r="D26" s="2" t="s">
        <v>133</v>
      </c>
      <c r="E26" s="2" t="s">
        <v>80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-138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46433</v>
      </c>
      <c r="B27" s="2" t="s">
        <v>212</v>
      </c>
      <c r="C27" s="3" t="s">
        <v>213</v>
      </c>
      <c r="D27" s="2" t="s">
        <v>214</v>
      </c>
      <c r="E27" s="2" t="s">
        <v>168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-138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AJ27" s="17" t="str">
        <f aca="false">IF((E27="e"),H27," ")</f>
        <v> </v>
      </c>
      <c r="BZ27" s="2" t="s">
        <v>169</v>
      </c>
    </row>
    <row r="28" customFormat="false" ht="12" hidden="false" customHeight="false" outlineLevel="0" collapsed="false">
      <c r="A28" s="28" t="n">
        <v>46434</v>
      </c>
      <c r="B28" s="2" t="s">
        <v>170</v>
      </c>
      <c r="D28" s="2" t="s">
        <v>171</v>
      </c>
      <c r="E28" s="2" t="s">
        <v>80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-139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46436</v>
      </c>
      <c r="B29" s="2" t="s">
        <v>134</v>
      </c>
      <c r="D29" s="2" t="s">
        <v>105</v>
      </c>
      <c r="E29" s="2" t="s">
        <v>106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107</v>
      </c>
    </row>
    <row r="30" customFormat="false" ht="12" hidden="false" customHeight="false" outlineLevel="0" collapsed="false">
      <c r="A30" s="28" t="n">
        <v>46438</v>
      </c>
      <c r="B30" s="2" t="s">
        <v>135</v>
      </c>
      <c r="D30" s="2" t="s">
        <v>136</v>
      </c>
      <c r="E30" s="2" t="s">
        <v>80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81</v>
      </c>
    </row>
    <row r="31" customFormat="false" ht="12" hidden="false" customHeight="false" outlineLevel="0" collapsed="false">
      <c r="A31" s="28" t="n">
        <v>46438</v>
      </c>
      <c r="B31" s="2" t="s">
        <v>215</v>
      </c>
      <c r="D31" s="2" t="s">
        <v>216</v>
      </c>
      <c r="E31" s="2" t="s">
        <v>174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-143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175</v>
      </c>
    </row>
    <row r="32" customFormat="false" ht="12" hidden="false" customHeight="false" outlineLevel="0" collapsed="false">
      <c r="A32" s="28" t="n">
        <v>46438</v>
      </c>
      <c r="B32" s="2" t="s">
        <v>137</v>
      </c>
      <c r="D32" s="2" t="s">
        <v>138</v>
      </c>
      <c r="E32" s="2" t="s">
        <v>139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-143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140</v>
      </c>
    </row>
    <row r="33" customFormat="false" ht="12" hidden="false" customHeight="false" outlineLevel="0" collapsed="false">
      <c r="A33" s="28" t="n">
        <v>46439</v>
      </c>
      <c r="B33" s="2" t="s">
        <v>141</v>
      </c>
      <c r="D33" s="2" t="s">
        <v>142</v>
      </c>
      <c r="E33" s="2" t="s">
        <v>112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-144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113</v>
      </c>
    </row>
    <row r="34" customFormat="false" ht="12" hidden="false" customHeight="false" outlineLevel="0" collapsed="false">
      <c r="A34" s="28" t="n">
        <v>46440</v>
      </c>
      <c r="B34" s="2" t="s">
        <v>143</v>
      </c>
      <c r="D34" s="2" t="s">
        <v>144</v>
      </c>
      <c r="E34" s="2" t="s">
        <v>100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-145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46443</v>
      </c>
      <c r="B35" s="2" t="s">
        <v>145</v>
      </c>
      <c r="D35" s="2" t="s">
        <v>146</v>
      </c>
      <c r="E35" s="2" t="s">
        <v>100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-148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101</v>
      </c>
    </row>
    <row r="36" customFormat="false" ht="12" hidden="false" customHeight="false" outlineLevel="0" collapsed="false">
      <c r="A36" s="28" t="n">
        <v>46443</v>
      </c>
      <c r="B36" s="2" t="s">
        <v>147</v>
      </c>
      <c r="D36" s="2" t="s">
        <v>217</v>
      </c>
      <c r="E36" s="2" t="s">
        <v>106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-148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46446</v>
      </c>
      <c r="B37" s="2" t="s">
        <v>20</v>
      </c>
      <c r="D37" s="2" t="s">
        <v>149</v>
      </c>
      <c r="E37" s="2" t="s">
        <v>106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107</v>
      </c>
    </row>
    <row r="38" customFormat="false" ht="12" hidden="false" customHeight="false" outlineLevel="0" collapsed="false">
      <c r="A38" s="28" t="n">
        <v>46446</v>
      </c>
      <c r="B38" s="2" t="s">
        <v>16</v>
      </c>
      <c r="D38" s="2" t="s">
        <v>150</v>
      </c>
      <c r="E38" s="2" t="s">
        <v>151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-151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  <c r="BZ38" s="2" t="s">
        <v>152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4755.25</v>
      </c>
      <c r="G1" s="12" t="n">
        <f aca="false">SUM(G5:G300)</f>
        <v>792.541666666667</v>
      </c>
      <c r="H1" s="12" t="n">
        <f aca="false">SUM(H5:H300)</f>
        <v>3962.70833333333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4755.25</v>
      </c>
      <c r="M1" s="16" t="n">
        <f aca="true">TODAY()</f>
        <v>46295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291.666666666667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46447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-152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46447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-152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46447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-152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46447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-152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46447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-152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46447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-152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46449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-154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46449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46451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-156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46451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-156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46451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46452</v>
      </c>
      <c r="B16" s="2" t="s">
        <v>153</v>
      </c>
      <c r="D16" s="2" t="s">
        <v>154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-157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46454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-159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46456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46458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-163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46460</v>
      </c>
      <c r="B20" s="2" t="s">
        <v>126</v>
      </c>
      <c r="D20" s="2" t="s">
        <v>127</v>
      </c>
      <c r="E20" s="2" t="s">
        <v>100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-165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101</v>
      </c>
    </row>
    <row r="21" customFormat="false" ht="12" hidden="false" customHeight="false" outlineLevel="0" collapsed="false">
      <c r="A21" s="28" t="n">
        <v>46460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-165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46460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-165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46461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-166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46461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-166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46461</v>
      </c>
      <c r="B25" s="2" t="s">
        <v>163</v>
      </c>
      <c r="D25" s="2" t="s">
        <v>164</v>
      </c>
      <c r="E25" s="2" t="s">
        <v>122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-166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123</v>
      </c>
    </row>
    <row r="26" customFormat="false" ht="12" hidden="false" customHeight="false" outlineLevel="0" collapsed="false">
      <c r="A26" s="28" t="n">
        <v>46464</v>
      </c>
      <c r="B26" s="2" t="s">
        <v>218</v>
      </c>
      <c r="D26" s="2" t="s">
        <v>219</v>
      </c>
      <c r="E26" s="2" t="s">
        <v>139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-169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140</v>
      </c>
    </row>
    <row r="27" customFormat="false" ht="12" hidden="false" customHeight="false" outlineLevel="0" collapsed="false">
      <c r="A27" s="28" t="n">
        <v>46464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-169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46466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46466</v>
      </c>
      <c r="B29" s="2" t="s">
        <v>220</v>
      </c>
      <c r="D29" s="2" t="s">
        <v>221</v>
      </c>
      <c r="E29" s="2" t="s">
        <v>222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-171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223</v>
      </c>
    </row>
    <row r="30" customFormat="false" ht="12" hidden="false" customHeight="false" outlineLevel="0" collapsed="false">
      <c r="A30" s="28" t="n">
        <v>46466</v>
      </c>
      <c r="B30" s="2" t="s">
        <v>176</v>
      </c>
      <c r="D30" s="2" t="s">
        <v>177</v>
      </c>
      <c r="E30" s="2" t="s">
        <v>122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-171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123</v>
      </c>
    </row>
    <row r="31" customFormat="false" ht="12" hidden="false" customHeight="false" outlineLevel="0" collapsed="false">
      <c r="A31" s="28" t="n">
        <v>46467</v>
      </c>
      <c r="B31" s="2" t="s">
        <v>141</v>
      </c>
      <c r="D31" s="2" t="s">
        <v>142</v>
      </c>
      <c r="E31" s="2" t="s">
        <v>112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-172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113</v>
      </c>
    </row>
    <row r="32" customFormat="false" ht="12" hidden="false" customHeight="false" outlineLevel="0" collapsed="false">
      <c r="A32" s="28" t="n">
        <v>46468</v>
      </c>
      <c r="B32" s="2" t="s">
        <v>143</v>
      </c>
      <c r="D32" s="2" t="s">
        <v>144</v>
      </c>
      <c r="E32" s="2" t="s">
        <v>100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-173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46471</v>
      </c>
      <c r="B33" s="2" t="s">
        <v>145</v>
      </c>
      <c r="D33" s="2" t="s">
        <v>146</v>
      </c>
      <c r="E33" s="2" t="s">
        <v>100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-176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46471</v>
      </c>
      <c r="B34" s="2" t="s">
        <v>147</v>
      </c>
      <c r="D34" s="2" t="s">
        <v>148</v>
      </c>
      <c r="E34" s="2" t="s">
        <v>106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-176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46474</v>
      </c>
      <c r="B35" s="2" t="s">
        <v>20</v>
      </c>
      <c r="D35" s="2" t="s">
        <v>149</v>
      </c>
      <c r="E35" s="2" t="s">
        <v>106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46477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46458</v>
      </c>
      <c r="B37" s="2" t="s">
        <v>224</v>
      </c>
      <c r="D37" s="2" t="s">
        <v>225</v>
      </c>
      <c r="E37" s="2" t="s">
        <v>226</v>
      </c>
      <c r="F37" s="30" t="n">
        <v>350</v>
      </c>
      <c r="G37" s="6" t="n">
        <f aca="false">IF(F37&lt;&gt;0,F37*G$2/(100+G$2)," ")</f>
        <v>58.3333333333333</v>
      </c>
      <c r="H37" s="6" t="n">
        <f aca="false">IF((F37&lt;&gt;0),F37-G37," ")</f>
        <v>291.666666666667</v>
      </c>
      <c r="I37" s="5"/>
      <c r="L37" s="7" t="n">
        <f aca="false">IF(F37&lt;&gt;0,F37-K37," ")</f>
        <v>350</v>
      </c>
      <c r="M37" s="8" t="n">
        <f aca="false">IF((F37-K37)&lt;&gt;0,M$1-A37," ")</f>
        <v>-163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n">
        <f aca="false">IF((E37="e"),H37," ")</f>
        <v>291.666666666667</v>
      </c>
      <c r="BZ37" s="2" t="s">
        <v>227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46295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46478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-183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46478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-183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46478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-183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46478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-183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46478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-183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46478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-183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46480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46480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46482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-187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46482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-187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46485</v>
      </c>
      <c r="B15" s="2" t="s">
        <v>110</v>
      </c>
      <c r="D15" s="2" t="s">
        <v>111</v>
      </c>
      <c r="E15" s="2" t="s">
        <v>112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-190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46485</v>
      </c>
      <c r="B16" s="2" t="s">
        <v>155</v>
      </c>
      <c r="D16" s="2" t="s">
        <v>156</v>
      </c>
      <c r="E16" s="2" t="s">
        <v>157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-190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158</v>
      </c>
    </row>
    <row r="17" customFormat="false" ht="12" hidden="false" customHeight="false" outlineLevel="0" collapsed="false">
      <c r="A17" s="28" t="n">
        <v>46487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-192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46487</v>
      </c>
      <c r="B18" s="2" t="s">
        <v>132</v>
      </c>
      <c r="D18" s="2" t="s">
        <v>228</v>
      </c>
      <c r="E18" s="2" t="s">
        <v>174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175</v>
      </c>
    </row>
    <row r="19" customFormat="false" ht="12" hidden="false" customHeight="false" outlineLevel="0" collapsed="false">
      <c r="A19" s="28" t="n">
        <v>46489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-194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46491</v>
      </c>
      <c r="B20" s="2" t="s">
        <v>128</v>
      </c>
      <c r="D20" s="2" t="s">
        <v>129</v>
      </c>
      <c r="E20" s="2" t="s">
        <v>112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113</v>
      </c>
    </row>
    <row r="21" customFormat="false" ht="12" hidden="false" customHeight="false" outlineLevel="0" collapsed="false">
      <c r="A21" s="28" t="n">
        <v>46491</v>
      </c>
      <c r="B21" s="2" t="s">
        <v>130</v>
      </c>
      <c r="D21" s="2" t="s">
        <v>131</v>
      </c>
      <c r="E21" s="2" t="s">
        <v>112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-196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46492</v>
      </c>
      <c r="B22" s="2" t="s">
        <v>20</v>
      </c>
      <c r="D22" s="2" t="s">
        <v>105</v>
      </c>
      <c r="E22" s="2" t="s">
        <v>106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-197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107</v>
      </c>
    </row>
    <row r="23" customFormat="false" ht="12" hidden="false" customHeight="false" outlineLevel="0" collapsed="false">
      <c r="A23" s="28" t="n">
        <v>46492</v>
      </c>
      <c r="B23" s="2" t="s">
        <v>132</v>
      </c>
      <c r="D23" s="2" t="s">
        <v>133</v>
      </c>
      <c r="E23" s="2" t="s">
        <v>80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-197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81</v>
      </c>
    </row>
    <row r="24" customFormat="false" ht="12" hidden="false" customHeight="false" outlineLevel="0" collapsed="false">
      <c r="A24" s="28" t="n">
        <v>46492</v>
      </c>
      <c r="B24" s="2" t="s">
        <v>229</v>
      </c>
      <c r="D24" s="2" t="s">
        <v>230</v>
      </c>
      <c r="E24" s="2" t="s">
        <v>151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-197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152</v>
      </c>
    </row>
    <row r="25" customFormat="false" ht="12" hidden="false" customHeight="false" outlineLevel="0" collapsed="false">
      <c r="A25" s="28" t="n">
        <v>46493</v>
      </c>
      <c r="B25" s="2" t="s">
        <v>170</v>
      </c>
      <c r="D25" s="2" t="s">
        <v>171</v>
      </c>
      <c r="E25" s="2" t="s">
        <v>80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-198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46495</v>
      </c>
      <c r="B26" s="2" t="s">
        <v>190</v>
      </c>
      <c r="D26" s="2" t="s">
        <v>191</v>
      </c>
      <c r="E26" s="2" t="s">
        <v>122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-200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123</v>
      </c>
    </row>
    <row r="27" customFormat="false" ht="12" hidden="false" customHeight="false" outlineLevel="0" collapsed="false">
      <c r="A27" s="28" t="n">
        <v>46495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-200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46497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46498</v>
      </c>
      <c r="B29" s="2" t="s">
        <v>141</v>
      </c>
      <c r="D29" s="2" t="s">
        <v>142</v>
      </c>
      <c r="E29" s="2" t="s">
        <v>112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-203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113</v>
      </c>
    </row>
    <row r="30" customFormat="false" ht="12" hidden="false" customHeight="false" outlineLevel="0" collapsed="false">
      <c r="A30" s="28" t="n">
        <v>46499</v>
      </c>
      <c r="B30" s="2" t="s">
        <v>143</v>
      </c>
      <c r="D30" s="2" t="s">
        <v>144</v>
      </c>
      <c r="E30" s="2" t="s">
        <v>100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-204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101</v>
      </c>
    </row>
    <row r="31" customFormat="false" ht="12" hidden="false" customHeight="false" outlineLevel="0" collapsed="false">
      <c r="A31" s="28" t="n">
        <v>46499</v>
      </c>
      <c r="B31" s="2" t="s">
        <v>178</v>
      </c>
      <c r="D31" s="2" t="s">
        <v>179</v>
      </c>
      <c r="E31" s="2" t="s">
        <v>106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-204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107</v>
      </c>
    </row>
    <row r="32" customFormat="false" ht="12" hidden="false" customHeight="false" outlineLevel="0" collapsed="false">
      <c r="A32" s="28" t="n">
        <v>46502</v>
      </c>
      <c r="B32" s="2" t="s">
        <v>192</v>
      </c>
      <c r="D32" s="2" t="s">
        <v>193</v>
      </c>
      <c r="E32" s="2" t="s">
        <v>194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-207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195</v>
      </c>
    </row>
    <row r="33" customFormat="false" ht="12" hidden="false" customHeight="false" outlineLevel="0" collapsed="false">
      <c r="A33" s="28" t="n">
        <v>46502</v>
      </c>
      <c r="B33" s="2" t="s">
        <v>145</v>
      </c>
      <c r="D33" s="2" t="s">
        <v>146</v>
      </c>
      <c r="E33" s="2" t="s">
        <v>100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46502</v>
      </c>
      <c r="B34" s="2" t="s">
        <v>147</v>
      </c>
      <c r="D34" s="2" t="s">
        <v>231</v>
      </c>
      <c r="E34" s="2" t="s">
        <v>106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-207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46505</v>
      </c>
      <c r="B35" s="2" t="s">
        <v>20</v>
      </c>
      <c r="D35" s="2" t="s">
        <v>149</v>
      </c>
      <c r="E35" s="2" t="s">
        <v>106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-210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46507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-212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46507</v>
      </c>
      <c r="B37" s="2" t="s">
        <v>197</v>
      </c>
      <c r="C37" s="3" t="s">
        <v>232</v>
      </c>
      <c r="D37" s="2" t="s">
        <v>199</v>
      </c>
      <c r="E37" s="2" t="s">
        <v>151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-212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200</v>
      </c>
    </row>
    <row r="38" customFormat="false" ht="12" hidden="false" customHeight="false" outlineLevel="0" collapsed="false">
      <c r="A38" s="28" t="n">
        <v>46478</v>
      </c>
      <c r="B38" s="2" t="s">
        <v>201</v>
      </c>
      <c r="C38" s="3" t="s">
        <v>233</v>
      </c>
      <c r="D38" s="2" t="s">
        <v>234</v>
      </c>
      <c r="E38" s="2" t="s">
        <v>168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-183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AJ38" s="17" t="str">
        <f aca="false">IF((E38="e"),H38," ")</f>
        <v> </v>
      </c>
      <c r="BZ38" s="2" t="s">
        <v>169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46295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46508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-213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46508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46508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46508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46508</v>
      </c>
      <c r="B9" s="2" t="s">
        <v>235</v>
      </c>
      <c r="D9" s="2" t="s">
        <v>236</v>
      </c>
      <c r="E9" s="2" t="s">
        <v>90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-213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91</v>
      </c>
    </row>
    <row r="10" customFormat="false" ht="12" hidden="false" customHeight="false" outlineLevel="0" collapsed="false">
      <c r="A10" s="28" t="n">
        <v>46508</v>
      </c>
      <c r="B10" s="2" t="s">
        <v>92</v>
      </c>
      <c r="D10" s="2" t="s">
        <v>93</v>
      </c>
      <c r="E10" s="2" t="s">
        <v>86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87</v>
      </c>
    </row>
    <row r="11" customFormat="false" ht="12" hidden="false" customHeight="false" outlineLevel="0" collapsed="false">
      <c r="A11" s="28" t="n">
        <v>46508</v>
      </c>
      <c r="B11" s="2" t="s">
        <v>94</v>
      </c>
      <c r="D11" s="2" t="s">
        <v>95</v>
      </c>
      <c r="E11" s="2" t="s">
        <v>80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81</v>
      </c>
    </row>
    <row r="12" customFormat="false" ht="12" hidden="false" customHeight="false" outlineLevel="0" collapsed="false">
      <c r="A12" s="28" t="n">
        <v>46510</v>
      </c>
      <c r="B12" s="2" t="s">
        <v>96</v>
      </c>
      <c r="D12" s="2" t="s">
        <v>97</v>
      </c>
      <c r="E12" s="2" t="s">
        <v>86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-215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87</v>
      </c>
    </row>
    <row r="13" customFormat="false" ht="12" hidden="false" customHeight="false" outlineLevel="0" collapsed="false">
      <c r="A13" s="28" t="n">
        <v>46510</v>
      </c>
      <c r="B13" s="2" t="s">
        <v>98</v>
      </c>
      <c r="D13" s="2" t="s">
        <v>99</v>
      </c>
      <c r="E13" s="2" t="s">
        <v>100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-215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46512</v>
      </c>
      <c r="B14" s="2" t="s">
        <v>102</v>
      </c>
      <c r="D14" s="2" t="s">
        <v>103</v>
      </c>
      <c r="E14" s="2" t="s">
        <v>100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-217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101</v>
      </c>
    </row>
    <row r="15" customFormat="false" ht="12" hidden="false" customHeight="false" outlineLevel="0" collapsed="false">
      <c r="A15" s="28" t="n">
        <v>46512</v>
      </c>
      <c r="B15" s="2" t="s">
        <v>104</v>
      </c>
      <c r="D15" s="2" t="s">
        <v>105</v>
      </c>
      <c r="E15" s="2" t="s">
        <v>106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-217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107</v>
      </c>
    </row>
    <row r="16" customFormat="false" ht="12" hidden="false" customHeight="false" outlineLevel="0" collapsed="false">
      <c r="A16" s="28" t="n">
        <v>46512</v>
      </c>
      <c r="B16" s="2" t="s">
        <v>108</v>
      </c>
      <c r="D16" s="2" t="s">
        <v>109</v>
      </c>
      <c r="E16" s="2" t="s">
        <v>86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-217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87</v>
      </c>
    </row>
    <row r="17" customFormat="false" ht="12" hidden="false" customHeight="false" outlineLevel="0" collapsed="false">
      <c r="A17" s="28" t="n">
        <v>46515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46517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-222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46517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-222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46517</v>
      </c>
      <c r="B20" s="2" t="s">
        <v>120</v>
      </c>
      <c r="D20" s="2" t="s">
        <v>121</v>
      </c>
      <c r="E20" s="2" t="s">
        <v>122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-222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46517</v>
      </c>
      <c r="B21" s="2" t="s">
        <v>159</v>
      </c>
      <c r="D21" s="2" t="s">
        <v>237</v>
      </c>
      <c r="E21" s="2" t="s">
        <v>161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-222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162</v>
      </c>
    </row>
    <row r="22" customFormat="false" ht="12" hidden="false" customHeight="false" outlineLevel="0" collapsed="false">
      <c r="A22" s="28" t="n">
        <v>46519</v>
      </c>
      <c r="B22" s="2" t="s">
        <v>124</v>
      </c>
      <c r="D22" s="2" t="s">
        <v>125</v>
      </c>
      <c r="E22" s="2" t="s">
        <v>106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-224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107</v>
      </c>
    </row>
    <row r="23" customFormat="false" ht="12" hidden="false" customHeight="false" outlineLevel="0" collapsed="false">
      <c r="A23" s="28" t="n">
        <v>46521</v>
      </c>
      <c r="B23" s="2" t="s">
        <v>126</v>
      </c>
      <c r="D23" s="2" t="s">
        <v>127</v>
      </c>
      <c r="E23" s="2" t="s">
        <v>100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-226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101</v>
      </c>
    </row>
    <row r="24" customFormat="false" ht="12" hidden="false" customHeight="false" outlineLevel="0" collapsed="false">
      <c r="A24" s="28" t="n">
        <v>46521</v>
      </c>
      <c r="B24" s="2" t="s">
        <v>128</v>
      </c>
      <c r="D24" s="2" t="s">
        <v>129</v>
      </c>
      <c r="E24" s="2" t="s">
        <v>112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-226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113</v>
      </c>
    </row>
    <row r="25" customFormat="false" ht="12" hidden="false" customHeight="false" outlineLevel="0" collapsed="false">
      <c r="A25" s="28" t="n">
        <v>46521</v>
      </c>
      <c r="B25" s="2" t="s">
        <v>130</v>
      </c>
      <c r="D25" s="2" t="s">
        <v>131</v>
      </c>
      <c r="E25" s="2" t="s">
        <v>112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113</v>
      </c>
    </row>
    <row r="26" customFormat="false" ht="12" hidden="false" customHeight="false" outlineLevel="0" collapsed="false">
      <c r="A26" s="28" t="n">
        <v>46522</v>
      </c>
      <c r="B26" s="2" t="s">
        <v>20</v>
      </c>
      <c r="D26" s="2" t="s">
        <v>105</v>
      </c>
      <c r="E26" s="2" t="s">
        <v>106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-227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107</v>
      </c>
    </row>
    <row r="27" customFormat="false" ht="12" hidden="false" customHeight="false" outlineLevel="0" collapsed="false">
      <c r="A27" s="28" t="n">
        <v>46522</v>
      </c>
      <c r="B27" s="2" t="s">
        <v>132</v>
      </c>
      <c r="D27" s="2" t="s">
        <v>133</v>
      </c>
      <c r="E27" s="2" t="s">
        <v>80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-227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81</v>
      </c>
    </row>
    <row r="28" customFormat="false" ht="12" hidden="false" customHeight="false" outlineLevel="0" collapsed="false">
      <c r="A28" s="28" t="n">
        <v>46522</v>
      </c>
      <c r="B28" s="2" t="s">
        <v>238</v>
      </c>
      <c r="D28" s="2" t="s">
        <v>239</v>
      </c>
      <c r="E28" s="2" t="s">
        <v>161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-227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162</v>
      </c>
    </row>
    <row r="29" customFormat="false" ht="12" hidden="false" customHeight="false" outlineLevel="0" collapsed="false">
      <c r="A29" s="28" t="n">
        <v>46525</v>
      </c>
      <c r="B29" s="2" t="s">
        <v>188</v>
      </c>
      <c r="D29" s="2" t="s">
        <v>240</v>
      </c>
      <c r="E29" s="2" t="s">
        <v>112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-230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113</v>
      </c>
    </row>
    <row r="30" customFormat="false" ht="12" hidden="false" customHeight="false" outlineLevel="0" collapsed="false">
      <c r="A30" s="28" t="n">
        <v>46525</v>
      </c>
      <c r="B30" s="2" t="s">
        <v>134</v>
      </c>
      <c r="D30" s="2" t="s">
        <v>105</v>
      </c>
      <c r="E30" s="2" t="s">
        <v>106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-230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107</v>
      </c>
    </row>
    <row r="31" customFormat="false" ht="12" hidden="false" customHeight="false" outlineLevel="0" collapsed="false">
      <c r="A31" s="28" t="n">
        <v>46527</v>
      </c>
      <c r="B31" s="2" t="s">
        <v>135</v>
      </c>
      <c r="D31" s="2" t="s">
        <v>136</v>
      </c>
      <c r="E31" s="2" t="s">
        <v>80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-232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81</v>
      </c>
    </row>
    <row r="32" customFormat="false" ht="12" hidden="false" customHeight="false" outlineLevel="0" collapsed="false">
      <c r="A32" s="28" t="n">
        <v>46527</v>
      </c>
      <c r="B32" s="2" t="s">
        <v>137</v>
      </c>
      <c r="D32" s="2" t="s">
        <v>138</v>
      </c>
      <c r="E32" s="2" t="s">
        <v>139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-232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140</v>
      </c>
    </row>
    <row r="33" customFormat="false" ht="12" hidden="false" customHeight="false" outlineLevel="0" collapsed="false">
      <c r="A33" s="28" t="n">
        <v>46528</v>
      </c>
      <c r="B33" s="2" t="s">
        <v>141</v>
      </c>
      <c r="D33" s="2" t="s">
        <v>142</v>
      </c>
      <c r="E33" s="2" t="s">
        <v>112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-233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113</v>
      </c>
    </row>
    <row r="34" customFormat="false" ht="12" hidden="false" customHeight="false" outlineLevel="0" collapsed="false">
      <c r="A34" s="28" t="n">
        <v>46529</v>
      </c>
      <c r="B34" s="2" t="s">
        <v>143</v>
      </c>
      <c r="D34" s="2" t="s">
        <v>144</v>
      </c>
      <c r="E34" s="2" t="s">
        <v>100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-234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46532</v>
      </c>
      <c r="B35" s="2" t="s">
        <v>145</v>
      </c>
      <c r="D35" s="2" t="s">
        <v>146</v>
      </c>
      <c r="E35" s="2" t="s">
        <v>100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-237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101</v>
      </c>
    </row>
    <row r="36" customFormat="false" ht="12" hidden="false" customHeight="false" outlineLevel="0" collapsed="false">
      <c r="A36" s="28" t="n">
        <v>46532</v>
      </c>
      <c r="B36" s="2" t="s">
        <v>147</v>
      </c>
      <c r="D36" s="2" t="s">
        <v>241</v>
      </c>
      <c r="E36" s="2" t="s">
        <v>106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-237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46532</v>
      </c>
      <c r="B37" s="2" t="s">
        <v>242</v>
      </c>
      <c r="C37" s="3" t="s">
        <v>243</v>
      </c>
      <c r="D37" s="2" t="s">
        <v>244</v>
      </c>
      <c r="E37" s="2" t="s">
        <v>168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-237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AJ37" s="17" t="str">
        <f aca="false">IF((E37="e"),H37," ")</f>
        <v> </v>
      </c>
      <c r="BZ37" s="2" t="s">
        <v>169</v>
      </c>
    </row>
    <row r="38" customFormat="false" ht="12" hidden="false" customHeight="false" outlineLevel="0" collapsed="false">
      <c r="A38" s="28" t="n">
        <v>46535</v>
      </c>
      <c r="B38" s="2" t="s">
        <v>20</v>
      </c>
      <c r="D38" s="2" t="s">
        <v>149</v>
      </c>
      <c r="E38" s="2" t="s">
        <v>106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-240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  <c r="BZ38" s="2" t="s">
        <v>107</v>
      </c>
    </row>
    <row r="39" customFormat="false" ht="12" hidden="false" customHeight="false" outlineLevel="0" collapsed="false">
      <c r="A39" s="28" t="n">
        <v>46538</v>
      </c>
      <c r="B39" s="2" t="s">
        <v>16</v>
      </c>
      <c r="D39" s="2" t="s">
        <v>150</v>
      </c>
      <c r="E39" s="2" t="s">
        <v>151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-243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  <c r="BZ39" s="2" t="s">
        <v>152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46295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600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46539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-244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46539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-244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46539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-244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46539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46539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-244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46539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-244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46541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46541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46543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46543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-248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46544</v>
      </c>
      <c r="B15" s="2" t="s">
        <v>153</v>
      </c>
      <c r="D15" s="2" t="s">
        <v>154</v>
      </c>
      <c r="E15" s="2" t="s">
        <v>112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-249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46546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-251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46548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46550</v>
      </c>
      <c r="B18" s="2" t="s">
        <v>124</v>
      </c>
      <c r="D18" s="2" t="s">
        <v>125</v>
      </c>
      <c r="E18" s="2" t="s">
        <v>106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-255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107</v>
      </c>
    </row>
    <row r="19" customFormat="false" ht="12" hidden="false" customHeight="false" outlineLevel="0" collapsed="false">
      <c r="A19" s="28" t="n">
        <v>46552</v>
      </c>
      <c r="B19" s="2" t="s">
        <v>128</v>
      </c>
      <c r="D19" s="2" t="s">
        <v>129</v>
      </c>
      <c r="E19" s="2" t="s">
        <v>112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-257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113</v>
      </c>
    </row>
    <row r="20" customFormat="false" ht="12" hidden="false" customHeight="false" outlineLevel="0" collapsed="false">
      <c r="A20" s="28" t="n">
        <v>46552</v>
      </c>
      <c r="B20" s="2" t="s">
        <v>130</v>
      </c>
      <c r="D20" s="2" t="s">
        <v>131</v>
      </c>
      <c r="E20" s="2" t="s">
        <v>112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-257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113</v>
      </c>
    </row>
    <row r="21" customFormat="false" ht="12" hidden="false" customHeight="false" outlineLevel="0" collapsed="false">
      <c r="A21" s="28" t="n">
        <v>46553</v>
      </c>
      <c r="B21" s="2" t="s">
        <v>20</v>
      </c>
      <c r="D21" s="2" t="s">
        <v>105</v>
      </c>
      <c r="E21" s="2" t="s">
        <v>106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46553</v>
      </c>
      <c r="B22" s="2" t="s">
        <v>132</v>
      </c>
      <c r="D22" s="2" t="s">
        <v>133</v>
      </c>
      <c r="E22" s="2" t="s">
        <v>80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81</v>
      </c>
    </row>
    <row r="23" customFormat="false" ht="12" hidden="false" customHeight="false" outlineLevel="0" collapsed="false">
      <c r="A23" s="28" t="n">
        <v>46553</v>
      </c>
      <c r="B23" s="2" t="s">
        <v>163</v>
      </c>
      <c r="D23" s="2" t="s">
        <v>164</v>
      </c>
      <c r="E23" s="2" t="s">
        <v>122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-258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123</v>
      </c>
    </row>
    <row r="24" customFormat="false" ht="12" hidden="false" customHeight="false" outlineLevel="0" collapsed="false">
      <c r="A24" s="28" t="n">
        <v>46553</v>
      </c>
      <c r="B24" s="2" t="s">
        <v>183</v>
      </c>
      <c r="C24" s="3" t="s">
        <v>245</v>
      </c>
      <c r="D24" s="2" t="s">
        <v>246</v>
      </c>
      <c r="E24" s="2" t="s">
        <v>186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-258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AK24" s="17" t="n">
        <v>600</v>
      </c>
      <c r="BZ24" s="2" t="s">
        <v>187</v>
      </c>
    </row>
    <row r="25" customFormat="false" ht="12" hidden="false" customHeight="false" outlineLevel="0" collapsed="false">
      <c r="A25" s="28" t="n">
        <v>46554</v>
      </c>
      <c r="B25" s="2" t="s">
        <v>170</v>
      </c>
      <c r="D25" s="2" t="s">
        <v>171</v>
      </c>
      <c r="E25" s="2" t="s">
        <v>80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-259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46556</v>
      </c>
      <c r="B26" s="2" t="s">
        <v>134</v>
      </c>
      <c r="D26" s="2" t="s">
        <v>105</v>
      </c>
      <c r="E26" s="2" t="s">
        <v>106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-261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107</v>
      </c>
    </row>
    <row r="27" customFormat="false" ht="12" hidden="false" customHeight="false" outlineLevel="0" collapsed="false">
      <c r="A27" s="28" t="n">
        <v>46558</v>
      </c>
      <c r="B27" s="2" t="s">
        <v>135</v>
      </c>
      <c r="D27" s="2" t="s">
        <v>136</v>
      </c>
      <c r="E27" s="2" t="s">
        <v>80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-263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81</v>
      </c>
    </row>
    <row r="28" customFormat="false" ht="12" hidden="false" customHeight="false" outlineLevel="0" collapsed="false">
      <c r="A28" s="28" t="n">
        <v>46558</v>
      </c>
      <c r="B28" s="2" t="s">
        <v>172</v>
      </c>
      <c r="D28" s="2" t="s">
        <v>173</v>
      </c>
      <c r="E28" s="2" t="s">
        <v>174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-263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175</v>
      </c>
    </row>
    <row r="29" customFormat="false" ht="12" hidden="false" customHeight="false" outlineLevel="0" collapsed="false">
      <c r="A29" s="28" t="n">
        <v>46558</v>
      </c>
      <c r="B29" s="2" t="s">
        <v>176</v>
      </c>
      <c r="D29" s="2" t="s">
        <v>177</v>
      </c>
      <c r="E29" s="2" t="s">
        <v>122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-263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123</v>
      </c>
    </row>
    <row r="30" customFormat="false" ht="12" hidden="false" customHeight="false" outlineLevel="0" collapsed="false">
      <c r="A30" s="28" t="n">
        <v>46559</v>
      </c>
      <c r="B30" s="2" t="s">
        <v>141</v>
      </c>
      <c r="D30" s="2" t="s">
        <v>142</v>
      </c>
      <c r="E30" s="2" t="s">
        <v>112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-264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113</v>
      </c>
    </row>
    <row r="31" customFormat="false" ht="12" hidden="false" customHeight="false" outlineLevel="0" collapsed="false">
      <c r="A31" s="28" t="n">
        <v>46560</v>
      </c>
      <c r="B31" s="2" t="s">
        <v>143</v>
      </c>
      <c r="D31" s="2" t="s">
        <v>144</v>
      </c>
      <c r="E31" s="2" t="s">
        <v>100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-265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46563</v>
      </c>
      <c r="B32" s="2" t="s">
        <v>145</v>
      </c>
      <c r="D32" s="2" t="s">
        <v>146</v>
      </c>
      <c r="E32" s="2" t="s">
        <v>100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-268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46563</v>
      </c>
      <c r="B33" s="2" t="s">
        <v>147</v>
      </c>
      <c r="D33" s="2" t="s">
        <v>196</v>
      </c>
      <c r="E33" s="2" t="s">
        <v>106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-268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46566</v>
      </c>
      <c r="B34" s="2" t="s">
        <v>20</v>
      </c>
      <c r="D34" s="2" t="s">
        <v>149</v>
      </c>
      <c r="E34" s="2" t="s">
        <v>106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-271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46568</v>
      </c>
      <c r="B35" s="2" t="s">
        <v>16</v>
      </c>
      <c r="D35" s="2" t="s">
        <v>150</v>
      </c>
      <c r="E35" s="2" t="s">
        <v>151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-273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152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46295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46569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-274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46569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-274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46569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-274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46569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-274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46569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-274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46569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-274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46571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46571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-276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46573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46573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46573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-278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46576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46578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46578</v>
      </c>
      <c r="B18" s="2" t="s">
        <v>181</v>
      </c>
      <c r="D18" s="2" t="s">
        <v>182</v>
      </c>
      <c r="E18" s="2" t="s">
        <v>80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-283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81</v>
      </c>
    </row>
    <row r="19" customFormat="false" ht="12" hidden="false" customHeight="false" outlineLevel="0" collapsed="false">
      <c r="A19" s="28" t="n">
        <v>46580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-285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46582</v>
      </c>
      <c r="B20" s="2" t="s">
        <v>126</v>
      </c>
      <c r="D20" s="2" t="s">
        <v>127</v>
      </c>
      <c r="E20" s="2" t="s">
        <v>100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-287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101</v>
      </c>
    </row>
    <row r="21" customFormat="false" ht="12" hidden="false" customHeight="false" outlineLevel="0" collapsed="false">
      <c r="A21" s="28" t="n">
        <v>46582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-287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46582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-287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46583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-288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46583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-288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46583</v>
      </c>
      <c r="B25" s="2" t="s">
        <v>247</v>
      </c>
      <c r="D25" s="2" t="s">
        <v>248</v>
      </c>
      <c r="E25" s="2" t="s">
        <v>249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-288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250</v>
      </c>
    </row>
    <row r="26" customFormat="false" ht="12" hidden="false" customHeight="false" outlineLevel="0" collapsed="false">
      <c r="A26" s="28" t="n">
        <v>46586</v>
      </c>
      <c r="B26" s="2" t="s">
        <v>190</v>
      </c>
      <c r="D26" s="2" t="s">
        <v>191</v>
      </c>
      <c r="E26" s="2" t="s">
        <v>122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-291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123</v>
      </c>
    </row>
    <row r="27" customFormat="false" ht="12" hidden="false" customHeight="false" outlineLevel="0" collapsed="false">
      <c r="A27" s="28" t="n">
        <v>46586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46588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-293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46589</v>
      </c>
      <c r="B29" s="2" t="s">
        <v>141</v>
      </c>
      <c r="D29" s="2" t="s">
        <v>142</v>
      </c>
      <c r="E29" s="2" t="s">
        <v>112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-294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113</v>
      </c>
    </row>
    <row r="30" customFormat="false" ht="12" hidden="false" customHeight="false" outlineLevel="0" collapsed="false">
      <c r="A30" s="28" t="n">
        <v>46590</v>
      </c>
      <c r="B30" s="2" t="s">
        <v>143</v>
      </c>
      <c r="D30" s="2" t="s">
        <v>144</v>
      </c>
      <c r="E30" s="2" t="s">
        <v>100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-295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101</v>
      </c>
    </row>
    <row r="31" customFormat="false" ht="12" hidden="false" customHeight="false" outlineLevel="0" collapsed="false">
      <c r="A31" s="28" t="n">
        <v>46593</v>
      </c>
      <c r="B31" s="2" t="s">
        <v>192</v>
      </c>
      <c r="D31" s="2" t="s">
        <v>193</v>
      </c>
      <c r="E31" s="2" t="s">
        <v>194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-298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195</v>
      </c>
    </row>
    <row r="32" customFormat="false" ht="12" hidden="false" customHeight="false" outlineLevel="0" collapsed="false">
      <c r="A32" s="28" t="n">
        <v>46593</v>
      </c>
      <c r="B32" s="2" t="s">
        <v>145</v>
      </c>
      <c r="D32" s="2" t="s">
        <v>146</v>
      </c>
      <c r="E32" s="2" t="s">
        <v>100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46593</v>
      </c>
      <c r="B33" s="2" t="s">
        <v>147</v>
      </c>
      <c r="D33" s="2" t="s">
        <v>251</v>
      </c>
      <c r="E33" s="2" t="s">
        <v>106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-298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46596</v>
      </c>
      <c r="B34" s="2" t="s">
        <v>20</v>
      </c>
      <c r="D34" s="2" t="s">
        <v>149</v>
      </c>
      <c r="E34" s="2" t="s">
        <v>106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-301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46599</v>
      </c>
      <c r="B35" s="2" t="s">
        <v>16</v>
      </c>
      <c r="D35" s="2" t="s">
        <v>150</v>
      </c>
      <c r="E35" s="2" t="s">
        <v>151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-304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152</v>
      </c>
    </row>
    <row r="36" customFormat="false" ht="12" hidden="false" customHeight="false" outlineLevel="0" collapsed="false">
      <c r="A36" s="28" t="n">
        <v>46599</v>
      </c>
      <c r="B36" s="2" t="s">
        <v>252</v>
      </c>
      <c r="D36" s="2" t="s">
        <v>253</v>
      </c>
      <c r="E36" s="2" t="s">
        <v>254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-304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255</v>
      </c>
    </row>
    <row r="37" customFormat="false" ht="12" hidden="false" customHeight="false" outlineLevel="0" collapsed="false">
      <c r="A37" s="28" t="n">
        <v>46599</v>
      </c>
      <c r="B37" s="2" t="s">
        <v>197</v>
      </c>
      <c r="C37" s="3" t="s">
        <v>256</v>
      </c>
      <c r="D37" s="2" t="s">
        <v>199</v>
      </c>
      <c r="E37" s="2" t="s">
        <v>151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-304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200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46295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46600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-305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46600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-305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46600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-305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46600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-305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46600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-305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46600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-305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46602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46602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46604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-309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46604</v>
      </c>
      <c r="B14" s="2" t="s">
        <v>208</v>
      </c>
      <c r="D14" s="2" t="s">
        <v>209</v>
      </c>
      <c r="E14" s="2" t="s">
        <v>161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-309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162</v>
      </c>
    </row>
    <row r="15" customFormat="false" ht="12" hidden="false" customHeight="false" outlineLevel="0" collapsed="false">
      <c r="A15" s="28" t="n">
        <v>46604</v>
      </c>
      <c r="B15" s="2" t="s">
        <v>104</v>
      </c>
      <c r="D15" s="2" t="s">
        <v>105</v>
      </c>
      <c r="E15" s="2" t="s">
        <v>106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-309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107</v>
      </c>
    </row>
    <row r="16" customFormat="false" ht="12" hidden="false" customHeight="false" outlineLevel="0" collapsed="false">
      <c r="A16" s="28" t="n">
        <v>46607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46607</v>
      </c>
      <c r="B17" s="2" t="s">
        <v>155</v>
      </c>
      <c r="D17" s="2" t="s">
        <v>156</v>
      </c>
      <c r="E17" s="2" t="s">
        <v>157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-312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158</v>
      </c>
    </row>
    <row r="18" customFormat="false" ht="12" hidden="false" customHeight="false" outlineLevel="0" collapsed="false">
      <c r="A18" s="28" t="n">
        <v>46609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46609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46609</v>
      </c>
      <c r="B20" s="2" t="s">
        <v>120</v>
      </c>
      <c r="D20" s="2" t="s">
        <v>121</v>
      </c>
      <c r="E20" s="2" t="s">
        <v>122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-314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46611</v>
      </c>
      <c r="B21" s="2" t="s">
        <v>124</v>
      </c>
      <c r="D21" s="2" t="s">
        <v>125</v>
      </c>
      <c r="E21" s="2" t="s">
        <v>106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46613</v>
      </c>
      <c r="B22" s="2" t="s">
        <v>128</v>
      </c>
      <c r="D22" s="2" t="s">
        <v>129</v>
      </c>
      <c r="E22" s="2" t="s">
        <v>112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46613</v>
      </c>
      <c r="B23" s="2" t="s">
        <v>130</v>
      </c>
      <c r="D23" s="2" t="s">
        <v>131</v>
      </c>
      <c r="E23" s="2" t="s">
        <v>112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46614</v>
      </c>
      <c r="B24" s="2" t="s">
        <v>20</v>
      </c>
      <c r="D24" s="2" t="s">
        <v>105</v>
      </c>
      <c r="E24" s="2" t="s">
        <v>106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107</v>
      </c>
    </row>
    <row r="25" customFormat="false" ht="12" hidden="false" customHeight="false" outlineLevel="0" collapsed="false">
      <c r="A25" s="28" t="n">
        <v>46614</v>
      </c>
      <c r="B25" s="2" t="s">
        <v>132</v>
      </c>
      <c r="D25" s="2" t="s">
        <v>133</v>
      </c>
      <c r="E25" s="2" t="s">
        <v>80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46615</v>
      </c>
      <c r="B26" s="2" t="s">
        <v>170</v>
      </c>
      <c r="D26" s="2" t="s">
        <v>171</v>
      </c>
      <c r="E26" s="2" t="s">
        <v>80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-320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46617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46619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46619</v>
      </c>
      <c r="B29" s="2" t="s">
        <v>215</v>
      </c>
      <c r="D29" s="2" t="s">
        <v>216</v>
      </c>
      <c r="E29" s="2" t="s">
        <v>174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-324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175</v>
      </c>
    </row>
    <row r="30" customFormat="false" ht="12" hidden="false" customHeight="false" outlineLevel="0" collapsed="false">
      <c r="A30" s="28" t="n">
        <v>46619</v>
      </c>
      <c r="B30" s="2" t="s">
        <v>137</v>
      </c>
      <c r="D30" s="2" t="s">
        <v>138</v>
      </c>
      <c r="E30" s="2" t="s">
        <v>139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-324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140</v>
      </c>
    </row>
    <row r="31" customFormat="false" ht="12" hidden="false" customHeight="false" outlineLevel="0" collapsed="false">
      <c r="A31" s="28" t="n">
        <v>46620</v>
      </c>
      <c r="B31" s="2" t="s">
        <v>141</v>
      </c>
      <c r="D31" s="2" t="s">
        <v>142</v>
      </c>
      <c r="E31" s="2" t="s">
        <v>112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-325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113</v>
      </c>
    </row>
    <row r="32" customFormat="false" ht="12" hidden="false" customHeight="false" outlineLevel="0" collapsed="false">
      <c r="A32" s="28" t="n">
        <v>46621</v>
      </c>
      <c r="B32" s="2" t="s">
        <v>143</v>
      </c>
      <c r="D32" s="2" t="s">
        <v>144</v>
      </c>
      <c r="E32" s="2" t="s">
        <v>100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-326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46621</v>
      </c>
      <c r="B33" s="2" t="s">
        <v>178</v>
      </c>
      <c r="D33" s="2" t="s">
        <v>179</v>
      </c>
      <c r="E33" s="2" t="s">
        <v>106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-326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46624</v>
      </c>
      <c r="B34" s="2" t="s">
        <v>145</v>
      </c>
      <c r="D34" s="2" t="s">
        <v>146</v>
      </c>
      <c r="E34" s="2" t="s">
        <v>100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46624</v>
      </c>
      <c r="B35" s="2" t="s">
        <v>147</v>
      </c>
      <c r="D35" s="2" t="s">
        <v>148</v>
      </c>
      <c r="E35" s="2" t="s">
        <v>106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-329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46627</v>
      </c>
      <c r="B36" s="2" t="s">
        <v>20</v>
      </c>
      <c r="D36" s="2" t="s">
        <v>149</v>
      </c>
      <c r="E36" s="2" t="s">
        <v>106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-332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46630</v>
      </c>
      <c r="B37" s="2" t="s">
        <v>16</v>
      </c>
      <c r="D37" s="2" t="s">
        <v>150</v>
      </c>
      <c r="E37" s="2" t="s">
        <v>151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-335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152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46295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46631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-336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46631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-336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46631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-336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46631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-336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46631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-336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46631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-336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46633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-338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46633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46635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-340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46635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46635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46636</v>
      </c>
      <c r="B16" s="2" t="s">
        <v>153</v>
      </c>
      <c r="D16" s="2" t="s">
        <v>154</v>
      </c>
      <c r="E16" s="2" t="s">
        <v>112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46638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46640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46642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-347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46642</v>
      </c>
      <c r="B20" s="2" t="s">
        <v>210</v>
      </c>
      <c r="D20" s="2" t="s">
        <v>211</v>
      </c>
      <c r="E20" s="2" t="s">
        <v>157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-347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158</v>
      </c>
    </row>
    <row r="21" customFormat="false" ht="12" hidden="false" customHeight="false" outlineLevel="0" collapsed="false">
      <c r="A21" s="28" t="n">
        <v>46644</v>
      </c>
      <c r="B21" s="2" t="s">
        <v>126</v>
      </c>
      <c r="D21" s="2" t="s">
        <v>127</v>
      </c>
      <c r="E21" s="2" t="s">
        <v>100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101</v>
      </c>
    </row>
    <row r="22" customFormat="false" ht="12" hidden="false" customHeight="false" outlineLevel="0" collapsed="false">
      <c r="A22" s="28" t="n">
        <v>46644</v>
      </c>
      <c r="B22" s="2" t="s">
        <v>128</v>
      </c>
      <c r="D22" s="2" t="s">
        <v>129</v>
      </c>
      <c r="E22" s="2" t="s">
        <v>112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46644</v>
      </c>
      <c r="B23" s="2" t="s">
        <v>130</v>
      </c>
      <c r="D23" s="2" t="s">
        <v>131</v>
      </c>
      <c r="E23" s="2" t="s">
        <v>112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46645</v>
      </c>
      <c r="B24" s="2" t="s">
        <v>20</v>
      </c>
      <c r="D24" s="2" t="s">
        <v>105</v>
      </c>
      <c r="E24" s="2" t="s">
        <v>106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-350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107</v>
      </c>
    </row>
    <row r="25" customFormat="false" ht="12" hidden="false" customHeight="false" outlineLevel="0" collapsed="false">
      <c r="A25" s="28" t="n">
        <v>46645</v>
      </c>
      <c r="B25" s="2" t="s">
        <v>132</v>
      </c>
      <c r="D25" s="2" t="s">
        <v>133</v>
      </c>
      <c r="E25" s="2" t="s">
        <v>80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-350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46645</v>
      </c>
      <c r="B26" s="2" t="s">
        <v>163</v>
      </c>
      <c r="D26" s="2" t="s">
        <v>164</v>
      </c>
      <c r="E26" s="2" t="s">
        <v>122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-350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123</v>
      </c>
    </row>
    <row r="27" customFormat="false" ht="12" hidden="false" customHeight="false" outlineLevel="0" collapsed="false">
      <c r="A27" s="28" t="n">
        <v>46648</v>
      </c>
      <c r="B27" s="2" t="s">
        <v>218</v>
      </c>
      <c r="D27" s="2" t="s">
        <v>257</v>
      </c>
      <c r="E27" s="2" t="s">
        <v>139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-353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140</v>
      </c>
    </row>
    <row r="28" customFormat="false" ht="12" hidden="false" customHeight="false" outlineLevel="0" collapsed="false">
      <c r="A28" s="28" t="n">
        <v>46648</v>
      </c>
      <c r="B28" s="2" t="s">
        <v>188</v>
      </c>
      <c r="D28" s="2" t="s">
        <v>258</v>
      </c>
      <c r="E28" s="2" t="s">
        <v>112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-353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113</v>
      </c>
    </row>
    <row r="29" customFormat="false" ht="12" hidden="false" customHeight="false" outlineLevel="0" collapsed="false">
      <c r="A29" s="28" t="n">
        <v>46648</v>
      </c>
      <c r="B29" s="2" t="s">
        <v>134</v>
      </c>
      <c r="D29" s="2" t="s">
        <v>105</v>
      </c>
      <c r="E29" s="2" t="s">
        <v>106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-353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107</v>
      </c>
    </row>
    <row r="30" customFormat="false" ht="12" hidden="false" customHeight="false" outlineLevel="0" collapsed="false">
      <c r="A30" s="28" t="n">
        <v>46650</v>
      </c>
      <c r="B30" s="2" t="s">
        <v>135</v>
      </c>
      <c r="D30" s="2" t="s">
        <v>136</v>
      </c>
      <c r="E30" s="2" t="s">
        <v>80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-355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81</v>
      </c>
    </row>
    <row r="31" customFormat="false" ht="12" hidden="false" customHeight="false" outlineLevel="0" collapsed="false">
      <c r="A31" s="28" t="n">
        <v>46650</v>
      </c>
      <c r="B31" s="2" t="s">
        <v>176</v>
      </c>
      <c r="D31" s="2" t="s">
        <v>177</v>
      </c>
      <c r="E31" s="2" t="s">
        <v>122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-355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123</v>
      </c>
    </row>
    <row r="32" customFormat="false" ht="12" hidden="false" customHeight="false" outlineLevel="0" collapsed="false">
      <c r="A32" s="28" t="n">
        <v>46651</v>
      </c>
      <c r="B32" s="2" t="s">
        <v>141</v>
      </c>
      <c r="D32" s="2" t="s">
        <v>142</v>
      </c>
      <c r="E32" s="2" t="s">
        <v>112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-356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113</v>
      </c>
    </row>
    <row r="33" customFormat="false" ht="12" hidden="false" customHeight="false" outlineLevel="0" collapsed="false">
      <c r="A33" s="28" t="n">
        <v>46652</v>
      </c>
      <c r="B33" s="2" t="s">
        <v>143</v>
      </c>
      <c r="D33" s="2" t="s">
        <v>144</v>
      </c>
      <c r="E33" s="2" t="s">
        <v>100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-357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46655</v>
      </c>
      <c r="B34" s="2" t="s">
        <v>145</v>
      </c>
      <c r="D34" s="2" t="s">
        <v>146</v>
      </c>
      <c r="E34" s="2" t="s">
        <v>100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46655</v>
      </c>
      <c r="B35" s="2" t="s">
        <v>147</v>
      </c>
      <c r="D35" s="2" t="s">
        <v>259</v>
      </c>
      <c r="E35" s="2" t="s">
        <v>106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-360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46658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-363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46658</v>
      </c>
      <c r="B37" s="2" t="s">
        <v>20</v>
      </c>
      <c r="D37" s="2" t="s">
        <v>149</v>
      </c>
      <c r="E37" s="2" t="s">
        <v>106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-363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107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46295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49" t="n">
        <f aca="false">Nov!AI1+Dec!AI1+Jan!AI1+Feb!AI1+Mar!AI1+Apr!AI1+May!AI1+Jun!AI1+Jul!AI1+Aug!AI1+Sep!AI1+Oct!AI1</f>
        <v>52500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49" t="s">
        <v>42</v>
      </c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46661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-366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46661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-366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46661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-366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46661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-366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46661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-366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46661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-366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46663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-368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46663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46665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-370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46665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-370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46668</v>
      </c>
      <c r="B15" s="2" t="s">
        <v>110</v>
      </c>
      <c r="D15" s="2" t="s">
        <v>111</v>
      </c>
      <c r="E15" s="2" t="s">
        <v>112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46670</v>
      </c>
      <c r="B16" s="2" t="s">
        <v>114</v>
      </c>
      <c r="D16" s="2" t="s">
        <v>115</v>
      </c>
      <c r="E16" s="2" t="s">
        <v>100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101</v>
      </c>
    </row>
    <row r="17" customFormat="false" ht="12" hidden="false" customHeight="false" outlineLevel="0" collapsed="false">
      <c r="A17" s="28" t="n">
        <v>46670</v>
      </c>
      <c r="B17" s="2" t="s">
        <v>132</v>
      </c>
      <c r="D17" s="2" t="s">
        <v>228</v>
      </c>
      <c r="E17" s="2" t="s">
        <v>174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175</v>
      </c>
    </row>
    <row r="18" customFormat="false" ht="12" hidden="false" customHeight="false" outlineLevel="0" collapsed="false">
      <c r="A18" s="28" t="n">
        <v>46672</v>
      </c>
      <c r="B18" s="2" t="s">
        <v>124</v>
      </c>
      <c r="D18" s="2" t="s">
        <v>125</v>
      </c>
      <c r="E18" s="2" t="s">
        <v>106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-377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107</v>
      </c>
    </row>
    <row r="19" customFormat="false" ht="12" hidden="false" customHeight="false" outlineLevel="0" collapsed="false">
      <c r="A19" s="28" t="n">
        <v>46674</v>
      </c>
      <c r="B19" s="2" t="s">
        <v>128</v>
      </c>
      <c r="D19" s="2" t="s">
        <v>129</v>
      </c>
      <c r="E19" s="2" t="s">
        <v>112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-379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113</v>
      </c>
    </row>
    <row r="20" customFormat="false" ht="12" hidden="false" customHeight="false" outlineLevel="0" collapsed="false">
      <c r="A20" s="28" t="n">
        <v>46674</v>
      </c>
      <c r="B20" s="2" t="s">
        <v>130</v>
      </c>
      <c r="D20" s="2" t="s">
        <v>131</v>
      </c>
      <c r="E20" s="2" t="s">
        <v>112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-379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113</v>
      </c>
    </row>
    <row r="21" customFormat="false" ht="12" hidden="false" customHeight="false" outlineLevel="0" collapsed="false">
      <c r="A21" s="28" t="n">
        <v>46675</v>
      </c>
      <c r="B21" s="2" t="s">
        <v>20</v>
      </c>
      <c r="D21" s="2" t="s">
        <v>105</v>
      </c>
      <c r="E21" s="2" t="s">
        <v>106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-380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46675</v>
      </c>
      <c r="B22" s="2" t="s">
        <v>132</v>
      </c>
      <c r="D22" s="2" t="s">
        <v>133</v>
      </c>
      <c r="E22" s="2" t="s">
        <v>80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-380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81</v>
      </c>
    </row>
    <row r="23" customFormat="false" ht="12" hidden="false" customHeight="false" outlineLevel="0" collapsed="false">
      <c r="A23" s="28" t="n">
        <v>46676</v>
      </c>
      <c r="B23" s="2" t="s">
        <v>170</v>
      </c>
      <c r="D23" s="2" t="s">
        <v>171</v>
      </c>
      <c r="E23" s="2" t="s">
        <v>80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-381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81</v>
      </c>
    </row>
    <row r="24" customFormat="false" ht="12" hidden="false" customHeight="false" outlineLevel="0" collapsed="false">
      <c r="A24" s="28" t="n">
        <v>46678</v>
      </c>
      <c r="B24" s="2" t="s">
        <v>190</v>
      </c>
      <c r="D24" s="2" t="s">
        <v>191</v>
      </c>
      <c r="E24" s="2" t="s">
        <v>122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-383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123</v>
      </c>
    </row>
    <row r="25" customFormat="false" ht="12" hidden="false" customHeight="false" outlineLevel="0" collapsed="false">
      <c r="A25" s="28" t="n">
        <v>46678</v>
      </c>
      <c r="B25" s="2" t="s">
        <v>134</v>
      </c>
      <c r="D25" s="2" t="s">
        <v>105</v>
      </c>
      <c r="E25" s="2" t="s">
        <v>106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-383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107</v>
      </c>
    </row>
    <row r="26" customFormat="false" ht="12" hidden="false" customHeight="false" outlineLevel="0" collapsed="false">
      <c r="A26" s="28" t="n">
        <v>46680</v>
      </c>
      <c r="B26" s="2" t="s">
        <v>135</v>
      </c>
      <c r="D26" s="2" t="s">
        <v>136</v>
      </c>
      <c r="E26" s="2" t="s">
        <v>80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-385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46681</v>
      </c>
      <c r="B27" s="2" t="s">
        <v>141</v>
      </c>
      <c r="D27" s="2" t="s">
        <v>142</v>
      </c>
      <c r="E27" s="2" t="s">
        <v>112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-386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113</v>
      </c>
    </row>
    <row r="28" customFormat="false" ht="12" hidden="false" customHeight="false" outlineLevel="0" collapsed="false">
      <c r="A28" s="28" t="n">
        <v>46682</v>
      </c>
      <c r="B28" s="2" t="s">
        <v>143</v>
      </c>
      <c r="D28" s="2" t="s">
        <v>144</v>
      </c>
      <c r="E28" s="2" t="s">
        <v>100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-387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101</v>
      </c>
    </row>
    <row r="29" customFormat="false" ht="12" hidden="false" customHeight="false" outlineLevel="0" collapsed="false">
      <c r="A29" s="28" t="n">
        <v>46682</v>
      </c>
      <c r="B29" s="2" t="s">
        <v>178</v>
      </c>
      <c r="D29" s="2" t="s">
        <v>179</v>
      </c>
      <c r="E29" s="2" t="s">
        <v>106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-387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107</v>
      </c>
    </row>
    <row r="30" customFormat="false" ht="12" hidden="false" customHeight="false" outlineLevel="0" collapsed="false">
      <c r="A30" s="28" t="n">
        <v>46685</v>
      </c>
      <c r="B30" s="2" t="s">
        <v>192</v>
      </c>
      <c r="D30" s="2" t="s">
        <v>193</v>
      </c>
      <c r="E30" s="2" t="s">
        <v>194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-390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195</v>
      </c>
    </row>
    <row r="31" customFormat="false" ht="12" hidden="false" customHeight="false" outlineLevel="0" collapsed="false">
      <c r="A31" s="28" t="n">
        <v>46685</v>
      </c>
      <c r="B31" s="2" t="s">
        <v>145</v>
      </c>
      <c r="D31" s="2" t="s">
        <v>146</v>
      </c>
      <c r="E31" s="2" t="s">
        <v>100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-390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46685</v>
      </c>
      <c r="B32" s="2" t="s">
        <v>147</v>
      </c>
      <c r="D32" s="2" t="s">
        <v>251</v>
      </c>
      <c r="E32" s="2" t="s">
        <v>106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-390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107</v>
      </c>
    </row>
    <row r="33" customFormat="false" ht="12" hidden="false" customHeight="false" outlineLevel="0" collapsed="false">
      <c r="A33" s="28" t="n">
        <v>46688</v>
      </c>
      <c r="B33" s="2" t="s">
        <v>20</v>
      </c>
      <c r="D33" s="2" t="s">
        <v>149</v>
      </c>
      <c r="E33" s="2" t="s">
        <v>106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-393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46691</v>
      </c>
      <c r="B34" s="2" t="s">
        <v>16</v>
      </c>
      <c r="D34" s="2" t="s">
        <v>150</v>
      </c>
      <c r="E34" s="2" t="s">
        <v>151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-396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152</v>
      </c>
    </row>
    <row r="35" customFormat="false" ht="12" hidden="false" customHeight="false" outlineLevel="0" collapsed="false">
      <c r="A35" s="28" t="n">
        <v>46691</v>
      </c>
      <c r="B35" s="2" t="s">
        <v>197</v>
      </c>
      <c r="C35" s="3" t="s">
        <v>260</v>
      </c>
      <c r="D35" s="2" t="s">
        <v>199</v>
      </c>
      <c r="E35" s="2" t="s">
        <v>151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-396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200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customFormat="false" ht="12.75" hidden="false" customHeight="true" outlineLevel="0" collapsed="false">
      <c r="A1" s="9" t="s">
        <v>261</v>
      </c>
      <c r="B1" s="9"/>
      <c r="C1" s="10" t="n">
        <f aca="false">-SUM([1]TrialBalance!$EJ$28:$EJ$31)</f>
        <v>11182.25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46295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/>
      <c r="B5" s="5" t="s">
        <v>14</v>
      </c>
      <c r="C5" s="29" t="s">
        <v>262</v>
      </c>
      <c r="D5" s="5"/>
      <c r="E5" s="2"/>
      <c r="F5" s="30"/>
      <c r="G5" s="6" t="str">
        <f aca="false">IF(F5&lt;&gt;0,F5*G$2/(100+G$2)," ")</f>
        <v> </v>
      </c>
      <c r="H5" s="6" t="n">
        <v>1200</v>
      </c>
      <c r="I5" s="5"/>
      <c r="L5" s="7" t="str">
        <f aca="false">IF(F5&lt;&gt;0,F5-K5," ")</f>
        <v> </v>
      </c>
      <c r="M5" s="8" t="str">
        <f aca="false">IF((F5-K5)&lt;&gt;0,M$1-A5," ")</f>
        <v> 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/>
      <c r="B6" s="2" t="s">
        <v>16</v>
      </c>
      <c r="C6" s="3" t="s">
        <v>263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135</v>
      </c>
      <c r="C7" s="3" t="s">
        <v>264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265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