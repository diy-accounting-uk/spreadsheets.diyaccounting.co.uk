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<sst xmlns="http://schemas.openxmlformats.org/spreadsheetml/2006/main" count="1586" uniqueCount="154">
  <si>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</si>
  <si>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</si>
  <si>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</si>
  <si>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</si>
  <si>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</si>
  <si>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</si>
  <si>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</si>
  <si>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</si>
  <si>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</si>
  <si>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</si>
  <si>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</si>
  <si>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</si>
  <si>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</si>
  <si>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</si>
  <si>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</si>
  <si>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</si>
  <si>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</si>
  <si>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</si>
  <si>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</si>
  <si>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</si>
  <si>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</si>
  <si>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</si>
  <si>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</si>
  <si>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</si>
  <si>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</si>
  <si>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</si>
  <si>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</si>
  <si>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</si>
  <si>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</si>
  <si>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</si>
  <si>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</si>
  <si>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</si>
  <si>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</si>
  <si>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</si>
  <si>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</si>
  <si>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</si>
  <si>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</si>
  <si>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</si>
  <si>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</si>
  <si>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</si>
  <si>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</si>
  <si>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</si>
  <si>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</si>
  <si>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</si>
  <si>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</si>
  <si>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</si>
  <si>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</si>
  <si>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</si>
  <si>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</si>
  <si>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</si>
  <si>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</si>
  <si>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</si>
  <si>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</si>
  <si>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</si>
  <si>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</si>
  <si>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</si>
  <si>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</si>
  <si>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</si>
  <si>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</si>
  <si>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</si>
  <si>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</si>
  <si>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</si>
  <si>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</si>
  <si>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</si>
  <si>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</si>
  <si>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</si>
  <si>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</si>
  <si>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</si>
  <si>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</si>
  <si>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</si>
  <si>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</si>
  <si>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</si>
  <si>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</si>
  <si>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</si>
  <si>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</si>
  <si>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</si>
  <si>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</si>
  <si>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</si>
  <si>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</si>
  <si>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</si>
  <si>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</si>
  <si>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</si>
  <si>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</si>
  <si>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</si>
  <si>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</si>
  <si>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</si>
  <si>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</si>
  <si>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</si>
  <si>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</si>
  <si>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</si>
  <si>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</si>
  <si>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</si>
  <si>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</si>
  <si>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</si>
  <si>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</si>
  <si>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</si>
  <si>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</si>
  <si>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</si>
  <si>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</si>
  <si>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</si>
  <si>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</si>
  <si>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</si>
  <si>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</si>
  <si>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</si>
  <si>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</si>
  <si>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</si>
  <si>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</si>
  <si>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</si>
  <si>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</si>
  <si>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</si>
  <si>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</si>
  <si>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Directors loan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</si>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</sst>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5536.25</v>
      </c>
      <c r="G1" s="12" t="n">
        <f aca="false">SUM(G5:G300)</f>
        <v>0</v>
      </c>
      <c r="H1" s="12" t="n">
        <f aca="false">SUM(H5:H300)</f>
        <v>5536.25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5536.25</v>
      </c>
      <c r="M1" s="16" t="n">
        <f aca="true">TODAY()</f>
        <v>46261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725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330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330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330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330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330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330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323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321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321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321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313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310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303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301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46296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-35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46296</v>
      </c>
      <c r="B37" s="2" t="s">
        <v>111</v>
      </c>
      <c r="E37" s="5" t="s">
        <v>110</v>
      </c>
      <c r="F37" s="46" t="n">
        <v>125</v>
      </c>
      <c r="H37" s="6" t="n">
        <f aca="false">IF((F37&lt;&gt;0),F37-G37," ")</f>
        <v>125</v>
      </c>
      <c r="I37" s="5"/>
      <c r="L37" s="7" t="n">
        <f aca="false">IF(F37&lt;&gt;0,F37-K37," ")</f>
        <v>125</v>
      </c>
      <c r="M37" s="8" t="n">
        <f aca="false">IF((F37-K37)&lt;&gt;0,M$1-A37," ")</f>
        <v>-35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125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6075</v>
      </c>
      <c r="G1" s="12" t="n">
        <f aca="false">SUM(G5:G300)</f>
        <v>0</v>
      </c>
      <c r="H1" s="12" t="n">
        <f aca="false">SUM(H5:H300)</f>
        <v>6075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6075</v>
      </c>
      <c r="M1" s="16" t="n">
        <f aca="true">TODAY()</f>
        <v>46261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112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292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113</v>
      </c>
      <c r="E17" s="5" t="s">
        <v>114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292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115</v>
      </c>
      <c r="E19" s="5" t="s">
        <v>116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290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117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285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118</v>
      </c>
      <c r="E26" s="5" t="s">
        <v>119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45977</v>
      </c>
      <c r="B27" s="2" t="s">
        <v>120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282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280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121</v>
      </c>
      <c r="E30" s="5" t="s">
        <v>122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280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280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124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272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9357</v>
      </c>
      <c r="G1" s="12" t="n">
        <f aca="false">SUM(G5:G300)</f>
        <v>0</v>
      </c>
      <c r="H1" s="12" t="n">
        <f aca="false">SUM(H5:H300)</f>
        <v>9357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9357</v>
      </c>
      <c r="M1" s="16" t="n">
        <f aca="true">TODAY()</f>
        <v>46261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850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269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269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269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269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269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269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269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267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267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265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265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265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262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260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125</v>
      </c>
      <c r="E19" s="5" t="s">
        <v>75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260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n">
        <f aca="false">IF((E19="g"),H19," ")</f>
        <v>96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258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98</v>
      </c>
      <c r="E21" s="5" t="s">
        <v>85</v>
      </c>
      <c r="F21" s="46" t="n">
        <v>30</v>
      </c>
      <c r="H21" s="6" t="n">
        <f aca="false">IF((F21&lt;&gt;0),F21-G21," ")</f>
        <v>30</v>
      </c>
      <c r="I21" s="5"/>
      <c r="L21" s="7" t="n">
        <f aca="false">IF(F21&lt;&gt;0,F21-K21," ")</f>
        <v>30</v>
      </c>
      <c r="M21" s="8" t="n">
        <f aca="false">IF((F21-K21)&lt;&gt;0,M$1-A21," ")</f>
        <v>256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30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256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256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255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255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126</v>
      </c>
      <c r="E26" s="5" t="s">
        <v>127</v>
      </c>
      <c r="F26" s="46" t="n">
        <v>5000</v>
      </c>
      <c r="H26" s="6" t="n">
        <f aca="false">IF((F26&lt;&gt;0),F26-G26," ")</f>
        <v>5000</v>
      </c>
      <c r="I26" s="5"/>
      <c r="L26" s="7" t="n">
        <f aca="false">IF(F26&lt;&gt;0,F26-K26," ")</f>
        <v>5000</v>
      </c>
      <c r="M26" s="8" t="n">
        <f aca="false">IF((F26-K26)&lt;&gt;0,M$1-A26," ")</f>
        <v>255</v>
      </c>
      <c r="N26" s="5"/>
      <c r="O26" s="17" t="str">
        <f aca="false">IF((E26="s"),H26," ")</f>
        <v> </v>
      </c>
      <c r="P26" s="17" t="n">
        <f aca="false">IF((E26="c"),H26," ")</f>
        <v>5000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5" t="s">
        <v>91</v>
      </c>
      <c r="F27" s="46" t="n">
        <v>180</v>
      </c>
      <c r="H27" s="6" t="n">
        <f aca="false">IF((F27&lt;&gt;0),F27-G27," ")</f>
        <v>180</v>
      </c>
      <c r="I27" s="5"/>
      <c r="L27" s="7" t="n">
        <f aca="false">IF(F27&lt;&gt;0,F27-K27," ")</f>
        <v>180</v>
      </c>
      <c r="M27" s="8" t="n">
        <f aca="false">IF((F27-K27)&lt;&gt;0,M$1-A27," ")</f>
        <v>252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180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129</v>
      </c>
      <c r="E28" s="5" t="s">
        <v>96</v>
      </c>
      <c r="F28" s="46" t="n">
        <v>360</v>
      </c>
      <c r="H28" s="6" t="n">
        <f aca="false">IF((F28&lt;&gt;0),F28-G28," ")</f>
        <v>360</v>
      </c>
      <c r="I28" s="5"/>
      <c r="L28" s="7" t="n">
        <f aca="false">IF(F28&lt;&gt;0,F28-K28," ")</f>
        <v>360</v>
      </c>
      <c r="M28" s="8" t="n">
        <f aca="false">IF((F28-K28)&lt;&gt;0,M$1-A28," ")</f>
        <v>252</v>
      </c>
      <c r="N28" s="5"/>
      <c r="O28" s="17" t="n">
        <f aca="false">IF((E28="s"),H28," ")</f>
        <v>360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252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46011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250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46012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249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46013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248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130</v>
      </c>
      <c r="E33" s="5" t="s">
        <v>131</v>
      </c>
      <c r="F33" s="46" t="n">
        <v>360</v>
      </c>
      <c r="H33" s="6" t="n">
        <f aca="false">IF((F33&lt;&gt;0),F33-G33," ")</f>
        <v>360</v>
      </c>
      <c r="I33" s="5"/>
      <c r="L33" s="7" t="n">
        <f aca="false">IF(F33&lt;&gt;0,F33-K33," ")</f>
        <v>360</v>
      </c>
      <c r="M33" s="8" t="n">
        <f aca="false">IF((F33-K33)&lt;&gt;0,M$1-A33," ")</f>
        <v>245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360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245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109</v>
      </c>
      <c r="E35" s="5" t="s">
        <v>88</v>
      </c>
      <c r="F35" s="46" t="n">
        <v>90</v>
      </c>
      <c r="H35" s="6" t="n">
        <f aca="false">IF((F35&lt;&gt;0),F35-G35," ")</f>
        <v>90</v>
      </c>
      <c r="I35" s="5"/>
      <c r="L35" s="7" t="n">
        <f aca="false">IF(F35&lt;&gt;0,F35-K35," ")</f>
        <v>90</v>
      </c>
      <c r="M35" s="8" t="n">
        <f aca="false">IF((F35-K35)&lt;&gt;0,M$1-A35," ")</f>
        <v>245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90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242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240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46021</v>
      </c>
      <c r="B38" s="2" t="s">
        <v>111</v>
      </c>
      <c r="E38" s="5" t="s">
        <v>110</v>
      </c>
      <c r="F38" s="46" t="n">
        <v>250</v>
      </c>
      <c r="H38" s="6" t="n">
        <f aca="false">IF((F38&lt;&gt;0),F38-G38," ")</f>
        <v>250</v>
      </c>
      <c r="I38" s="5"/>
      <c r="L38" s="7" t="n">
        <f aca="false">IF(F38&lt;&gt;0,F38-K38," ")</f>
        <v>250</v>
      </c>
      <c r="M38" s="8" t="n">
        <f aca="false">IF((F38-K38)&lt;&gt;0,M$1-A38," ")</f>
        <v>240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9059.25</v>
      </c>
      <c r="G1" s="12" t="n">
        <f aca="false">SUM(G5:G300)</f>
        <v>0</v>
      </c>
      <c r="H1" s="12" t="n">
        <f aca="false">SUM(H5:H300)</f>
        <v>9059.25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46261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134</v>
      </c>
      <c r="E15" s="5" t="s">
        <v>116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231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229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135</v>
      </c>
      <c r="E22" s="5" t="s">
        <v>114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136</v>
      </c>
      <c r="E27" s="5" t="s">
        <v>119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46038</v>
      </c>
      <c r="B28" s="2" t="s">
        <v>120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223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221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137</v>
      </c>
      <c r="E31" s="5" t="s">
        <v>122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211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208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4105.25</v>
      </c>
      <c r="G1" s="12" t="n">
        <f aca="false">SUM(G5:G300)</f>
        <v>0</v>
      </c>
      <c r="H1" s="12" t="n">
        <f aca="false">SUM(H5:H300)</f>
        <v>4105.25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4105.25</v>
      </c>
      <c r="M1" s="16" t="n">
        <f aca="true">TODAY()</f>
        <v>46261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207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207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207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207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207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205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205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203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203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203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112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202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198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196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48</v>
      </c>
      <c r="H20" s="6" t="n">
        <f aca="false">IF((F20&lt;&gt;0),F20-G20," ")</f>
        <v>48</v>
      </c>
      <c r="I20" s="5"/>
      <c r="L20" s="7" t="n">
        <f aca="false">IF(F20&lt;&gt;0,F20-K20," ")</f>
        <v>48</v>
      </c>
      <c r="M20" s="8" t="n">
        <f aca="false">IF((F20-K20)&lt;&gt;0,M$1-A20," ")</f>
        <v>194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48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194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194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193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193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117</v>
      </c>
      <c r="E25" s="5" t="s">
        <v>96</v>
      </c>
      <c r="F25" s="46" t="n">
        <v>360</v>
      </c>
      <c r="H25" s="6" t="n">
        <f aca="false">IF((F25&lt;&gt;0),F25-G25," ")</f>
        <v>360</v>
      </c>
      <c r="I25" s="5"/>
      <c r="L25" s="7" t="n">
        <f aca="false">IF(F25&lt;&gt;0,F25-K25," ")</f>
        <v>360</v>
      </c>
      <c r="M25" s="8" t="n">
        <f aca="false">IF((F25-K25)&lt;&gt;0,M$1-A25," ")</f>
        <v>193</v>
      </c>
      <c r="N25" s="5"/>
      <c r="O25" s="17" t="n">
        <f aca="false">IF((E25="s"),H25," ")</f>
        <v>360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138</v>
      </c>
      <c r="E26" s="5" t="s">
        <v>105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190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240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190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188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139</v>
      </c>
      <c r="E29" s="5" t="s">
        <v>140</v>
      </c>
      <c r="F29" s="46" t="n">
        <v>800</v>
      </c>
      <c r="H29" s="6" t="n">
        <f aca="false">IF((F29&lt;&gt;0),F29-G29," ")</f>
        <v>800</v>
      </c>
      <c r="I29" s="5"/>
      <c r="L29" s="7" t="n">
        <f aca="false">IF(F29&lt;&gt;0,F29-K29," ")</f>
        <v>800</v>
      </c>
      <c r="M29" s="8" t="n">
        <f aca="false">IF((F29-K29)&lt;&gt;0,M$1-A29," ")</f>
        <v>188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800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123</v>
      </c>
      <c r="E30" s="5" t="s">
        <v>96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188</v>
      </c>
      <c r="N30" s="5"/>
      <c r="O30" s="17" t="n">
        <f aca="false">IF((E30="s"),H30," ")</f>
        <v>180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187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186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183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5" t="s">
        <v>88</v>
      </c>
      <c r="F34" s="46" t="n">
        <v>38.25</v>
      </c>
      <c r="H34" s="6" t="n">
        <f aca="false">IF((F34&lt;&gt;0),F34-G34," ")</f>
        <v>38.25</v>
      </c>
      <c r="I34" s="5"/>
      <c r="L34" s="7" t="n">
        <f aca="false">IF(F34&lt;&gt;0,F34-K34," ")</f>
        <v>38.25</v>
      </c>
      <c r="M34" s="8" t="n">
        <f aca="false">IF((F34-K34)&lt;&gt;0,M$1-A34," ")</f>
        <v>183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38.25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180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5275</v>
      </c>
      <c r="G1" s="12" t="n">
        <f aca="false">SUM(G5:G300)</f>
        <v>0</v>
      </c>
      <c r="H1" s="12" t="n">
        <f aca="false">SUM(H5:H300)</f>
        <v>5275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5275</v>
      </c>
      <c r="M1" s="16" t="n">
        <f aca="true">TODAY()</f>
        <v>46261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1768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177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179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179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179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179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179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179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177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177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175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175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172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46089</v>
      </c>
      <c r="B17" s="2" t="s">
        <v>113</v>
      </c>
      <c r="E17" s="5" t="s">
        <v>114</v>
      </c>
      <c r="F17" s="46" t="n">
        <v>360</v>
      </c>
      <c r="H17" s="6" t="n">
        <f aca="false">IF((F17&lt;&gt;0),F17-G17," ")</f>
        <v>360</v>
      </c>
      <c r="I17" s="5"/>
      <c r="L17" s="7" t="n">
        <f aca="false">IF(F17&lt;&gt;0,F17-K17," ")</f>
        <v>360</v>
      </c>
      <c r="M17" s="8" t="n">
        <f aca="false">IF((F17-K17)&lt;&gt;0,M$1-A17," ")</f>
        <v>172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360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170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46091</v>
      </c>
      <c r="B19" s="2" t="s">
        <v>101</v>
      </c>
      <c r="E19" s="5" t="s">
        <v>122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170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n">
        <f aca="false">IF((E19="t"),H19," ")</f>
        <v>96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166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166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165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165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46096</v>
      </c>
      <c r="B25" s="2" t="s">
        <v>141</v>
      </c>
      <c r="E25" s="5" t="s">
        <v>110</v>
      </c>
      <c r="F25" s="46" t="n">
        <v>960</v>
      </c>
      <c r="H25" s="6" t="n">
        <f aca="false">IF((F25&lt;&gt;0),F25-G25," ")</f>
        <v>960</v>
      </c>
      <c r="I25" s="5"/>
      <c r="L25" s="7" t="n">
        <f aca="false">IF(F25&lt;&gt;0,F25-K25," ")</f>
        <v>960</v>
      </c>
      <c r="M25" s="8" t="n">
        <f aca="false">IF((F25-K25)&lt;&gt;0,M$1-A25," ")</f>
        <v>165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n">
        <f aca="false">IF((E25="l"),H25," ")</f>
        <v>960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46097</v>
      </c>
      <c r="B26" s="2" t="s">
        <v>120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164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129</v>
      </c>
      <c r="E27" s="5" t="s">
        <v>96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162</v>
      </c>
      <c r="N27" s="5"/>
      <c r="O27" s="17" t="n">
        <f aca="false">IF((E27="s"),H27," ")</f>
        <v>240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160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159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158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46103</v>
      </c>
      <c r="B32" s="2" t="s">
        <v>124</v>
      </c>
      <c r="E32" s="5" t="s">
        <v>88</v>
      </c>
      <c r="F32" s="46" t="n">
        <v>72</v>
      </c>
      <c r="H32" s="6" t="n">
        <f aca="false">IF((F32&lt;&gt;0),F32-G32," ")</f>
        <v>72</v>
      </c>
      <c r="I32" s="5"/>
      <c r="L32" s="7" t="n">
        <f aca="false">IF(F32&lt;&gt;0,F32-K32," ")</f>
        <v>72</v>
      </c>
      <c r="M32" s="8" t="n">
        <f aca="false">IF((F32-K32)&lt;&gt;0,M$1-A32," ")</f>
        <v>158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72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130</v>
      </c>
      <c r="E33" s="5" t="s">
        <v>131</v>
      </c>
      <c r="F33" s="46" t="n">
        <v>300</v>
      </c>
      <c r="H33" s="6" t="n">
        <f aca="false">IF((F33&lt;&gt;0),F33-G33," ")</f>
        <v>300</v>
      </c>
      <c r="I33" s="5"/>
      <c r="L33" s="7" t="n">
        <f aca="false">IF(F33&lt;&gt;0,F33-K33," ")</f>
        <v>300</v>
      </c>
      <c r="M33" s="8" t="n">
        <f aca="false">IF((F33-K33)&lt;&gt;0,M$1-A33," ")</f>
        <v>155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300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155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46106</v>
      </c>
      <c r="B35" s="2" t="s">
        <v>109</v>
      </c>
      <c r="E35" s="5" t="s">
        <v>88</v>
      </c>
      <c r="F35" s="46" t="n">
        <v>72</v>
      </c>
      <c r="H35" s="6" t="n">
        <f aca="false">IF((F35&lt;&gt;0),F35-G35," ")</f>
        <v>72</v>
      </c>
      <c r="I35" s="5"/>
      <c r="L35" s="7" t="n">
        <f aca="false">IF(F35&lt;&gt;0,F35-K35," ")</f>
        <v>72</v>
      </c>
      <c r="M35" s="8" t="n">
        <f aca="false">IF((F35-K35)&lt;&gt;0,M$1-A35," ")</f>
        <v>155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72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152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150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46111</v>
      </c>
      <c r="B38" s="2" t="s">
        <v>111</v>
      </c>
      <c r="E38" s="5" t="s">
        <v>110</v>
      </c>
      <c r="F38" s="46" t="n">
        <v>208</v>
      </c>
      <c r="H38" s="6" t="n">
        <f aca="false">IF((F38&lt;&gt;0),F38-G38," ")</f>
        <v>208</v>
      </c>
      <c r="I38" s="5"/>
      <c r="L38" s="7" t="n">
        <f aca="false">IF(F38&lt;&gt;0,F38-K38," ")</f>
        <v>208</v>
      </c>
      <c r="M38" s="8" t="n">
        <f aca="false">IF((F38-K38)&lt;&gt;0,M$1-A38," ")</f>
        <v>150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208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42705.75</v>
      </c>
      <c r="G1" s="12" t="n">
        <f aca="false">SUM(G5:G300)</f>
        <v>0</v>
      </c>
      <c r="H1" s="12" t="n">
        <f aca="false">SUM(H5:H300)</f>
        <v>42705.75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42705.75</v>
      </c>
      <c r="M1" s="16" t="n">
        <f aca="true">TODAY()</f>
        <v>46261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141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139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115</v>
      </c>
      <c r="E21" s="5" t="s">
        <v>116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134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134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143</v>
      </c>
      <c r="E28" s="5" t="s">
        <v>116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134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128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131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131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124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124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144</v>
      </c>
      <c r="E37" s="5" t="s">
        <v>119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124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121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7218</v>
      </c>
      <c r="G1" s="12" t="n">
        <f aca="false">SUM(G5:G300)</f>
        <v>0</v>
      </c>
      <c r="H1" s="12" t="n">
        <f aca="false">SUM(H5:H300)</f>
        <v>7218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7218</v>
      </c>
      <c r="M1" s="16" t="n">
        <f aca="true">TODAY()</f>
        <v>46261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118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118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118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118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118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118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118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116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116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114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114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46148</v>
      </c>
      <c r="B16" s="2" t="s">
        <v>112</v>
      </c>
      <c r="E16" s="5" t="s">
        <v>91</v>
      </c>
      <c r="F16" s="46" t="n">
        <v>72</v>
      </c>
      <c r="H16" s="6" t="n">
        <f aca="false">IF((F16&lt;&gt;0),F16-G16," ")</f>
        <v>72</v>
      </c>
      <c r="I16" s="5"/>
      <c r="L16" s="7" t="n">
        <f aca="false">IF(F16&lt;&gt;0,F16-K16," ")</f>
        <v>72</v>
      </c>
      <c r="M16" s="8" t="n">
        <f aca="false">IF((F16-K16)&lt;&gt;0,M$1-A16," ")</f>
        <v>113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72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109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107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105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46156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105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104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104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117</v>
      </c>
      <c r="E24" s="5" t="s">
        <v>96</v>
      </c>
      <c r="F24" s="46" t="n">
        <v>540</v>
      </c>
      <c r="H24" s="6" t="n">
        <f aca="false">IF((F24&lt;&gt;0),F24-G24," ")</f>
        <v>540</v>
      </c>
      <c r="I24" s="5"/>
      <c r="L24" s="7" t="n">
        <f aca="false">IF(F24&lt;&gt;0,F24-K24," ")</f>
        <v>540</v>
      </c>
      <c r="M24" s="8" t="n">
        <f aca="false">IF((F24-K24)&lt;&gt;0,M$1-A24," ")</f>
        <v>104</v>
      </c>
      <c r="N24" s="5"/>
      <c r="O24" s="17" t="n">
        <f aca="false">IF((E24="s"),H24," ")</f>
        <v>540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46157</v>
      </c>
      <c r="B25" s="2" t="s">
        <v>126</v>
      </c>
      <c r="E25" s="5" t="s">
        <v>127</v>
      </c>
      <c r="F25" s="46" t="n">
        <v>3000</v>
      </c>
      <c r="H25" s="6" t="n">
        <f aca="false">IF((F25&lt;&gt;0),F25-G25," ")</f>
        <v>3000</v>
      </c>
      <c r="I25" s="5"/>
      <c r="L25" s="7" t="n">
        <f aca="false">IF(F25&lt;&gt;0,F25-K25," ")</f>
        <v>3000</v>
      </c>
      <c r="M25" s="8" t="n">
        <f aca="false">IF((F25-K25)&lt;&gt;0,M$1-A25," ")</f>
        <v>104</v>
      </c>
      <c r="N25" s="5"/>
      <c r="O25" s="17" t="str">
        <f aca="false">IF((E25="s"),H25," ")</f>
        <v> </v>
      </c>
      <c r="P25" s="17" t="n">
        <f aca="false">IF((E25="c"),H25," ")</f>
        <v>3000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46158</v>
      </c>
      <c r="B26" s="2" t="s">
        <v>120</v>
      </c>
      <c r="E26" s="5" t="s">
        <v>75</v>
      </c>
      <c r="F26" s="46" t="n">
        <v>30</v>
      </c>
      <c r="H26" s="6" t="n">
        <f aca="false">IF((F26&lt;&gt;0),F26-G26," ")</f>
        <v>30</v>
      </c>
      <c r="I26" s="5"/>
      <c r="L26" s="7" t="n">
        <f aca="false">IF(F26&lt;&gt;0,F26-K26," ")</f>
        <v>30</v>
      </c>
      <c r="M26" s="8" t="n">
        <f aca="false">IF((F26-K26)&lt;&gt;0,M$1-A26," ")</f>
        <v>103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30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46160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101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99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121</v>
      </c>
      <c r="E29" s="5" t="s">
        <v>122</v>
      </c>
      <c r="F29" s="46" t="n">
        <v>240</v>
      </c>
      <c r="H29" s="6" t="n">
        <f aca="false">IF((F29&lt;&gt;0),F29-G29," ")</f>
        <v>240</v>
      </c>
      <c r="I29" s="5"/>
      <c r="L29" s="7" t="n">
        <f aca="false">IF(F29&lt;&gt;0,F29-K29," ")</f>
        <v>240</v>
      </c>
      <c r="M29" s="8" t="n">
        <f aca="false">IF((F29-K29)&lt;&gt;0,M$1-A29," ")</f>
        <v>99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240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46162</v>
      </c>
      <c r="B30" s="2" t="s">
        <v>123</v>
      </c>
      <c r="E30" s="5" t="s">
        <v>96</v>
      </c>
      <c r="F30" s="46" t="n">
        <v>300</v>
      </c>
      <c r="H30" s="6" t="n">
        <f aca="false">IF((F30&lt;&gt;0),F30-G30," ")</f>
        <v>300</v>
      </c>
      <c r="I30" s="5"/>
      <c r="L30" s="7" t="n">
        <f aca="false">IF(F30&lt;&gt;0,F30-K30," ")</f>
        <v>300</v>
      </c>
      <c r="M30" s="8" t="n">
        <f aca="false">IF((F30-K30)&lt;&gt;0,M$1-A30," ")</f>
        <v>99</v>
      </c>
      <c r="N30" s="5"/>
      <c r="O30" s="17" t="n">
        <f aca="false">IF((E30="s"),H30," ")</f>
        <v>300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46163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98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46164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97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94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46167</v>
      </c>
      <c r="B34" s="2" t="s">
        <v>109</v>
      </c>
      <c r="E34" s="5" t="s">
        <v>88</v>
      </c>
      <c r="F34" s="46" t="n">
        <v>81</v>
      </c>
      <c r="H34" s="6" t="n">
        <f aca="false">IF((F34&lt;&gt;0),F34-G34," ")</f>
        <v>81</v>
      </c>
      <c r="I34" s="5"/>
      <c r="L34" s="7" t="n">
        <f aca="false">IF(F34&lt;&gt;0,F34-K34," ")</f>
        <v>81</v>
      </c>
      <c r="M34" s="8" t="n">
        <f aca="false">IF((F34-K34)&lt;&gt;0,M$1-A34," ")</f>
        <v>94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81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46170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46172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89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46261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83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125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74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74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73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73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73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129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70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70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130</v>
      </c>
      <c r="E31" s="5" t="s">
        <v>131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63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63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46261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111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46204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46204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46204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46206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46206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46208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53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46208</v>
      </c>
      <c r="B17" s="2" t="s">
        <v>134</v>
      </c>
      <c r="E17" s="5" t="s">
        <v>116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46208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53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46211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50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46211</v>
      </c>
      <c r="B20" s="2" t="s">
        <v>113</v>
      </c>
      <c r="E20" s="5" t="s">
        <v>114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50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46213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46213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46213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48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46215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46217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46217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46218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43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46218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46219</v>
      </c>
      <c r="B29" s="2" t="s">
        <v>120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46221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40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46223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46223</v>
      </c>
      <c r="B32" s="2" t="s">
        <v>137</v>
      </c>
      <c r="E32" s="5" t="s">
        <v>122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46223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46224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46225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46225</v>
      </c>
      <c r="B36" s="2" t="s">
        <v>124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46228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33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46228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33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46231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30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46234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27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46261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112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135</v>
      </c>
      <c r="E20" s="5" t="s">
        <v>114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117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12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128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7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3301.5</v>
      </c>
      <c r="G1" s="12" t="n">
        <f aca="false">SUM(G5:G300)</f>
        <v>0</v>
      </c>
      <c r="H1" s="12" t="n">
        <f aca="false">SUM(H5:H300)</f>
        <v>3301.5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3301.5</v>
      </c>
      <c r="M1" s="16" t="n">
        <f aca="true">TODAY()</f>
        <v>46261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5" t="s">
        <v>122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-16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-18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-19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120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129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-22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-26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124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-26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130</v>
      </c>
      <c r="E30" s="5" t="s">
        <v>131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-29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-29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-29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46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