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Oct" sheetId="2" state="visible" r:id="rId4"/>
    <sheet name="Nov" sheetId="3" state="visible" r:id="rId5"/>
    <sheet name="Dec" sheetId="4" state="visible" r:id="rId6"/>
    <sheet name="Jan" sheetId="5" state="visible" r:id="rId7"/>
    <sheet name="Feb" sheetId="6" state="visible" r:id="rId8"/>
    <sheet name="Mar" sheetId="7" state="visible" r:id="rId9"/>
    <sheet name="Apr" sheetId="8" state="visible" r:id="rId10"/>
    <sheet name="May" sheetId="9" state="visible" r:id="rId11"/>
    <sheet name="Jun" sheetId="10" state="visible" r:id="rId12"/>
    <sheet name="Jul" sheetId="11" state="visible" r:id="rId13"/>
    <sheet name="Aug" sheetId="12" state="visible" r:id="rId14"/>
    <sheet name="Sep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<sst xmlns="http://schemas.openxmlformats.org/spreadsheetml/2006/main" count="1586" uniqueCount="154">
  <si>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</si>
  <si>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</si>
  <si>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</si>
  <si>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</si>
  <si>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</si>
  <si>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</si>
  <si>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</si>
  <si>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</si>
  <si>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</si>
  <si>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</si>
  <si>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</si>
  <si>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</si>
  <si>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</si>
  <si>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</si>
  <si>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</si>
  <si>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</si>
  <si>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</si>
  <si>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</si>
  <si>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</si>
  <si>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</si>
  <si>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</si>
  <si>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</si>
  <si>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</si>
  <si>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</si>
  <si>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</si>
  <si>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</si>
  <si>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</si>
  <si>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</si>
  <si>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</si>
  <si>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</si>
  <si>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</si>
  <si>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</si>
  <si>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</si>
  <si>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</si>
  <si>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</si>
  <si>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</si>
  <si>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</si>
  <si>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</si>
  <si>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</si>
  <si>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</si>
  <si>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</si>
  <si>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</si>
  <si>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</si>
  <si>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</si>
  <si>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</si>
  <si>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</si>
  <si>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</si>
  <si>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</si>
  <si>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</si>
  <si>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</si>
  <si>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</si>
  <si>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</si>
  <si>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</si>
  <si>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</si>
  <si>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</si>
  <si>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</si>
  <si>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</si>
  <si>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</si>
  <si>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</si>
  <si>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</si>
  <si>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</si>
  <si>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</si>
  <si>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</si>
  <si>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</si>
  <si>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</si>
  <si>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</si>
  <si>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</si>
  <si>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</si>
  <si>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</si>
  <si>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</si>
  <si>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</si>
  <si>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</si>
  <si>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</si>
  <si>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</si>
  <si>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</si>
  <si>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</si>
  <si>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</si>
  <si>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</si>
  <si>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</si>
  <si>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</si>
  <si>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</si>
  <si>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</si>
  <si>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</si>
  <si>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</si>
  <si>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</si>
  <si>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</si>
  <si>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</si>
  <si>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</si>
  <si>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</si>
  <si>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</si>
  <si>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</si>
  <si>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</si>
  <si>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</si>
  <si>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</si>
  <si>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</si>
  <si>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</si>
  <si>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</si>
  <si>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</si>
  <si>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</si>
  <si>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</si>
  <si>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</si>
  <si>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</si>
  <si>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</si>
  <si>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</si>
  <si>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</si>
  <si>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</si>
  <si>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</si>
  <si>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</si>
  <si>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</si>
  <si>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</si>
  <si>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</si>
  <si>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Directors loan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</si>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</sst>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</row>
        <row r="28">
          <cell r="EJ28">
            <v>0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46259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5536.25</v>
      </c>
      <c r="G1" s="12" t="n">
        <f aca="false">SUM(G5:G300)</f>
        <v>0</v>
      </c>
      <c r="H1" s="12" t="n">
        <f aca="false">SUM(H5:H300)</f>
        <v>5536.25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5536.25</v>
      </c>
      <c r="M1" s="16" t="n">
        <f aca="true">TODAY()</f>
        <v>46259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120</v>
      </c>
      <c r="Y1" s="12" t="n">
        <f aca="false">SUM(Y5:Y300)</f>
        <v>157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92</v>
      </c>
      <c r="AC1" s="12" t="n">
        <f aca="false">SUM(AC5:AC300)</f>
        <v>602.25</v>
      </c>
      <c r="AD1" s="12" t="n">
        <f aca="false">SUM(AD5:AD300)</f>
        <v>1440</v>
      </c>
      <c r="AE1" s="12" t="n">
        <f aca="false">SUM(AE5:AE300)</f>
        <v>180</v>
      </c>
      <c r="AF1" s="12" t="n">
        <f aca="false">SUM(AF5:AF300)</f>
        <v>725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328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328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328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328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79</v>
      </c>
      <c r="E9" s="5" t="s">
        <v>80</v>
      </c>
      <c r="F9" s="46" t="n">
        <v>1440</v>
      </c>
      <c r="H9" s="6" t="n">
        <f aca="false">IF((F9&lt;&gt;0),F9-G9," ")</f>
        <v>1440</v>
      </c>
      <c r="I9" s="5"/>
      <c r="L9" s="7" t="n">
        <f aca="false">IF(F9&lt;&gt;0,F9-K9," ")</f>
        <v>1440</v>
      </c>
      <c r="M9" s="8" t="n">
        <f aca="false">IF((F9-K9)&lt;&gt;0,M$1-A9," ")</f>
        <v>328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1440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328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328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326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326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324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324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324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45938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321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45940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319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319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45940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319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45942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317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45944</v>
      </c>
      <c r="B22" s="2" t="s">
        <v>98</v>
      </c>
      <c r="E22" s="5" t="s">
        <v>85</v>
      </c>
      <c r="F22" s="46" t="n">
        <v>42</v>
      </c>
      <c r="H22" s="6" t="n">
        <f aca="false">IF((F22&lt;&gt;0),F22-G22," ")</f>
        <v>42</v>
      </c>
      <c r="I22" s="5"/>
      <c r="L22" s="7" t="n">
        <f aca="false">IF(F22&lt;&gt;0,F22-K22," ")</f>
        <v>42</v>
      </c>
      <c r="M22" s="8" t="n">
        <f aca="false">IF((F22-K22)&lt;&gt;0,M$1-A22," ")</f>
        <v>315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42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315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45944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315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314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314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45948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311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45950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309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45950</v>
      </c>
      <c r="B29" s="2" t="s">
        <v>104</v>
      </c>
      <c r="E29" s="5" t="s">
        <v>105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309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120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45951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308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45952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307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45955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304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45955</v>
      </c>
      <c r="B33" s="2" t="s">
        <v>109</v>
      </c>
      <c r="E33" s="5" t="s">
        <v>88</v>
      </c>
      <c r="F33" s="46" t="n">
        <v>38.25</v>
      </c>
      <c r="H33" s="6" t="n">
        <f aca="false">IF((F33&lt;&gt;0),F33-G33," ")</f>
        <v>38.25</v>
      </c>
      <c r="I33" s="5"/>
      <c r="L33" s="7" t="n">
        <f aca="false">IF(F33&lt;&gt;0,F33-K33," ")</f>
        <v>38.25</v>
      </c>
      <c r="M33" s="8" t="n">
        <f aca="false">IF((F33-K33)&lt;&gt;0,M$1-A33," ")</f>
        <v>304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38.25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45958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301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45960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299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46296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-37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46296</v>
      </c>
      <c r="B37" s="2" t="s">
        <v>111</v>
      </c>
      <c r="E37" s="5" t="s">
        <v>110</v>
      </c>
      <c r="F37" s="46" t="n">
        <v>125</v>
      </c>
      <c r="H37" s="6" t="n">
        <f aca="false">IF((F37&lt;&gt;0),F37-G37," ")</f>
        <v>125</v>
      </c>
      <c r="I37" s="5"/>
      <c r="L37" s="7" t="n">
        <f aca="false">IF(F37&lt;&gt;0,F37-K37," ")</f>
        <v>125</v>
      </c>
      <c r="M37" s="8" t="n">
        <f aca="false">IF((F37-K37)&lt;&gt;0,M$1-A37," ")</f>
        <v>-37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125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6075</v>
      </c>
      <c r="G1" s="12" t="n">
        <f aca="false">SUM(G5:G300)</f>
        <v>0</v>
      </c>
      <c r="H1" s="12" t="n">
        <f aca="false">SUM(H5:H300)</f>
        <v>6075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6075</v>
      </c>
      <c r="M1" s="16" t="n">
        <f aca="true">TODAY()</f>
        <v>46259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240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600</v>
      </c>
      <c r="AA1" s="12" t="n">
        <f aca="false">SUM(AA5:AA300)</f>
        <v>153</v>
      </c>
      <c r="AB1" s="12" t="n">
        <f aca="false">SUM(AB5:AB300)</f>
        <v>152</v>
      </c>
      <c r="AC1" s="12" t="n">
        <f aca="false">SUM(AC5:AC300)</f>
        <v>666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1800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297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297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297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297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297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297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295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295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293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293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45967</v>
      </c>
      <c r="B15" s="2" t="s">
        <v>112</v>
      </c>
      <c r="E15" s="5" t="s">
        <v>91</v>
      </c>
      <c r="F15" s="46" t="n">
        <v>60</v>
      </c>
      <c r="H15" s="6" t="n">
        <f aca="false">IF((F15&lt;&gt;0),F15-G15," ")</f>
        <v>60</v>
      </c>
      <c r="I15" s="5"/>
      <c r="L15" s="7" t="n">
        <f aca="false">IF(F15&lt;&gt;0,F15-K15," ")</f>
        <v>60</v>
      </c>
      <c r="M15" s="8" t="n">
        <f aca="false">IF((F15-K15)&lt;&gt;0,M$1-A15," ")</f>
        <v>292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45969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290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45969</v>
      </c>
      <c r="B17" s="2" t="s">
        <v>113</v>
      </c>
      <c r="E17" s="5" t="s">
        <v>114</v>
      </c>
      <c r="F17" s="46" t="n">
        <v>240</v>
      </c>
      <c r="H17" s="6" t="n">
        <f aca="false">IF((F17&lt;&gt;0),F17-G17," ")</f>
        <v>240</v>
      </c>
      <c r="I17" s="5"/>
      <c r="L17" s="7" t="n">
        <f aca="false">IF(F17&lt;&gt;0,F17-K17," ")</f>
        <v>240</v>
      </c>
      <c r="M17" s="8" t="n">
        <f aca="false">IF((F17-K17)&lt;&gt;0,M$1-A17," ")</f>
        <v>290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240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288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45971</v>
      </c>
      <c r="B19" s="2" t="s">
        <v>115</v>
      </c>
      <c r="E19" s="5" t="s">
        <v>116</v>
      </c>
      <c r="F19" s="46" t="n">
        <v>600</v>
      </c>
      <c r="H19" s="6" t="n">
        <f aca="false">IF((F19&lt;&gt;0),F19-G19," ")</f>
        <v>600</v>
      </c>
      <c r="I19" s="5"/>
      <c r="L19" s="7" t="n">
        <f aca="false">IF(F19&lt;&gt;0,F19-K19," ")</f>
        <v>600</v>
      </c>
      <c r="M19" s="8" t="n">
        <f aca="false">IF((F19-K19)&lt;&gt;0,M$1-A19," ")</f>
        <v>288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600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45973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286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284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45975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284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283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283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45976</v>
      </c>
      <c r="B25" s="2" t="s">
        <v>117</v>
      </c>
      <c r="E25" s="5" t="s">
        <v>96</v>
      </c>
      <c r="F25" s="46" t="n">
        <v>480</v>
      </c>
      <c r="H25" s="6" t="n">
        <f aca="false">IF((F25&lt;&gt;0),F25-G25," ")</f>
        <v>480</v>
      </c>
      <c r="I25" s="5"/>
      <c r="L25" s="7" t="n">
        <f aca="false">IF(F25&lt;&gt;0,F25-K25," ")</f>
        <v>480</v>
      </c>
      <c r="M25" s="8" t="n">
        <f aca="false">IF((F25-K25)&lt;&gt;0,M$1-A25," ")</f>
        <v>283</v>
      </c>
      <c r="N25" s="5"/>
      <c r="O25" s="17" t="n">
        <f aca="false">IF((E25="s"),H25," ")</f>
        <v>480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45976</v>
      </c>
      <c r="B26" s="2" t="s">
        <v>118</v>
      </c>
      <c r="E26" s="5" t="s">
        <v>119</v>
      </c>
      <c r="F26" s="46" t="n">
        <v>1800</v>
      </c>
      <c r="H26" s="6" t="n">
        <f aca="false">IF((F26&lt;&gt;0),F26-G26," ")</f>
        <v>1800</v>
      </c>
      <c r="I26" s="5"/>
      <c r="L26" s="7" t="n">
        <f aca="false">IF(F26&lt;&gt;0,F26-K26," ")</f>
        <v>1800</v>
      </c>
      <c r="M26" s="8" t="n">
        <f aca="false">IF((F26-K26)&lt;&gt;0,M$1-A26," ")</f>
        <v>283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1800</v>
      </c>
    </row>
    <row r="27" customFormat="false" ht="12" hidden="false" customHeight="false" outlineLevel="0" collapsed="false">
      <c r="A27" s="28" t="n">
        <v>45977</v>
      </c>
      <c r="B27" s="2" t="s">
        <v>120</v>
      </c>
      <c r="E27" s="5" t="s">
        <v>75</v>
      </c>
      <c r="F27" s="46" t="n">
        <v>18</v>
      </c>
      <c r="H27" s="6" t="n">
        <f aca="false">IF((F27&lt;&gt;0),F27-G27," ")</f>
        <v>18</v>
      </c>
      <c r="I27" s="5"/>
      <c r="L27" s="7" t="n">
        <f aca="false">IF(F27&lt;&gt;0,F27-K27," ")</f>
        <v>18</v>
      </c>
      <c r="M27" s="8" t="n">
        <f aca="false">IF((F27-K27)&lt;&gt;0,M$1-A27," ")</f>
        <v>282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18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45979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280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45981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278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45981</v>
      </c>
      <c r="B30" s="2" t="s">
        <v>121</v>
      </c>
      <c r="E30" s="5" t="s">
        <v>122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278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180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45981</v>
      </c>
      <c r="B31" s="2" t="s">
        <v>123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278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45982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277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45983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276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45983</v>
      </c>
      <c r="B34" s="2" t="s">
        <v>124</v>
      </c>
      <c r="E34" s="5" t="s">
        <v>88</v>
      </c>
      <c r="F34" s="46" t="n">
        <v>48</v>
      </c>
      <c r="H34" s="6" t="n">
        <f aca="false">IF((F34&lt;&gt;0),F34-G34," ")</f>
        <v>48</v>
      </c>
      <c r="I34" s="5"/>
      <c r="L34" s="7" t="n">
        <f aca="false">IF(F34&lt;&gt;0,F34-K34," ")</f>
        <v>48</v>
      </c>
      <c r="M34" s="8" t="n">
        <f aca="false">IF((F34-K34)&lt;&gt;0,M$1-A34," ")</f>
        <v>276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48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45986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273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45986</v>
      </c>
      <c r="B36" s="2" t="s">
        <v>109</v>
      </c>
      <c r="E36" s="5" t="s">
        <v>88</v>
      </c>
      <c r="F36" s="46" t="n">
        <v>54</v>
      </c>
      <c r="H36" s="6" t="n">
        <f aca="false">IF((F36&lt;&gt;0),F36-G36," ")</f>
        <v>54</v>
      </c>
      <c r="I36" s="5"/>
      <c r="L36" s="7" t="n">
        <f aca="false">IF(F36&lt;&gt;0,F36-K36," ")</f>
        <v>54</v>
      </c>
      <c r="M36" s="8" t="n">
        <f aca="false">IF((F36-K36)&lt;&gt;0,M$1-A36," ")</f>
        <v>273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54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45989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270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9357</v>
      </c>
      <c r="G1" s="12" t="n">
        <f aca="false">SUM(G5:G300)</f>
        <v>0</v>
      </c>
      <c r="H1" s="12" t="n">
        <f aca="false">SUM(H5:H300)</f>
        <v>9357</v>
      </c>
      <c r="I1" s="13"/>
      <c r="J1" s="14" t="s">
        <v>2</v>
      </c>
      <c r="K1" s="15" t="n">
        <f aca="false">SUM(K5:K300)</f>
        <v>0</v>
      </c>
      <c r="L1" s="15" t="n">
        <f aca="false">SUM(L5:L300)</f>
        <v>9357</v>
      </c>
      <c r="M1" s="16" t="n">
        <f aca="true">TODAY()</f>
        <v>46259</v>
      </c>
      <c r="N1" s="13"/>
      <c r="O1" s="12" t="n">
        <f aca="false">SUM(O5:O300)</f>
        <v>360</v>
      </c>
      <c r="P1" s="12" t="n">
        <f aca="false">SUM(P5:P300)</f>
        <v>5000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145</v>
      </c>
      <c r="Z1" s="12" t="n">
        <f aca="false">SUM(Z5:Z300)</f>
        <v>0</v>
      </c>
      <c r="AA1" s="12" t="n">
        <f aca="false">SUM(AA5:AA300)</f>
        <v>231</v>
      </c>
      <c r="AB1" s="12" t="n">
        <f aca="false">SUM(AB5:AB300)</f>
        <v>272</v>
      </c>
      <c r="AC1" s="12" t="n">
        <f aca="false">SUM(AC5:AC300)</f>
        <v>654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850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267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267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267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267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267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267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267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265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265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263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263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45996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263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45999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260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258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46001</v>
      </c>
      <c r="B19" s="2" t="s">
        <v>125</v>
      </c>
      <c r="E19" s="5" t="s">
        <v>75</v>
      </c>
      <c r="F19" s="46" t="n">
        <v>96</v>
      </c>
      <c r="H19" s="6" t="n">
        <f aca="false">IF((F19&lt;&gt;0),F19-G19," ")</f>
        <v>96</v>
      </c>
      <c r="I19" s="5"/>
      <c r="L19" s="7" t="n">
        <f aca="false">IF(F19&lt;&gt;0,F19-K19," ")</f>
        <v>96</v>
      </c>
      <c r="M19" s="8" t="n">
        <f aca="false">IF((F19-K19)&lt;&gt;0,M$1-A19," ")</f>
        <v>258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n">
        <f aca="false">IF((E19="g"),H19," ")</f>
        <v>96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46003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256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46005</v>
      </c>
      <c r="B21" s="2" t="s">
        <v>98</v>
      </c>
      <c r="E21" s="5" t="s">
        <v>85</v>
      </c>
      <c r="F21" s="46" t="n">
        <v>30</v>
      </c>
      <c r="H21" s="6" t="n">
        <f aca="false">IF((F21&lt;&gt;0),F21-G21," ")</f>
        <v>30</v>
      </c>
      <c r="I21" s="5"/>
      <c r="L21" s="7" t="n">
        <f aca="false">IF(F21&lt;&gt;0,F21-K21," ")</f>
        <v>30</v>
      </c>
      <c r="M21" s="8" t="n">
        <f aca="false">IF((F21-K21)&lt;&gt;0,M$1-A21," ")</f>
        <v>254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30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46005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254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46005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254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46006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253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46006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253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46006</v>
      </c>
      <c r="B26" s="2" t="s">
        <v>126</v>
      </c>
      <c r="E26" s="5" t="s">
        <v>127</v>
      </c>
      <c r="F26" s="46" t="n">
        <v>5000</v>
      </c>
      <c r="H26" s="6" t="n">
        <f aca="false">IF((F26&lt;&gt;0),F26-G26," ")</f>
        <v>5000</v>
      </c>
      <c r="I26" s="5"/>
      <c r="L26" s="7" t="n">
        <f aca="false">IF(F26&lt;&gt;0,F26-K26," ")</f>
        <v>5000</v>
      </c>
      <c r="M26" s="8" t="n">
        <f aca="false">IF((F26-K26)&lt;&gt;0,M$1-A26," ")</f>
        <v>253</v>
      </c>
      <c r="N26" s="5"/>
      <c r="O26" s="17" t="str">
        <f aca="false">IF((E26="s"),H26," ")</f>
        <v> </v>
      </c>
      <c r="P26" s="17" t="n">
        <f aca="false">IF((E26="c"),H26," ")</f>
        <v>5000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46009</v>
      </c>
      <c r="B27" s="2" t="s">
        <v>128</v>
      </c>
      <c r="E27" s="5" t="s">
        <v>91</v>
      </c>
      <c r="F27" s="46" t="n">
        <v>180</v>
      </c>
      <c r="H27" s="6" t="n">
        <f aca="false">IF((F27&lt;&gt;0),F27-G27," ")</f>
        <v>180</v>
      </c>
      <c r="I27" s="5"/>
      <c r="L27" s="7" t="n">
        <f aca="false">IF(F27&lt;&gt;0,F27-K27," ")</f>
        <v>180</v>
      </c>
      <c r="M27" s="8" t="n">
        <f aca="false">IF((F27-K27)&lt;&gt;0,M$1-A27," ")</f>
        <v>250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180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46009</v>
      </c>
      <c r="B28" s="2" t="s">
        <v>129</v>
      </c>
      <c r="E28" s="5" t="s">
        <v>96</v>
      </c>
      <c r="F28" s="46" t="n">
        <v>360</v>
      </c>
      <c r="H28" s="6" t="n">
        <f aca="false">IF((F28&lt;&gt;0),F28-G28," ")</f>
        <v>360</v>
      </c>
      <c r="I28" s="5"/>
      <c r="L28" s="7" t="n">
        <f aca="false">IF(F28&lt;&gt;0,F28-K28," ")</f>
        <v>360</v>
      </c>
      <c r="M28" s="8" t="n">
        <f aca="false">IF((F28-K28)&lt;&gt;0,M$1-A28," ")</f>
        <v>250</v>
      </c>
      <c r="N28" s="5"/>
      <c r="O28" s="17" t="n">
        <f aca="false">IF((E28="s"),H28," ")</f>
        <v>360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46009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250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46011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248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46012</v>
      </c>
      <c r="B31" s="2" t="s">
        <v>106</v>
      </c>
      <c r="E31" s="5" t="s">
        <v>91</v>
      </c>
      <c r="F31" s="46" t="n">
        <v>8</v>
      </c>
      <c r="H31" s="6" t="n">
        <f aca="false">IF((F31&lt;&gt;0),F31-G31," ")</f>
        <v>8</v>
      </c>
      <c r="I31" s="5"/>
      <c r="L31" s="7" t="n">
        <f aca="false">IF(F31&lt;&gt;0,F31-K31," ")</f>
        <v>8</v>
      </c>
      <c r="M31" s="8" t="n">
        <f aca="false">IF((F31-K31)&lt;&gt;0,M$1-A31," ")</f>
        <v>247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8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46013</v>
      </c>
      <c r="B32" s="2" t="s">
        <v>107</v>
      </c>
      <c r="E32" s="5" t="s">
        <v>85</v>
      </c>
      <c r="F32" s="46" t="n">
        <v>18</v>
      </c>
      <c r="H32" s="6" t="n">
        <f aca="false">IF((F32&lt;&gt;0),F32-G32," ")</f>
        <v>18</v>
      </c>
      <c r="I32" s="5"/>
      <c r="L32" s="7" t="n">
        <f aca="false">IF(F32&lt;&gt;0,F32-K32," ")</f>
        <v>18</v>
      </c>
      <c r="M32" s="8" t="n">
        <f aca="false">IF((F32-K32)&lt;&gt;0,M$1-A32," ")</f>
        <v>246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18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46016</v>
      </c>
      <c r="B33" s="2" t="s">
        <v>130</v>
      </c>
      <c r="E33" s="5" t="s">
        <v>131</v>
      </c>
      <c r="F33" s="46" t="n">
        <v>360</v>
      </c>
      <c r="H33" s="6" t="n">
        <f aca="false">IF((F33&lt;&gt;0),F33-G33," ")</f>
        <v>360</v>
      </c>
      <c r="I33" s="5"/>
      <c r="L33" s="7" t="n">
        <f aca="false">IF(F33&lt;&gt;0,F33-K33," ")</f>
        <v>360</v>
      </c>
      <c r="M33" s="8" t="n">
        <f aca="false">IF((F33-K33)&lt;&gt;0,M$1-A33," ")</f>
        <v>243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n">
        <f aca="false">IF((E33="p"),H33," ")</f>
        <v>360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46016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243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46016</v>
      </c>
      <c r="B35" s="2" t="s">
        <v>109</v>
      </c>
      <c r="E35" s="5" t="s">
        <v>88</v>
      </c>
      <c r="F35" s="46" t="n">
        <v>90</v>
      </c>
      <c r="H35" s="6" t="n">
        <f aca="false">IF((F35&lt;&gt;0),F35-G35," ")</f>
        <v>90</v>
      </c>
      <c r="I35" s="5"/>
      <c r="L35" s="7" t="n">
        <f aca="false">IF(F35&lt;&gt;0,F35-K35," ")</f>
        <v>90</v>
      </c>
      <c r="M35" s="8" t="n">
        <f aca="false">IF((F35-K35)&lt;&gt;0,M$1-A35," ")</f>
        <v>243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90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46019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240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46021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238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46021</v>
      </c>
      <c r="B38" s="2" t="s">
        <v>111</v>
      </c>
      <c r="E38" s="5" t="s">
        <v>110</v>
      </c>
      <c r="F38" s="46" t="n">
        <v>250</v>
      </c>
      <c r="H38" s="6" t="n">
        <f aca="false">IF((F38&lt;&gt;0),F38-G38," ")</f>
        <v>250</v>
      </c>
      <c r="I38" s="5"/>
      <c r="L38" s="7" t="n">
        <f aca="false">IF(F38&lt;&gt;0,F38-K38," ")</f>
        <v>250</v>
      </c>
      <c r="M38" s="8" t="n">
        <f aca="false">IF((F38-K38)&lt;&gt;0,M$1-A38," ")</f>
        <v>238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9059.25</v>
      </c>
      <c r="G1" s="12" t="n">
        <f aca="false">SUM(G5:G300)</f>
        <v>0</v>
      </c>
      <c r="H1" s="12" t="n">
        <f aca="false">SUM(H5:H300)</f>
        <v>9059.25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9059.25</v>
      </c>
      <c r="M1" s="16" t="n">
        <f aca="true">TODAY()</f>
        <v>46259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120</v>
      </c>
      <c r="W1" s="12" t="n">
        <f aca="false">SUM(W5:W300)</f>
        <v>480</v>
      </c>
      <c r="X1" s="12" t="n">
        <f aca="false">SUM(X5:X300)</f>
        <v>180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584.25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3000</v>
      </c>
      <c r="AI1" s="12" t="n">
        <f aca="false">SUM(AI5:AI300)</f>
        <v>1200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236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236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236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236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132</v>
      </c>
      <c r="E9" s="5" t="s">
        <v>133</v>
      </c>
      <c r="F9" s="46" t="n">
        <v>3000</v>
      </c>
      <c r="H9" s="6" t="n">
        <f aca="false">IF((F9&lt;&gt;0),F9-G9," ")</f>
        <v>3000</v>
      </c>
      <c r="I9" s="5"/>
      <c r="L9" s="7" t="n">
        <f aca="false">IF(F9&lt;&gt;0,F9-K9," ")</f>
        <v>3000</v>
      </c>
      <c r="M9" s="8" t="n">
        <f aca="false">IF((F9-K9)&lt;&gt;0,M$1-A9," ")</f>
        <v>236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3000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236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46023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236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234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46025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234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232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46027</v>
      </c>
      <c r="B15" s="2" t="s">
        <v>134</v>
      </c>
      <c r="E15" s="5" t="s">
        <v>116</v>
      </c>
      <c r="F15" s="46" t="n">
        <v>480</v>
      </c>
      <c r="H15" s="6" t="n">
        <f aca="false">IF((F15&lt;&gt;0),F15-G15," ")</f>
        <v>480</v>
      </c>
      <c r="I15" s="5"/>
      <c r="L15" s="7" t="n">
        <f aca="false">IF(F15&lt;&gt;0,F15-K15," ")</f>
        <v>480</v>
      </c>
      <c r="M15" s="8" t="n">
        <f aca="false">IF((F15-K15)&lt;&gt;0,M$1-A15," ")</f>
        <v>232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480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46027</v>
      </c>
      <c r="B16" s="2" t="s">
        <v>87</v>
      </c>
      <c r="E16" s="5" t="s">
        <v>88</v>
      </c>
      <c r="F16" s="46" t="n">
        <v>180</v>
      </c>
      <c r="H16" s="6" t="n">
        <f aca="false">IF((F16&lt;&gt;0),F16-G16," ")</f>
        <v>180</v>
      </c>
      <c r="I16" s="5"/>
      <c r="L16" s="7" t="n">
        <f aca="false">IF(F16&lt;&gt;0,F16-K16," ")</f>
        <v>180</v>
      </c>
      <c r="M16" s="8" t="n">
        <f aca="false">IF((F16-K16)&lt;&gt;0,M$1-A16," ")</f>
        <v>232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n">
        <f aca="false">IF((E16="v"),H16," ")</f>
        <v>180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229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227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46032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227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46032</v>
      </c>
      <c r="B20" s="2" t="s">
        <v>95</v>
      </c>
      <c r="E20" s="5" t="s">
        <v>96</v>
      </c>
      <c r="F20" s="46" t="n">
        <v>720</v>
      </c>
      <c r="H20" s="6" t="n">
        <f aca="false">IF((F20&lt;&gt;0),F20-G20," ")</f>
        <v>720</v>
      </c>
      <c r="I20" s="5"/>
      <c r="L20" s="7" t="n">
        <f aca="false">IF(F20&lt;&gt;0,F20-K20," ")</f>
        <v>720</v>
      </c>
      <c r="M20" s="8" t="n">
        <f aca="false">IF((F20-K20)&lt;&gt;0,M$1-A20," ")</f>
        <v>227</v>
      </c>
      <c r="N20" s="5"/>
      <c r="O20" s="17" t="n">
        <f aca="false">IF((E20="s"),H20," ")</f>
        <v>720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46034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225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46034</v>
      </c>
      <c r="B22" s="2" t="s">
        <v>135</v>
      </c>
      <c r="E22" s="5" t="s">
        <v>114</v>
      </c>
      <c r="F22" s="46" t="n">
        <v>480</v>
      </c>
      <c r="H22" s="6" t="n">
        <f aca="false">IF((F22&lt;&gt;0),F22-G22," ")</f>
        <v>480</v>
      </c>
      <c r="I22" s="5"/>
      <c r="L22" s="7" t="n">
        <f aca="false">IF(F22&lt;&gt;0,F22-K22," ")</f>
        <v>480</v>
      </c>
      <c r="M22" s="8" t="n">
        <f aca="false">IF((F22-K22)&lt;&gt;0,M$1-A22," ")</f>
        <v>225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480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46036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223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46036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223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46037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222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46037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222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46037</v>
      </c>
      <c r="B27" s="2" t="s">
        <v>136</v>
      </c>
      <c r="E27" s="5" t="s">
        <v>119</v>
      </c>
      <c r="F27" s="46" t="n">
        <v>1200</v>
      </c>
      <c r="H27" s="6" t="n">
        <f aca="false">IF((F27&lt;&gt;0),F27-G27," ")</f>
        <v>1200</v>
      </c>
      <c r="I27" s="5"/>
      <c r="L27" s="7" t="n">
        <f aca="false">IF(F27&lt;&gt;0,F27-K27," ")</f>
        <v>1200</v>
      </c>
      <c r="M27" s="8" t="n">
        <f aca="false">IF((F27-K27)&lt;&gt;0,M$1-A27," ")</f>
        <v>222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1200</v>
      </c>
    </row>
    <row r="28" customFormat="false" ht="12" hidden="false" customHeight="false" outlineLevel="0" collapsed="false">
      <c r="A28" s="28" t="n">
        <v>46038</v>
      </c>
      <c r="B28" s="2" t="s">
        <v>120</v>
      </c>
      <c r="E28" s="5" t="s">
        <v>75</v>
      </c>
      <c r="F28" s="46" t="n">
        <v>24</v>
      </c>
      <c r="H28" s="6" t="n">
        <f aca="false">IF((F28&lt;&gt;0),F28-G28," ")</f>
        <v>24</v>
      </c>
      <c r="I28" s="5"/>
      <c r="L28" s="7" t="n">
        <f aca="false">IF(F28&lt;&gt;0,F28-K28," ")</f>
        <v>24</v>
      </c>
      <c r="M28" s="8" t="n">
        <f aca="false">IF((F28-K28)&lt;&gt;0,M$1-A28," ")</f>
        <v>221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24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46040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219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46042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217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46042</v>
      </c>
      <c r="B31" s="2" t="s">
        <v>137</v>
      </c>
      <c r="E31" s="5" t="s">
        <v>122</v>
      </c>
      <c r="F31" s="46" t="n">
        <v>120</v>
      </c>
      <c r="H31" s="6" t="n">
        <f aca="false">IF((F31&lt;&gt;0),F31-G31," ")</f>
        <v>120</v>
      </c>
      <c r="I31" s="5"/>
      <c r="L31" s="7" t="n">
        <f aca="false">IF(F31&lt;&gt;0,F31-K31," ")</f>
        <v>120</v>
      </c>
      <c r="M31" s="8" t="n">
        <f aca="false">IF((F31-K31)&lt;&gt;0,M$1-A31," ")</f>
        <v>217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120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46042</v>
      </c>
      <c r="B32" s="2" t="s">
        <v>104</v>
      </c>
      <c r="E32" s="5" t="s">
        <v>105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217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46043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216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46044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215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46047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212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46047</v>
      </c>
      <c r="B36" s="2" t="s">
        <v>109</v>
      </c>
      <c r="E36" s="5" t="s">
        <v>88</v>
      </c>
      <c r="F36" s="46" t="n">
        <v>20.25</v>
      </c>
      <c r="H36" s="6" t="n">
        <f aca="false">IF((F36&lt;&gt;0),F36-G36," ")</f>
        <v>20.25</v>
      </c>
      <c r="I36" s="5"/>
      <c r="L36" s="7" t="n">
        <f aca="false">IF(F36&lt;&gt;0,F36-K36," ")</f>
        <v>20.25</v>
      </c>
      <c r="M36" s="8" t="n">
        <f aca="false">IF((F36-K36)&lt;&gt;0,M$1-A36," ")</f>
        <v>212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20.25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46050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209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46053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206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4105.25</v>
      </c>
      <c r="G1" s="12" t="n">
        <f aca="false">SUM(G5:G300)</f>
        <v>0</v>
      </c>
      <c r="H1" s="12" t="n">
        <f aca="false">SUM(H5:H300)</f>
        <v>4105.25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4105.25</v>
      </c>
      <c r="M1" s="16" t="n">
        <f aca="true">TODAY()</f>
        <v>46259</v>
      </c>
      <c r="N1" s="13"/>
      <c r="O1" s="12" t="n">
        <f aca="false">SUM(O5:O300)</f>
        <v>540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800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240</v>
      </c>
      <c r="Y1" s="12" t="n">
        <f aca="false">SUM(Y5:Y300)</f>
        <v>163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140</v>
      </c>
      <c r="AC1" s="12" t="n">
        <f aca="false">SUM(AC5:AC300)</f>
        <v>602.25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205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205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205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205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205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205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203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203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201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201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46058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201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46059</v>
      </c>
      <c r="B16" s="2" t="s">
        <v>112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200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46061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198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46063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196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46065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194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98</v>
      </c>
      <c r="E20" s="5" t="s">
        <v>85</v>
      </c>
      <c r="F20" s="46" t="n">
        <v>48</v>
      </c>
      <c r="H20" s="6" t="n">
        <f aca="false">IF((F20&lt;&gt;0),F20-G20," ")</f>
        <v>48</v>
      </c>
      <c r="I20" s="5"/>
      <c r="L20" s="7" t="n">
        <f aca="false">IF(F20&lt;&gt;0,F20-K20," ")</f>
        <v>48</v>
      </c>
      <c r="M20" s="8" t="n">
        <f aca="false">IF((F20-K20)&lt;&gt;0,M$1-A20," ")</f>
        <v>192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48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46067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192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46067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192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191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191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46068</v>
      </c>
      <c r="B25" s="2" t="s">
        <v>117</v>
      </c>
      <c r="E25" s="5" t="s">
        <v>96</v>
      </c>
      <c r="F25" s="46" t="n">
        <v>360</v>
      </c>
      <c r="H25" s="6" t="n">
        <f aca="false">IF((F25&lt;&gt;0),F25-G25," ")</f>
        <v>360</v>
      </c>
      <c r="I25" s="5"/>
      <c r="L25" s="7" t="n">
        <f aca="false">IF(F25&lt;&gt;0,F25-K25," ")</f>
        <v>360</v>
      </c>
      <c r="M25" s="8" t="n">
        <f aca="false">IF((F25-K25)&lt;&gt;0,M$1-A25," ")</f>
        <v>191</v>
      </c>
      <c r="N25" s="5"/>
      <c r="O25" s="17" t="n">
        <f aca="false">IF((E25="s"),H25," ")</f>
        <v>360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138</v>
      </c>
      <c r="E26" s="5" t="s">
        <v>105</v>
      </c>
      <c r="F26" s="46" t="n">
        <v>240</v>
      </c>
      <c r="H26" s="6" t="n">
        <f aca="false">IF((F26&lt;&gt;0),F26-G26," ")</f>
        <v>240</v>
      </c>
      <c r="I26" s="5"/>
      <c r="L26" s="7" t="n">
        <f aca="false">IF(F26&lt;&gt;0,F26-K26," ")</f>
        <v>240</v>
      </c>
      <c r="M26" s="8" t="n">
        <f aca="false">IF((F26-K26)&lt;&gt;0,M$1-A26," ")</f>
        <v>188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n">
        <f aca="false">IF((E26="m"),H26," ")</f>
        <v>240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46071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188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186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46073</v>
      </c>
      <c r="B29" s="2" t="s">
        <v>139</v>
      </c>
      <c r="E29" s="5" t="s">
        <v>140</v>
      </c>
      <c r="F29" s="46" t="n">
        <v>800</v>
      </c>
      <c r="H29" s="6" t="n">
        <f aca="false">IF((F29&lt;&gt;0),F29-G29," ")</f>
        <v>800</v>
      </c>
      <c r="I29" s="5"/>
      <c r="L29" s="7" t="n">
        <f aca="false">IF(F29&lt;&gt;0,F29-K29," ")</f>
        <v>800</v>
      </c>
      <c r="M29" s="8" t="n">
        <f aca="false">IF((F29-K29)&lt;&gt;0,M$1-A29," ")</f>
        <v>186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n">
        <f aca="false">IF((E29="w"),H29," ")</f>
        <v>800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46073</v>
      </c>
      <c r="B30" s="2" t="s">
        <v>123</v>
      </c>
      <c r="E30" s="5" t="s">
        <v>96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186</v>
      </c>
      <c r="N30" s="5"/>
      <c r="O30" s="17" t="n">
        <f aca="false">IF((E30="s"),H30," ")</f>
        <v>180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46074</v>
      </c>
      <c r="B31" s="2" t="s">
        <v>106</v>
      </c>
      <c r="E31" s="5" t="s">
        <v>91</v>
      </c>
      <c r="F31" s="46" t="n">
        <v>8</v>
      </c>
      <c r="H31" s="6" t="n">
        <f aca="false">IF((F31&lt;&gt;0),F31-G31," ")</f>
        <v>8</v>
      </c>
      <c r="I31" s="5"/>
      <c r="L31" s="7" t="n">
        <f aca="false">IF(F31&lt;&gt;0,F31-K31," ")</f>
        <v>8</v>
      </c>
      <c r="M31" s="8" t="n">
        <f aca="false">IF((F31-K31)&lt;&gt;0,M$1-A31," ")</f>
        <v>185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8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46075</v>
      </c>
      <c r="B32" s="2" t="s">
        <v>107</v>
      </c>
      <c r="E32" s="5" t="s">
        <v>85</v>
      </c>
      <c r="F32" s="46" t="n">
        <v>18</v>
      </c>
      <c r="H32" s="6" t="n">
        <f aca="false">IF((F32&lt;&gt;0),F32-G32," ")</f>
        <v>18</v>
      </c>
      <c r="I32" s="5"/>
      <c r="L32" s="7" t="n">
        <f aca="false">IF(F32&lt;&gt;0,F32-K32," ")</f>
        <v>18</v>
      </c>
      <c r="M32" s="8" t="n">
        <f aca="false">IF((F32-K32)&lt;&gt;0,M$1-A32," ")</f>
        <v>184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18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181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46078</v>
      </c>
      <c r="B34" s="2" t="s">
        <v>109</v>
      </c>
      <c r="E34" s="5" t="s">
        <v>88</v>
      </c>
      <c r="F34" s="46" t="n">
        <v>38.25</v>
      </c>
      <c r="H34" s="6" t="n">
        <f aca="false">IF((F34&lt;&gt;0),F34-G34," ")</f>
        <v>38.25</v>
      </c>
      <c r="I34" s="5"/>
      <c r="L34" s="7" t="n">
        <f aca="false">IF(F34&lt;&gt;0,F34-K34," ")</f>
        <v>38.25</v>
      </c>
      <c r="M34" s="8" t="n">
        <f aca="false">IF((F34-K34)&lt;&gt;0,M$1-A34," ")</f>
        <v>181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38.25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46081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178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5275</v>
      </c>
      <c r="G1" s="12" t="n">
        <f aca="false">SUM(G5:G300)</f>
        <v>0</v>
      </c>
      <c r="H1" s="12" t="n">
        <f aca="false">SUM(H5:H300)</f>
        <v>5275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5275</v>
      </c>
      <c r="M1" s="16" t="n">
        <f aca="true">TODAY()</f>
        <v>46259</v>
      </c>
      <c r="N1" s="13"/>
      <c r="O1" s="12" t="n">
        <f aca="false">SUM(O5:O300)</f>
        <v>240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300</v>
      </c>
      <c r="V1" s="12" t="n">
        <f aca="false">SUM(V5:V300)</f>
        <v>96</v>
      </c>
      <c r="W1" s="12" t="n">
        <f aca="false">SUM(W5:W300)</f>
        <v>360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147</v>
      </c>
      <c r="AB1" s="12" t="n">
        <f aca="false">SUM(AB5:AB300)</f>
        <v>92</v>
      </c>
      <c r="AC1" s="12" t="n">
        <f aca="false">SUM(AC5:AC300)</f>
        <v>708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1768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46084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175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46082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177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46082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177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177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177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177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177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175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175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173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173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46089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170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46089</v>
      </c>
      <c r="B17" s="2" t="s">
        <v>113</v>
      </c>
      <c r="E17" s="5" t="s">
        <v>114</v>
      </c>
      <c r="F17" s="46" t="n">
        <v>360</v>
      </c>
      <c r="H17" s="6" t="n">
        <f aca="false">IF((F17&lt;&gt;0),F17-G17," ")</f>
        <v>360</v>
      </c>
      <c r="I17" s="5"/>
      <c r="L17" s="7" t="n">
        <f aca="false">IF(F17&lt;&gt;0,F17-K17," ")</f>
        <v>360</v>
      </c>
      <c r="M17" s="8" t="n">
        <f aca="false">IF((F17-K17)&lt;&gt;0,M$1-A17," ")</f>
        <v>170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360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46091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168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46091</v>
      </c>
      <c r="B19" s="2" t="s">
        <v>101</v>
      </c>
      <c r="E19" s="5" t="s">
        <v>122</v>
      </c>
      <c r="F19" s="46" t="n">
        <v>96</v>
      </c>
      <c r="H19" s="6" t="n">
        <f aca="false">IF((F19&lt;&gt;0),F19-G19," ")</f>
        <v>96</v>
      </c>
      <c r="I19" s="5"/>
      <c r="L19" s="7" t="n">
        <f aca="false">IF(F19&lt;&gt;0,F19-K19," ")</f>
        <v>96</v>
      </c>
      <c r="M19" s="8" t="n">
        <f aca="false">IF((F19-K19)&lt;&gt;0,M$1-A19," ")</f>
        <v>168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n">
        <f aca="false">IF((E19="t"),H19," ")</f>
        <v>96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46093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166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46095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164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46095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164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46096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163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46096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163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46096</v>
      </c>
      <c r="B25" s="2" t="s">
        <v>141</v>
      </c>
      <c r="E25" s="5" t="s">
        <v>110</v>
      </c>
      <c r="F25" s="46" t="n">
        <v>960</v>
      </c>
      <c r="H25" s="6" t="n">
        <f aca="false">IF((F25&lt;&gt;0),F25-G25," ")</f>
        <v>960</v>
      </c>
      <c r="I25" s="5"/>
      <c r="L25" s="7" t="n">
        <f aca="false">IF(F25&lt;&gt;0,F25-K25," ")</f>
        <v>960</v>
      </c>
      <c r="M25" s="8" t="n">
        <f aca="false">IF((F25-K25)&lt;&gt;0,M$1-A25," ")</f>
        <v>163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n">
        <f aca="false">IF((E25="l"),H25," ")</f>
        <v>960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46097</v>
      </c>
      <c r="B26" s="2" t="s">
        <v>120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162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46099</v>
      </c>
      <c r="B27" s="2" t="s">
        <v>129</v>
      </c>
      <c r="E27" s="5" t="s">
        <v>96</v>
      </c>
      <c r="F27" s="46" t="n">
        <v>240</v>
      </c>
      <c r="H27" s="6" t="n">
        <f aca="false">IF((F27&lt;&gt;0),F27-G27," ")</f>
        <v>240</v>
      </c>
      <c r="I27" s="5"/>
      <c r="L27" s="7" t="n">
        <f aca="false">IF(F27&lt;&gt;0,F27-K27," ")</f>
        <v>240</v>
      </c>
      <c r="M27" s="8" t="n">
        <f aca="false">IF((F27-K27)&lt;&gt;0,M$1-A27," ")</f>
        <v>160</v>
      </c>
      <c r="N27" s="5"/>
      <c r="O27" s="17" t="n">
        <f aca="false">IF((E27="s"),H27," ")</f>
        <v>240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46099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160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46101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158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46102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157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46103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156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46103</v>
      </c>
      <c r="B32" s="2" t="s">
        <v>124</v>
      </c>
      <c r="E32" s="5" t="s">
        <v>88</v>
      </c>
      <c r="F32" s="46" t="n">
        <v>72</v>
      </c>
      <c r="H32" s="6" t="n">
        <f aca="false">IF((F32&lt;&gt;0),F32-G32," ")</f>
        <v>72</v>
      </c>
      <c r="I32" s="5"/>
      <c r="L32" s="7" t="n">
        <f aca="false">IF(F32&lt;&gt;0,F32-K32," ")</f>
        <v>72</v>
      </c>
      <c r="M32" s="8" t="n">
        <f aca="false">IF((F32-K32)&lt;&gt;0,M$1-A32," ")</f>
        <v>156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72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46106</v>
      </c>
      <c r="B33" s="2" t="s">
        <v>130</v>
      </c>
      <c r="E33" s="5" t="s">
        <v>131</v>
      </c>
      <c r="F33" s="46" t="n">
        <v>300</v>
      </c>
      <c r="H33" s="6" t="n">
        <f aca="false">IF((F33&lt;&gt;0),F33-G33," ")</f>
        <v>300</v>
      </c>
      <c r="I33" s="5"/>
      <c r="L33" s="7" t="n">
        <f aca="false">IF(F33&lt;&gt;0,F33-K33," ")</f>
        <v>300</v>
      </c>
      <c r="M33" s="8" t="n">
        <f aca="false">IF((F33-K33)&lt;&gt;0,M$1-A33," ")</f>
        <v>153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n">
        <f aca="false">IF((E33="p"),H33," ")</f>
        <v>300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46106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153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46106</v>
      </c>
      <c r="B35" s="2" t="s">
        <v>109</v>
      </c>
      <c r="E35" s="5" t="s">
        <v>88</v>
      </c>
      <c r="F35" s="46" t="n">
        <v>72</v>
      </c>
      <c r="H35" s="6" t="n">
        <f aca="false">IF((F35&lt;&gt;0),F35-G35," ")</f>
        <v>72</v>
      </c>
      <c r="I35" s="5"/>
      <c r="L35" s="7" t="n">
        <f aca="false">IF(F35&lt;&gt;0,F35-K35," ")</f>
        <v>72</v>
      </c>
      <c r="M35" s="8" t="n">
        <f aca="false">IF((F35-K35)&lt;&gt;0,M$1-A35," ")</f>
        <v>153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72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46109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150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46111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148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46111</v>
      </c>
      <c r="B38" s="2" t="s">
        <v>111</v>
      </c>
      <c r="E38" s="5" t="s">
        <v>110</v>
      </c>
      <c r="F38" s="46" t="n">
        <v>208</v>
      </c>
      <c r="H38" s="6" t="n">
        <f aca="false">IF((F38&lt;&gt;0),F38-G38," ")</f>
        <v>208</v>
      </c>
      <c r="I38" s="5"/>
      <c r="L38" s="7" t="n">
        <f aca="false">IF(F38&lt;&gt;0,F38-K38," ")</f>
        <v>208</v>
      </c>
      <c r="M38" s="8" t="n">
        <f aca="false">IF((F38-K38)&lt;&gt;0,M$1-A38," ")</f>
        <v>148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208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42705.75</v>
      </c>
      <c r="G1" s="12" t="n">
        <f aca="false">SUM(G5:G300)</f>
        <v>0</v>
      </c>
      <c r="H1" s="12" t="n">
        <f aca="false">SUM(H5:H300)</f>
        <v>42705.75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42705.75</v>
      </c>
      <c r="M1" s="16" t="n">
        <f aca="true">TODAY()</f>
        <v>46259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96</v>
      </c>
      <c r="Y1" s="12" t="n">
        <f aca="false">SUM(Y5:Y300)</f>
        <v>151</v>
      </c>
      <c r="Z1" s="12" t="n">
        <f aca="false">SUM(Z5:Z300)</f>
        <v>3000</v>
      </c>
      <c r="AA1" s="12" t="n">
        <f aca="false">SUM(AA5:AA300)</f>
        <v>135</v>
      </c>
      <c r="AB1" s="12" t="n">
        <f aca="false">SUM(AB5:AB300)</f>
        <v>212</v>
      </c>
      <c r="AC1" s="12" t="n">
        <f aca="false">SUM(AC5:AC300)</f>
        <v>606.75</v>
      </c>
      <c r="AD1" s="12" t="n">
        <f aca="false">SUM(AD5:AD300)</f>
        <v>360</v>
      </c>
      <c r="AE1" s="12" t="n">
        <f aca="false">SUM(AE5:AE300)</f>
        <v>180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36000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146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146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146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146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142</v>
      </c>
      <c r="E9" s="5" t="s">
        <v>80</v>
      </c>
      <c r="F9" s="46" t="n">
        <v>360</v>
      </c>
      <c r="H9" s="6" t="n">
        <f aca="false">IF((F9&lt;&gt;0),F9-G9," ")</f>
        <v>360</v>
      </c>
      <c r="I9" s="5"/>
      <c r="L9" s="7" t="n">
        <f aca="false">IF(F9&lt;&gt;0,F9-K9," ")</f>
        <v>360</v>
      </c>
      <c r="M9" s="8" t="n">
        <f aca="false">IF((F9-K9)&lt;&gt;0,M$1-A9," ")</f>
        <v>146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360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146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46113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146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144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46115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144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142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142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46117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142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139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137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46122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137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46122</v>
      </c>
      <c r="B20" s="2" t="s">
        <v>95</v>
      </c>
      <c r="E20" s="5" t="s">
        <v>96</v>
      </c>
      <c r="F20" s="46" t="n">
        <v>480</v>
      </c>
      <c r="H20" s="6" t="n">
        <f aca="false">IF((F20&lt;&gt;0),F20-G20," ")</f>
        <v>480</v>
      </c>
      <c r="I20" s="5"/>
      <c r="L20" s="7" t="n">
        <f aca="false">IF(F20&lt;&gt;0,F20-K20," ")</f>
        <v>480</v>
      </c>
      <c r="M20" s="8" t="n">
        <f aca="false">IF((F20-K20)&lt;&gt;0,M$1-A20," ")</f>
        <v>137</v>
      </c>
      <c r="N20" s="5"/>
      <c r="O20" s="17" t="n">
        <f aca="false">IF((E20="s"),H20," ")</f>
        <v>480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46122</v>
      </c>
      <c r="B21" s="2" t="s">
        <v>115</v>
      </c>
      <c r="E21" s="5" t="s">
        <v>116</v>
      </c>
      <c r="F21" s="46" t="n">
        <v>1800</v>
      </c>
      <c r="H21" s="6" t="n">
        <f aca="false">IF((F21&lt;&gt;0),F21-G21," ")</f>
        <v>1800</v>
      </c>
      <c r="I21" s="5"/>
      <c r="L21" s="7" t="n">
        <f aca="false">IF(F21&lt;&gt;0,F21-K21," ")</f>
        <v>1800</v>
      </c>
      <c r="M21" s="8" t="n">
        <f aca="false">IF((F21-K21)&lt;&gt;0,M$1-A21," ")</f>
        <v>137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1800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46124</v>
      </c>
      <c r="B22" s="2" t="s">
        <v>97</v>
      </c>
      <c r="E22" s="5" t="s">
        <v>88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135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18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98</v>
      </c>
      <c r="E23" s="5" t="s">
        <v>85</v>
      </c>
      <c r="F23" s="46" t="n">
        <v>36</v>
      </c>
      <c r="H23" s="6" t="n">
        <f aca="false">IF((F23&lt;&gt;0),F23-G23," ")</f>
        <v>36</v>
      </c>
      <c r="I23" s="5"/>
      <c r="L23" s="7" t="n">
        <f aca="false">IF(F23&lt;&gt;0,F23-K23," ")</f>
        <v>36</v>
      </c>
      <c r="M23" s="8" t="n">
        <f aca="false">IF((F23-K23)&lt;&gt;0,M$1-A23," ")</f>
        <v>133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36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46126</v>
      </c>
      <c r="B24" s="2" t="s">
        <v>99</v>
      </c>
      <c r="E24" s="5" t="s">
        <v>91</v>
      </c>
      <c r="F24" s="46" t="n">
        <v>24</v>
      </c>
      <c r="H24" s="6" t="n">
        <f aca="false">IF((F24&lt;&gt;0),F24-G24," ")</f>
        <v>24</v>
      </c>
      <c r="I24" s="5"/>
      <c r="L24" s="7" t="n">
        <f aca="false">IF(F24&lt;&gt;0,F24-K24," ")</f>
        <v>24</v>
      </c>
      <c r="M24" s="8" t="n">
        <f aca="false">IF((F24-K24)&lt;&gt;0,M$1-A24," ")</f>
        <v>133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24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46126</v>
      </c>
      <c r="B25" s="2" t="s">
        <v>100</v>
      </c>
      <c r="E25" s="5" t="s">
        <v>91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133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12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46127</v>
      </c>
      <c r="B26" s="2" t="s">
        <v>20</v>
      </c>
      <c r="E26" s="5" t="s">
        <v>88</v>
      </c>
      <c r="F26" s="46" t="n">
        <v>150</v>
      </c>
      <c r="H26" s="6" t="n">
        <f aca="false">IF((F26&lt;&gt;0),F26-G26," ")</f>
        <v>150</v>
      </c>
      <c r="I26" s="5"/>
      <c r="L26" s="7" t="n">
        <f aca="false">IF(F26&lt;&gt;0,F26-K26," ")</f>
        <v>150</v>
      </c>
      <c r="M26" s="8" t="n">
        <f aca="false">IF((F26-K26)&lt;&gt;0,M$1-A26," ")</f>
        <v>132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150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46127</v>
      </c>
      <c r="B27" s="2" t="s">
        <v>101</v>
      </c>
      <c r="E27" s="5" t="s">
        <v>75</v>
      </c>
      <c r="F27" s="46" t="n">
        <v>12</v>
      </c>
      <c r="H27" s="6" t="n">
        <f aca="false">IF((F27&lt;&gt;0),F27-G27," ")</f>
        <v>12</v>
      </c>
      <c r="I27" s="5"/>
      <c r="L27" s="7" t="n">
        <f aca="false">IF(F27&lt;&gt;0,F27-K27," ")</f>
        <v>12</v>
      </c>
      <c r="M27" s="8" t="n">
        <f aca="false">IF((F27-K27)&lt;&gt;0,M$1-A27," ")</f>
        <v>132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12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46127</v>
      </c>
      <c r="B28" s="2" t="s">
        <v>143</v>
      </c>
      <c r="E28" s="5" t="s">
        <v>116</v>
      </c>
      <c r="F28" s="46" t="n">
        <v>1200</v>
      </c>
      <c r="H28" s="6" t="n">
        <f aca="false">IF((F28&lt;&gt;0),F28-G28," ")</f>
        <v>1200</v>
      </c>
      <c r="I28" s="5"/>
      <c r="L28" s="7" t="n">
        <f aca="false">IF(F28&lt;&gt;0,F28-K28," ")</f>
        <v>1200</v>
      </c>
      <c r="M28" s="8" t="n">
        <f aca="false">IF((F28-K28)&lt;&gt;0,M$1-A28," ")</f>
        <v>132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1200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46130</v>
      </c>
      <c r="B29" s="2" t="s">
        <v>128</v>
      </c>
      <c r="E29" s="5" t="s">
        <v>91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129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120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46130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129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46132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127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46132</v>
      </c>
      <c r="B32" s="2" t="s">
        <v>104</v>
      </c>
      <c r="E32" s="5" t="s">
        <v>105</v>
      </c>
      <c r="F32" s="46" t="n">
        <v>96</v>
      </c>
      <c r="H32" s="6" t="n">
        <f aca="false">IF((F32&lt;&gt;0),F32-G32," ")</f>
        <v>96</v>
      </c>
      <c r="I32" s="5"/>
      <c r="L32" s="7" t="n">
        <f aca="false">IF(F32&lt;&gt;0,F32-K32," ")</f>
        <v>96</v>
      </c>
      <c r="M32" s="8" t="n">
        <f aca="false">IF((F32-K32)&lt;&gt;0,M$1-A32," ")</f>
        <v>127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96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46133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126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46134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125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122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46137</v>
      </c>
      <c r="B36" s="2" t="s">
        <v>109</v>
      </c>
      <c r="E36" s="5" t="s">
        <v>88</v>
      </c>
      <c r="F36" s="46" t="n">
        <v>42.75</v>
      </c>
      <c r="H36" s="6" t="n">
        <f aca="false">IF((F36&lt;&gt;0),F36-G36," ")</f>
        <v>42.75</v>
      </c>
      <c r="I36" s="5"/>
      <c r="L36" s="7" t="n">
        <f aca="false">IF(F36&lt;&gt;0,F36-K36," ")</f>
        <v>42.75</v>
      </c>
      <c r="M36" s="8" t="n">
        <f aca="false">IF((F36-K36)&lt;&gt;0,M$1-A36," ")</f>
        <v>122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42.75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46137</v>
      </c>
      <c r="B37" s="2" t="s">
        <v>144</v>
      </c>
      <c r="E37" s="5" t="s">
        <v>119</v>
      </c>
      <c r="F37" s="46" t="n">
        <v>36000</v>
      </c>
      <c r="H37" s="6" t="n">
        <f aca="false">IF((F37&lt;&gt;0),F37-G37," ")</f>
        <v>36000</v>
      </c>
      <c r="I37" s="5"/>
      <c r="L37" s="7" t="n">
        <f aca="false">IF(F37&lt;&gt;0,F37-K37," ")</f>
        <v>36000</v>
      </c>
      <c r="M37" s="8" t="n">
        <f aca="false">IF((F37-K37)&lt;&gt;0,M$1-A37," ")</f>
        <v>122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36000</v>
      </c>
    </row>
    <row r="38" customFormat="false" ht="12" hidden="false" customHeight="false" outlineLevel="0" collapsed="false">
      <c r="A38" s="28" t="n">
        <v>46140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119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7218</v>
      </c>
      <c r="G1" s="12" t="n">
        <f aca="false">SUM(G5:G300)</f>
        <v>0</v>
      </c>
      <c r="H1" s="12" t="n">
        <f aca="false">SUM(H5:H300)</f>
        <v>7218</v>
      </c>
      <c r="I1" s="13"/>
      <c r="J1" s="14" t="s">
        <v>2</v>
      </c>
      <c r="K1" s="15" t="n">
        <f aca="false">SUM(K5:K300)</f>
        <v>0</v>
      </c>
      <c r="L1" s="15" t="n">
        <f aca="false">SUM(L5:L300)</f>
        <v>7218</v>
      </c>
      <c r="M1" s="16" t="n">
        <f aca="true">TODAY()</f>
        <v>46259</v>
      </c>
      <c r="N1" s="13"/>
      <c r="O1" s="12" t="n">
        <f aca="false">SUM(O5:O300)</f>
        <v>840</v>
      </c>
      <c r="P1" s="12" t="n">
        <f aca="false">SUM(P5:P300)</f>
        <v>3000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240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165</v>
      </c>
      <c r="AB1" s="12" t="n">
        <f aca="false">SUM(AB5:AB300)</f>
        <v>164</v>
      </c>
      <c r="AC1" s="12" t="n">
        <f aca="false">SUM(AC5:AC300)</f>
        <v>645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600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116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116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116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116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116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116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46143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116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114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46145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114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112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46147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112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46148</v>
      </c>
      <c r="B16" s="2" t="s">
        <v>112</v>
      </c>
      <c r="E16" s="5" t="s">
        <v>91</v>
      </c>
      <c r="F16" s="46" t="n">
        <v>72</v>
      </c>
      <c r="H16" s="6" t="n">
        <f aca="false">IF((F16&lt;&gt;0),F16-G16," ")</f>
        <v>72</v>
      </c>
      <c r="I16" s="5"/>
      <c r="L16" s="7" t="n">
        <f aca="false">IF(F16&lt;&gt;0,F16-K16," ")</f>
        <v>72</v>
      </c>
      <c r="M16" s="8" t="n">
        <f aca="false">IF((F16-K16)&lt;&gt;0,M$1-A16," ")</f>
        <v>111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72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46150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109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107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46154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105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46156</v>
      </c>
      <c r="B20" s="2" t="s">
        <v>99</v>
      </c>
      <c r="E20" s="5" t="s">
        <v>91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103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24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46156</v>
      </c>
      <c r="B21" s="2" t="s">
        <v>100</v>
      </c>
      <c r="E21" s="5" t="s">
        <v>91</v>
      </c>
      <c r="F21" s="46" t="n">
        <v>12</v>
      </c>
      <c r="H21" s="6" t="n">
        <f aca="false">IF((F21&lt;&gt;0),F21-G21," ")</f>
        <v>12</v>
      </c>
      <c r="I21" s="5"/>
      <c r="L21" s="7" t="n">
        <f aca="false">IF(F21&lt;&gt;0,F21-K21," ")</f>
        <v>12</v>
      </c>
      <c r="M21" s="8" t="n">
        <f aca="false">IF((F21-K21)&lt;&gt;0,M$1-A21," ")</f>
        <v>103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12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46157</v>
      </c>
      <c r="B22" s="2" t="s">
        <v>20</v>
      </c>
      <c r="E22" s="5" t="s">
        <v>88</v>
      </c>
      <c r="F22" s="46" t="n">
        <v>150</v>
      </c>
      <c r="H22" s="6" t="n">
        <f aca="false">IF((F22&lt;&gt;0),F22-G22," ")</f>
        <v>150</v>
      </c>
      <c r="I22" s="5"/>
      <c r="L22" s="7" t="n">
        <f aca="false">IF(F22&lt;&gt;0,F22-K22," ")</f>
        <v>150</v>
      </c>
      <c r="M22" s="8" t="n">
        <f aca="false">IF((F22-K22)&lt;&gt;0,M$1-A22," ")</f>
        <v>102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150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46157</v>
      </c>
      <c r="B23" s="2" t="s">
        <v>101</v>
      </c>
      <c r="E23" s="5" t="s">
        <v>75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102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12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46157</v>
      </c>
      <c r="B24" s="2" t="s">
        <v>117</v>
      </c>
      <c r="E24" s="5" t="s">
        <v>96</v>
      </c>
      <c r="F24" s="46" t="n">
        <v>540</v>
      </c>
      <c r="H24" s="6" t="n">
        <f aca="false">IF((F24&lt;&gt;0),F24-G24," ")</f>
        <v>540</v>
      </c>
      <c r="I24" s="5"/>
      <c r="L24" s="7" t="n">
        <f aca="false">IF(F24&lt;&gt;0,F24-K24," ")</f>
        <v>540</v>
      </c>
      <c r="M24" s="8" t="n">
        <f aca="false">IF((F24-K24)&lt;&gt;0,M$1-A24," ")</f>
        <v>102</v>
      </c>
      <c r="N24" s="5"/>
      <c r="O24" s="17" t="n">
        <f aca="false">IF((E24="s"),H24," ")</f>
        <v>540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46157</v>
      </c>
      <c r="B25" s="2" t="s">
        <v>126</v>
      </c>
      <c r="E25" s="5" t="s">
        <v>127</v>
      </c>
      <c r="F25" s="46" t="n">
        <v>3000</v>
      </c>
      <c r="H25" s="6" t="n">
        <f aca="false">IF((F25&lt;&gt;0),F25-G25," ")</f>
        <v>3000</v>
      </c>
      <c r="I25" s="5"/>
      <c r="L25" s="7" t="n">
        <f aca="false">IF(F25&lt;&gt;0,F25-K25," ")</f>
        <v>3000</v>
      </c>
      <c r="M25" s="8" t="n">
        <f aca="false">IF((F25-K25)&lt;&gt;0,M$1-A25," ")</f>
        <v>102</v>
      </c>
      <c r="N25" s="5"/>
      <c r="O25" s="17" t="str">
        <f aca="false">IF((E25="s"),H25," ")</f>
        <v> </v>
      </c>
      <c r="P25" s="17" t="n">
        <f aca="false">IF((E25="c"),H25," ")</f>
        <v>3000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46158</v>
      </c>
      <c r="B26" s="2" t="s">
        <v>120</v>
      </c>
      <c r="E26" s="5" t="s">
        <v>75</v>
      </c>
      <c r="F26" s="46" t="n">
        <v>30</v>
      </c>
      <c r="H26" s="6" t="n">
        <f aca="false">IF((F26&lt;&gt;0),F26-G26," ")</f>
        <v>30</v>
      </c>
      <c r="I26" s="5"/>
      <c r="L26" s="7" t="n">
        <f aca="false">IF(F26&lt;&gt;0,F26-K26," ")</f>
        <v>30</v>
      </c>
      <c r="M26" s="8" t="n">
        <f aca="false">IF((F26-K26)&lt;&gt;0,M$1-A26," ")</f>
        <v>101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30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46160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99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46162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97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46162</v>
      </c>
      <c r="B29" s="2" t="s">
        <v>121</v>
      </c>
      <c r="E29" s="5" t="s">
        <v>122</v>
      </c>
      <c r="F29" s="46" t="n">
        <v>240</v>
      </c>
      <c r="H29" s="6" t="n">
        <f aca="false">IF((F29&lt;&gt;0),F29-G29," ")</f>
        <v>240</v>
      </c>
      <c r="I29" s="5"/>
      <c r="L29" s="7" t="n">
        <f aca="false">IF(F29&lt;&gt;0,F29-K29," ")</f>
        <v>240</v>
      </c>
      <c r="M29" s="8" t="n">
        <f aca="false">IF((F29-K29)&lt;&gt;0,M$1-A29," ")</f>
        <v>97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n">
        <f aca="false">IF((E29="t"),H29," ")</f>
        <v>240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46162</v>
      </c>
      <c r="B30" s="2" t="s">
        <v>123</v>
      </c>
      <c r="E30" s="5" t="s">
        <v>96</v>
      </c>
      <c r="F30" s="46" t="n">
        <v>300</v>
      </c>
      <c r="H30" s="6" t="n">
        <f aca="false">IF((F30&lt;&gt;0),F30-G30," ")</f>
        <v>300</v>
      </c>
      <c r="I30" s="5"/>
      <c r="L30" s="7" t="n">
        <f aca="false">IF(F30&lt;&gt;0,F30-K30," ")</f>
        <v>300</v>
      </c>
      <c r="M30" s="8" t="n">
        <f aca="false">IF((F30-K30)&lt;&gt;0,M$1-A30," ")</f>
        <v>97</v>
      </c>
      <c r="N30" s="5"/>
      <c r="O30" s="17" t="n">
        <f aca="false">IF((E30="s"),H30," ")</f>
        <v>300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46163</v>
      </c>
      <c r="B31" s="2" t="s">
        <v>106</v>
      </c>
      <c r="E31" s="5" t="s">
        <v>91</v>
      </c>
      <c r="F31" s="46" t="n">
        <v>8</v>
      </c>
      <c r="H31" s="6" t="n">
        <f aca="false">IF((F31&lt;&gt;0),F31-G31," ")</f>
        <v>8</v>
      </c>
      <c r="I31" s="5"/>
      <c r="L31" s="7" t="n">
        <f aca="false">IF(F31&lt;&gt;0,F31-K31," ")</f>
        <v>8</v>
      </c>
      <c r="M31" s="8" t="n">
        <f aca="false">IF((F31-K31)&lt;&gt;0,M$1-A31," ")</f>
        <v>96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8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46164</v>
      </c>
      <c r="B32" s="2" t="s">
        <v>107</v>
      </c>
      <c r="E32" s="5" t="s">
        <v>85</v>
      </c>
      <c r="F32" s="46" t="n">
        <v>18</v>
      </c>
      <c r="H32" s="6" t="n">
        <f aca="false">IF((F32&lt;&gt;0),F32-G32," ")</f>
        <v>18</v>
      </c>
      <c r="I32" s="5"/>
      <c r="L32" s="7" t="n">
        <f aca="false">IF(F32&lt;&gt;0,F32-K32," ")</f>
        <v>18</v>
      </c>
      <c r="M32" s="8" t="n">
        <f aca="false">IF((F32-K32)&lt;&gt;0,M$1-A32," ")</f>
        <v>95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18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46167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92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46167</v>
      </c>
      <c r="B34" s="2" t="s">
        <v>109</v>
      </c>
      <c r="E34" s="5" t="s">
        <v>88</v>
      </c>
      <c r="F34" s="46" t="n">
        <v>81</v>
      </c>
      <c r="H34" s="6" t="n">
        <f aca="false">IF((F34&lt;&gt;0),F34-G34," ")</f>
        <v>81</v>
      </c>
      <c r="I34" s="5"/>
      <c r="L34" s="7" t="n">
        <f aca="false">IF(F34&lt;&gt;0,F34-K34," ")</f>
        <v>81</v>
      </c>
      <c r="M34" s="8" t="n">
        <f aca="false">IF((F34-K34)&lt;&gt;0,M$1-A34," ")</f>
        <v>92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81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46170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89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46172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87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3984.5</v>
      </c>
      <c r="G1" s="12" t="n">
        <f aca="false">SUM(G5:G300)</f>
        <v>0</v>
      </c>
      <c r="H1" s="12" t="n">
        <f aca="false">SUM(H5:H300)</f>
        <v>3984.5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3984.5</v>
      </c>
      <c r="M1" s="16" t="n">
        <f aca="true">TODAY()</f>
        <v>46259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420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139</v>
      </c>
      <c r="Z1" s="12" t="n">
        <f aca="false">SUM(Z5:Z300)</f>
        <v>0</v>
      </c>
      <c r="AA1" s="12" t="n">
        <f aca="false">SUM(AA5:AA300)</f>
        <v>255</v>
      </c>
      <c r="AB1" s="12" t="n">
        <f aca="false">SUM(AB5:AB300)</f>
        <v>92</v>
      </c>
      <c r="AC1" s="12" t="n">
        <f aca="false">SUM(AC5:AC300)</f>
        <v>613.5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500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46174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85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46174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85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46174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85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46174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85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46174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85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46174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85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46176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83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46176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83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46178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81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46178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81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46178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81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46181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78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46183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76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46183</v>
      </c>
      <c r="B18" s="2" t="s">
        <v>125</v>
      </c>
      <c r="E18" s="5" t="s">
        <v>75</v>
      </c>
      <c r="F18" s="46" t="n">
        <v>120</v>
      </c>
      <c r="H18" s="6" t="n">
        <f aca="false">IF((F18&lt;&gt;0),F18-G18," ")</f>
        <v>120</v>
      </c>
      <c r="I18" s="5"/>
      <c r="L18" s="7" t="n">
        <f aca="false">IF(F18&lt;&gt;0,F18-K18," ")</f>
        <v>120</v>
      </c>
      <c r="M18" s="8" t="n">
        <f aca="false">IF((F18-K18)&lt;&gt;0,M$1-A18," ")</f>
        <v>76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120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46185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74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46187</v>
      </c>
      <c r="B20" s="2" t="s">
        <v>98</v>
      </c>
      <c r="E20" s="5" t="s">
        <v>85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72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24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46187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72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46187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72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46188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71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46188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71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46188</v>
      </c>
      <c r="B25" s="2" t="s">
        <v>145</v>
      </c>
      <c r="E25" s="5" t="s">
        <v>146</v>
      </c>
      <c r="F25" s="46" t="n">
        <v>500</v>
      </c>
      <c r="H25" s="6" t="n">
        <f aca="false">IF((F25&lt;&gt;0),F25-G25," ")</f>
        <v>500</v>
      </c>
      <c r="I25" s="5"/>
      <c r="L25" s="7" t="n">
        <f aca="false">IF(F25&lt;&gt;0,F25-K25," ")</f>
        <v>500</v>
      </c>
      <c r="M25" s="8" t="n">
        <f aca="false">IF((F25-K25)&lt;&gt;0,M$1-A25," ")</f>
        <v>71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500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46191</v>
      </c>
      <c r="B26" s="2" t="s">
        <v>129</v>
      </c>
      <c r="E26" s="5" t="s">
        <v>96</v>
      </c>
      <c r="F26" s="46" t="n">
        <v>480</v>
      </c>
      <c r="H26" s="6" t="n">
        <f aca="false">IF((F26&lt;&gt;0),F26-G26," ")</f>
        <v>480</v>
      </c>
      <c r="I26" s="5"/>
      <c r="L26" s="7" t="n">
        <f aca="false">IF(F26&lt;&gt;0,F26-K26," ")</f>
        <v>480</v>
      </c>
      <c r="M26" s="8" t="n">
        <f aca="false">IF((F26-K26)&lt;&gt;0,M$1-A26," ")</f>
        <v>68</v>
      </c>
      <c r="N26" s="5"/>
      <c r="O26" s="17" t="n">
        <f aca="false">IF((E26="s"),H26," ")</f>
        <v>480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46191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68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46193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66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46194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65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46195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64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46198</v>
      </c>
      <c r="B31" s="2" t="s">
        <v>130</v>
      </c>
      <c r="E31" s="5" t="s">
        <v>131</v>
      </c>
      <c r="F31" s="46" t="n">
        <v>420</v>
      </c>
      <c r="H31" s="6" t="n">
        <f aca="false">IF((F31&lt;&gt;0),F31-G31," ")</f>
        <v>420</v>
      </c>
      <c r="I31" s="5"/>
      <c r="L31" s="7" t="n">
        <f aca="false">IF(F31&lt;&gt;0,F31-K31," ")</f>
        <v>420</v>
      </c>
      <c r="M31" s="8" t="n">
        <f aca="false">IF((F31-K31)&lt;&gt;0,M$1-A31," ")</f>
        <v>61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420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46198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61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46198</v>
      </c>
      <c r="B33" s="2" t="s">
        <v>109</v>
      </c>
      <c r="E33" s="5" t="s">
        <v>88</v>
      </c>
      <c r="F33" s="46" t="n">
        <v>49.5</v>
      </c>
      <c r="H33" s="6" t="n">
        <f aca="false">IF((F33&lt;&gt;0),F33-G33," ")</f>
        <v>49.5</v>
      </c>
      <c r="I33" s="5"/>
      <c r="L33" s="7" t="n">
        <f aca="false">IF(F33&lt;&gt;0,F33-K33," ")</f>
        <v>49.5</v>
      </c>
      <c r="M33" s="8" t="n">
        <f aca="false">IF((F33-K33)&lt;&gt;0,M$1-A33," ")</f>
        <v>61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49.5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46201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58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9978.25</v>
      </c>
      <c r="G1" s="12" t="n">
        <f aca="false">SUM(G5:G300)</f>
        <v>0</v>
      </c>
      <c r="H1" s="12" t="n">
        <f aca="false">SUM(H5:H300)</f>
        <v>9978.25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9978.25</v>
      </c>
      <c r="M1" s="16" t="n">
        <f aca="true">TODAY()</f>
        <v>46259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5000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180</v>
      </c>
      <c r="X1" s="12" t="n">
        <f aca="false">SUM(X5:X300)</f>
        <v>144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153</v>
      </c>
      <c r="AB1" s="12" t="n">
        <f aca="false">SUM(AB5:AB300)</f>
        <v>92</v>
      </c>
      <c r="AC1" s="12" t="n">
        <f aca="false">SUM(AC5:AC300)</f>
        <v>638.25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767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46204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55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46204</v>
      </c>
      <c r="B6" s="2" t="s">
        <v>147</v>
      </c>
      <c r="E6" s="5" t="s">
        <v>148</v>
      </c>
      <c r="F6" s="46" t="n">
        <v>5000</v>
      </c>
      <c r="H6" s="6" t="n">
        <f aca="false">IF((F6&lt;&gt;0),F6-G6," ")</f>
        <v>5000</v>
      </c>
      <c r="I6" s="5"/>
      <c r="L6" s="7" t="n">
        <f aca="false">IF(F6&lt;&gt;0,F6-K6," ")</f>
        <v>5000</v>
      </c>
      <c r="M6" s="8" t="n">
        <f aca="false">IF((F6-K6)&lt;&gt;0,M$1-A6," ")</f>
        <v>55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n">
        <f aca="false">IF((E6="d"),H6," ")</f>
        <v>5000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46204</v>
      </c>
      <c r="B7" s="2" t="s">
        <v>111</v>
      </c>
      <c r="E7" s="5" t="s">
        <v>110</v>
      </c>
      <c r="F7" s="46" t="n">
        <v>167</v>
      </c>
      <c r="H7" s="6" t="n">
        <f aca="false">IF((F7&lt;&gt;0),F7-G7," ")</f>
        <v>167</v>
      </c>
      <c r="I7" s="5"/>
      <c r="L7" s="7" t="n">
        <f aca="false">IF(F7&lt;&gt;0,F7-K7," ")</f>
        <v>167</v>
      </c>
      <c r="M7" s="8" t="n">
        <f aca="false">IF((F7-K7)&lt;&gt;0,M$1-A7," ")</f>
        <v>55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n">
        <f aca="false">IF((E7="l"),H7," ")</f>
        <v>167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46204</v>
      </c>
      <c r="B8" s="2" t="s">
        <v>14</v>
      </c>
      <c r="E8" s="5" t="s">
        <v>73</v>
      </c>
      <c r="F8" s="46" t="n">
        <v>1200</v>
      </c>
      <c r="H8" s="6" t="n">
        <f aca="false">IF((F8&lt;&gt;0),F8-G8," ")</f>
        <v>1200</v>
      </c>
      <c r="I8" s="5"/>
      <c r="L8" s="7" t="n">
        <f aca="false">IF(F8&lt;&gt;0,F8-K8," ")</f>
        <v>1200</v>
      </c>
      <c r="M8" s="8" t="n">
        <f aca="false">IF((F8-K8)&lt;&gt;0,M$1-A8," ")</f>
        <v>55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n">
        <f aca="false">IF((E8="r"),H8," ")</f>
        <v>1200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46204</v>
      </c>
      <c r="B9" s="2" t="s">
        <v>74</v>
      </c>
      <c r="E9" s="5" t="s">
        <v>75</v>
      </c>
      <c r="F9" s="46" t="n">
        <v>30</v>
      </c>
      <c r="H9" s="6" t="n">
        <f aca="false">IF((F9&lt;&gt;0),F9-G9," ")</f>
        <v>30</v>
      </c>
      <c r="I9" s="5"/>
      <c r="L9" s="7" t="n">
        <f aca="false">IF(F9&lt;&gt;0,F9-K9," ")</f>
        <v>30</v>
      </c>
      <c r="M9" s="8" t="n">
        <f aca="false">IF((F9-K9)&lt;&gt;0,M$1-A9," ")</f>
        <v>55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n">
        <f aca="false">IF((E9="g"),H9," ")</f>
        <v>30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46204</v>
      </c>
      <c r="B10" s="2" t="s">
        <v>76</v>
      </c>
      <c r="E10" s="5" t="s">
        <v>75</v>
      </c>
      <c r="F10" s="46" t="n">
        <v>15</v>
      </c>
      <c r="H10" s="6" t="n">
        <f aca="false">IF((F10&lt;&gt;0),F10-G10," ")</f>
        <v>15</v>
      </c>
      <c r="I10" s="5"/>
      <c r="L10" s="7" t="n">
        <f aca="false">IF(F10&lt;&gt;0,F10-K10," ")</f>
        <v>15</v>
      </c>
      <c r="M10" s="8" t="n">
        <f aca="false">IF((F10-K10)&lt;&gt;0,M$1-A10," ")</f>
        <v>55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46204</v>
      </c>
      <c r="B11" s="2" t="s">
        <v>77</v>
      </c>
      <c r="E11" s="5" t="s">
        <v>78</v>
      </c>
      <c r="F11" s="46" t="n">
        <v>45</v>
      </c>
      <c r="H11" s="6" t="n">
        <f aca="false">IF((F11&lt;&gt;0),F11-G11," ")</f>
        <v>45</v>
      </c>
      <c r="I11" s="5"/>
      <c r="L11" s="7" t="n">
        <f aca="false">IF(F11&lt;&gt;0,F11-K11," ")</f>
        <v>45</v>
      </c>
      <c r="M11" s="8" t="n">
        <f aca="false">IF((F11-K11)&lt;&gt;0,M$1-A11," ")</f>
        <v>55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45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46204</v>
      </c>
      <c r="B12" s="2" t="s">
        <v>81</v>
      </c>
      <c r="E12" s="5" t="s">
        <v>78</v>
      </c>
      <c r="F12" s="46" t="n">
        <v>24</v>
      </c>
      <c r="H12" s="6" t="n">
        <f aca="false">IF((F12&lt;&gt;0),F12-G12," ")</f>
        <v>24</v>
      </c>
      <c r="I12" s="5"/>
      <c r="L12" s="7" t="n">
        <f aca="false">IF(F12&lt;&gt;0,F12-K12," ")</f>
        <v>24</v>
      </c>
      <c r="M12" s="8" t="n">
        <f aca="false">IF((F12-K12)&lt;&gt;0,M$1-A12," ")</f>
        <v>55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24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46204</v>
      </c>
      <c r="B13" s="2" t="s">
        <v>82</v>
      </c>
      <c r="E13" s="5" t="s">
        <v>75</v>
      </c>
      <c r="F13" s="46" t="n">
        <v>18</v>
      </c>
      <c r="H13" s="6" t="n">
        <f aca="false">IF((F13&lt;&gt;0),F13-G13," ")</f>
        <v>18</v>
      </c>
      <c r="I13" s="5"/>
      <c r="L13" s="7" t="n">
        <f aca="false">IF(F13&lt;&gt;0,F13-K13," ")</f>
        <v>18</v>
      </c>
      <c r="M13" s="8" t="n">
        <f aca="false">IF((F13-K13)&lt;&gt;0,M$1-A13," ")</f>
        <v>55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n">
        <f aca="false">IF((E13="g"),H13," ")</f>
        <v>18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46206</v>
      </c>
      <c r="B14" s="2" t="s">
        <v>83</v>
      </c>
      <c r="E14" s="5" t="s">
        <v>78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53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n">
        <f aca="false">IF((E14="o"),H14," ")</f>
        <v>180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46206</v>
      </c>
      <c r="B15" s="2" t="s">
        <v>84</v>
      </c>
      <c r="E15" s="5" t="s">
        <v>85</v>
      </c>
      <c r="F15" s="46" t="n">
        <v>22</v>
      </c>
      <c r="H15" s="6" t="n">
        <f aca="false">IF((F15&lt;&gt;0),F15-G15," ")</f>
        <v>22</v>
      </c>
      <c r="I15" s="5"/>
      <c r="L15" s="7" t="n">
        <f aca="false">IF(F15&lt;&gt;0,F15-K15," ")</f>
        <v>22</v>
      </c>
      <c r="M15" s="8" t="n">
        <f aca="false">IF((F15-K15)&lt;&gt;0,M$1-A15," ")</f>
        <v>53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n">
        <f aca="false">IF((E15="u"),H15," ")</f>
        <v>22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46208</v>
      </c>
      <c r="B16" s="2" t="s">
        <v>86</v>
      </c>
      <c r="E16" s="5" t="s">
        <v>85</v>
      </c>
      <c r="F16" s="46" t="n">
        <v>24</v>
      </c>
      <c r="H16" s="6" t="n">
        <f aca="false">IF((F16&lt;&gt;0),F16-G16," ")</f>
        <v>24</v>
      </c>
      <c r="I16" s="5"/>
      <c r="L16" s="7" t="n">
        <f aca="false">IF(F16&lt;&gt;0,F16-K16," ")</f>
        <v>24</v>
      </c>
      <c r="M16" s="8" t="n">
        <f aca="false">IF((F16-K16)&lt;&gt;0,M$1-A16," ")</f>
        <v>51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24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46208</v>
      </c>
      <c r="B17" s="2" t="s">
        <v>134</v>
      </c>
      <c r="E17" s="5" t="s">
        <v>116</v>
      </c>
      <c r="F17" s="46" t="n">
        <v>480</v>
      </c>
      <c r="H17" s="6" t="n">
        <f aca="false">IF((F17&lt;&gt;0),F17-G17," ")</f>
        <v>480</v>
      </c>
      <c r="I17" s="5"/>
      <c r="L17" s="7" t="n">
        <f aca="false">IF(F17&lt;&gt;0,F17-K17," ")</f>
        <v>480</v>
      </c>
      <c r="M17" s="8" t="n">
        <f aca="false">IF((F17-K17)&lt;&gt;0,M$1-A17," ")</f>
        <v>51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n">
        <f aca="false">IF((E17="a"),H17," ")</f>
        <v>480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46208</v>
      </c>
      <c r="B18" s="2" t="s">
        <v>87</v>
      </c>
      <c r="E18" s="5" t="s">
        <v>88</v>
      </c>
      <c r="F18" s="46" t="n">
        <v>180</v>
      </c>
      <c r="H18" s="6" t="n">
        <f aca="false">IF((F18&lt;&gt;0),F18-G18," ")</f>
        <v>180</v>
      </c>
      <c r="I18" s="5"/>
      <c r="L18" s="7" t="n">
        <f aca="false">IF(F18&lt;&gt;0,F18-K18," ")</f>
        <v>180</v>
      </c>
      <c r="M18" s="8" t="n">
        <f aca="false">IF((F18-K18)&lt;&gt;0,M$1-A18," ")</f>
        <v>51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180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46211</v>
      </c>
      <c r="B19" s="2" t="s">
        <v>90</v>
      </c>
      <c r="E19" s="5" t="s">
        <v>91</v>
      </c>
      <c r="F19" s="46" t="n">
        <v>48</v>
      </c>
      <c r="H19" s="6" t="n">
        <f aca="false">IF((F19&lt;&gt;0),F19-G19," ")</f>
        <v>48</v>
      </c>
      <c r="I19" s="5"/>
      <c r="L19" s="7" t="n">
        <f aca="false">IF(F19&lt;&gt;0,F19-K19," ")</f>
        <v>48</v>
      </c>
      <c r="M19" s="8" t="n">
        <f aca="false">IF((F19-K19)&lt;&gt;0,M$1-A19," ")</f>
        <v>48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48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46211</v>
      </c>
      <c r="B20" s="2" t="s">
        <v>113</v>
      </c>
      <c r="E20" s="5" t="s">
        <v>114</v>
      </c>
      <c r="F20" s="46" t="n">
        <v>180</v>
      </c>
      <c r="H20" s="6" t="n">
        <f aca="false">IF((F20&lt;&gt;0),F20-G20," ")</f>
        <v>180</v>
      </c>
      <c r="I20" s="5"/>
      <c r="L20" s="7" t="n">
        <f aca="false">IF(F20&lt;&gt;0,F20-K20," ")</f>
        <v>180</v>
      </c>
      <c r="M20" s="8" t="n">
        <f aca="false">IF((F20-K20)&lt;&gt;0,M$1-A20," ")</f>
        <v>48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180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46213</v>
      </c>
      <c r="B21" s="2" t="s">
        <v>92</v>
      </c>
      <c r="E21" s="5" t="s">
        <v>85</v>
      </c>
      <c r="F21" s="46" t="n">
        <v>36</v>
      </c>
      <c r="H21" s="6" t="n">
        <f aca="false">IF((F21&lt;&gt;0),F21-G21," ")</f>
        <v>36</v>
      </c>
      <c r="I21" s="5"/>
      <c r="L21" s="7" t="n">
        <f aca="false">IF(F21&lt;&gt;0,F21-K21," ")</f>
        <v>36</v>
      </c>
      <c r="M21" s="8" t="n">
        <f aca="false">IF((F21-K21)&lt;&gt;0,M$1-A21," ")</f>
        <v>46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36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46213</v>
      </c>
      <c r="B22" s="2" t="s">
        <v>93</v>
      </c>
      <c r="E22" s="5" t="s">
        <v>94</v>
      </c>
      <c r="F22" s="46" t="n">
        <v>180</v>
      </c>
      <c r="H22" s="6" t="n">
        <f aca="false">IF((F22&lt;&gt;0),F22-G22," ")</f>
        <v>180</v>
      </c>
      <c r="I22" s="5"/>
      <c r="L22" s="7" t="n">
        <f aca="false">IF(F22&lt;&gt;0,F22-K22," ")</f>
        <v>180</v>
      </c>
      <c r="M22" s="8" t="n">
        <f aca="false">IF((F22-K22)&lt;&gt;0,M$1-A22," ")</f>
        <v>46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n">
        <f aca="false">IF((E22="f"),H22," ")</f>
        <v>180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46213</v>
      </c>
      <c r="B23" s="2" t="s">
        <v>95</v>
      </c>
      <c r="E23" s="5" t="s">
        <v>96</v>
      </c>
      <c r="F23" s="46" t="n">
        <v>600</v>
      </c>
      <c r="H23" s="6" t="n">
        <f aca="false">IF((F23&lt;&gt;0),F23-G23," ")</f>
        <v>600</v>
      </c>
      <c r="I23" s="5"/>
      <c r="L23" s="7" t="n">
        <f aca="false">IF(F23&lt;&gt;0,F23-K23," ")</f>
        <v>600</v>
      </c>
      <c r="M23" s="8" t="n">
        <f aca="false">IF((F23-K23)&lt;&gt;0,M$1-A23," ")</f>
        <v>46</v>
      </c>
      <c r="N23" s="5"/>
      <c r="O23" s="17" t="n">
        <f aca="false">IF((E23="s"),H23," ")</f>
        <v>600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46215</v>
      </c>
      <c r="B24" s="2" t="s">
        <v>97</v>
      </c>
      <c r="E24" s="5" t="s">
        <v>88</v>
      </c>
      <c r="F24" s="46" t="n">
        <v>18</v>
      </c>
      <c r="H24" s="6" t="n">
        <f aca="false">IF((F24&lt;&gt;0),F24-G24," ")</f>
        <v>18</v>
      </c>
      <c r="I24" s="5"/>
      <c r="L24" s="7" t="n">
        <f aca="false">IF(F24&lt;&gt;0,F24-K24," ")</f>
        <v>18</v>
      </c>
      <c r="M24" s="8" t="n">
        <f aca="false">IF((F24-K24)&lt;&gt;0,M$1-A24," ")</f>
        <v>44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18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46217</v>
      </c>
      <c r="B25" s="2" t="s">
        <v>99</v>
      </c>
      <c r="E25" s="5" t="s">
        <v>91</v>
      </c>
      <c r="F25" s="46" t="n">
        <v>24</v>
      </c>
      <c r="H25" s="6" t="n">
        <f aca="false">IF((F25&lt;&gt;0),F25-G25," ")</f>
        <v>24</v>
      </c>
      <c r="I25" s="5"/>
      <c r="L25" s="7" t="n">
        <f aca="false">IF(F25&lt;&gt;0,F25-K25," ")</f>
        <v>24</v>
      </c>
      <c r="M25" s="8" t="n">
        <f aca="false">IF((F25-K25)&lt;&gt;0,M$1-A25," ")</f>
        <v>42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24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46217</v>
      </c>
      <c r="B26" s="2" t="s">
        <v>100</v>
      </c>
      <c r="E26" s="5" t="s">
        <v>91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42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12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46218</v>
      </c>
      <c r="B27" s="2" t="s">
        <v>20</v>
      </c>
      <c r="E27" s="5" t="s">
        <v>88</v>
      </c>
      <c r="F27" s="46" t="n">
        <v>150</v>
      </c>
      <c r="H27" s="6" t="n">
        <f aca="false">IF((F27&lt;&gt;0),F27-G27," ")</f>
        <v>150</v>
      </c>
      <c r="I27" s="5"/>
      <c r="L27" s="7" t="n">
        <f aca="false">IF(F27&lt;&gt;0,F27-K27," ")</f>
        <v>150</v>
      </c>
      <c r="M27" s="8" t="n">
        <f aca="false">IF((F27-K27)&lt;&gt;0,M$1-A27," ")</f>
        <v>41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150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46218</v>
      </c>
      <c r="B28" s="2" t="s">
        <v>101</v>
      </c>
      <c r="E28" s="5" t="s">
        <v>75</v>
      </c>
      <c r="F28" s="46" t="n">
        <v>12</v>
      </c>
      <c r="H28" s="6" t="n">
        <f aca="false">IF((F28&lt;&gt;0),F28-G28," ")</f>
        <v>12</v>
      </c>
      <c r="I28" s="5"/>
      <c r="L28" s="7" t="n">
        <f aca="false">IF(F28&lt;&gt;0,F28-K28," ")</f>
        <v>12</v>
      </c>
      <c r="M28" s="8" t="n">
        <f aca="false">IF((F28-K28)&lt;&gt;0,M$1-A28," ")</f>
        <v>41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12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46219</v>
      </c>
      <c r="B29" s="2" t="s">
        <v>120</v>
      </c>
      <c r="E29" s="5" t="s">
        <v>75</v>
      </c>
      <c r="F29" s="46" t="n">
        <v>18</v>
      </c>
      <c r="H29" s="6" t="n">
        <f aca="false">IF((F29&lt;&gt;0),F29-G29," ")</f>
        <v>18</v>
      </c>
      <c r="I29" s="5"/>
      <c r="L29" s="7" t="n">
        <f aca="false">IF(F29&lt;&gt;0,F29-K29," ")</f>
        <v>18</v>
      </c>
      <c r="M29" s="8" t="n">
        <f aca="false">IF((F29-K29)&lt;&gt;0,M$1-A29," ")</f>
        <v>40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18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46221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38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46223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36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46223</v>
      </c>
      <c r="B32" s="2" t="s">
        <v>137</v>
      </c>
      <c r="E32" s="5" t="s">
        <v>122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36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n">
        <f aca="false">IF((E32="t"),H32," ")</f>
        <v>180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46223</v>
      </c>
      <c r="B33" s="2" t="s">
        <v>104</v>
      </c>
      <c r="E33" s="5" t="s">
        <v>105</v>
      </c>
      <c r="F33" s="46" t="n">
        <v>144</v>
      </c>
      <c r="H33" s="6" t="n">
        <f aca="false">IF((F33&lt;&gt;0),F33-G33," ")</f>
        <v>144</v>
      </c>
      <c r="I33" s="5"/>
      <c r="L33" s="7" t="n">
        <f aca="false">IF(F33&lt;&gt;0,F33-K33," ")</f>
        <v>144</v>
      </c>
      <c r="M33" s="8" t="n">
        <f aca="false">IF((F33-K33)&lt;&gt;0,M$1-A33," ")</f>
        <v>36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n">
        <f aca="false">IF((E33="m"),H33," ")</f>
        <v>144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46224</v>
      </c>
      <c r="B34" s="2" t="s">
        <v>106</v>
      </c>
      <c r="E34" s="5" t="s">
        <v>91</v>
      </c>
      <c r="F34" s="46" t="n">
        <v>8</v>
      </c>
      <c r="H34" s="6" t="n">
        <f aca="false">IF((F34&lt;&gt;0),F34-G34," ")</f>
        <v>8</v>
      </c>
      <c r="I34" s="5"/>
      <c r="L34" s="7" t="n">
        <f aca="false">IF(F34&lt;&gt;0,F34-K34," ")</f>
        <v>8</v>
      </c>
      <c r="M34" s="8" t="n">
        <f aca="false">IF((F34-K34)&lt;&gt;0,M$1-A34," ")</f>
        <v>35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n">
        <f aca="false">IF((E34="h"),H34," ")</f>
        <v>8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46225</v>
      </c>
      <c r="B35" s="2" t="s">
        <v>107</v>
      </c>
      <c r="E35" s="5" t="s">
        <v>85</v>
      </c>
      <c r="F35" s="46" t="n">
        <v>18</v>
      </c>
      <c r="H35" s="6" t="n">
        <f aca="false">IF((F35&lt;&gt;0),F35-G35," ")</f>
        <v>18</v>
      </c>
      <c r="I35" s="5"/>
      <c r="L35" s="7" t="n">
        <f aca="false">IF(F35&lt;&gt;0,F35-K35," ")</f>
        <v>18</v>
      </c>
      <c r="M35" s="8" t="n">
        <f aca="false">IF((F35-K35)&lt;&gt;0,M$1-A35," ")</f>
        <v>34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18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46225</v>
      </c>
      <c r="B36" s="2" t="s">
        <v>124</v>
      </c>
      <c r="E36" s="5" t="s">
        <v>88</v>
      </c>
      <c r="F36" s="46" t="n">
        <v>36</v>
      </c>
      <c r="H36" s="6" t="n">
        <f aca="false">IF((F36&lt;&gt;0),F36-G36," ")</f>
        <v>36</v>
      </c>
      <c r="I36" s="5"/>
      <c r="L36" s="7" t="n">
        <f aca="false">IF(F36&lt;&gt;0,F36-K36," ")</f>
        <v>36</v>
      </c>
      <c r="M36" s="8" t="n">
        <f aca="false">IF((F36-K36)&lt;&gt;0,M$1-A36," ")</f>
        <v>34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36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46228</v>
      </c>
      <c r="B37" s="2" t="s">
        <v>108</v>
      </c>
      <c r="E37" s="5" t="s">
        <v>85</v>
      </c>
      <c r="F37" s="46" t="n">
        <v>15</v>
      </c>
      <c r="H37" s="6" t="n">
        <f aca="false">IF((F37&lt;&gt;0),F37-G37," ")</f>
        <v>15</v>
      </c>
      <c r="I37" s="5"/>
      <c r="L37" s="7" t="n">
        <f aca="false">IF(F37&lt;&gt;0,F37-K37," ")</f>
        <v>15</v>
      </c>
      <c r="M37" s="8" t="n">
        <f aca="false">IF((F37-K37)&lt;&gt;0,M$1-A37," ")</f>
        <v>31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n">
        <f aca="false">IF((E37="u"),H37," ")</f>
        <v>15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46228</v>
      </c>
      <c r="B38" s="2" t="s">
        <v>109</v>
      </c>
      <c r="E38" s="5" t="s">
        <v>88</v>
      </c>
      <c r="F38" s="46" t="n">
        <v>38.25</v>
      </c>
      <c r="H38" s="6" t="n">
        <f aca="false">IF((F38&lt;&gt;0),F38-G38," ")</f>
        <v>38.25</v>
      </c>
      <c r="I38" s="5"/>
      <c r="L38" s="7" t="n">
        <f aca="false">IF(F38&lt;&gt;0,F38-K38," ")</f>
        <v>38.25</v>
      </c>
      <c r="M38" s="8" t="n">
        <f aca="false">IF((F38-K38)&lt;&gt;0,M$1-A38," ")</f>
        <v>31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38.25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46231</v>
      </c>
      <c r="B39" s="2" t="s">
        <v>20</v>
      </c>
      <c r="E39" s="5" t="s">
        <v>88</v>
      </c>
      <c r="F39" s="46" t="n">
        <v>120</v>
      </c>
      <c r="H39" s="6" t="n">
        <f aca="false">IF((F39&lt;&gt;0),F39-G39," ")</f>
        <v>120</v>
      </c>
      <c r="I39" s="5"/>
      <c r="L39" s="7" t="n">
        <f aca="false">IF(F39&lt;&gt;0,F39-K39," ")</f>
        <v>120</v>
      </c>
      <c r="M39" s="8" t="n">
        <f aca="false">IF((F39-K39)&lt;&gt;0,M$1-A39," ")</f>
        <v>28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n">
        <f aca="false">IF((E39="v"),H39," ")</f>
        <v>120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 t="n">
        <v>46234</v>
      </c>
      <c r="B40" s="2" t="s">
        <v>16</v>
      </c>
      <c r="E40" s="5" t="s">
        <v>110</v>
      </c>
      <c r="F40" s="46" t="n">
        <v>300</v>
      </c>
      <c r="H40" s="6" t="n">
        <f aca="false">IF((F40&lt;&gt;0),F40-G40," ")</f>
        <v>300</v>
      </c>
      <c r="I40" s="5"/>
      <c r="L40" s="7" t="n">
        <f aca="false">IF(F40&lt;&gt;0,F40-K40," ")</f>
        <v>300</v>
      </c>
      <c r="M40" s="8" t="n">
        <f aca="false">IF((F40-K40)&lt;&gt;0,M$1-A40," ")</f>
        <v>25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n">
        <f aca="false">IF((E40="l"),H40," ")</f>
        <v>300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4396.5</v>
      </c>
      <c r="G1" s="12" t="n">
        <f aca="false">SUM(G5:G300)</f>
        <v>0</v>
      </c>
      <c r="H1" s="12" t="n">
        <f aca="false">SUM(H5:H300)</f>
        <v>4396.5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46259</v>
      </c>
      <c r="N1" s="13"/>
      <c r="O1" s="12" t="n">
        <f aca="false">SUM(O5:O300)</f>
        <v>660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360</v>
      </c>
      <c r="X1" s="12" t="n">
        <f aca="false">SUM(X5:X300)</f>
        <v>360</v>
      </c>
      <c r="Y1" s="12" t="n">
        <f aca="false">SUM(Y5:Y300)</f>
        <v>133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368</v>
      </c>
      <c r="AC1" s="12" t="n">
        <f aca="false">SUM(AC5:AC300)</f>
        <v>595.5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46235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46235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46235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46235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46235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46235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46237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46237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46239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46239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46239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46240</v>
      </c>
      <c r="B16" s="2" t="s">
        <v>112</v>
      </c>
      <c r="E16" s="5" t="s">
        <v>91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36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46242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46244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46246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46246</v>
      </c>
      <c r="B20" s="2" t="s">
        <v>135</v>
      </c>
      <c r="E20" s="5" t="s">
        <v>114</v>
      </c>
      <c r="F20" s="46" t="n">
        <v>360</v>
      </c>
      <c r="H20" s="6" t="n">
        <f aca="false">IF((F20&lt;&gt;0),F20-G20," ")</f>
        <v>360</v>
      </c>
      <c r="I20" s="5"/>
      <c r="L20" s="7" t="n">
        <f aca="false">IF(F20&lt;&gt;0,F20-K20," ")</f>
        <v>360</v>
      </c>
      <c r="M20" s="8" t="n">
        <f aca="false">IF((F20-K20)&lt;&gt;0,M$1-A20," ")</f>
        <v>13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360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46248</v>
      </c>
      <c r="B21" s="2" t="s">
        <v>98</v>
      </c>
      <c r="E21" s="5" t="s">
        <v>85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11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46248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11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46248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46249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10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46249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46249</v>
      </c>
      <c r="B26" s="2" t="s">
        <v>117</v>
      </c>
      <c r="E26" s="5" t="s">
        <v>96</v>
      </c>
      <c r="F26" s="46" t="n">
        <v>420</v>
      </c>
      <c r="H26" s="6" t="n">
        <f aca="false">IF((F26&lt;&gt;0),F26-G26," ")</f>
        <v>420</v>
      </c>
      <c r="I26" s="5"/>
      <c r="L26" s="7" t="n">
        <f aca="false">IF(F26&lt;&gt;0,F26-K26," ")</f>
        <v>420</v>
      </c>
      <c r="M26" s="8" t="n">
        <f aca="false">IF((F26-K26)&lt;&gt;0,M$1-A26," ")</f>
        <v>10</v>
      </c>
      <c r="N26" s="5"/>
      <c r="O26" s="17" t="n">
        <f aca="false">IF((E26="s"),H26," ")</f>
        <v>420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46252</v>
      </c>
      <c r="B27" s="2" t="s">
        <v>138</v>
      </c>
      <c r="E27" s="5" t="s">
        <v>105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360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46252</v>
      </c>
      <c r="B28" s="2" t="s">
        <v>128</v>
      </c>
      <c r="E28" s="5" t="s">
        <v>91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240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46252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46254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46254</v>
      </c>
      <c r="B31" s="2" t="s">
        <v>123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5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46255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46256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46259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46259</v>
      </c>
      <c r="B35" s="2" t="s">
        <v>109</v>
      </c>
      <c r="E35" s="5" t="s">
        <v>88</v>
      </c>
      <c r="F35" s="46" t="n">
        <v>31.5</v>
      </c>
      <c r="H35" s="6" t="n">
        <f aca="false">IF((F35&lt;&gt;0),F35-G35," ")</f>
        <v>31.5</v>
      </c>
      <c r="I35" s="5"/>
      <c r="L35" s="7" t="n">
        <f aca="false">IF(F35&lt;&gt;0,F35-K35," ")</f>
        <v>31.5</v>
      </c>
      <c r="M35" s="8" t="n">
        <f aca="false">IF((F35-K35)&lt;&gt;0,M$1-A35," ")</f>
        <v>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31.5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46262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-3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46262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-3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3301.5</v>
      </c>
      <c r="G1" s="12" t="n">
        <f aca="false">SUM(G5:G300)</f>
        <v>0</v>
      </c>
      <c r="H1" s="12" t="n">
        <f aca="false">SUM(H5:H300)</f>
        <v>3301.5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3301.5</v>
      </c>
      <c r="M1" s="16" t="n">
        <f aca="true">TODAY()</f>
        <v>46259</v>
      </c>
      <c r="N1" s="13"/>
      <c r="O1" s="12" t="n">
        <f aca="false">SUM(O5:O300)</f>
        <v>300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144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682.5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Oct!AI1+Nov!AI1+Dec!AI1+Jan!AI1+Feb!AI1+Mar!AI1+Apr!AI1+May!AI1+Jun!AI1+Jul!AI1+Aug!AI1+Sep!AI1</f>
        <v>39000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46266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-7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46266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-7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46266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-7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46266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-7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46266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-7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46266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-7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46268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-9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46268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-9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46270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-11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46270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-11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46273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-14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46275</v>
      </c>
      <c r="B16" s="2" t="s">
        <v>92</v>
      </c>
      <c r="E16" s="5" t="s">
        <v>85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-16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36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46275</v>
      </c>
      <c r="B17" s="2" t="s">
        <v>101</v>
      </c>
      <c r="E17" s="5" t="s">
        <v>122</v>
      </c>
      <c r="F17" s="46" t="n">
        <v>144</v>
      </c>
      <c r="H17" s="6" t="n">
        <f aca="false">IF((F17&lt;&gt;0),F17-G17," ")</f>
        <v>144</v>
      </c>
      <c r="I17" s="5"/>
      <c r="L17" s="7" t="n">
        <f aca="false">IF(F17&lt;&gt;0,F17-K17," ")</f>
        <v>144</v>
      </c>
      <c r="M17" s="8" t="n">
        <f aca="false">IF((F17-K17)&lt;&gt;0,M$1-A17," ")</f>
        <v>-16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144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46277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-18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46279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-20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46279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-20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46280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-21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46280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-21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46281</v>
      </c>
      <c r="B23" s="2" t="s">
        <v>120</v>
      </c>
      <c r="E23" s="5" t="s">
        <v>75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-22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24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46283</v>
      </c>
      <c r="B24" s="2" t="s">
        <v>129</v>
      </c>
      <c r="E24" s="5" t="s">
        <v>96</v>
      </c>
      <c r="F24" s="46" t="n">
        <v>300</v>
      </c>
      <c r="H24" s="6" t="n">
        <f aca="false">IF((F24&lt;&gt;0),F24-G24," ")</f>
        <v>300</v>
      </c>
      <c r="I24" s="5"/>
      <c r="L24" s="7" t="n">
        <f aca="false">IF(F24&lt;&gt;0,F24-K24," ")</f>
        <v>300</v>
      </c>
      <c r="M24" s="8" t="n">
        <f aca="false">IF((F24-K24)&lt;&gt;0,M$1-A24," ")</f>
        <v>-24</v>
      </c>
      <c r="N24" s="5"/>
      <c r="O24" s="17" t="n">
        <f aca="false">IF((E24="s"),H24," ")</f>
        <v>300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46283</v>
      </c>
      <c r="B25" s="2" t="s">
        <v>102</v>
      </c>
      <c r="E25" s="5" t="s">
        <v>88</v>
      </c>
      <c r="F25" s="46" t="n">
        <v>96</v>
      </c>
      <c r="H25" s="6" t="n">
        <f aca="false">IF((F25&lt;&gt;0),F25-G25," ")</f>
        <v>96</v>
      </c>
      <c r="I25" s="5"/>
      <c r="L25" s="7" t="n">
        <f aca="false">IF(F25&lt;&gt;0,F25-K25," ")</f>
        <v>96</v>
      </c>
      <c r="M25" s="8" t="n">
        <f aca="false">IF((F25-K25)&lt;&gt;0,M$1-A25," ")</f>
        <v>-24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96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46285</v>
      </c>
      <c r="B26" s="2" t="s">
        <v>103</v>
      </c>
      <c r="E26" s="5" t="s">
        <v>75</v>
      </c>
      <c r="F26" s="46" t="n">
        <v>60</v>
      </c>
      <c r="H26" s="6" t="n">
        <f aca="false">IF((F26&lt;&gt;0),F26-G26," ")</f>
        <v>60</v>
      </c>
      <c r="I26" s="5"/>
      <c r="L26" s="7" t="n">
        <f aca="false">IF(F26&lt;&gt;0,F26-K26," ")</f>
        <v>60</v>
      </c>
      <c r="M26" s="8" t="n">
        <f aca="false">IF((F26-K26)&lt;&gt;0,M$1-A26," ")</f>
        <v>-26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60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46286</v>
      </c>
      <c r="B27" s="2" t="s">
        <v>106</v>
      </c>
      <c r="E27" s="5" t="s">
        <v>91</v>
      </c>
      <c r="F27" s="46" t="n">
        <v>8</v>
      </c>
      <c r="H27" s="6" t="n">
        <f aca="false">IF((F27&lt;&gt;0),F27-G27," ")</f>
        <v>8</v>
      </c>
      <c r="I27" s="5"/>
      <c r="L27" s="7" t="n">
        <f aca="false">IF(F27&lt;&gt;0,F27-K27," ")</f>
        <v>8</v>
      </c>
      <c r="M27" s="8" t="n">
        <f aca="false">IF((F27-K27)&lt;&gt;0,M$1-A27," ")</f>
        <v>-27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8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46287</v>
      </c>
      <c r="B28" s="2" t="s">
        <v>107</v>
      </c>
      <c r="E28" s="5" t="s">
        <v>85</v>
      </c>
      <c r="F28" s="46" t="n">
        <v>18</v>
      </c>
      <c r="H28" s="6" t="n">
        <f aca="false">IF((F28&lt;&gt;0),F28-G28," ")</f>
        <v>18</v>
      </c>
      <c r="I28" s="5"/>
      <c r="L28" s="7" t="n">
        <f aca="false">IF(F28&lt;&gt;0,F28-K28," ")</f>
        <v>18</v>
      </c>
      <c r="M28" s="8" t="n">
        <f aca="false">IF((F28-K28)&lt;&gt;0,M$1-A28," ")</f>
        <v>-28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18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46287</v>
      </c>
      <c r="B29" s="2" t="s">
        <v>124</v>
      </c>
      <c r="E29" s="5" t="s">
        <v>88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-28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60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46290</v>
      </c>
      <c r="B30" s="2" t="s">
        <v>130</v>
      </c>
      <c r="E30" s="5" t="s">
        <v>131</v>
      </c>
      <c r="F30" s="46" t="n">
        <v>360</v>
      </c>
      <c r="H30" s="6" t="n">
        <f aca="false">IF((F30&lt;&gt;0),F30-G30," ")</f>
        <v>360</v>
      </c>
      <c r="I30" s="5"/>
      <c r="L30" s="7" t="n">
        <f aca="false">IF(F30&lt;&gt;0,F30-K30," ")</f>
        <v>360</v>
      </c>
      <c r="M30" s="8" t="n">
        <f aca="false">IF((F30-K30)&lt;&gt;0,M$1-A30," ")</f>
        <v>-31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360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46290</v>
      </c>
      <c r="B31" s="2" t="s">
        <v>108</v>
      </c>
      <c r="E31" s="5" t="s">
        <v>85</v>
      </c>
      <c r="F31" s="46" t="n">
        <v>15</v>
      </c>
      <c r="H31" s="6" t="n">
        <f aca="false">IF((F31&lt;&gt;0),F31-G31," ")</f>
        <v>15</v>
      </c>
      <c r="I31" s="5"/>
      <c r="L31" s="7" t="n">
        <f aca="false">IF(F31&lt;&gt;0,F31-K31," ")</f>
        <v>15</v>
      </c>
      <c r="M31" s="8" t="n">
        <f aca="false">IF((F31-K31)&lt;&gt;0,M$1-A31," ")</f>
        <v>-31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46290</v>
      </c>
      <c r="B32" s="2" t="s">
        <v>109</v>
      </c>
      <c r="E32" s="5" t="s">
        <v>88</v>
      </c>
      <c r="F32" s="46" t="n">
        <v>58.5</v>
      </c>
      <c r="H32" s="6" t="n">
        <f aca="false">IF((F32&lt;&gt;0),F32-G32," ")</f>
        <v>58.5</v>
      </c>
      <c r="I32" s="5"/>
      <c r="L32" s="7" t="n">
        <f aca="false">IF(F32&lt;&gt;0,F32-K32," ")</f>
        <v>58.5</v>
      </c>
      <c r="M32" s="8" t="n">
        <f aca="false">IF((F32-K32)&lt;&gt;0,M$1-A32," ")</f>
        <v>-31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58.5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46293</v>
      </c>
      <c r="B33" s="2" t="s">
        <v>20</v>
      </c>
      <c r="E33" s="5" t="s">
        <v>88</v>
      </c>
      <c r="F33" s="46" t="n">
        <v>120</v>
      </c>
      <c r="H33" s="6" t="n">
        <f aca="false">IF((F33&lt;&gt;0),F33-G33," ")</f>
        <v>120</v>
      </c>
      <c r="I33" s="5"/>
      <c r="L33" s="7" t="n">
        <f aca="false">IF(F33&lt;&gt;0,F33-K33," ")</f>
        <v>120</v>
      </c>
      <c r="M33" s="8" t="n">
        <f aca="false">IF((F33-K33)&lt;&gt;0,M$1-A33," ")</f>
        <v>-34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120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/>
      <c r="E34" s="2"/>
      <c r="F34" s="46"/>
      <c r="H34" s="6" t="str">
        <f aca="false">IF((F34&lt;&gt;0),F34-G34," ")</f>
        <v> </v>
      </c>
      <c r="I34" s="5"/>
      <c r="L34" s="7" t="str">
        <f aca="false">IF(F34&lt;&gt;0,F34-K34," ")</f>
        <v> </v>
      </c>
      <c r="M34" s="8" t="str">
        <f aca="false">IF((F34-K34)&lt;&gt;0,M$1-A34," ")</f>
        <v> 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149</v>
      </c>
      <c r="B1" s="9"/>
      <c r="C1" s="10" t="n">
        <f aca="false">-SUM([1]TrialBalance!$EJ$28:$EJ$31)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46259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150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151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152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153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