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  <sheet name="Oct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<sst xmlns="http://schemas.openxmlformats.org/spreadsheetml/2006/main" count="2391" uniqueCount="260">
  <si>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</si>
  <si>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</si>
  <si>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</si>
  <si>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</si>
  <si>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</si>
  <si>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</si>
  <si>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</si>
  <si>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</si>
  <si>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</si>
  <si>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</si>
  <si>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</si>
  <si>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</si>
  <si>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</si>
  <si>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</si>
  <si>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</si>
  <si>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</si>
  <si>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</si>
  <si>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</si>
  <si>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</si>
  <si>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</si>
  <si>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</si>
  <si>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</si>
  <si>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</si>
  <si>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</si>
  <si>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</si>
  <si>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</si>
  <si>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</si>
  <si>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</si>
  <si>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</si>
  <si>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</si>
  <si>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</si>
  <si>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</si>
  <si>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</si>
  <si>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</si>
  <si>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</si>
  <si>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</si>
  <si>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</si>
  <si>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</si>
  <si>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</si>
  <si>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</si>
  <si>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</si>
  <si>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</si>
  <si>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</si>
  <si>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</si>
  <si>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</si>
  <si>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</si>
  <si>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</si>
  <si>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</si>
  <si>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</si>
  <si>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</si>
  <si>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</si>
  <si>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</si>
  <si>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</si>
  <si>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</si>
  <si>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</si>
  <si>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</si>
  <si>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</si>
  <si>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</si>
  <si>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</si>
  <si>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</si>
  <si>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</si>
  <si>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</si>
  <si>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</si>
  <si>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</si>
  <si>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</si>
  <si>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</si>
  <si>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</si>
  <si>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</si>
  <si>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</si>
  <si>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</si>
  <si>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</si>
  <si>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</si>
  <si>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</si>
  <si>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Monthly office rent</t>
  </si>
  <si>
    <t xml:space="preserve">r</t>
  </si>
  <si>
    <t xml:space="preserve">5200</t>
  </si>
  <si>
    <t xml:space="preserve">Microsoft</t>
  </si>
  <si>
    <t xml:space="preserve">Microsoft 365 subscription</t>
  </si>
  <si>
    <t xml:space="preserve">g</t>
  </si>
  <si>
    <t xml:space="preserve">5501</t>
  </si>
  <si>
    <t xml:space="preserve">Slack</t>
  </si>
  <si>
    <t xml:space="preserve">Slack team subscription</t>
  </si>
  <si>
    <t xml:space="preserve">GitHub</t>
  </si>
  <si>
    <t xml:space="preserve">GitHub Team subscription</t>
  </si>
  <si>
    <t xml:space="preserve">o</t>
  </si>
  <si>
    <t xml:space="preserve">5002</t>
  </si>
  <si>
    <t xml:space="preserve">Hiscox</t>
  </si>
  <si>
    <t xml:space="preserve">Professional indemnity insurance</t>
  </si>
  <si>
    <t xml:space="preserve">n</t>
  </si>
  <si>
    <t xml:space="preserve">5700</t>
  </si>
  <si>
    <t xml:space="preserve">Cloudflare</t>
  </si>
  <si>
    <t xml:space="preserve">CDN and DNS services</t>
  </si>
  <si>
    <t xml:space="preserve">Zoom</t>
  </si>
  <si>
    <t xml:space="preserve">Video conferencing subscription</t>
  </si>
  <si>
    <t xml:space="preserve">AWS</t>
  </si>
  <si>
    <t xml:space="preserve">Cloud hosting charges</t>
  </si>
  <si>
    <t xml:space="preserve">Argos</t>
  </si>
  <si>
    <t xml:space="preserve">Miscellaneous office items</t>
  </si>
  <si>
    <t xml:space="preserve">u</t>
  </si>
  <si>
    <t xml:space="preserve">5401</t>
  </si>
  <si>
    <t xml:space="preserve">Ryman</t>
  </si>
  <si>
    <t xml:space="preserve">Stationery supplies</t>
  </si>
  <si>
    <t xml:space="preserve">BP</t>
  </si>
  <si>
    <t xml:space="preserve">Fuel for company vehicle</t>
  </si>
  <si>
    <t xml:space="preserve">v</t>
  </si>
  <si>
    <t xml:space="preserve">5601</t>
  </si>
  <si>
    <t xml:space="preserve">DigitalOcean</t>
  </si>
  <si>
    <t xml:space="preserve">Cloud VPS hosting</t>
  </si>
  <si>
    <t xml:space="preserve">National Rail</t>
  </si>
  <si>
    <t xml:space="preserve">Train ticket client meeting</t>
  </si>
  <si>
    <t xml:space="preserve">h</t>
  </si>
  <si>
    <t xml:space="preserve">5600</t>
  </si>
  <si>
    <t xml:space="preserve">Amazon</t>
  </si>
  <si>
    <t xml:space="preserve">Office supplies</t>
  </si>
  <si>
    <t xml:space="preserve">Xerox</t>
  </si>
  <si>
    <t xml:space="preserve">Printer lease payment</t>
  </si>
  <si>
    <t xml:space="preserve">f</t>
  </si>
  <si>
    <t xml:space="preserve">5701</t>
  </si>
  <si>
    <t xml:space="preserve">TechParts</t>
  </si>
  <si>
    <t xml:space="preserve">Hardware components for resale</t>
  </si>
  <si>
    <t xml:space="preserve">s</t>
  </si>
  <si>
    <t xml:space="preserve">5000</t>
  </si>
  <si>
    <t xml:space="preserve">NCP</t>
  </si>
  <si>
    <t xml:space="preserve">Parking charges</t>
  </si>
  <si>
    <t xml:space="preserve">Toolstation</t>
  </si>
  <si>
    <t xml:space="preserve">Assorted fixings and parts</t>
  </si>
  <si>
    <t xml:space="preserve">Uber</t>
  </si>
  <si>
    <t xml:space="preserve">Taxi to client site</t>
  </si>
  <si>
    <t xml:space="preserve">Costa Coffee</t>
  </si>
  <si>
    <t xml:space="preserve">Client meeting refreshments</t>
  </si>
  <si>
    <t xml:space="preserve">Royal Mail</t>
  </si>
  <si>
    <t xml:space="preserve">Postage</t>
  </si>
  <si>
    <t xml:space="preserve">Jet</t>
  </si>
  <si>
    <t xml:space="preserve">BT Business</t>
  </si>
  <si>
    <t xml:space="preserve">Telephone line rental</t>
  </si>
  <si>
    <t xml:space="preserve">Office Maintenance Ltd</t>
  </si>
  <si>
    <t xml:space="preserve">Premises maintenance and repairs</t>
  </si>
  <si>
    <t xml:space="preserve">m</t>
  </si>
  <si>
    <t xml:space="preserve">5400</t>
  </si>
  <si>
    <t xml:space="preserve">Greggs</t>
  </si>
  <si>
    <t xml:space="preserve">Working lunch</t>
  </si>
  <si>
    <t xml:space="preserve">Screwfix</t>
  </si>
  <si>
    <t xml:space="preserve">Miscellaneous supplies</t>
  </si>
  <si>
    <t xml:space="preserve">Wilko</t>
  </si>
  <si>
    <t xml:space="preserve">Cleaning and kitchen supplies</t>
  </si>
  <si>
    <t xml:space="preserve">Mileage claim</t>
  </si>
  <si>
    <t xml:space="preserve">Business mileage to Manchester</t>
  </si>
  <si>
    <t xml:space="preserve">Additional fuel purchase</t>
  </si>
  <si>
    <t xml:space="preserve">Monthly accountancy retainer</t>
  </si>
  <si>
    <t xml:space="preserve">l</t>
  </si>
  <si>
    <t xml:space="preserve">5800</t>
  </si>
  <si>
    <t xml:space="preserve">Trainline</t>
  </si>
  <si>
    <t xml:space="preserve">Advance train ticket</t>
  </si>
  <si>
    <t xml:space="preserve">Hilti</t>
  </si>
  <si>
    <t xml:space="preserve">Power tool hire</t>
  </si>
  <si>
    <t xml:space="preserve">q</t>
  </si>
  <si>
    <t xml:space="preserve">5301</t>
  </si>
  <si>
    <t xml:space="preserve">Google Ads</t>
  </si>
  <si>
    <t xml:space="preserve">PPC advertising campaign</t>
  </si>
  <si>
    <t xml:space="preserve">a</t>
  </si>
  <si>
    <t xml:space="preserve">5500</t>
  </si>
  <si>
    <t xml:space="preserve">ComponentsDirect</t>
  </si>
  <si>
    <t xml:space="preserve">Electronic components</t>
  </si>
  <si>
    <t xml:space="preserve">Dell</t>
  </si>
  <si>
    <t xml:space="preserve">PUR-FA-001</t>
  </si>
  <si>
    <t xml:space="preserve">New laptop for development</t>
  </si>
  <si>
    <t xml:space="preserve">fa</t>
  </si>
  <si>
    <t xml:space="preserve">5900</t>
  </si>
  <si>
    <t xml:space="preserve">WHSmith</t>
  </si>
  <si>
    <t xml:space="preserve">Magazines and stationery</t>
  </si>
  <si>
    <t xml:space="preserve">ParcelForce</t>
  </si>
  <si>
    <t xml:space="preserve">Equipment delivery</t>
  </si>
  <si>
    <t xml:space="preserve">t</t>
  </si>
  <si>
    <t xml:space="preserve">5300</t>
  </si>
  <si>
    <t xml:space="preserve">CableCo</t>
  </si>
  <si>
    <t xml:space="preserve">Cabling and connectors</t>
  </si>
  <si>
    <t xml:space="preserve">Halfords</t>
  </si>
  <si>
    <t xml:space="preserve">Vehicle maintenance supplies</t>
  </si>
  <si>
    <t xml:space="preserve">Business mileage to Birmingham</t>
  </si>
  <si>
    <t xml:space="preserve">Vistaprint</t>
  </si>
  <si>
    <t xml:space="preserve">Business cards and flyers</t>
  </si>
  <si>
    <t xml:space="preserve">BuildTech Solutions</t>
  </si>
  <si>
    <t xml:space="preserve">PUR-CIS-001</t>
  </si>
  <si>
    <t xml:space="preserve">Sub-contractor network installation</t>
  </si>
  <si>
    <t xml:space="preserve">c</t>
  </si>
  <si>
    <t xml:space="preserve">5001</t>
  </si>
  <si>
    <t xml:space="preserve">Premier Inn</t>
  </si>
  <si>
    <t xml:space="preserve">Hotel for London client meeting</t>
  </si>
  <si>
    <t xml:space="preserve">ElectroParts</t>
  </si>
  <si>
    <t xml:space="preserve">Specialist electronic components</t>
  </si>
  <si>
    <t xml:space="preserve">EnergySupply</t>
  </si>
  <si>
    <t xml:space="preserve">Quarterly utility bill</t>
  </si>
  <si>
    <t xml:space="preserve">p</t>
  </si>
  <si>
    <t xml:space="preserve">5201</t>
  </si>
  <si>
    <t xml:space="preserve">Business mileage to London</t>
  </si>
  <si>
    <t xml:space="preserve">Directors loan</t>
  </si>
  <si>
    <t xml:space="preserve">PUR-INT-001</t>
  </si>
  <si>
    <t xml:space="preserve">Directors loan interest</t>
  </si>
  <si>
    <t xml:space="preserve">5803</t>
  </si>
  <si>
    <t xml:space="preserve">Precision Tooling Supplies</t>
  </si>
  <si>
    <t xml:space="preserve">PUR-FA-004</t>
  </si>
  <si>
    <t xml:space="preserve">Test rig bought under HP-2025-01</t>
  </si>
  <si>
    <t xml:space="preserve">J. Smith Consulting</t>
  </si>
  <si>
    <t xml:space="preserve">Goodwill amortisation</t>
  </si>
  <si>
    <t xml:space="preserve">z</t>
  </si>
  <si>
    <t xml:space="preserve">5802</t>
  </si>
  <si>
    <t xml:space="preserve">LinkedIn</t>
  </si>
  <si>
    <t xml:space="preserve">Sponsored content campaign</t>
  </si>
  <si>
    <t xml:space="preserve">ToolHire</t>
  </si>
  <si>
    <t xml:space="preserve">Equipment hire for installation</t>
  </si>
  <si>
    <t xml:space="preserve">IKEA</t>
  </si>
  <si>
    <t xml:space="preserve">PUR-FA-003</t>
  </si>
  <si>
    <t xml:space="preserve">Office furniture</t>
  </si>
  <si>
    <t xml:space="preserve">DHL</t>
  </si>
  <si>
    <t xml:space="preserve">International courier</t>
  </si>
  <si>
    <t xml:space="preserve">Business mileage to Leeds</t>
  </si>
  <si>
    <t xml:space="preserve">PC Repair Shop</t>
  </si>
  <si>
    <t xml:space="preserve">Laptop screen repair</t>
  </si>
  <si>
    <t xml:space="preserve">Casual worker</t>
  </si>
  <si>
    <t xml:space="preserve">Temporary labour</t>
  </si>
  <si>
    <t xml:space="preserve">w</t>
  </si>
  <si>
    <t xml:space="preserve">5101</t>
  </si>
  <si>
    <t xml:space="preserve">Special delivery courier</t>
  </si>
  <si>
    <t xml:space="preserve">Jones Solicitors</t>
  </si>
  <si>
    <t xml:space="preserve">Contract review and legal advice</t>
  </si>
  <si>
    <t xml:space="preserve">Business mileage to Bristol</t>
  </si>
  <si>
    <t xml:space="preserve">PUR-INT-002</t>
  </si>
  <si>
    <t xml:space="preserve">PUR-FA-005</t>
  </si>
  <si>
    <t xml:space="preserve">Bench calibration kit bought under HP-2025-02</t>
  </si>
  <si>
    <t xml:space="preserve">Simply Business</t>
  </si>
  <si>
    <t xml:space="preserve">Contents insurance renewal</t>
  </si>
  <si>
    <t xml:space="preserve">PPC advertising campaign Q3</t>
  </si>
  <si>
    <t xml:space="preserve">TechExpo</t>
  </si>
  <si>
    <t xml:space="preserve">Exhibition stand and materials</t>
  </si>
  <si>
    <t xml:space="preserve">Hotel for Birmingham meeting</t>
  </si>
  <si>
    <t xml:space="preserve">Business mileage to Sheffield</t>
  </si>
  <si>
    <t xml:space="preserve">Ford</t>
  </si>
  <si>
    <t xml:space="preserve">PUR-FA-002</t>
  </si>
  <si>
    <t xml:space="preserve">Ford Transit Custom van</t>
  </si>
  <si>
    <t xml:space="preserve">PUR-CIS-002</t>
  </si>
  <si>
    <t xml:space="preserve">Sub-contractor cabling works</t>
  </si>
  <si>
    <t xml:space="preserve">Code Club UK</t>
  </si>
  <si>
    <t xml:space="preserve">Charitable donation</t>
  </si>
  <si>
    <t xml:space="preserve">y</t>
  </si>
  <si>
    <t xml:space="preserve">5801</t>
  </si>
  <si>
    <t xml:space="preserve">Business mileage to Various</t>
  </si>
  <si>
    <t xml:space="preserve">Director</t>
  </si>
  <si>
    <t xml:space="preserve">Director fees (non-PAYE)</t>
  </si>
  <si>
    <t xml:space="preserve">d</t>
  </si>
  <si>
    <t xml:space="preserve">5100</t>
  </si>
  <si>
    <t xml:space="preserve">PUR-INT-003</t>
  </si>
  <si>
    <t xml:space="preserve">Desktop motherboard replacement</t>
  </si>
  <si>
    <t xml:space="preserve">Hotel for two-day workshop</t>
  </si>
  <si>
    <t xml:space="preserve">Business mileage to Nottingham</t>
  </si>
  <si>
    <t xml:space="preserve">PUR-INT-004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</si>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</sst>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-2400</v>
          </cell>
        </row>
        <row r="28">
          <cell r="EJ28">
            <v>-10832.25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2400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46267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5111.25</v>
      </c>
      <c r="G1" s="12" t="n">
        <f aca="false">SUM(G5:G300)</f>
        <v>851.875</v>
      </c>
      <c r="H1" s="12" t="n">
        <f aca="false">SUM(H5:H300)</f>
        <v>4259.375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46267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100</v>
      </c>
      <c r="Y1" s="12" t="n">
        <f aca="false">SUM(Y5:Y300)</f>
        <v>130.833333333333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76.6666666666667</v>
      </c>
      <c r="AC1" s="12" t="n">
        <f aca="false">SUM(AC5:AC300)</f>
        <v>501.875</v>
      </c>
      <c r="AD1" s="12" t="n">
        <f aca="false">SUM(AD5:AD300)</f>
        <v>1200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45962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305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45962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305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45962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305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45962</v>
      </c>
      <c r="B9" s="2" t="s">
        <v>86</v>
      </c>
      <c r="D9" s="2" t="s">
        <v>87</v>
      </c>
      <c r="E9" s="2" t="s">
        <v>88</v>
      </c>
      <c r="F9" s="30" t="n">
        <v>1440</v>
      </c>
      <c r="G9" s="6" t="n">
        <f aca="false">IF(F9&lt;&gt;0,F9*G$2/(100+G$2)," ")</f>
        <v>240</v>
      </c>
      <c r="H9" s="6" t="n">
        <f aca="false">IF((F9&lt;&gt;0),F9-G9," ")</f>
        <v>1200</v>
      </c>
      <c r="I9" s="5"/>
      <c r="L9" s="7" t="n">
        <f aca="false">IF(F9&lt;&gt;0,F9-K9," ")</f>
        <v>1440</v>
      </c>
      <c r="M9" s="8" t="n">
        <f aca="false">IF((F9-K9)&lt;&gt;0,M$1-A9," ")</f>
        <v>305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1200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45962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305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45962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305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45964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303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45964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303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45966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301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45966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301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45966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301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45969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298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45971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296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45971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296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45971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296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45973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294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45975</v>
      </c>
      <c r="B22" s="2" t="s">
        <v>124</v>
      </c>
      <c r="D22" s="2" t="s">
        <v>125</v>
      </c>
      <c r="E22" s="2" t="s">
        <v>98</v>
      </c>
      <c r="F22" s="30" t="n">
        <v>42</v>
      </c>
      <c r="G22" s="6" t="n">
        <f aca="false">IF(F22&lt;&gt;0,F22*G$2/(100+G$2)," ")</f>
        <v>7</v>
      </c>
      <c r="H22" s="6" t="n">
        <f aca="false">IF((F22&lt;&gt;0),F22-G22," ")</f>
        <v>35</v>
      </c>
      <c r="I22" s="5"/>
      <c r="L22" s="7" t="n">
        <f aca="false">IF(F22&lt;&gt;0,F22-K22," ")</f>
        <v>42</v>
      </c>
      <c r="M22" s="8" t="n">
        <f aca="false">IF((F22-K22)&lt;&gt;0,M$1-A22," ")</f>
        <v>292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35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99</v>
      </c>
    </row>
    <row r="23" customFormat="false" ht="12" hidden="false" customHeight="false" outlineLevel="0" collapsed="false">
      <c r="A23" s="28" t="n">
        <v>45975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292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45975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292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45976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291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45976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291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45979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288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45981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286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45981</v>
      </c>
      <c r="B29" s="2" t="s">
        <v>135</v>
      </c>
      <c r="D29" s="2" t="s">
        <v>136</v>
      </c>
      <c r="E29" s="2" t="s">
        <v>137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286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100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138</v>
      </c>
    </row>
    <row r="30" customFormat="false" ht="12" hidden="false" customHeight="false" outlineLevel="0" collapsed="false">
      <c r="A30" s="28" t="n">
        <v>45982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285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45983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284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45986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281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45986</v>
      </c>
      <c r="B33" s="2" t="s">
        <v>145</v>
      </c>
      <c r="D33" s="2" t="s">
        <v>146</v>
      </c>
      <c r="E33" s="2" t="s">
        <v>104</v>
      </c>
      <c r="F33" s="30" t="n">
        <v>38.25</v>
      </c>
      <c r="G33" s="6" t="n">
        <f aca="false">IF(F33&lt;&gt;0,F33*G$2/(100+G$2)," ")</f>
        <v>6.375</v>
      </c>
      <c r="H33" s="6" t="n">
        <f aca="false">IF((F33&lt;&gt;0),F33-G33," ")</f>
        <v>31.875</v>
      </c>
      <c r="I33" s="5"/>
      <c r="L33" s="7" t="n">
        <f aca="false">IF(F33&lt;&gt;0,F33-K33," ")</f>
        <v>38.25</v>
      </c>
      <c r="M33" s="8" t="n">
        <f aca="false">IF((F33-K33)&lt;&gt;0,M$1-A33," ")</f>
        <v>281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31.875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45989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278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45991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276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6375</v>
      </c>
      <c r="G1" s="12" t="n">
        <f aca="false">SUM(G5:G300)</f>
        <v>1062.5</v>
      </c>
      <c r="H1" s="12" t="n">
        <f aca="false">SUM(H5:H300)</f>
        <v>5312.5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46267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200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500</v>
      </c>
      <c r="AA1" s="12" t="n">
        <f aca="false">SUM(AA5:AA300)</f>
        <v>127.5</v>
      </c>
      <c r="AB1" s="12" t="n">
        <f aca="false">SUM(AB5:AB300)</f>
        <v>126.666666666667</v>
      </c>
      <c r="AC1" s="12" t="n">
        <f aca="false">SUM(AC5:AC300)</f>
        <v>555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1500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45992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275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45992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275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45992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275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45992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275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45992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275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45994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273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45994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273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45996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271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45996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271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45997</v>
      </c>
      <c r="B15" s="2" t="s">
        <v>151</v>
      </c>
      <c r="D15" s="2" t="s">
        <v>152</v>
      </c>
      <c r="E15" s="2" t="s">
        <v>110</v>
      </c>
      <c r="F15" s="30" t="n">
        <v>60</v>
      </c>
      <c r="G15" s="6" t="n">
        <f aca="false">IF(F15&lt;&gt;0,F15*G$2/(100+G$2)," ")</f>
        <v>10</v>
      </c>
      <c r="H15" s="6" t="n">
        <f aca="false">IF((F15&lt;&gt;0),F15-G15," ")</f>
        <v>50</v>
      </c>
      <c r="I15" s="5"/>
      <c r="L15" s="7" t="n">
        <f aca="false">IF(F15&lt;&gt;0,F15-K15," ")</f>
        <v>60</v>
      </c>
      <c r="M15" s="8" t="n">
        <f aca="false">IF((F15-K15)&lt;&gt;0,M$1-A15," ")</f>
        <v>270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50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45999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268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45999</v>
      </c>
      <c r="B17" s="2" t="s">
        <v>153</v>
      </c>
      <c r="D17" s="2" t="s">
        <v>154</v>
      </c>
      <c r="E17" s="2" t="s">
        <v>155</v>
      </c>
      <c r="F17" s="30" t="n">
        <v>240</v>
      </c>
      <c r="G17" s="6" t="n">
        <f aca="false">IF(F17&lt;&gt;0,F17*G$2/(100+G$2)," ")</f>
        <v>40</v>
      </c>
      <c r="H17" s="6" t="n">
        <f aca="false">IF((F17&lt;&gt;0),F17-G17," ")</f>
        <v>200</v>
      </c>
      <c r="I17" s="5"/>
      <c r="L17" s="7" t="n">
        <f aca="false">IF(F17&lt;&gt;0,F17-K17," ")</f>
        <v>240</v>
      </c>
      <c r="M17" s="8" t="n">
        <f aca="false">IF((F17-K17)&lt;&gt;0,M$1-A17," ")</f>
        <v>268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200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46001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266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46001</v>
      </c>
      <c r="B19" s="2" t="s">
        <v>157</v>
      </c>
      <c r="D19" s="2" t="s">
        <v>158</v>
      </c>
      <c r="E19" s="2" t="s">
        <v>159</v>
      </c>
      <c r="F19" s="30" t="n">
        <v>600</v>
      </c>
      <c r="G19" s="6" t="n">
        <f aca="false">IF(F19&lt;&gt;0,F19*G$2/(100+G$2)," ")</f>
        <v>100</v>
      </c>
      <c r="H19" s="6" t="n">
        <f aca="false">IF((F19&lt;&gt;0),F19-G19," ")</f>
        <v>500</v>
      </c>
      <c r="I19" s="5"/>
      <c r="L19" s="7" t="n">
        <f aca="false">IF(F19&lt;&gt;0,F19-K19," ")</f>
        <v>600</v>
      </c>
      <c r="M19" s="8" t="n">
        <f aca="false">IF((F19-K19)&lt;&gt;0,M$1-A19," ")</f>
        <v>266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500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160</v>
      </c>
    </row>
    <row r="20" customFormat="false" ht="12" hidden="false" customHeight="false" outlineLevel="0" collapsed="false">
      <c r="A20" s="28" t="n">
        <v>46003</v>
      </c>
      <c r="B20" s="2" t="s">
        <v>122</v>
      </c>
      <c r="D20" s="2" t="s">
        <v>123</v>
      </c>
      <c r="E20" s="2" t="s">
        <v>104</v>
      </c>
      <c r="F20" s="30" t="n">
        <v>18</v>
      </c>
      <c r="G20" s="6" t="n">
        <f aca="false">IF(F20&lt;&gt;0,F20*G$2/(100+G$2)," ")</f>
        <v>3</v>
      </c>
      <c r="H20" s="6" t="n">
        <f aca="false">IF((F20&lt;&gt;0),F20-G20," ")</f>
        <v>15</v>
      </c>
      <c r="I20" s="5"/>
      <c r="L20" s="7" t="n">
        <f aca="false">IF(F20&lt;&gt;0,F20-K20," ")</f>
        <v>18</v>
      </c>
      <c r="M20" s="8" t="n">
        <f aca="false">IF((F20-K20)&lt;&gt;0,M$1-A20," ")</f>
        <v>264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n">
        <f aca="false">IF((E20="v"),H20," ")</f>
        <v>15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105</v>
      </c>
    </row>
    <row r="21" customFormat="false" ht="12" hidden="false" customHeight="false" outlineLevel="0" collapsed="false">
      <c r="A21" s="28" t="n">
        <v>46005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262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46005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262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46006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261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46006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261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46006</v>
      </c>
      <c r="B25" s="2" t="s">
        <v>161</v>
      </c>
      <c r="D25" s="2" t="s">
        <v>162</v>
      </c>
      <c r="E25" s="2" t="s">
        <v>120</v>
      </c>
      <c r="F25" s="30" t="n">
        <v>480</v>
      </c>
      <c r="G25" s="6" t="n">
        <f aca="false">IF(F25&lt;&gt;0,F25*G$2/(100+G$2)," ")</f>
        <v>80</v>
      </c>
      <c r="H25" s="6" t="n">
        <f aca="false">IF((F25&lt;&gt;0),F25-G25," ")</f>
        <v>400</v>
      </c>
      <c r="I25" s="5"/>
      <c r="L25" s="7" t="n">
        <f aca="false">IF(F25&lt;&gt;0,F25-K25," ")</f>
        <v>480</v>
      </c>
      <c r="M25" s="8" t="n">
        <f aca="false">IF((F25-K25)&lt;&gt;0,M$1-A25," ")</f>
        <v>261</v>
      </c>
      <c r="N25" s="5"/>
      <c r="O25" s="17" t="n">
        <f aca="false">IF((E25="s"),H25," ")</f>
        <v>400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46006</v>
      </c>
      <c r="B26" s="2" t="s">
        <v>163</v>
      </c>
      <c r="C26" s="3" t="s">
        <v>164</v>
      </c>
      <c r="D26" s="2" t="s">
        <v>165</v>
      </c>
      <c r="E26" s="2" t="s">
        <v>166</v>
      </c>
      <c r="F26" s="30" t="n">
        <v>1800</v>
      </c>
      <c r="G26" s="6" t="n">
        <f aca="false">IF(F26&lt;&gt;0,F26*G$2/(100+G$2)," ")</f>
        <v>300</v>
      </c>
      <c r="H26" s="6" t="n">
        <f aca="false">IF((F26&lt;&gt;0),F26-G26," ")</f>
        <v>1500</v>
      </c>
      <c r="I26" s="5"/>
      <c r="L26" s="7" t="n">
        <f aca="false">IF(F26&lt;&gt;0,F26-K26," ")</f>
        <v>1800</v>
      </c>
      <c r="M26" s="8" t="n">
        <f aca="false">IF((F26-K26)&lt;&gt;0,M$1-A26," ")</f>
        <v>261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1500</v>
      </c>
      <c r="BZ26" s="2" t="s">
        <v>167</v>
      </c>
    </row>
    <row r="27" customFormat="false" ht="12" hidden="false" customHeight="false" outlineLevel="0" collapsed="false">
      <c r="A27" s="28" t="n">
        <v>46007</v>
      </c>
      <c r="B27" s="2" t="s">
        <v>168</v>
      </c>
      <c r="D27" s="2" t="s">
        <v>169</v>
      </c>
      <c r="E27" s="2" t="s">
        <v>78</v>
      </c>
      <c r="F27" s="30" t="n">
        <v>18</v>
      </c>
      <c r="G27" s="6" t="n">
        <f aca="false">IF(F27&lt;&gt;0,F27*G$2/(100+G$2)," ")</f>
        <v>3</v>
      </c>
      <c r="H27" s="6" t="n">
        <f aca="false">IF((F27&lt;&gt;0),F27-G27," ")</f>
        <v>15</v>
      </c>
      <c r="I27" s="5"/>
      <c r="L27" s="7" t="n">
        <f aca="false">IF(F27&lt;&gt;0,F27-K27," ")</f>
        <v>18</v>
      </c>
      <c r="M27" s="8" t="n">
        <f aca="false">IF((F27-K27)&lt;&gt;0,M$1-A27," ")</f>
        <v>260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15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46009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258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46011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256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46011</v>
      </c>
      <c r="B30" s="2" t="s">
        <v>170</v>
      </c>
      <c r="D30" s="2" t="s">
        <v>171</v>
      </c>
      <c r="E30" s="2" t="s">
        <v>172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256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150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173</v>
      </c>
    </row>
    <row r="31" customFormat="false" ht="12" hidden="false" customHeight="false" outlineLevel="0" collapsed="false">
      <c r="A31" s="28" t="n">
        <v>46011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256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46012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255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46013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254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46013</v>
      </c>
      <c r="B34" s="2" t="s">
        <v>176</v>
      </c>
      <c r="D34" s="2" t="s">
        <v>177</v>
      </c>
      <c r="E34" s="2" t="s">
        <v>104</v>
      </c>
      <c r="F34" s="30" t="n">
        <v>48</v>
      </c>
      <c r="G34" s="6" t="n">
        <f aca="false">IF(F34&lt;&gt;0,F34*G$2/(100+G$2)," ")</f>
        <v>8</v>
      </c>
      <c r="H34" s="6" t="n">
        <f aca="false">IF((F34&lt;&gt;0),F34-G34," ")</f>
        <v>40</v>
      </c>
      <c r="I34" s="5"/>
      <c r="L34" s="7" t="n">
        <f aca="false">IF(F34&lt;&gt;0,F34-K34," ")</f>
        <v>48</v>
      </c>
      <c r="M34" s="8" t="n">
        <f aca="false">IF((F34-K34)&lt;&gt;0,M$1-A34," ")</f>
        <v>254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40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46016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251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46016</v>
      </c>
      <c r="B36" s="2" t="s">
        <v>145</v>
      </c>
      <c r="D36" s="2" t="s">
        <v>178</v>
      </c>
      <c r="E36" s="2" t="s">
        <v>104</v>
      </c>
      <c r="F36" s="30" t="n">
        <v>54</v>
      </c>
      <c r="G36" s="6" t="n">
        <f aca="false">IF(F36&lt;&gt;0,F36*G$2/(100+G$2)," ")</f>
        <v>9</v>
      </c>
      <c r="H36" s="6" t="n">
        <f aca="false">IF((F36&lt;&gt;0),F36-G36," ")</f>
        <v>45</v>
      </c>
      <c r="I36" s="5"/>
      <c r="L36" s="7" t="n">
        <f aca="false">IF(F36&lt;&gt;0,F36-K36," ")</f>
        <v>54</v>
      </c>
      <c r="M36" s="8" t="n">
        <f aca="false">IF((F36-K36)&lt;&gt;0,M$1-A36," ")</f>
        <v>251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45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46019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248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46022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245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24657</v>
      </c>
      <c r="G1" s="12" t="n">
        <f aca="false">SUM(G5:G300)</f>
        <v>4109.5</v>
      </c>
      <c r="H1" s="12" t="n">
        <f aca="false">SUM(H5:H300)</f>
        <v>20547.5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24657</v>
      </c>
      <c r="M1" s="16" t="n">
        <f aca="true">TODAY()</f>
        <v>46267</v>
      </c>
      <c r="N1" s="13"/>
      <c r="O1" s="12" t="n">
        <f aca="false">SUM(O5:O300)</f>
        <v>300</v>
      </c>
      <c r="P1" s="12" t="n">
        <f aca="false">SUM(P5:P300)</f>
        <v>4166.66666666667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120.833333333333</v>
      </c>
      <c r="Z1" s="12" t="n">
        <f aca="false">SUM(Z5:Z300)</f>
        <v>0</v>
      </c>
      <c r="AA1" s="12" t="n">
        <f aca="false">SUM(AA5:AA300)</f>
        <v>192.5</v>
      </c>
      <c r="AB1" s="12" t="n">
        <f aca="false">SUM(AB5:AB300)</f>
        <v>226.666666666667</v>
      </c>
      <c r="AC1" s="12" t="n">
        <f aca="false">SUM(AC5:AC300)</f>
        <v>545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458.333333333333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13000</v>
      </c>
      <c r="AJ1" s="43"/>
      <c r="AK1" s="12" t="n">
        <f aca="false">SUM(AK5:AK300)</f>
        <v>1000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46023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244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46023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244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46023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244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46023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244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46023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244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46025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242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46025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242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46027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240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46027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240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46027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240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46030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237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46032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235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46032</v>
      </c>
      <c r="B18" s="2" t="s">
        <v>179</v>
      </c>
      <c r="D18" s="2" t="s">
        <v>180</v>
      </c>
      <c r="E18" s="2" t="s">
        <v>78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235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80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46034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233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46036</v>
      </c>
      <c r="B20" s="2" t="s">
        <v>124</v>
      </c>
      <c r="D20" s="2" t="s">
        <v>125</v>
      </c>
      <c r="E20" s="2" t="s">
        <v>98</v>
      </c>
      <c r="F20" s="30" t="n">
        <v>30</v>
      </c>
      <c r="G20" s="6" t="n">
        <f aca="false">IF(F20&lt;&gt;0,F20*G$2/(100+G$2)," ")</f>
        <v>5</v>
      </c>
      <c r="H20" s="6" t="n">
        <f aca="false">IF((F20&lt;&gt;0),F20-G20," ")</f>
        <v>25</v>
      </c>
      <c r="I20" s="5"/>
      <c r="L20" s="7" t="n">
        <f aca="false">IF(F20&lt;&gt;0,F20-K20," ")</f>
        <v>30</v>
      </c>
      <c r="M20" s="8" t="n">
        <f aca="false">IF((F20-K20)&lt;&gt;0,M$1-A20," ")</f>
        <v>231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25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46036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231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46036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231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46037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230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46037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230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46037</v>
      </c>
      <c r="B25" s="2" t="s">
        <v>181</v>
      </c>
      <c r="C25" s="3" t="s">
        <v>182</v>
      </c>
      <c r="D25" s="2" t="s">
        <v>183</v>
      </c>
      <c r="E25" s="2" t="s">
        <v>184</v>
      </c>
      <c r="F25" s="30" t="n">
        <v>5000</v>
      </c>
      <c r="G25" s="6" t="n">
        <f aca="false">IF(F25&lt;&gt;0,F25*G$2/(100+G$2)," ")</f>
        <v>833.333333333333</v>
      </c>
      <c r="H25" s="6" t="n">
        <f aca="false">IF((F25&lt;&gt;0),F25-G25," ")</f>
        <v>4166.66666666667</v>
      </c>
      <c r="I25" s="5"/>
      <c r="L25" s="7" t="n">
        <f aca="false">IF(F25&lt;&gt;0,F25-K25," ")</f>
        <v>5000</v>
      </c>
      <c r="M25" s="8" t="n">
        <f aca="false">IF((F25-K25)&lt;&gt;0,M$1-A25," ")</f>
        <v>230</v>
      </c>
      <c r="N25" s="5"/>
      <c r="O25" s="17" t="str">
        <f aca="false">IF((E25="s"),H25," ")</f>
        <v> </v>
      </c>
      <c r="P25" s="17" t="n">
        <f aca="false">IF((E25="c"),H25," ")</f>
        <v>4166.66666666667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AK25" s="17" t="n">
        <v>1000</v>
      </c>
      <c r="BZ25" s="2" t="s">
        <v>185</v>
      </c>
    </row>
    <row r="26" customFormat="false" ht="12" hidden="false" customHeight="false" outlineLevel="0" collapsed="false">
      <c r="A26" s="28" t="n">
        <v>46040</v>
      </c>
      <c r="B26" s="2" t="s">
        <v>186</v>
      </c>
      <c r="D26" s="2" t="s">
        <v>187</v>
      </c>
      <c r="E26" s="2" t="s">
        <v>110</v>
      </c>
      <c r="F26" s="30" t="n">
        <v>180</v>
      </c>
      <c r="G26" s="6" t="n">
        <f aca="false">IF(F26&lt;&gt;0,F26*G$2/(100+G$2)," ")</f>
        <v>30</v>
      </c>
      <c r="H26" s="6" t="n">
        <f aca="false">IF((F26&lt;&gt;0),F26-G26," ")</f>
        <v>150</v>
      </c>
      <c r="I26" s="5"/>
      <c r="L26" s="7" t="n">
        <f aca="false">IF(F26&lt;&gt;0,F26-K26," ")</f>
        <v>180</v>
      </c>
      <c r="M26" s="8" t="n">
        <f aca="false">IF((F26-K26)&lt;&gt;0,M$1-A26," ")</f>
        <v>227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150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111</v>
      </c>
    </row>
    <row r="27" customFormat="false" ht="12" hidden="false" customHeight="false" outlineLevel="0" collapsed="false">
      <c r="A27" s="28" t="n">
        <v>46040</v>
      </c>
      <c r="B27" s="2" t="s">
        <v>188</v>
      </c>
      <c r="D27" s="2" t="s">
        <v>189</v>
      </c>
      <c r="E27" s="2" t="s">
        <v>120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227</v>
      </c>
      <c r="N27" s="5"/>
      <c r="O27" s="17" t="n">
        <f aca="false">IF((E27="s"),H27," ")</f>
        <v>300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121</v>
      </c>
    </row>
    <row r="28" customFormat="false" ht="12" hidden="false" customHeight="false" outlineLevel="0" collapsed="false">
      <c r="A28" s="28" t="n">
        <v>46040</v>
      </c>
      <c r="B28" s="2" t="s">
        <v>132</v>
      </c>
      <c r="D28" s="2" t="s">
        <v>103</v>
      </c>
      <c r="E28" s="2" t="s">
        <v>104</v>
      </c>
      <c r="F28" s="30" t="n">
        <v>96</v>
      </c>
      <c r="G28" s="6" t="n">
        <f aca="false">IF(F28&lt;&gt;0,F28*G$2/(100+G$2)," ")</f>
        <v>16</v>
      </c>
      <c r="H28" s="6" t="n">
        <f aca="false">IF((F28&lt;&gt;0),F28-G28," ")</f>
        <v>80</v>
      </c>
      <c r="I28" s="5"/>
      <c r="L28" s="7" t="n">
        <f aca="false">IF(F28&lt;&gt;0,F28-K28," ")</f>
        <v>96</v>
      </c>
      <c r="M28" s="8" t="n">
        <f aca="false">IF((F28-K28)&lt;&gt;0,M$1-A28," ")</f>
        <v>227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n">
        <f aca="false">IF((E28="v"),H28," ")</f>
        <v>80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105</v>
      </c>
    </row>
    <row r="29" customFormat="false" ht="12" hidden="false" customHeight="false" outlineLevel="0" collapsed="false">
      <c r="A29" s="28" t="n">
        <v>46042</v>
      </c>
      <c r="B29" s="2" t="s">
        <v>133</v>
      </c>
      <c r="D29" s="2" t="s">
        <v>134</v>
      </c>
      <c r="E29" s="2" t="s">
        <v>78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225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50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79</v>
      </c>
    </row>
    <row r="30" customFormat="false" ht="12" hidden="false" customHeight="false" outlineLevel="0" collapsed="false">
      <c r="A30" s="28" t="n">
        <v>46043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224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46044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223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46047</v>
      </c>
      <c r="B32" s="2" t="s">
        <v>190</v>
      </c>
      <c r="D32" s="2" t="s">
        <v>191</v>
      </c>
      <c r="E32" s="2" t="s">
        <v>192</v>
      </c>
      <c r="F32" s="30" t="n">
        <v>360</v>
      </c>
      <c r="G32" s="6" t="n">
        <f aca="false">IF(F32&lt;&gt;0,F32*G$2/(100+G$2)," ")</f>
        <v>60</v>
      </c>
      <c r="H32" s="6" t="n">
        <f aca="false">IF((F32&lt;&gt;0),F32-G32," ")</f>
        <v>300</v>
      </c>
      <c r="I32" s="5"/>
      <c r="L32" s="7" t="n">
        <f aca="false">IF(F32&lt;&gt;0,F32-K32," ")</f>
        <v>360</v>
      </c>
      <c r="M32" s="8" t="n">
        <f aca="false">IF((F32-K32)&lt;&gt;0,M$1-A32," ")</f>
        <v>220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46047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220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46047</v>
      </c>
      <c r="B34" s="2" t="s">
        <v>145</v>
      </c>
      <c r="D34" s="2" t="s">
        <v>194</v>
      </c>
      <c r="E34" s="2" t="s">
        <v>104</v>
      </c>
      <c r="F34" s="30" t="n">
        <v>90</v>
      </c>
      <c r="G34" s="6" t="n">
        <f aca="false">IF(F34&lt;&gt;0,F34*G$2/(100+G$2)," ")</f>
        <v>15</v>
      </c>
      <c r="H34" s="6" t="n">
        <f aca="false">IF((F34&lt;&gt;0),F34-G34," ")</f>
        <v>75</v>
      </c>
      <c r="I34" s="5"/>
      <c r="L34" s="7" t="n">
        <f aca="false">IF(F34&lt;&gt;0,F34-K34," ")</f>
        <v>90</v>
      </c>
      <c r="M34" s="8" t="n">
        <f aca="false">IF((F34-K34)&lt;&gt;0,M$1-A34," ")</f>
        <v>220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46050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217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46052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215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46052</v>
      </c>
      <c r="B37" s="2" t="s">
        <v>195</v>
      </c>
      <c r="C37" s="3" t="s">
        <v>196</v>
      </c>
      <c r="D37" s="2" t="s">
        <v>197</v>
      </c>
      <c r="E37" s="2" t="s">
        <v>149</v>
      </c>
      <c r="F37" s="30" t="n">
        <v>250</v>
      </c>
      <c r="G37" s="6" t="n">
        <f aca="false">IF(F37&lt;&gt;0,F37*G$2/(100+G$2)," ")</f>
        <v>41.6666666666667</v>
      </c>
      <c r="H37" s="6" t="n">
        <f aca="false">IF((F37&lt;&gt;0),F37-G37," ")</f>
        <v>208.333333333333</v>
      </c>
      <c r="I37" s="5"/>
      <c r="L37" s="7" t="n">
        <f aca="false">IF(F37&lt;&gt;0,F37-K37," ")</f>
        <v>250</v>
      </c>
      <c r="M37" s="8" t="n">
        <f aca="false">IF((F37-K37)&lt;&gt;0,M$1-A37," ")</f>
        <v>215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46023</v>
      </c>
      <c r="B38" s="2" t="s">
        <v>199</v>
      </c>
      <c r="C38" s="3" t="s">
        <v>200</v>
      </c>
      <c r="D38" s="2" t="s">
        <v>201</v>
      </c>
      <c r="E38" s="2" t="s">
        <v>166</v>
      </c>
      <c r="F38" s="30" t="n">
        <v>15600</v>
      </c>
      <c r="G38" s="6" t="n">
        <f aca="false">IF(F38&lt;&gt;0,F38*G$2/(100+G$2)," ")</f>
        <v>2600</v>
      </c>
      <c r="H38" s="6" t="n">
        <f aca="false">IF((F38&lt;&gt;0),F38-G38," ")</f>
        <v>13000</v>
      </c>
      <c r="I38" s="5"/>
      <c r="L38" s="7" t="n">
        <f aca="false">IF(F38&lt;&gt;0,F38-K38," ")</f>
        <v>15600</v>
      </c>
      <c r="M38" s="8" t="n">
        <f aca="false">IF((F38-K38)&lt;&gt;0,M$1-A38," ")</f>
        <v>244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13000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9059.25</v>
      </c>
      <c r="G1" s="12" t="n">
        <f aca="false">SUM(G5:G300)</f>
        <v>1509.875</v>
      </c>
      <c r="H1" s="12" t="n">
        <f aca="false">SUM(H5:H300)</f>
        <v>7549.375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46267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100</v>
      </c>
      <c r="W1" s="12" t="n">
        <f aca="false">SUM(W5:W300)</f>
        <v>400</v>
      </c>
      <c r="X1" s="12" t="n">
        <f aca="false">SUM(X5:X300)</f>
        <v>150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486.875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2500</v>
      </c>
      <c r="AI1" s="12" t="n">
        <f aca="false">SUM(AI5:AI300)</f>
        <v>1000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46054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213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46054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213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46054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213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46054</v>
      </c>
      <c r="B9" s="2" t="s">
        <v>202</v>
      </c>
      <c r="D9" s="2" t="s">
        <v>203</v>
      </c>
      <c r="E9" s="2" t="s">
        <v>204</v>
      </c>
      <c r="F9" s="30" t="n">
        <v>3000</v>
      </c>
      <c r="G9" s="6" t="n">
        <f aca="false">IF(F9&lt;&gt;0,F9*G$2/(100+G$2)," ")</f>
        <v>500</v>
      </c>
      <c r="H9" s="6" t="n">
        <f aca="false">IF((F9&lt;&gt;0),F9-G9," ")</f>
        <v>2500</v>
      </c>
      <c r="I9" s="5"/>
      <c r="L9" s="7" t="n">
        <f aca="false">IF(F9&lt;&gt;0,F9-K9," ")</f>
        <v>3000</v>
      </c>
      <c r="M9" s="8" t="n">
        <f aca="false">IF((F9-K9)&lt;&gt;0,M$1-A9," ")</f>
        <v>213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2500</v>
      </c>
      <c r="AI9" s="17" t="str">
        <f aca="false">IF((E9="fa"),H9," ")</f>
        <v> </v>
      </c>
      <c r="BZ9" s="2" t="s">
        <v>205</v>
      </c>
    </row>
    <row r="10" customFormat="false" ht="12" hidden="false" customHeight="false" outlineLevel="0" collapsed="false">
      <c r="A10" s="28" t="n">
        <v>46054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213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46054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213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46056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211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46056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211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46058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209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46058</v>
      </c>
      <c r="B15" s="2" t="s">
        <v>206</v>
      </c>
      <c r="D15" s="2" t="s">
        <v>207</v>
      </c>
      <c r="E15" s="2" t="s">
        <v>159</v>
      </c>
      <c r="F15" s="30" t="n">
        <v>480</v>
      </c>
      <c r="G15" s="6" t="n">
        <f aca="false">IF(F15&lt;&gt;0,F15*G$2/(100+G$2)," ")</f>
        <v>80</v>
      </c>
      <c r="H15" s="6" t="n">
        <f aca="false">IF((F15&lt;&gt;0),F15-G15," ")</f>
        <v>400</v>
      </c>
      <c r="I15" s="5"/>
      <c r="L15" s="7" t="n">
        <f aca="false">IF(F15&lt;&gt;0,F15-K15," ")</f>
        <v>480</v>
      </c>
      <c r="M15" s="8" t="n">
        <f aca="false">IF((F15-K15)&lt;&gt;0,M$1-A15," ")</f>
        <v>209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400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160</v>
      </c>
    </row>
    <row r="16" customFormat="false" ht="12" hidden="false" customHeight="false" outlineLevel="0" collapsed="false">
      <c r="A16" s="28" t="n">
        <v>46058</v>
      </c>
      <c r="B16" s="2" t="s">
        <v>102</v>
      </c>
      <c r="D16" s="2" t="s">
        <v>103</v>
      </c>
      <c r="E16" s="2" t="s">
        <v>104</v>
      </c>
      <c r="F16" s="30" t="n">
        <v>180</v>
      </c>
      <c r="G16" s="6" t="n">
        <f aca="false">IF(F16&lt;&gt;0,F16*G$2/(100+G$2)," ")</f>
        <v>30</v>
      </c>
      <c r="H16" s="6" t="n">
        <f aca="false">IF((F16&lt;&gt;0),F16-G16," ")</f>
        <v>150</v>
      </c>
      <c r="I16" s="5"/>
      <c r="L16" s="7" t="n">
        <f aca="false">IF(F16&lt;&gt;0,F16-K16," ")</f>
        <v>180</v>
      </c>
      <c r="M16" s="8" t="n">
        <f aca="false">IF((F16-K16)&lt;&gt;0,M$1-A16," ")</f>
        <v>209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n">
        <f aca="false">IF((E16="v"),H16," ")</f>
        <v>150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105</v>
      </c>
    </row>
    <row r="17" customFormat="false" ht="12" hidden="false" customHeight="false" outlineLevel="0" collapsed="false">
      <c r="A17" s="28" t="n">
        <v>46061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206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46063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204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46063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204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46063</v>
      </c>
      <c r="B20" s="2" t="s">
        <v>118</v>
      </c>
      <c r="D20" s="2" t="s">
        <v>119</v>
      </c>
      <c r="E20" s="2" t="s">
        <v>120</v>
      </c>
      <c r="F20" s="30" t="n">
        <v>720</v>
      </c>
      <c r="G20" s="6" t="n">
        <f aca="false">IF(F20&lt;&gt;0,F20*G$2/(100+G$2)," ")</f>
        <v>120</v>
      </c>
      <c r="H20" s="6" t="n">
        <f aca="false">IF((F20&lt;&gt;0),F20-G20," ")</f>
        <v>600</v>
      </c>
      <c r="I20" s="5"/>
      <c r="L20" s="7" t="n">
        <f aca="false">IF(F20&lt;&gt;0,F20-K20," ")</f>
        <v>720</v>
      </c>
      <c r="M20" s="8" t="n">
        <f aca="false">IF((F20-K20)&lt;&gt;0,M$1-A20," ")</f>
        <v>204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46065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202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46065</v>
      </c>
      <c r="B22" s="2" t="s">
        <v>208</v>
      </c>
      <c r="D22" s="2" t="s">
        <v>209</v>
      </c>
      <c r="E22" s="2" t="s">
        <v>155</v>
      </c>
      <c r="F22" s="30" t="n">
        <v>480</v>
      </c>
      <c r="G22" s="6" t="n">
        <f aca="false">IF(F22&lt;&gt;0,F22*G$2/(100+G$2)," ")</f>
        <v>80</v>
      </c>
      <c r="H22" s="6" t="n">
        <f aca="false">IF((F22&lt;&gt;0),F22-G22," ")</f>
        <v>400</v>
      </c>
      <c r="I22" s="5"/>
      <c r="L22" s="7" t="n">
        <f aca="false">IF(F22&lt;&gt;0,F22-K22," ")</f>
        <v>480</v>
      </c>
      <c r="M22" s="8" t="n">
        <f aca="false">IF((F22-K22)&lt;&gt;0,M$1-A22," ")</f>
        <v>202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400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156</v>
      </c>
    </row>
    <row r="23" customFormat="false" ht="12" hidden="false" customHeight="false" outlineLevel="0" collapsed="false">
      <c r="A23" s="28" t="n">
        <v>46067</v>
      </c>
      <c r="B23" s="2" t="s">
        <v>126</v>
      </c>
      <c r="D23" s="2" t="s">
        <v>127</v>
      </c>
      <c r="E23" s="2" t="s">
        <v>110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200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46067</v>
      </c>
      <c r="B24" s="2" t="s">
        <v>128</v>
      </c>
      <c r="D24" s="2" t="s">
        <v>129</v>
      </c>
      <c r="E24" s="2" t="s">
        <v>110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200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46068</v>
      </c>
      <c r="B25" s="2" t="s">
        <v>20</v>
      </c>
      <c r="D25" s="2" t="s">
        <v>103</v>
      </c>
      <c r="E25" s="2" t="s">
        <v>104</v>
      </c>
      <c r="F25" s="30" t="n">
        <v>150</v>
      </c>
      <c r="G25" s="6" t="n">
        <f aca="false">IF(F25&lt;&gt;0,F25*G$2/(100+G$2)," ")</f>
        <v>25</v>
      </c>
      <c r="H25" s="6" t="n">
        <f aca="false">IF((F25&lt;&gt;0),F25-G25," ")</f>
        <v>125</v>
      </c>
      <c r="I25" s="5"/>
      <c r="L25" s="7" t="n">
        <f aca="false">IF(F25&lt;&gt;0,F25-K25," ")</f>
        <v>150</v>
      </c>
      <c r="M25" s="8" t="n">
        <f aca="false">IF((F25-K25)&lt;&gt;0,M$1-A25," ")</f>
        <v>199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125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46068</v>
      </c>
      <c r="B26" s="2" t="s">
        <v>130</v>
      </c>
      <c r="D26" s="2" t="s">
        <v>131</v>
      </c>
      <c r="E26" s="2" t="s">
        <v>78</v>
      </c>
      <c r="F26" s="30" t="n">
        <v>12</v>
      </c>
      <c r="G26" s="6" t="n">
        <f aca="false">IF(F26&lt;&gt;0,F26*G$2/(100+G$2)," ")</f>
        <v>2</v>
      </c>
      <c r="H26" s="6" t="n">
        <f aca="false">IF((F26&lt;&gt;0),F26-G26," ")</f>
        <v>10</v>
      </c>
      <c r="I26" s="5"/>
      <c r="L26" s="7" t="n">
        <f aca="false">IF(F26&lt;&gt;0,F26-K26," ")</f>
        <v>12</v>
      </c>
      <c r="M26" s="8" t="n">
        <f aca="false">IF((F26-K26)&lt;&gt;0,M$1-A26," ")</f>
        <v>199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46068</v>
      </c>
      <c r="B27" s="2" t="s">
        <v>210</v>
      </c>
      <c r="C27" s="3" t="s">
        <v>211</v>
      </c>
      <c r="D27" s="2" t="s">
        <v>212</v>
      </c>
      <c r="E27" s="2" t="s">
        <v>166</v>
      </c>
      <c r="F27" s="30" t="n">
        <v>1200</v>
      </c>
      <c r="G27" s="6" t="n">
        <f aca="false">IF(F27&lt;&gt;0,F27*G$2/(100+G$2)," ")</f>
        <v>200</v>
      </c>
      <c r="H27" s="6" t="n">
        <f aca="false">IF((F27&lt;&gt;0),F27-G27," ")</f>
        <v>1000</v>
      </c>
      <c r="I27" s="5"/>
      <c r="L27" s="7" t="n">
        <f aca="false">IF(F27&lt;&gt;0,F27-K27," ")</f>
        <v>1200</v>
      </c>
      <c r="M27" s="8" t="n">
        <f aca="false">IF((F27-K27)&lt;&gt;0,M$1-A27," ")</f>
        <v>199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1000</v>
      </c>
      <c r="BZ27" s="2" t="s">
        <v>167</v>
      </c>
    </row>
    <row r="28" customFormat="false" ht="12" hidden="false" customHeight="false" outlineLevel="0" collapsed="false">
      <c r="A28" s="28" t="n">
        <v>46069</v>
      </c>
      <c r="B28" s="2" t="s">
        <v>168</v>
      </c>
      <c r="D28" s="2" t="s">
        <v>169</v>
      </c>
      <c r="E28" s="2" t="s">
        <v>78</v>
      </c>
      <c r="F28" s="30" t="n">
        <v>24</v>
      </c>
      <c r="G28" s="6" t="n">
        <f aca="false">IF(F28&lt;&gt;0,F28*G$2/(100+G$2)," ")</f>
        <v>4</v>
      </c>
      <c r="H28" s="6" t="n">
        <f aca="false">IF((F28&lt;&gt;0),F28-G28," ")</f>
        <v>20</v>
      </c>
      <c r="I28" s="5"/>
      <c r="L28" s="7" t="n">
        <f aca="false">IF(F28&lt;&gt;0,F28-K28," ")</f>
        <v>24</v>
      </c>
      <c r="M28" s="8" t="n">
        <f aca="false">IF((F28-K28)&lt;&gt;0,M$1-A28," ")</f>
        <v>198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46071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196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46073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194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46073</v>
      </c>
      <c r="B31" s="2" t="s">
        <v>213</v>
      </c>
      <c r="D31" s="2" t="s">
        <v>214</v>
      </c>
      <c r="E31" s="2" t="s">
        <v>172</v>
      </c>
      <c r="F31" s="30" t="n">
        <v>120</v>
      </c>
      <c r="G31" s="6" t="n">
        <f aca="false">IF(F31&lt;&gt;0,F31*G$2/(100+G$2)," ")</f>
        <v>20</v>
      </c>
      <c r="H31" s="6" t="n">
        <f aca="false">IF((F31&lt;&gt;0),F31-G31," ")</f>
        <v>100</v>
      </c>
      <c r="I31" s="5"/>
      <c r="L31" s="7" t="n">
        <f aca="false">IF(F31&lt;&gt;0,F31-K31," ")</f>
        <v>120</v>
      </c>
      <c r="M31" s="8" t="n">
        <f aca="false">IF((F31-K31)&lt;&gt;0,M$1-A31," ")</f>
        <v>194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100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173</v>
      </c>
    </row>
    <row r="32" customFormat="false" ht="12" hidden="false" customHeight="false" outlineLevel="0" collapsed="false">
      <c r="A32" s="28" t="n">
        <v>46073</v>
      </c>
      <c r="B32" s="2" t="s">
        <v>135</v>
      </c>
      <c r="D32" s="2" t="s">
        <v>136</v>
      </c>
      <c r="E32" s="2" t="s">
        <v>137</v>
      </c>
      <c r="F32" s="30" t="n">
        <v>180</v>
      </c>
      <c r="G32" s="6" t="n">
        <f aca="false">IF(F32&lt;&gt;0,F32*G$2/(100+G$2)," ")</f>
        <v>30</v>
      </c>
      <c r="H32" s="6" t="n">
        <f aca="false">IF((F32&lt;&gt;0),F32-G32," ")</f>
        <v>150</v>
      </c>
      <c r="I32" s="5"/>
      <c r="L32" s="7" t="n">
        <f aca="false">IF(F32&lt;&gt;0,F32-K32," ")</f>
        <v>180</v>
      </c>
      <c r="M32" s="8" t="n">
        <f aca="false">IF((F32-K32)&lt;&gt;0,M$1-A32," ")</f>
        <v>194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150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46074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193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46075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192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46078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189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46078</v>
      </c>
      <c r="B36" s="2" t="s">
        <v>145</v>
      </c>
      <c r="D36" s="2" t="s">
        <v>215</v>
      </c>
      <c r="E36" s="2" t="s">
        <v>104</v>
      </c>
      <c r="F36" s="30" t="n">
        <v>20.25</v>
      </c>
      <c r="G36" s="6" t="n">
        <f aca="false">IF(F36&lt;&gt;0,F36*G$2/(100+G$2)," ")</f>
        <v>3.375</v>
      </c>
      <c r="H36" s="6" t="n">
        <f aca="false">IF((F36&lt;&gt;0),F36-G36," ")</f>
        <v>16.875</v>
      </c>
      <c r="I36" s="5"/>
      <c r="L36" s="7" t="n">
        <f aca="false">IF(F36&lt;&gt;0,F36-K36," ")</f>
        <v>20.25</v>
      </c>
      <c r="M36" s="8" t="n">
        <f aca="false">IF((F36-K36)&lt;&gt;0,M$1-A36," ")</f>
        <v>189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16.875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46081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186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 t="n">
        <v>46081</v>
      </c>
      <c r="B38" s="2" t="s">
        <v>16</v>
      </c>
      <c r="D38" s="2" t="s">
        <v>148</v>
      </c>
      <c r="E38" s="2" t="s">
        <v>149</v>
      </c>
      <c r="F38" s="30" t="n">
        <v>300</v>
      </c>
      <c r="G38" s="6" t="n">
        <f aca="false">IF(F38&lt;&gt;0,F38*G$2/(100+G$2)," ")</f>
        <v>50</v>
      </c>
      <c r="H38" s="6" t="n">
        <f aca="false">IF((F38&lt;&gt;0),F38-G38," ")</f>
        <v>250</v>
      </c>
      <c r="I38" s="5"/>
      <c r="L38" s="7" t="n">
        <f aca="false">IF(F38&lt;&gt;0,F38-K38," ")</f>
        <v>300</v>
      </c>
      <c r="M38" s="8" t="n">
        <f aca="false">IF((F38-K38)&lt;&gt;0,M$1-A38," ")</f>
        <v>186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250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150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4405.25</v>
      </c>
      <c r="G1" s="12" t="n">
        <f aca="false">SUM(G5:G300)</f>
        <v>734.208333333333</v>
      </c>
      <c r="H1" s="12" t="n">
        <f aca="false">SUM(H5:H300)</f>
        <v>3671.04166666667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4405.25</v>
      </c>
      <c r="M1" s="16" t="n">
        <f aca="true">TODAY()</f>
        <v>46267</v>
      </c>
      <c r="N1" s="13"/>
      <c r="O1" s="12" t="n">
        <f aca="false">SUM(O5:O300)</f>
        <v>450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666.666666666667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200</v>
      </c>
      <c r="Y1" s="12" t="n">
        <f aca="false">SUM(Y5:Y300)</f>
        <v>135.833333333333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116.666666666667</v>
      </c>
      <c r="AC1" s="12" t="n">
        <f aca="false">SUM(AC5:AC300)</f>
        <v>501.875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46082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46082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185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46082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185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46082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185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46082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185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46082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185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46084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183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46084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183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46086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181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46086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181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46086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181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46087</v>
      </c>
      <c r="B16" s="2" t="s">
        <v>151</v>
      </c>
      <c r="D16" s="2" t="s">
        <v>152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180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46089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178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46091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176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46093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174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46095</v>
      </c>
      <c r="B20" s="2" t="s">
        <v>124</v>
      </c>
      <c r="D20" s="2" t="s">
        <v>125</v>
      </c>
      <c r="E20" s="2" t="s">
        <v>98</v>
      </c>
      <c r="F20" s="30" t="n">
        <v>48</v>
      </c>
      <c r="G20" s="6" t="n">
        <f aca="false">IF(F20&lt;&gt;0,F20*G$2/(100+G$2)," ")</f>
        <v>8</v>
      </c>
      <c r="H20" s="6" t="n">
        <f aca="false">IF((F20&lt;&gt;0),F20-G20," ")</f>
        <v>40</v>
      </c>
      <c r="I20" s="5"/>
      <c r="L20" s="7" t="n">
        <f aca="false">IF(F20&lt;&gt;0,F20-K20," ")</f>
        <v>48</v>
      </c>
      <c r="M20" s="8" t="n">
        <f aca="false">IF((F20-K20)&lt;&gt;0,M$1-A20," ")</f>
        <v>172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46095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172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46095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172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46096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171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46096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171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46096</v>
      </c>
      <c r="B25" s="2" t="s">
        <v>161</v>
      </c>
      <c r="D25" s="2" t="s">
        <v>162</v>
      </c>
      <c r="E25" s="2" t="s">
        <v>120</v>
      </c>
      <c r="F25" s="30" t="n">
        <v>360</v>
      </c>
      <c r="G25" s="6" t="n">
        <f aca="false">IF(F25&lt;&gt;0,F25*G$2/(100+G$2)," ")</f>
        <v>60</v>
      </c>
      <c r="H25" s="6" t="n">
        <f aca="false">IF((F25&lt;&gt;0),F25-G25," ")</f>
        <v>300</v>
      </c>
      <c r="I25" s="5"/>
      <c r="L25" s="7" t="n">
        <f aca="false">IF(F25&lt;&gt;0,F25-K25," ")</f>
        <v>360</v>
      </c>
      <c r="M25" s="8" t="n">
        <f aca="false">IF((F25-K25)&lt;&gt;0,M$1-A25," ")</f>
        <v>171</v>
      </c>
      <c r="N25" s="5"/>
      <c r="O25" s="17" t="n">
        <f aca="false">IF((E25="s"),H25," ")</f>
        <v>300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121</v>
      </c>
    </row>
    <row r="26" customFormat="false" ht="12" hidden="false" customHeight="false" outlineLevel="0" collapsed="false">
      <c r="A26" s="28" t="n">
        <v>46099</v>
      </c>
      <c r="B26" s="2" t="s">
        <v>216</v>
      </c>
      <c r="D26" s="2" t="s">
        <v>217</v>
      </c>
      <c r="E26" s="2" t="s">
        <v>137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168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200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138</v>
      </c>
    </row>
    <row r="27" customFormat="false" ht="12" hidden="false" customHeight="false" outlineLevel="0" collapsed="false">
      <c r="A27" s="28" t="n">
        <v>46099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168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46101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166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46101</v>
      </c>
      <c r="B29" s="2" t="s">
        <v>218</v>
      </c>
      <c r="D29" s="2" t="s">
        <v>219</v>
      </c>
      <c r="E29" s="2" t="s">
        <v>220</v>
      </c>
      <c r="F29" s="30" t="n">
        <v>800</v>
      </c>
      <c r="G29" s="6" t="n">
        <f aca="false">IF(F29&lt;&gt;0,F29*G$2/(100+G$2)," ")</f>
        <v>133.333333333333</v>
      </c>
      <c r="H29" s="6" t="n">
        <f aca="false">IF((F29&lt;&gt;0),F29-G29," ")</f>
        <v>666.666666666667</v>
      </c>
      <c r="I29" s="5"/>
      <c r="L29" s="7" t="n">
        <f aca="false">IF(F29&lt;&gt;0,F29-K29," ")</f>
        <v>800</v>
      </c>
      <c r="M29" s="8" t="n">
        <f aca="false">IF((F29-K29)&lt;&gt;0,M$1-A29," ")</f>
        <v>166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666.666666666667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221</v>
      </c>
    </row>
    <row r="30" customFormat="false" ht="12" hidden="false" customHeight="false" outlineLevel="0" collapsed="false">
      <c r="A30" s="28" t="n">
        <v>46101</v>
      </c>
      <c r="B30" s="2" t="s">
        <v>174</v>
      </c>
      <c r="D30" s="2" t="s">
        <v>175</v>
      </c>
      <c r="E30" s="2" t="s">
        <v>120</v>
      </c>
      <c r="F30" s="30" t="n">
        <v>180</v>
      </c>
      <c r="G30" s="6" t="n">
        <f aca="false">IF(F30&lt;&gt;0,F30*G$2/(100+G$2)," ")</f>
        <v>30</v>
      </c>
      <c r="H30" s="6" t="n">
        <f aca="false">IF((F30&lt;&gt;0),F30-G30," ")</f>
        <v>150</v>
      </c>
      <c r="I30" s="5"/>
      <c r="L30" s="7" t="n">
        <f aca="false">IF(F30&lt;&gt;0,F30-K30," ")</f>
        <v>180</v>
      </c>
      <c r="M30" s="8" t="n">
        <f aca="false">IF((F30-K30)&lt;&gt;0,M$1-A30," ")</f>
        <v>166</v>
      </c>
      <c r="N30" s="5"/>
      <c r="O30" s="17" t="n">
        <f aca="false">IF((E30="s"),H30," ")</f>
        <v>150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121</v>
      </c>
    </row>
    <row r="31" customFormat="false" ht="12" hidden="false" customHeight="false" outlineLevel="0" collapsed="false">
      <c r="A31" s="28" t="n">
        <v>46102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165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46103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164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46106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161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46106</v>
      </c>
      <c r="B34" s="2" t="s">
        <v>145</v>
      </c>
      <c r="D34" s="2" t="s">
        <v>146</v>
      </c>
      <c r="E34" s="2" t="s">
        <v>104</v>
      </c>
      <c r="F34" s="30" t="n">
        <v>38.25</v>
      </c>
      <c r="G34" s="6" t="n">
        <f aca="false">IF(F34&lt;&gt;0,F34*G$2/(100+G$2)," ")</f>
        <v>6.375</v>
      </c>
      <c r="H34" s="6" t="n">
        <f aca="false">IF((F34&lt;&gt;0),F34-G34," ")</f>
        <v>31.875</v>
      </c>
      <c r="I34" s="5"/>
      <c r="L34" s="7" t="n">
        <f aca="false">IF(F34&lt;&gt;0,F34-K34," ")</f>
        <v>38.25</v>
      </c>
      <c r="M34" s="8" t="n">
        <f aca="false">IF((F34-K34)&lt;&gt;0,M$1-A34," ")</f>
        <v>161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31.875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46109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158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46112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155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13375</v>
      </c>
      <c r="G1" s="12" t="n">
        <f aca="false">SUM(G5:G300)</f>
        <v>2229.16666666667</v>
      </c>
      <c r="H1" s="12" t="n">
        <f aca="false">SUM(H5:H300)</f>
        <v>11145.8333333333</v>
      </c>
      <c r="I1" s="13"/>
      <c r="J1" s="14" t="s">
        <v>2</v>
      </c>
      <c r="K1" s="15" t="n">
        <f aca="false">SUM(K5:K300)</f>
        <v>0</v>
      </c>
      <c r="L1" s="15" t="n">
        <f aca="false">SUM(L5:L300)</f>
        <v>13375</v>
      </c>
      <c r="M1" s="16" t="n">
        <f aca="true">TODAY()</f>
        <v>46267</v>
      </c>
      <c r="N1" s="13"/>
      <c r="O1" s="12" t="n">
        <f aca="false">SUM(O5:O300)</f>
        <v>200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250</v>
      </c>
      <c r="V1" s="12" t="n">
        <f aca="false">SUM(V5:V300)</f>
        <v>80</v>
      </c>
      <c r="W1" s="12" t="n">
        <f aca="false">SUM(W5:W300)</f>
        <v>300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122.5</v>
      </c>
      <c r="AB1" s="12" t="n">
        <f aca="false">SUM(AB5:AB300)</f>
        <v>76.6666666666667</v>
      </c>
      <c r="AC1" s="12" t="n">
        <f aca="false">SUM(AC5:AC300)</f>
        <v>590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1223.33333333333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7000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46113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154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46113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154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46113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154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46113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154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46113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154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46115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152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46115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152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46117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150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46117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150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46120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147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46120</v>
      </c>
      <c r="B16" s="2" t="s">
        <v>153</v>
      </c>
      <c r="D16" s="2" t="s">
        <v>154</v>
      </c>
      <c r="E16" s="2" t="s">
        <v>155</v>
      </c>
      <c r="F16" s="30" t="n">
        <v>360</v>
      </c>
      <c r="G16" s="6" t="n">
        <f aca="false">IF(F16&lt;&gt;0,F16*G$2/(100+G$2)," ")</f>
        <v>60</v>
      </c>
      <c r="H16" s="6" t="n">
        <f aca="false">IF((F16&lt;&gt;0),F16-G16," ")</f>
        <v>300</v>
      </c>
      <c r="I16" s="5"/>
      <c r="L16" s="7" t="n">
        <f aca="false">IF(F16&lt;&gt;0,F16-K16," ")</f>
        <v>360</v>
      </c>
      <c r="M16" s="8" t="n">
        <f aca="false">IF((F16-K16)&lt;&gt;0,M$1-A16," ")</f>
        <v>147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300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156</v>
      </c>
    </row>
    <row r="17" customFormat="false" ht="12" hidden="false" customHeight="false" outlineLevel="0" collapsed="false">
      <c r="A17" s="28" t="n">
        <v>46122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145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46122</v>
      </c>
      <c r="B18" s="2" t="s">
        <v>130</v>
      </c>
      <c r="D18" s="2" t="s">
        <v>222</v>
      </c>
      <c r="E18" s="2" t="s">
        <v>172</v>
      </c>
      <c r="F18" s="30" t="n">
        <v>96</v>
      </c>
      <c r="G18" s="6" t="n">
        <f aca="false">IF(F18&lt;&gt;0,F18*G$2/(100+G$2)," ")</f>
        <v>16</v>
      </c>
      <c r="H18" s="6" t="n">
        <f aca="false">IF((F18&lt;&gt;0),F18-G18," ")</f>
        <v>80</v>
      </c>
      <c r="I18" s="5"/>
      <c r="L18" s="7" t="n">
        <f aca="false">IF(F18&lt;&gt;0,F18-K18," ")</f>
        <v>96</v>
      </c>
      <c r="M18" s="8" t="n">
        <f aca="false">IF((F18-K18)&lt;&gt;0,M$1-A18," ")</f>
        <v>145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80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173</v>
      </c>
    </row>
    <row r="19" customFormat="false" ht="12" hidden="false" customHeight="false" outlineLevel="0" collapsed="false">
      <c r="A19" s="28" t="n">
        <v>46124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143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46126</v>
      </c>
      <c r="B20" s="2" t="s">
        <v>126</v>
      </c>
      <c r="D20" s="2" t="s">
        <v>127</v>
      </c>
      <c r="E20" s="2" t="s">
        <v>110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141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46126</v>
      </c>
      <c r="B21" s="2" t="s">
        <v>128</v>
      </c>
      <c r="D21" s="2" t="s">
        <v>129</v>
      </c>
      <c r="E21" s="2" t="s">
        <v>110</v>
      </c>
      <c r="F21" s="30" t="n">
        <v>12</v>
      </c>
      <c r="G21" s="6" t="n">
        <f aca="false">IF(F21&lt;&gt;0,F21*G$2/(100+G$2)," ")</f>
        <v>2</v>
      </c>
      <c r="H21" s="6" t="n">
        <f aca="false">IF((F21&lt;&gt;0),F21-G21," ")</f>
        <v>10</v>
      </c>
      <c r="I21" s="5"/>
      <c r="L21" s="7" t="n">
        <f aca="false">IF(F21&lt;&gt;0,F21-K21," ")</f>
        <v>12</v>
      </c>
      <c r="M21" s="8" t="n">
        <f aca="false">IF((F21-K21)&lt;&gt;0,M$1-A21," ")</f>
        <v>141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46127</v>
      </c>
      <c r="B22" s="2" t="s">
        <v>20</v>
      </c>
      <c r="D22" s="2" t="s">
        <v>103</v>
      </c>
      <c r="E22" s="2" t="s">
        <v>104</v>
      </c>
      <c r="F22" s="30" t="n">
        <v>150</v>
      </c>
      <c r="G22" s="6" t="n">
        <f aca="false">IF(F22&lt;&gt;0,F22*G$2/(100+G$2)," ")</f>
        <v>25</v>
      </c>
      <c r="H22" s="6" t="n">
        <f aca="false">IF((F22&lt;&gt;0),F22-G22," ")</f>
        <v>125</v>
      </c>
      <c r="I22" s="5"/>
      <c r="L22" s="7" t="n">
        <f aca="false">IF(F22&lt;&gt;0,F22-K22," ")</f>
        <v>150</v>
      </c>
      <c r="M22" s="8" t="n">
        <f aca="false">IF((F22-K22)&lt;&gt;0,M$1-A22," ")</f>
        <v>140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125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46127</v>
      </c>
      <c r="B23" s="2" t="s">
        <v>130</v>
      </c>
      <c r="D23" s="2" t="s">
        <v>131</v>
      </c>
      <c r="E23" s="2" t="s">
        <v>78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140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46127</v>
      </c>
      <c r="B24" s="2" t="s">
        <v>223</v>
      </c>
      <c r="D24" s="2" t="s">
        <v>224</v>
      </c>
      <c r="E24" s="2" t="s">
        <v>149</v>
      </c>
      <c r="F24" s="30" t="n">
        <v>960</v>
      </c>
      <c r="G24" s="6" t="n">
        <f aca="false">IF(F24&lt;&gt;0,F24*G$2/(100+G$2)," ")</f>
        <v>160</v>
      </c>
      <c r="H24" s="6" t="n">
        <f aca="false">IF((F24&lt;&gt;0),F24-G24," ")</f>
        <v>800</v>
      </c>
      <c r="I24" s="5"/>
      <c r="L24" s="7" t="n">
        <f aca="false">IF(F24&lt;&gt;0,F24-K24," ")</f>
        <v>960</v>
      </c>
      <c r="M24" s="8" t="n">
        <f aca="false">IF((F24-K24)&lt;&gt;0,M$1-A24," ")</f>
        <v>140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800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150</v>
      </c>
    </row>
    <row r="25" customFormat="false" ht="12" hidden="false" customHeight="false" outlineLevel="0" collapsed="false">
      <c r="A25" s="28" t="n">
        <v>46128</v>
      </c>
      <c r="B25" s="2" t="s">
        <v>168</v>
      </c>
      <c r="D25" s="2" t="s">
        <v>169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139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46130</v>
      </c>
      <c r="B26" s="2" t="s">
        <v>188</v>
      </c>
      <c r="D26" s="2" t="s">
        <v>189</v>
      </c>
      <c r="E26" s="2" t="s">
        <v>120</v>
      </c>
      <c r="F26" s="30" t="n">
        <v>240</v>
      </c>
      <c r="G26" s="6" t="n">
        <f aca="false">IF(F26&lt;&gt;0,F26*G$2/(100+G$2)," ")</f>
        <v>40</v>
      </c>
      <c r="H26" s="6" t="n">
        <f aca="false">IF((F26&lt;&gt;0),F26-G26," ")</f>
        <v>200</v>
      </c>
      <c r="I26" s="5"/>
      <c r="L26" s="7" t="n">
        <f aca="false">IF(F26&lt;&gt;0,F26-K26," ")</f>
        <v>240</v>
      </c>
      <c r="M26" s="8" t="n">
        <f aca="false">IF((F26-K26)&lt;&gt;0,M$1-A26," ")</f>
        <v>137</v>
      </c>
      <c r="N26" s="5"/>
      <c r="O26" s="17" t="n">
        <f aca="false">IF((E26="s"),H26," ")</f>
        <v>200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46130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137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46132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135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46133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134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46134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133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46134</v>
      </c>
      <c r="B31" s="2" t="s">
        <v>176</v>
      </c>
      <c r="D31" s="2" t="s">
        <v>177</v>
      </c>
      <c r="E31" s="2" t="s">
        <v>104</v>
      </c>
      <c r="F31" s="30" t="n">
        <v>72</v>
      </c>
      <c r="G31" s="6" t="n">
        <f aca="false">IF(F31&lt;&gt;0,F31*G$2/(100+G$2)," ")</f>
        <v>12</v>
      </c>
      <c r="H31" s="6" t="n">
        <f aca="false">IF((F31&lt;&gt;0),F31-G31," ")</f>
        <v>60</v>
      </c>
      <c r="I31" s="5"/>
      <c r="L31" s="7" t="n">
        <f aca="false">IF(F31&lt;&gt;0,F31-K31," ")</f>
        <v>72</v>
      </c>
      <c r="M31" s="8" t="n">
        <f aca="false">IF((F31-K31)&lt;&gt;0,M$1-A31," ")</f>
        <v>133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n">
        <f aca="false">IF((E31="v"),H31," ")</f>
        <v>60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105</v>
      </c>
    </row>
    <row r="32" customFormat="false" ht="12" hidden="false" customHeight="false" outlineLevel="0" collapsed="false">
      <c r="A32" s="28" t="n">
        <v>46137</v>
      </c>
      <c r="B32" s="2" t="s">
        <v>190</v>
      </c>
      <c r="D32" s="2" t="s">
        <v>191</v>
      </c>
      <c r="E32" s="2" t="s">
        <v>192</v>
      </c>
      <c r="F32" s="30" t="n">
        <v>300</v>
      </c>
      <c r="G32" s="6" t="n">
        <f aca="false">IF(F32&lt;&gt;0,F32*G$2/(100+G$2)," ")</f>
        <v>50</v>
      </c>
      <c r="H32" s="6" t="n">
        <f aca="false">IF((F32&lt;&gt;0),F32-G32," ")</f>
        <v>250</v>
      </c>
      <c r="I32" s="5"/>
      <c r="L32" s="7" t="n">
        <f aca="false">IF(F32&lt;&gt;0,F32-K32," ")</f>
        <v>300</v>
      </c>
      <c r="M32" s="8" t="n">
        <f aca="false">IF((F32-K32)&lt;&gt;0,M$1-A32," ")</f>
        <v>130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250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193</v>
      </c>
    </row>
    <row r="33" customFormat="false" ht="12" hidden="false" customHeight="false" outlineLevel="0" collapsed="false">
      <c r="A33" s="28" t="n">
        <v>46137</v>
      </c>
      <c r="B33" s="2" t="s">
        <v>143</v>
      </c>
      <c r="D33" s="2" t="s">
        <v>144</v>
      </c>
      <c r="E33" s="2" t="s">
        <v>98</v>
      </c>
      <c r="F33" s="30" t="n">
        <v>15</v>
      </c>
      <c r="G33" s="6" t="n">
        <f aca="false">IF(F33&lt;&gt;0,F33*G$2/(100+G$2)," ")</f>
        <v>2.5</v>
      </c>
      <c r="H33" s="6" t="n">
        <f aca="false">IF((F33&lt;&gt;0),F33-G33," ")</f>
        <v>12.5</v>
      </c>
      <c r="I33" s="5"/>
      <c r="L33" s="7" t="n">
        <f aca="false">IF(F33&lt;&gt;0,F33-K33," ")</f>
        <v>15</v>
      </c>
      <c r="M33" s="8" t="n">
        <f aca="false">IF((F33-K33)&lt;&gt;0,M$1-A33," ")</f>
        <v>130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12.5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46137</v>
      </c>
      <c r="B34" s="2" t="s">
        <v>145</v>
      </c>
      <c r="D34" s="2" t="s">
        <v>225</v>
      </c>
      <c r="E34" s="2" t="s">
        <v>104</v>
      </c>
      <c r="F34" s="30" t="n">
        <v>72</v>
      </c>
      <c r="G34" s="6" t="n">
        <f aca="false">IF(F34&lt;&gt;0,F34*G$2/(100+G$2)," ")</f>
        <v>12</v>
      </c>
      <c r="H34" s="6" t="n">
        <f aca="false">IF((F34&lt;&gt;0),F34-G34," ")</f>
        <v>60</v>
      </c>
      <c r="I34" s="5"/>
      <c r="L34" s="7" t="n">
        <f aca="false">IF(F34&lt;&gt;0,F34-K34," ")</f>
        <v>72</v>
      </c>
      <c r="M34" s="8" t="n">
        <f aca="false">IF((F34-K34)&lt;&gt;0,M$1-A34," ")</f>
        <v>130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60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46140</v>
      </c>
      <c r="B35" s="2" t="s">
        <v>20</v>
      </c>
      <c r="D35" s="2" t="s">
        <v>147</v>
      </c>
      <c r="E35" s="2" t="s">
        <v>104</v>
      </c>
      <c r="F35" s="30" t="n">
        <v>120</v>
      </c>
      <c r="G35" s="6" t="n">
        <f aca="false">IF(F35&lt;&gt;0,F35*G$2/(100+G$2)," ")</f>
        <v>20</v>
      </c>
      <c r="H35" s="6" t="n">
        <f aca="false">IF((F35&lt;&gt;0),F35-G35," ")</f>
        <v>100</v>
      </c>
      <c r="I35" s="5"/>
      <c r="L35" s="7" t="n">
        <f aca="false">IF(F35&lt;&gt;0,F35-K35," ")</f>
        <v>120</v>
      </c>
      <c r="M35" s="8" t="n">
        <f aca="false">IF((F35-K35)&lt;&gt;0,M$1-A35," ")</f>
        <v>127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100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46142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125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46142</v>
      </c>
      <c r="B37" s="2" t="s">
        <v>195</v>
      </c>
      <c r="C37" s="3" t="s">
        <v>226</v>
      </c>
      <c r="D37" s="2" t="s">
        <v>197</v>
      </c>
      <c r="E37" s="2" t="s">
        <v>149</v>
      </c>
      <c r="F37" s="30" t="n">
        <v>208</v>
      </c>
      <c r="G37" s="6" t="n">
        <f aca="false">IF(F37&lt;&gt;0,F37*G$2/(100+G$2)," ")</f>
        <v>34.6666666666667</v>
      </c>
      <c r="H37" s="6" t="n">
        <f aca="false">IF((F37&lt;&gt;0),F37-G37," ")</f>
        <v>173.333333333333</v>
      </c>
      <c r="I37" s="5"/>
      <c r="L37" s="7" t="n">
        <f aca="false">IF(F37&lt;&gt;0,F37-K37," ")</f>
        <v>208</v>
      </c>
      <c r="M37" s="8" t="n">
        <f aca="false">IF((F37-K37)&lt;&gt;0,M$1-A37," ")</f>
        <v>125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173.333333333333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 t="n">
        <v>46113</v>
      </c>
      <c r="B38" s="2" t="s">
        <v>199</v>
      </c>
      <c r="C38" s="3" t="s">
        <v>227</v>
      </c>
      <c r="D38" s="2" t="s">
        <v>228</v>
      </c>
      <c r="E38" s="2" t="s">
        <v>166</v>
      </c>
      <c r="F38" s="30" t="n">
        <v>8400</v>
      </c>
      <c r="G38" s="6" t="n">
        <f aca="false">IF(F38&lt;&gt;0,F38*G$2/(100+G$2)," ")</f>
        <v>1400</v>
      </c>
      <c r="H38" s="6" t="n">
        <f aca="false">IF((F38&lt;&gt;0),F38-G38," ")</f>
        <v>7000</v>
      </c>
      <c r="I38" s="5"/>
      <c r="L38" s="7" t="n">
        <f aca="false">IF(F38&lt;&gt;0,F38-K38," ")</f>
        <v>8400</v>
      </c>
      <c r="M38" s="8" t="n">
        <f aca="false">IF((F38-K38)&lt;&gt;0,M$1-A38," ")</f>
        <v>154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n">
        <f aca="false">IF((E38="fa"),H38," ")</f>
        <v>7000</v>
      </c>
      <c r="BZ38" s="2" t="s">
        <v>167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43005.75</v>
      </c>
      <c r="G1" s="12" t="n">
        <f aca="false">SUM(G5:G300)</f>
        <v>7167.625</v>
      </c>
      <c r="H1" s="12" t="n">
        <f aca="false">SUM(H5:H300)</f>
        <v>35838.125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46267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80</v>
      </c>
      <c r="Y1" s="12" t="n">
        <f aca="false">SUM(Y5:Y300)</f>
        <v>125.833333333333</v>
      </c>
      <c r="Z1" s="12" t="n">
        <f aca="false">SUM(Z5:Z300)</f>
        <v>2500</v>
      </c>
      <c r="AA1" s="12" t="n">
        <f aca="false">SUM(AA5:AA300)</f>
        <v>112.5</v>
      </c>
      <c r="AB1" s="12" t="n">
        <f aca="false">SUM(AB5:AB300)</f>
        <v>176.666666666667</v>
      </c>
      <c r="AC1" s="12" t="n">
        <f aca="false">SUM(AC5:AC300)</f>
        <v>505.625</v>
      </c>
      <c r="AD1" s="12" t="n">
        <f aca="false">SUM(AD5:AD300)</f>
        <v>300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30000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46143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124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46143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124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46143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124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46143</v>
      </c>
      <c r="B9" s="2" t="s">
        <v>229</v>
      </c>
      <c r="D9" s="2" t="s">
        <v>230</v>
      </c>
      <c r="E9" s="2" t="s">
        <v>88</v>
      </c>
      <c r="F9" s="30" t="n">
        <v>360</v>
      </c>
      <c r="G9" s="6" t="n">
        <f aca="false">IF(F9&lt;&gt;0,F9*G$2/(100+G$2)," ")</f>
        <v>60</v>
      </c>
      <c r="H9" s="6" t="n">
        <f aca="false">IF((F9&lt;&gt;0),F9-G9," ")</f>
        <v>300</v>
      </c>
      <c r="I9" s="5"/>
      <c r="L9" s="7" t="n">
        <f aca="false">IF(F9&lt;&gt;0,F9-K9," ")</f>
        <v>360</v>
      </c>
      <c r="M9" s="8" t="n">
        <f aca="false">IF((F9-K9)&lt;&gt;0,M$1-A9," ")</f>
        <v>124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n">
        <f aca="false">IF((E9="n"),H9," ")</f>
        <v>300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89</v>
      </c>
    </row>
    <row r="10" customFormat="false" ht="12" hidden="false" customHeight="false" outlineLevel="0" collapsed="false">
      <c r="A10" s="28" t="n">
        <v>46143</v>
      </c>
      <c r="B10" s="2" t="s">
        <v>90</v>
      </c>
      <c r="D10" s="2" t="s">
        <v>91</v>
      </c>
      <c r="E10" s="2" t="s">
        <v>84</v>
      </c>
      <c r="F10" s="30" t="n">
        <v>24</v>
      </c>
      <c r="G10" s="6" t="n">
        <f aca="false">IF(F10&lt;&gt;0,F10*G$2/(100+G$2)," ")</f>
        <v>4</v>
      </c>
      <c r="H10" s="6" t="n">
        <f aca="false">IF((F10&lt;&gt;0),F10-G10," ")</f>
        <v>20</v>
      </c>
      <c r="I10" s="5"/>
      <c r="L10" s="7" t="n">
        <f aca="false">IF(F10&lt;&gt;0,F10-K10," ")</f>
        <v>24</v>
      </c>
      <c r="M10" s="8" t="n">
        <f aca="false">IF((F10-K10)&lt;&gt;0,M$1-A10," ")</f>
        <v>124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20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85</v>
      </c>
    </row>
    <row r="11" customFormat="false" ht="12" hidden="false" customHeight="false" outlineLevel="0" collapsed="false">
      <c r="A11" s="28" t="n">
        <v>46143</v>
      </c>
      <c r="B11" s="2" t="s">
        <v>92</v>
      </c>
      <c r="D11" s="2" t="s">
        <v>93</v>
      </c>
      <c r="E11" s="2" t="s">
        <v>78</v>
      </c>
      <c r="F11" s="30" t="n">
        <v>18</v>
      </c>
      <c r="G11" s="6" t="n">
        <f aca="false">IF(F11&lt;&gt;0,F11*G$2/(100+G$2)," ")</f>
        <v>3</v>
      </c>
      <c r="H11" s="6" t="n">
        <f aca="false">IF((F11&lt;&gt;0),F11-G11," ")</f>
        <v>15</v>
      </c>
      <c r="I11" s="5"/>
      <c r="L11" s="7" t="n">
        <f aca="false">IF(F11&lt;&gt;0,F11-K11," ")</f>
        <v>18</v>
      </c>
      <c r="M11" s="8" t="n">
        <f aca="false">IF((F11-K11)&lt;&gt;0,M$1-A11," ")</f>
        <v>124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15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79</v>
      </c>
    </row>
    <row r="12" customFormat="false" ht="12" hidden="false" customHeight="false" outlineLevel="0" collapsed="false">
      <c r="A12" s="28" t="n">
        <v>46145</v>
      </c>
      <c r="B12" s="2" t="s">
        <v>94</v>
      </c>
      <c r="D12" s="2" t="s">
        <v>95</v>
      </c>
      <c r="E12" s="2" t="s">
        <v>84</v>
      </c>
      <c r="F12" s="30" t="n">
        <v>180</v>
      </c>
      <c r="G12" s="6" t="n">
        <f aca="false">IF(F12&lt;&gt;0,F12*G$2/(100+G$2)," ")</f>
        <v>30</v>
      </c>
      <c r="H12" s="6" t="n">
        <f aca="false">IF((F12&lt;&gt;0),F12-G12," ")</f>
        <v>150</v>
      </c>
      <c r="I12" s="5"/>
      <c r="L12" s="7" t="n">
        <f aca="false">IF(F12&lt;&gt;0,F12-K12," ")</f>
        <v>180</v>
      </c>
      <c r="M12" s="8" t="n">
        <f aca="false">IF((F12-K12)&lt;&gt;0,M$1-A12," ")</f>
        <v>122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150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85</v>
      </c>
    </row>
    <row r="13" customFormat="false" ht="12" hidden="false" customHeight="false" outlineLevel="0" collapsed="false">
      <c r="A13" s="28" t="n">
        <v>46145</v>
      </c>
      <c r="B13" s="2" t="s">
        <v>96</v>
      </c>
      <c r="D13" s="2" t="s">
        <v>97</v>
      </c>
      <c r="E13" s="2" t="s">
        <v>98</v>
      </c>
      <c r="F13" s="30" t="n">
        <v>22</v>
      </c>
      <c r="G13" s="6" t="n">
        <f aca="false">IF(F13&lt;&gt;0,F13*G$2/(100+G$2)," ")</f>
        <v>3.66666666666667</v>
      </c>
      <c r="H13" s="6" t="n">
        <f aca="false">IF((F13&lt;&gt;0),F13-G13," ")</f>
        <v>18.3333333333333</v>
      </c>
      <c r="I13" s="5"/>
      <c r="L13" s="7" t="n">
        <f aca="false">IF(F13&lt;&gt;0,F13-K13," ")</f>
        <v>22</v>
      </c>
      <c r="M13" s="8" t="n">
        <f aca="false">IF((F13-K13)&lt;&gt;0,M$1-A13," ")</f>
        <v>122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18.3333333333333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46147</v>
      </c>
      <c r="B14" s="2" t="s">
        <v>100</v>
      </c>
      <c r="D14" s="2" t="s">
        <v>101</v>
      </c>
      <c r="E14" s="2" t="s">
        <v>98</v>
      </c>
      <c r="F14" s="30" t="n">
        <v>24</v>
      </c>
      <c r="G14" s="6" t="n">
        <f aca="false">IF(F14&lt;&gt;0,F14*G$2/(100+G$2)," ")</f>
        <v>4</v>
      </c>
      <c r="H14" s="6" t="n">
        <f aca="false">IF((F14&lt;&gt;0),F14-G14," ")</f>
        <v>20</v>
      </c>
      <c r="I14" s="5"/>
      <c r="L14" s="7" t="n">
        <f aca="false">IF(F14&lt;&gt;0,F14-K14," ")</f>
        <v>24</v>
      </c>
      <c r="M14" s="8" t="n">
        <f aca="false">IF((F14-K14)&lt;&gt;0,M$1-A14," ")</f>
        <v>120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20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99</v>
      </c>
    </row>
    <row r="15" customFormat="false" ht="12" hidden="false" customHeight="false" outlineLevel="0" collapsed="false">
      <c r="A15" s="28" t="n">
        <v>46147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120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46147</v>
      </c>
      <c r="B16" s="2" t="s">
        <v>106</v>
      </c>
      <c r="D16" s="2" t="s">
        <v>107</v>
      </c>
      <c r="E16" s="2" t="s">
        <v>84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120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30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85</v>
      </c>
    </row>
    <row r="17" customFormat="false" ht="12" hidden="false" customHeight="false" outlineLevel="0" collapsed="false">
      <c r="A17" s="28" t="n">
        <v>46150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117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46152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115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46152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115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46152</v>
      </c>
      <c r="B20" s="2" t="s">
        <v>118</v>
      </c>
      <c r="D20" s="2" t="s">
        <v>119</v>
      </c>
      <c r="E20" s="2" t="s">
        <v>120</v>
      </c>
      <c r="F20" s="30" t="n">
        <v>480</v>
      </c>
      <c r="G20" s="6" t="n">
        <f aca="false">IF(F20&lt;&gt;0,F20*G$2/(100+G$2)," ")</f>
        <v>80</v>
      </c>
      <c r="H20" s="6" t="n">
        <f aca="false">IF((F20&lt;&gt;0),F20-G20," ")</f>
        <v>400</v>
      </c>
      <c r="I20" s="5"/>
      <c r="L20" s="7" t="n">
        <f aca="false">IF(F20&lt;&gt;0,F20-K20," ")</f>
        <v>480</v>
      </c>
      <c r="M20" s="8" t="n">
        <f aca="false">IF((F20-K20)&lt;&gt;0,M$1-A20," ")</f>
        <v>115</v>
      </c>
      <c r="N20" s="5"/>
      <c r="O20" s="17" t="n">
        <f aca="false">IF((E20="s"),H20," ")</f>
        <v>400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46152</v>
      </c>
      <c r="B21" s="2" t="s">
        <v>157</v>
      </c>
      <c r="D21" s="2" t="s">
        <v>231</v>
      </c>
      <c r="E21" s="2" t="s">
        <v>159</v>
      </c>
      <c r="F21" s="30" t="n">
        <v>1800</v>
      </c>
      <c r="G21" s="6" t="n">
        <f aca="false">IF(F21&lt;&gt;0,F21*G$2/(100+G$2)," ")</f>
        <v>300</v>
      </c>
      <c r="H21" s="6" t="n">
        <f aca="false">IF((F21&lt;&gt;0),F21-G21," ")</f>
        <v>1500</v>
      </c>
      <c r="I21" s="5"/>
      <c r="L21" s="7" t="n">
        <f aca="false">IF(F21&lt;&gt;0,F21-K21," ")</f>
        <v>1800</v>
      </c>
      <c r="M21" s="8" t="n">
        <f aca="false">IF((F21-K21)&lt;&gt;0,M$1-A21," ")</f>
        <v>115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1500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160</v>
      </c>
    </row>
    <row r="22" customFormat="false" ht="12" hidden="false" customHeight="false" outlineLevel="0" collapsed="false">
      <c r="A22" s="28" t="n">
        <v>46154</v>
      </c>
      <c r="B22" s="2" t="s">
        <v>122</v>
      </c>
      <c r="D22" s="2" t="s">
        <v>123</v>
      </c>
      <c r="E22" s="2" t="s">
        <v>104</v>
      </c>
      <c r="F22" s="30" t="n">
        <v>18</v>
      </c>
      <c r="G22" s="6" t="n">
        <f aca="false">IF(F22&lt;&gt;0,F22*G$2/(100+G$2)," ")</f>
        <v>3</v>
      </c>
      <c r="H22" s="6" t="n">
        <f aca="false">IF((F22&lt;&gt;0),F22-G22," ")</f>
        <v>15</v>
      </c>
      <c r="I22" s="5"/>
      <c r="L22" s="7" t="n">
        <f aca="false">IF(F22&lt;&gt;0,F22-K22," ")</f>
        <v>18</v>
      </c>
      <c r="M22" s="8" t="n">
        <f aca="false">IF((F22-K22)&lt;&gt;0,M$1-A22," ")</f>
        <v>113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30" t="n">
        <f aca="false">IF((E22="v"),H22," ")</f>
        <v>15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105</v>
      </c>
    </row>
    <row r="23" customFormat="false" ht="12" hidden="false" customHeight="false" outlineLevel="0" collapsed="false">
      <c r="A23" s="28" t="n">
        <v>46156</v>
      </c>
      <c r="B23" s="2" t="s">
        <v>124</v>
      </c>
      <c r="D23" s="2" t="s">
        <v>125</v>
      </c>
      <c r="E23" s="2" t="s">
        <v>98</v>
      </c>
      <c r="F23" s="30" t="n">
        <v>36</v>
      </c>
      <c r="G23" s="6" t="n">
        <f aca="false">IF(F23&lt;&gt;0,F23*G$2/(100+G$2)," ")</f>
        <v>6</v>
      </c>
      <c r="H23" s="6" t="n">
        <f aca="false">IF((F23&lt;&gt;0),F23-G23," ")</f>
        <v>30</v>
      </c>
      <c r="I23" s="5"/>
      <c r="L23" s="7" t="n">
        <f aca="false">IF(F23&lt;&gt;0,F23-K23," ")</f>
        <v>36</v>
      </c>
      <c r="M23" s="8" t="n">
        <f aca="false">IF((F23-K23)&lt;&gt;0,M$1-A23," ")</f>
        <v>111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30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99</v>
      </c>
    </row>
    <row r="24" customFormat="false" ht="12" hidden="false" customHeight="false" outlineLevel="0" collapsed="false">
      <c r="A24" s="28" t="n">
        <v>46156</v>
      </c>
      <c r="B24" s="2" t="s">
        <v>126</v>
      </c>
      <c r="D24" s="2" t="s">
        <v>127</v>
      </c>
      <c r="E24" s="2" t="s">
        <v>110</v>
      </c>
      <c r="F24" s="30" t="n">
        <v>24</v>
      </c>
      <c r="G24" s="6" t="n">
        <f aca="false">IF(F24&lt;&gt;0,F24*G$2/(100+G$2)," ")</f>
        <v>4</v>
      </c>
      <c r="H24" s="6" t="n">
        <f aca="false">IF((F24&lt;&gt;0),F24-G24," ")</f>
        <v>20</v>
      </c>
      <c r="I24" s="5"/>
      <c r="L24" s="7" t="n">
        <f aca="false">IF(F24&lt;&gt;0,F24-K24," ")</f>
        <v>24</v>
      </c>
      <c r="M24" s="8" t="n">
        <f aca="false">IF((F24-K24)&lt;&gt;0,M$1-A24," ")</f>
        <v>111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20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111</v>
      </c>
    </row>
    <row r="25" customFormat="false" ht="12" hidden="false" customHeight="false" outlineLevel="0" collapsed="false">
      <c r="A25" s="28" t="n">
        <v>46156</v>
      </c>
      <c r="B25" s="2" t="s">
        <v>128</v>
      </c>
      <c r="D25" s="2" t="s">
        <v>129</v>
      </c>
      <c r="E25" s="2" t="s">
        <v>110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111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10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111</v>
      </c>
    </row>
    <row r="26" customFormat="false" ht="12" hidden="false" customHeight="false" outlineLevel="0" collapsed="false">
      <c r="A26" s="28" t="n">
        <v>46157</v>
      </c>
      <c r="B26" s="2" t="s">
        <v>20</v>
      </c>
      <c r="D26" s="2" t="s">
        <v>103</v>
      </c>
      <c r="E26" s="2" t="s">
        <v>104</v>
      </c>
      <c r="F26" s="30" t="n">
        <v>150</v>
      </c>
      <c r="G26" s="6" t="n">
        <f aca="false">IF(F26&lt;&gt;0,F26*G$2/(100+G$2)," ")</f>
        <v>25</v>
      </c>
      <c r="H26" s="6" t="n">
        <f aca="false">IF((F26&lt;&gt;0),F26-G26," ")</f>
        <v>125</v>
      </c>
      <c r="I26" s="5"/>
      <c r="L26" s="7" t="n">
        <f aca="false">IF(F26&lt;&gt;0,F26-K26," ")</f>
        <v>150</v>
      </c>
      <c r="M26" s="8" t="n">
        <f aca="false">IF((F26-K26)&lt;&gt;0,M$1-A26," ")</f>
        <v>110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125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46157</v>
      </c>
      <c r="B27" s="2" t="s">
        <v>130</v>
      </c>
      <c r="D27" s="2" t="s">
        <v>131</v>
      </c>
      <c r="E27" s="2" t="s">
        <v>78</v>
      </c>
      <c r="F27" s="30" t="n">
        <v>12</v>
      </c>
      <c r="G27" s="6" t="n">
        <f aca="false">IF(F27&lt;&gt;0,F27*G$2/(100+G$2)," ")</f>
        <v>2</v>
      </c>
      <c r="H27" s="6" t="n">
        <f aca="false">IF((F27&lt;&gt;0),F27-G27," ")</f>
        <v>10</v>
      </c>
      <c r="I27" s="5"/>
      <c r="L27" s="7" t="n">
        <f aca="false">IF(F27&lt;&gt;0,F27-K27," ")</f>
        <v>12</v>
      </c>
      <c r="M27" s="8" t="n">
        <f aca="false">IF((F27-K27)&lt;&gt;0,M$1-A27," ")</f>
        <v>110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46157</v>
      </c>
      <c r="B28" s="2" t="s">
        <v>232</v>
      </c>
      <c r="D28" s="2" t="s">
        <v>233</v>
      </c>
      <c r="E28" s="2" t="s">
        <v>159</v>
      </c>
      <c r="F28" s="30" t="n">
        <v>1200</v>
      </c>
      <c r="G28" s="6" t="n">
        <f aca="false">IF(F28&lt;&gt;0,F28*G$2/(100+G$2)," ")</f>
        <v>200</v>
      </c>
      <c r="H28" s="6" t="n">
        <f aca="false">IF((F28&lt;&gt;0),F28-G28," ")</f>
        <v>1000</v>
      </c>
      <c r="I28" s="5"/>
      <c r="L28" s="7" t="n">
        <f aca="false">IF(F28&lt;&gt;0,F28-K28," ")</f>
        <v>1200</v>
      </c>
      <c r="M28" s="8" t="n">
        <f aca="false">IF((F28-K28)&lt;&gt;0,M$1-A28," ")</f>
        <v>110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1000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160</v>
      </c>
    </row>
    <row r="29" customFormat="false" ht="12" hidden="false" customHeight="false" outlineLevel="0" collapsed="false">
      <c r="A29" s="28" t="n">
        <v>46160</v>
      </c>
      <c r="B29" s="2" t="s">
        <v>186</v>
      </c>
      <c r="D29" s="2" t="s">
        <v>234</v>
      </c>
      <c r="E29" s="2" t="s">
        <v>110</v>
      </c>
      <c r="F29" s="30" t="n">
        <v>120</v>
      </c>
      <c r="G29" s="6" t="n">
        <f aca="false">IF(F29&lt;&gt;0,F29*G$2/(100+G$2)," ")</f>
        <v>20</v>
      </c>
      <c r="H29" s="6" t="n">
        <f aca="false">IF((F29&lt;&gt;0),F29-G29," ")</f>
        <v>100</v>
      </c>
      <c r="I29" s="5"/>
      <c r="L29" s="7" t="n">
        <f aca="false">IF(F29&lt;&gt;0,F29-K29," ")</f>
        <v>120</v>
      </c>
      <c r="M29" s="8" t="n">
        <f aca="false">IF((F29-K29)&lt;&gt;0,M$1-A29," ")</f>
        <v>107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100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46160</v>
      </c>
      <c r="B30" s="2" t="s">
        <v>132</v>
      </c>
      <c r="D30" s="2" t="s">
        <v>103</v>
      </c>
      <c r="E30" s="2" t="s">
        <v>104</v>
      </c>
      <c r="F30" s="30" t="n">
        <v>96</v>
      </c>
      <c r="G30" s="6" t="n">
        <f aca="false">IF(F30&lt;&gt;0,F30*G$2/(100+G$2)," ")</f>
        <v>16</v>
      </c>
      <c r="H30" s="6" t="n">
        <f aca="false">IF((F30&lt;&gt;0),F30-G30," ")</f>
        <v>80</v>
      </c>
      <c r="I30" s="5"/>
      <c r="L30" s="7" t="n">
        <f aca="false">IF(F30&lt;&gt;0,F30-K30," ")</f>
        <v>96</v>
      </c>
      <c r="M30" s="8" t="n">
        <f aca="false">IF((F30-K30)&lt;&gt;0,M$1-A30," ")</f>
        <v>107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n">
        <f aca="false">IF((E30="v"),H30," ")</f>
        <v>80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105</v>
      </c>
    </row>
    <row r="31" customFormat="false" ht="12" hidden="false" customHeight="false" outlineLevel="0" collapsed="false">
      <c r="A31" s="28" t="n">
        <v>46162</v>
      </c>
      <c r="B31" s="2" t="s">
        <v>133</v>
      </c>
      <c r="D31" s="2" t="s">
        <v>134</v>
      </c>
      <c r="E31" s="2" t="s">
        <v>78</v>
      </c>
      <c r="F31" s="30" t="n">
        <v>60</v>
      </c>
      <c r="G31" s="6" t="n">
        <f aca="false">IF(F31&lt;&gt;0,F31*G$2/(100+G$2)," ")</f>
        <v>10</v>
      </c>
      <c r="H31" s="6" t="n">
        <f aca="false">IF((F31&lt;&gt;0),F31-G31," ")</f>
        <v>50</v>
      </c>
      <c r="I31" s="5"/>
      <c r="L31" s="7" t="n">
        <f aca="false">IF(F31&lt;&gt;0,F31-K31," ")</f>
        <v>60</v>
      </c>
      <c r="M31" s="8" t="n">
        <f aca="false">IF((F31-K31)&lt;&gt;0,M$1-A31," ")</f>
        <v>105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50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79</v>
      </c>
    </row>
    <row r="32" customFormat="false" ht="12" hidden="false" customHeight="false" outlineLevel="0" collapsed="false">
      <c r="A32" s="28" t="n">
        <v>46162</v>
      </c>
      <c r="B32" s="2" t="s">
        <v>135</v>
      </c>
      <c r="D32" s="2" t="s">
        <v>136</v>
      </c>
      <c r="E32" s="2" t="s">
        <v>137</v>
      </c>
      <c r="F32" s="30" t="n">
        <v>96</v>
      </c>
      <c r="G32" s="6" t="n">
        <f aca="false">IF(F32&lt;&gt;0,F32*G$2/(100+G$2)," ")</f>
        <v>16</v>
      </c>
      <c r="H32" s="6" t="n">
        <f aca="false">IF((F32&lt;&gt;0),F32-G32," ")</f>
        <v>80</v>
      </c>
      <c r="I32" s="5"/>
      <c r="L32" s="7" t="n">
        <f aca="false">IF(F32&lt;&gt;0,F32-K32," ")</f>
        <v>96</v>
      </c>
      <c r="M32" s="8" t="n">
        <f aca="false">IF((F32-K32)&lt;&gt;0,M$1-A32," ")</f>
        <v>105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138</v>
      </c>
    </row>
    <row r="33" customFormat="false" ht="12" hidden="false" customHeight="false" outlineLevel="0" collapsed="false">
      <c r="A33" s="28" t="n">
        <v>46163</v>
      </c>
      <c r="B33" s="2" t="s">
        <v>139</v>
      </c>
      <c r="D33" s="2" t="s">
        <v>140</v>
      </c>
      <c r="E33" s="2" t="s">
        <v>110</v>
      </c>
      <c r="F33" s="30" t="n">
        <v>8</v>
      </c>
      <c r="G33" s="6" t="n">
        <f aca="false">IF(F33&lt;&gt;0,F33*G$2/(100+G$2)," ")</f>
        <v>1.33333333333333</v>
      </c>
      <c r="H33" s="6" t="n">
        <f aca="false">IF((F33&lt;&gt;0),F33-G33," ")</f>
        <v>6.66666666666667</v>
      </c>
      <c r="I33" s="5"/>
      <c r="L33" s="7" t="n">
        <f aca="false">IF(F33&lt;&gt;0,F33-K33," ")</f>
        <v>8</v>
      </c>
      <c r="M33" s="8" t="n">
        <f aca="false">IF((F33-K33)&lt;&gt;0,M$1-A33," ")</f>
        <v>104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6.66666666666667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111</v>
      </c>
    </row>
    <row r="34" customFormat="false" ht="12" hidden="false" customHeight="false" outlineLevel="0" collapsed="false">
      <c r="A34" s="28" t="n">
        <v>46164</v>
      </c>
      <c r="B34" s="2" t="s">
        <v>141</v>
      </c>
      <c r="D34" s="2" t="s">
        <v>142</v>
      </c>
      <c r="E34" s="2" t="s">
        <v>98</v>
      </c>
      <c r="F34" s="30" t="n">
        <v>18</v>
      </c>
      <c r="G34" s="6" t="n">
        <f aca="false">IF(F34&lt;&gt;0,F34*G$2/(100+G$2)," ")</f>
        <v>3</v>
      </c>
      <c r="H34" s="6" t="n">
        <f aca="false">IF((F34&lt;&gt;0),F34-G34," ")</f>
        <v>15</v>
      </c>
      <c r="I34" s="5"/>
      <c r="L34" s="7" t="n">
        <f aca="false">IF(F34&lt;&gt;0,F34-K34," ")</f>
        <v>18</v>
      </c>
      <c r="M34" s="8" t="n">
        <f aca="false">IF((F34-K34)&lt;&gt;0,M$1-A34," ")</f>
        <v>103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46167</v>
      </c>
      <c r="B35" s="2" t="s">
        <v>143</v>
      </c>
      <c r="D35" s="2" t="s">
        <v>144</v>
      </c>
      <c r="E35" s="2" t="s">
        <v>98</v>
      </c>
      <c r="F35" s="30" t="n">
        <v>15</v>
      </c>
      <c r="G35" s="6" t="n">
        <f aca="false">IF(F35&lt;&gt;0,F35*G$2/(100+G$2)," ")</f>
        <v>2.5</v>
      </c>
      <c r="H35" s="6" t="n">
        <f aca="false">IF((F35&lt;&gt;0),F35-G35," ")</f>
        <v>12.5</v>
      </c>
      <c r="I35" s="5"/>
      <c r="L35" s="7" t="n">
        <f aca="false">IF(F35&lt;&gt;0,F35-K35," ")</f>
        <v>15</v>
      </c>
      <c r="M35" s="8" t="n">
        <f aca="false">IF((F35-K35)&lt;&gt;0,M$1-A35," ")</f>
        <v>100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12.5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99</v>
      </c>
    </row>
    <row r="36" customFormat="false" ht="12" hidden="false" customHeight="false" outlineLevel="0" collapsed="false">
      <c r="A36" s="28" t="n">
        <v>46167</v>
      </c>
      <c r="B36" s="2" t="s">
        <v>145</v>
      </c>
      <c r="D36" s="2" t="s">
        <v>235</v>
      </c>
      <c r="E36" s="2" t="s">
        <v>104</v>
      </c>
      <c r="F36" s="30" t="n">
        <v>42.75</v>
      </c>
      <c r="G36" s="6" t="n">
        <f aca="false">IF(F36&lt;&gt;0,F36*G$2/(100+G$2)," ")</f>
        <v>7.125</v>
      </c>
      <c r="H36" s="6" t="n">
        <f aca="false">IF((F36&lt;&gt;0),F36-G36," ")</f>
        <v>35.625</v>
      </c>
      <c r="I36" s="5"/>
      <c r="L36" s="7" t="n">
        <f aca="false">IF(F36&lt;&gt;0,F36-K36," ")</f>
        <v>42.75</v>
      </c>
      <c r="M36" s="8" t="n">
        <f aca="false">IF((F36-K36)&lt;&gt;0,M$1-A36," ")</f>
        <v>100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35.625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46167</v>
      </c>
      <c r="B37" s="2" t="s">
        <v>236</v>
      </c>
      <c r="C37" s="3" t="s">
        <v>237</v>
      </c>
      <c r="D37" s="2" t="s">
        <v>238</v>
      </c>
      <c r="E37" s="2" t="s">
        <v>166</v>
      </c>
      <c r="F37" s="30" t="n">
        <v>36000</v>
      </c>
      <c r="G37" s="6" t="n">
        <f aca="false">IF(F37&lt;&gt;0,F37*G$2/(100+G$2)," ")</f>
        <v>6000</v>
      </c>
      <c r="H37" s="6" t="n">
        <f aca="false">IF((F37&lt;&gt;0),F37-G37," ")</f>
        <v>30000</v>
      </c>
      <c r="I37" s="5"/>
      <c r="L37" s="7" t="n">
        <f aca="false">IF(F37&lt;&gt;0,F37-K37," ")</f>
        <v>36000</v>
      </c>
      <c r="M37" s="8" t="n">
        <f aca="false">IF((F37-K37)&lt;&gt;0,M$1-A37," ")</f>
        <v>100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30000</v>
      </c>
      <c r="BZ37" s="2" t="s">
        <v>167</v>
      </c>
    </row>
    <row r="38" customFormat="false" ht="12" hidden="false" customHeight="false" outlineLevel="0" collapsed="false">
      <c r="A38" s="28" t="n">
        <v>46170</v>
      </c>
      <c r="B38" s="2" t="s">
        <v>20</v>
      </c>
      <c r="D38" s="2" t="s">
        <v>147</v>
      </c>
      <c r="E38" s="2" t="s">
        <v>104</v>
      </c>
      <c r="F38" s="30" t="n">
        <v>120</v>
      </c>
      <c r="G38" s="6" t="n">
        <f aca="false">IF(F38&lt;&gt;0,F38*G$2/(100+G$2)," ")</f>
        <v>20</v>
      </c>
      <c r="H38" s="6" t="n">
        <f aca="false">IF((F38&lt;&gt;0),F38-G38," ")</f>
        <v>100</v>
      </c>
      <c r="I38" s="5"/>
      <c r="L38" s="7" t="n">
        <f aca="false">IF(F38&lt;&gt;0,F38-K38," ")</f>
        <v>120</v>
      </c>
      <c r="M38" s="8" t="n">
        <f aca="false">IF((F38-K38)&lt;&gt;0,M$1-A38," ")</f>
        <v>97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n">
        <f aca="false">IF((E38="v"),H38," ")</f>
        <v>100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  <c r="BZ38" s="2" t="s">
        <v>105</v>
      </c>
    </row>
    <row r="39" customFormat="false" ht="12" hidden="false" customHeight="false" outlineLevel="0" collapsed="false">
      <c r="A39" s="28" t="n">
        <v>46173</v>
      </c>
      <c r="B39" s="2" t="s">
        <v>16</v>
      </c>
      <c r="D39" s="2" t="s">
        <v>148</v>
      </c>
      <c r="E39" s="2" t="s">
        <v>149</v>
      </c>
      <c r="F39" s="30" t="n">
        <v>300</v>
      </c>
      <c r="G39" s="6" t="n">
        <f aca="false">IF(F39&lt;&gt;0,F39*G$2/(100+G$2)," ")</f>
        <v>50</v>
      </c>
      <c r="H39" s="6" t="n">
        <f aca="false">IF((F39&lt;&gt;0),F39-G39," ")</f>
        <v>250</v>
      </c>
      <c r="I39" s="5"/>
      <c r="L39" s="7" t="n">
        <f aca="false">IF(F39&lt;&gt;0,F39-K39," ")</f>
        <v>300</v>
      </c>
      <c r="M39" s="8" t="n">
        <f aca="false">IF((F39-K39)&lt;&gt;0,M$1-A39," ")</f>
        <v>94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250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  <c r="BZ39" s="2" t="s">
        <v>150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6918</v>
      </c>
      <c r="G1" s="12" t="n">
        <f aca="false">SUM(G5:G300)</f>
        <v>1153</v>
      </c>
      <c r="H1" s="12" t="n">
        <f aca="false">SUM(H5:H300)</f>
        <v>5765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46267</v>
      </c>
      <c r="N1" s="13"/>
      <c r="O1" s="12" t="n">
        <f aca="false">SUM(O5:O300)</f>
        <v>700</v>
      </c>
      <c r="P1" s="12" t="n">
        <f aca="false">SUM(P5:P300)</f>
        <v>2500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200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137.5</v>
      </c>
      <c r="AB1" s="12" t="n">
        <f aca="false">SUM(AB5:AB300)</f>
        <v>136.666666666667</v>
      </c>
      <c r="AC1" s="12" t="n">
        <f aca="false">SUM(AC5:AC300)</f>
        <v>537.5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600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93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46174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93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46174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93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46174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93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46174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93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46174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93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46176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91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46176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91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46178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89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46178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89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46179</v>
      </c>
      <c r="B15" s="2" t="s">
        <v>151</v>
      </c>
      <c r="D15" s="2" t="s">
        <v>152</v>
      </c>
      <c r="E15" s="2" t="s">
        <v>110</v>
      </c>
      <c r="F15" s="30" t="n">
        <v>72</v>
      </c>
      <c r="G15" s="6" t="n">
        <f aca="false">IF(F15&lt;&gt;0,F15*G$2/(100+G$2)," ")</f>
        <v>12</v>
      </c>
      <c r="H15" s="6" t="n">
        <f aca="false">IF((F15&lt;&gt;0),F15-G15," ")</f>
        <v>60</v>
      </c>
      <c r="I15" s="5"/>
      <c r="L15" s="7" t="n">
        <f aca="false">IF(F15&lt;&gt;0,F15-K15," ")</f>
        <v>72</v>
      </c>
      <c r="M15" s="8" t="n">
        <f aca="false">IF((F15-K15)&lt;&gt;0,M$1-A15," ")</f>
        <v>88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46181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86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46183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84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46185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82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46187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80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46187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80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46188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79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46188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79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46188</v>
      </c>
      <c r="B23" s="2" t="s">
        <v>161</v>
      </c>
      <c r="D23" s="2" t="s">
        <v>162</v>
      </c>
      <c r="E23" s="2" t="s">
        <v>120</v>
      </c>
      <c r="F23" s="30" t="n">
        <v>540</v>
      </c>
      <c r="G23" s="6" t="n">
        <f aca="false">IF(F23&lt;&gt;0,F23*G$2/(100+G$2)," ")</f>
        <v>90</v>
      </c>
      <c r="H23" s="6" t="n">
        <f aca="false">IF((F23&lt;&gt;0),F23-G23," ")</f>
        <v>450</v>
      </c>
      <c r="I23" s="5"/>
      <c r="L23" s="7" t="n">
        <f aca="false">IF(F23&lt;&gt;0,F23-K23," ")</f>
        <v>540</v>
      </c>
      <c r="M23" s="8" t="n">
        <f aca="false">IF((F23-K23)&lt;&gt;0,M$1-A23," ")</f>
        <v>79</v>
      </c>
      <c r="N23" s="5"/>
      <c r="O23" s="17" t="n">
        <f aca="false">IF((E23="s"),H23," ")</f>
        <v>450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121</v>
      </c>
    </row>
    <row r="24" customFormat="false" ht="12" hidden="false" customHeight="false" outlineLevel="0" collapsed="false">
      <c r="A24" s="28" t="n">
        <v>46188</v>
      </c>
      <c r="B24" s="2" t="s">
        <v>181</v>
      </c>
      <c r="C24" s="3" t="s">
        <v>239</v>
      </c>
      <c r="D24" s="2" t="s">
        <v>240</v>
      </c>
      <c r="E24" s="2" t="s">
        <v>184</v>
      </c>
      <c r="F24" s="30" t="n">
        <v>3000</v>
      </c>
      <c r="G24" s="6" t="n">
        <f aca="false">IF(F24&lt;&gt;0,F24*G$2/(100+G$2)," ")</f>
        <v>500</v>
      </c>
      <c r="H24" s="6" t="n">
        <f aca="false">IF((F24&lt;&gt;0),F24-G24," ")</f>
        <v>2500</v>
      </c>
      <c r="I24" s="5"/>
      <c r="L24" s="7" t="n">
        <f aca="false">IF(F24&lt;&gt;0,F24-K24," ")</f>
        <v>3000</v>
      </c>
      <c r="M24" s="8" t="n">
        <f aca="false">IF((F24-K24)&lt;&gt;0,M$1-A24," ")</f>
        <v>79</v>
      </c>
      <c r="N24" s="5"/>
      <c r="O24" s="17" t="str">
        <f aca="false">IF((E24="s"),H24," ")</f>
        <v> </v>
      </c>
      <c r="P24" s="17" t="n">
        <f aca="false">IF((E24="c"),H24," ")</f>
        <v>2500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AK24" s="17" t="n">
        <v>600</v>
      </c>
      <c r="BZ24" s="2" t="s">
        <v>185</v>
      </c>
    </row>
    <row r="25" customFormat="false" ht="12" hidden="false" customHeight="false" outlineLevel="0" collapsed="false">
      <c r="A25" s="28" t="n">
        <v>46189</v>
      </c>
      <c r="B25" s="2" t="s">
        <v>168</v>
      </c>
      <c r="D25" s="2" t="s">
        <v>169</v>
      </c>
      <c r="E25" s="2" t="s">
        <v>78</v>
      </c>
      <c r="F25" s="30" t="n">
        <v>30</v>
      </c>
      <c r="G25" s="6" t="n">
        <f aca="false">IF(F25&lt;&gt;0,F25*G$2/(100+G$2)," ")</f>
        <v>5</v>
      </c>
      <c r="H25" s="6" t="n">
        <f aca="false">IF((F25&lt;&gt;0),F25-G25," ")</f>
        <v>25</v>
      </c>
      <c r="I25" s="5"/>
      <c r="L25" s="7" t="n">
        <f aca="false">IF(F25&lt;&gt;0,F25-K25," ")</f>
        <v>30</v>
      </c>
      <c r="M25" s="8" t="n">
        <f aca="false">IF((F25-K25)&lt;&gt;0,M$1-A25," ")</f>
        <v>78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25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46191</v>
      </c>
      <c r="B26" s="2" t="s">
        <v>132</v>
      </c>
      <c r="D26" s="2" t="s">
        <v>103</v>
      </c>
      <c r="E26" s="2" t="s">
        <v>104</v>
      </c>
      <c r="F26" s="30" t="n">
        <v>96</v>
      </c>
      <c r="G26" s="6" t="n">
        <f aca="false">IF(F26&lt;&gt;0,F26*G$2/(100+G$2)," ")</f>
        <v>16</v>
      </c>
      <c r="H26" s="6" t="n">
        <f aca="false">IF((F26&lt;&gt;0),F26-G26," ")</f>
        <v>80</v>
      </c>
      <c r="I26" s="5"/>
      <c r="L26" s="7" t="n">
        <f aca="false">IF(F26&lt;&gt;0,F26-K26," ")</f>
        <v>96</v>
      </c>
      <c r="M26" s="8" t="n">
        <f aca="false">IF((F26-K26)&lt;&gt;0,M$1-A26," ")</f>
        <v>76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n">
        <f aca="false">IF((E26="v"),H26," ")</f>
        <v>80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105</v>
      </c>
    </row>
    <row r="27" customFormat="false" ht="12" hidden="false" customHeight="false" outlineLevel="0" collapsed="false">
      <c r="A27" s="28" t="n">
        <v>46193</v>
      </c>
      <c r="B27" s="2" t="s">
        <v>133</v>
      </c>
      <c r="D27" s="2" t="s">
        <v>134</v>
      </c>
      <c r="E27" s="2" t="s">
        <v>78</v>
      </c>
      <c r="F27" s="30" t="n">
        <v>60</v>
      </c>
      <c r="G27" s="6" t="n">
        <f aca="false">IF(F27&lt;&gt;0,F27*G$2/(100+G$2)," ")</f>
        <v>10</v>
      </c>
      <c r="H27" s="6" t="n">
        <f aca="false">IF((F27&lt;&gt;0),F27-G27," ")</f>
        <v>50</v>
      </c>
      <c r="I27" s="5"/>
      <c r="L27" s="7" t="n">
        <f aca="false">IF(F27&lt;&gt;0,F27-K27," ")</f>
        <v>60</v>
      </c>
      <c r="M27" s="8" t="n">
        <f aca="false">IF((F27-K27)&lt;&gt;0,M$1-A27," ")</f>
        <v>74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50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79</v>
      </c>
    </row>
    <row r="28" customFormat="false" ht="12" hidden="false" customHeight="false" outlineLevel="0" collapsed="false">
      <c r="A28" s="28" t="n">
        <v>46193</v>
      </c>
      <c r="B28" s="2" t="s">
        <v>170</v>
      </c>
      <c r="D28" s="2" t="s">
        <v>171</v>
      </c>
      <c r="E28" s="2" t="s">
        <v>172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74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200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173</v>
      </c>
    </row>
    <row r="29" customFormat="false" ht="12" hidden="false" customHeight="false" outlineLevel="0" collapsed="false">
      <c r="A29" s="28" t="n">
        <v>46193</v>
      </c>
      <c r="B29" s="2" t="s">
        <v>174</v>
      </c>
      <c r="D29" s="2" t="s">
        <v>175</v>
      </c>
      <c r="E29" s="2" t="s">
        <v>120</v>
      </c>
      <c r="F29" s="30" t="n">
        <v>300</v>
      </c>
      <c r="G29" s="6" t="n">
        <f aca="false">IF(F29&lt;&gt;0,F29*G$2/(100+G$2)," ")</f>
        <v>50</v>
      </c>
      <c r="H29" s="6" t="n">
        <f aca="false">IF((F29&lt;&gt;0),F29-G29," ")</f>
        <v>250</v>
      </c>
      <c r="I29" s="5"/>
      <c r="L29" s="7" t="n">
        <f aca="false">IF(F29&lt;&gt;0,F29-K29," ")</f>
        <v>300</v>
      </c>
      <c r="M29" s="8" t="n">
        <f aca="false">IF((F29-K29)&lt;&gt;0,M$1-A29," ")</f>
        <v>74</v>
      </c>
      <c r="N29" s="5"/>
      <c r="O29" s="17" t="n">
        <f aca="false">IF((E29="s"),H29," ")</f>
        <v>250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121</v>
      </c>
    </row>
    <row r="30" customFormat="false" ht="12" hidden="false" customHeight="false" outlineLevel="0" collapsed="false">
      <c r="A30" s="28" t="n">
        <v>46194</v>
      </c>
      <c r="B30" s="2" t="s">
        <v>139</v>
      </c>
      <c r="D30" s="2" t="s">
        <v>140</v>
      </c>
      <c r="E30" s="2" t="s">
        <v>110</v>
      </c>
      <c r="F30" s="30" t="n">
        <v>8</v>
      </c>
      <c r="G30" s="6" t="n">
        <f aca="false">IF(F30&lt;&gt;0,F30*G$2/(100+G$2)," ")</f>
        <v>1.33333333333333</v>
      </c>
      <c r="H30" s="6" t="n">
        <f aca="false">IF((F30&lt;&gt;0),F30-G30," ")</f>
        <v>6.66666666666667</v>
      </c>
      <c r="I30" s="5"/>
      <c r="L30" s="7" t="n">
        <f aca="false">IF(F30&lt;&gt;0,F30-K30," ")</f>
        <v>8</v>
      </c>
      <c r="M30" s="8" t="n">
        <f aca="false">IF((F30-K30)&lt;&gt;0,M$1-A30," ")</f>
        <v>73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6.66666666666667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111</v>
      </c>
    </row>
    <row r="31" customFormat="false" ht="12" hidden="false" customHeight="false" outlineLevel="0" collapsed="false">
      <c r="A31" s="28" t="n">
        <v>46195</v>
      </c>
      <c r="B31" s="2" t="s">
        <v>141</v>
      </c>
      <c r="D31" s="2" t="s">
        <v>142</v>
      </c>
      <c r="E31" s="2" t="s">
        <v>98</v>
      </c>
      <c r="F31" s="30" t="n">
        <v>18</v>
      </c>
      <c r="G31" s="6" t="n">
        <f aca="false">IF(F31&lt;&gt;0,F31*G$2/(100+G$2)," ")</f>
        <v>3</v>
      </c>
      <c r="H31" s="6" t="n">
        <f aca="false">IF((F31&lt;&gt;0),F31-G31," ")</f>
        <v>15</v>
      </c>
      <c r="I31" s="5"/>
      <c r="L31" s="7" t="n">
        <f aca="false">IF(F31&lt;&gt;0,F31-K31," ")</f>
        <v>18</v>
      </c>
      <c r="M31" s="8" t="n">
        <f aca="false">IF((F31-K31)&lt;&gt;0,M$1-A31," ")</f>
        <v>72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46198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69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46198</v>
      </c>
      <c r="B33" s="2" t="s">
        <v>145</v>
      </c>
      <c r="D33" s="2" t="s">
        <v>194</v>
      </c>
      <c r="E33" s="2" t="s">
        <v>104</v>
      </c>
      <c r="F33" s="30" t="n">
        <v>81</v>
      </c>
      <c r="G33" s="6" t="n">
        <f aca="false">IF(F33&lt;&gt;0,F33*G$2/(100+G$2)," ")</f>
        <v>13.5</v>
      </c>
      <c r="H33" s="6" t="n">
        <f aca="false">IF((F33&lt;&gt;0),F33-G33," ")</f>
        <v>67.5</v>
      </c>
      <c r="I33" s="5"/>
      <c r="L33" s="7" t="n">
        <f aca="false">IF(F33&lt;&gt;0,F33-K33," ")</f>
        <v>81</v>
      </c>
      <c r="M33" s="8" t="n">
        <f aca="false">IF((F33-K33)&lt;&gt;0,M$1-A33," ")</f>
        <v>69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67.5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46201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66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46203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64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9451.5</v>
      </c>
      <c r="G1" s="12" t="n">
        <f aca="false">SUM(G5:G300)</f>
        <v>1575.25</v>
      </c>
      <c r="H1" s="12" t="n">
        <f aca="false">SUM(H5:H300)</f>
        <v>7876.25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9451.5</v>
      </c>
      <c r="M1" s="16" t="n">
        <f aca="true">TODAY()</f>
        <v>46267</v>
      </c>
      <c r="N1" s="13"/>
      <c r="O1" s="12" t="n">
        <f aca="false">SUM(O5:O300)</f>
        <v>400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4166.66666666667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350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115.833333333333</v>
      </c>
      <c r="Z1" s="12" t="n">
        <f aca="false">SUM(Z5:Z300)</f>
        <v>0</v>
      </c>
      <c r="AA1" s="12" t="n">
        <f aca="false">SUM(AA5:AA300)</f>
        <v>212.5</v>
      </c>
      <c r="AB1" s="12" t="n">
        <f aca="false">SUM(AB5:AB300)</f>
        <v>76.6666666666667</v>
      </c>
      <c r="AC1" s="12" t="n">
        <f aca="false">SUM(AC5:AC300)</f>
        <v>511.25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389.166666666667</v>
      </c>
      <c r="AG1" s="12" t="n">
        <f aca="false">SUM(AG5:AG300)</f>
        <v>416.666666666667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46204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63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46204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63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46204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63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46204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63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46204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63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46204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63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46206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61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46206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61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46208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59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46208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59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46208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59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46211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56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46213</v>
      </c>
      <c r="B17" s="2" t="s">
        <v>112</v>
      </c>
      <c r="D17" s="2" t="s">
        <v>113</v>
      </c>
      <c r="E17" s="2" t="s">
        <v>98</v>
      </c>
      <c r="F17" s="30" t="n">
        <v>36</v>
      </c>
      <c r="G17" s="6" t="n">
        <f aca="false">IF(F17&lt;&gt;0,F17*G$2/(100+G$2)," ")</f>
        <v>6</v>
      </c>
      <c r="H17" s="6" t="n">
        <f aca="false">IF((F17&lt;&gt;0),F17-G17," ")</f>
        <v>30</v>
      </c>
      <c r="I17" s="5"/>
      <c r="L17" s="7" t="n">
        <f aca="false">IF(F17&lt;&gt;0,F17-K17," ")</f>
        <v>36</v>
      </c>
      <c r="M17" s="8" t="n">
        <f aca="false">IF((F17-K17)&lt;&gt;0,M$1-A17," ")</f>
        <v>54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30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99</v>
      </c>
    </row>
    <row r="18" customFormat="false" ht="12" hidden="false" customHeight="false" outlineLevel="0" collapsed="false">
      <c r="A18" s="28" t="n">
        <v>46213</v>
      </c>
      <c r="B18" s="2" t="s">
        <v>179</v>
      </c>
      <c r="D18" s="2" t="s">
        <v>180</v>
      </c>
      <c r="E18" s="2" t="s">
        <v>78</v>
      </c>
      <c r="F18" s="30" t="n">
        <v>120</v>
      </c>
      <c r="G18" s="6" t="n">
        <f aca="false">IF(F18&lt;&gt;0,F18*G$2/(100+G$2)," ")</f>
        <v>20</v>
      </c>
      <c r="H18" s="6" t="n">
        <f aca="false">IF((F18&lt;&gt;0),F18-G18," ")</f>
        <v>100</v>
      </c>
      <c r="I18" s="5"/>
      <c r="L18" s="7" t="n">
        <f aca="false">IF(F18&lt;&gt;0,F18-K18," ")</f>
        <v>120</v>
      </c>
      <c r="M18" s="8" t="n">
        <f aca="false">IF((F18-K18)&lt;&gt;0,M$1-A18," ")</f>
        <v>54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100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79</v>
      </c>
    </row>
    <row r="19" customFormat="false" ht="12" hidden="false" customHeight="false" outlineLevel="0" collapsed="false">
      <c r="A19" s="28" t="n">
        <v>46215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52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46217</v>
      </c>
      <c r="B20" s="2" t="s">
        <v>124</v>
      </c>
      <c r="D20" s="2" t="s">
        <v>125</v>
      </c>
      <c r="E20" s="2" t="s">
        <v>98</v>
      </c>
      <c r="F20" s="30" t="n">
        <v>24</v>
      </c>
      <c r="G20" s="6" t="n">
        <f aca="false">IF(F20&lt;&gt;0,F20*G$2/(100+G$2)," ")</f>
        <v>4</v>
      </c>
      <c r="H20" s="6" t="n">
        <f aca="false">IF((F20&lt;&gt;0),F20-G20," ")</f>
        <v>20</v>
      </c>
      <c r="I20" s="5"/>
      <c r="L20" s="7" t="n">
        <f aca="false">IF(F20&lt;&gt;0,F20-K20," ")</f>
        <v>24</v>
      </c>
      <c r="M20" s="8" t="n">
        <f aca="false">IF((F20-K20)&lt;&gt;0,M$1-A20," ")</f>
        <v>50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99</v>
      </c>
    </row>
    <row r="21" customFormat="false" ht="12" hidden="false" customHeight="false" outlineLevel="0" collapsed="false">
      <c r="A21" s="28" t="n">
        <v>46217</v>
      </c>
      <c r="B21" s="2" t="s">
        <v>126</v>
      </c>
      <c r="D21" s="2" t="s">
        <v>127</v>
      </c>
      <c r="E21" s="2" t="s">
        <v>110</v>
      </c>
      <c r="F21" s="30" t="n">
        <v>24</v>
      </c>
      <c r="G21" s="6" t="n">
        <f aca="false">IF(F21&lt;&gt;0,F21*G$2/(100+G$2)," ")</f>
        <v>4</v>
      </c>
      <c r="H21" s="6" t="n">
        <f aca="false">IF((F21&lt;&gt;0),F21-G21," ")</f>
        <v>20</v>
      </c>
      <c r="I21" s="5"/>
      <c r="L21" s="7" t="n">
        <f aca="false">IF(F21&lt;&gt;0,F21-K21," ")</f>
        <v>24</v>
      </c>
      <c r="M21" s="8" t="n">
        <f aca="false">IF((F21-K21)&lt;&gt;0,M$1-A21," ")</f>
        <v>50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20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111</v>
      </c>
    </row>
    <row r="22" customFormat="false" ht="12" hidden="false" customHeight="false" outlineLevel="0" collapsed="false">
      <c r="A22" s="28" t="n">
        <v>46217</v>
      </c>
      <c r="B22" s="2" t="s">
        <v>128</v>
      </c>
      <c r="D22" s="2" t="s">
        <v>129</v>
      </c>
      <c r="E22" s="2" t="s">
        <v>110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50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46218</v>
      </c>
      <c r="B23" s="2" t="s">
        <v>20</v>
      </c>
      <c r="D23" s="2" t="s">
        <v>103</v>
      </c>
      <c r="E23" s="2" t="s">
        <v>104</v>
      </c>
      <c r="F23" s="30" t="n">
        <v>150</v>
      </c>
      <c r="G23" s="6" t="n">
        <f aca="false">IF(F23&lt;&gt;0,F23*G$2/(100+G$2)," ")</f>
        <v>25</v>
      </c>
      <c r="H23" s="6" t="n">
        <f aca="false">IF((F23&lt;&gt;0),F23-G23," ")</f>
        <v>125</v>
      </c>
      <c r="I23" s="5"/>
      <c r="L23" s="7" t="n">
        <f aca="false">IF(F23&lt;&gt;0,F23-K23," ")</f>
        <v>150</v>
      </c>
      <c r="M23" s="8" t="n">
        <f aca="false">IF((F23-K23)&lt;&gt;0,M$1-A23," ")</f>
        <v>49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30" t="n">
        <f aca="false">IF((E23="v"),H23," ")</f>
        <v>125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105</v>
      </c>
    </row>
    <row r="24" customFormat="false" ht="12" hidden="false" customHeight="false" outlineLevel="0" collapsed="false">
      <c r="A24" s="28" t="n">
        <v>46218</v>
      </c>
      <c r="B24" s="2" t="s">
        <v>130</v>
      </c>
      <c r="D24" s="2" t="s">
        <v>131</v>
      </c>
      <c r="E24" s="2" t="s">
        <v>78</v>
      </c>
      <c r="F24" s="30" t="n">
        <v>12</v>
      </c>
      <c r="G24" s="6" t="n">
        <f aca="false">IF(F24&lt;&gt;0,F24*G$2/(100+G$2)," ")</f>
        <v>2</v>
      </c>
      <c r="H24" s="6" t="n">
        <f aca="false">IF((F24&lt;&gt;0),F24-G24," ")</f>
        <v>10</v>
      </c>
      <c r="I24" s="5"/>
      <c r="L24" s="7" t="n">
        <f aca="false">IF(F24&lt;&gt;0,F24-K24," ")</f>
        <v>12</v>
      </c>
      <c r="M24" s="8" t="n">
        <f aca="false">IF((F24-K24)&lt;&gt;0,M$1-A24," ")</f>
        <v>49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10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79</v>
      </c>
    </row>
    <row r="25" customFormat="false" ht="12" hidden="false" customHeight="false" outlineLevel="0" collapsed="false">
      <c r="A25" s="28" t="n">
        <v>46218</v>
      </c>
      <c r="B25" s="2" t="s">
        <v>241</v>
      </c>
      <c r="D25" s="2" t="s">
        <v>242</v>
      </c>
      <c r="E25" s="2" t="s">
        <v>243</v>
      </c>
      <c r="F25" s="30" t="n">
        <v>500</v>
      </c>
      <c r="G25" s="6" t="n">
        <f aca="false">IF(F25&lt;&gt;0,F25*G$2/(100+G$2)," ")</f>
        <v>83.3333333333333</v>
      </c>
      <c r="H25" s="6" t="n">
        <f aca="false">IF((F25&lt;&gt;0),F25-G25," ")</f>
        <v>416.666666666667</v>
      </c>
      <c r="I25" s="5"/>
      <c r="L25" s="7" t="n">
        <f aca="false">IF(F25&lt;&gt;0,F25-K25," ")</f>
        <v>500</v>
      </c>
      <c r="M25" s="8" t="n">
        <f aca="false">IF((F25-K25)&lt;&gt;0,M$1-A25," ")</f>
        <v>49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416.666666666667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244</v>
      </c>
    </row>
    <row r="26" customFormat="false" ht="12" hidden="false" customHeight="false" outlineLevel="0" collapsed="false">
      <c r="A26" s="28" t="n">
        <v>46221</v>
      </c>
      <c r="B26" s="2" t="s">
        <v>188</v>
      </c>
      <c r="D26" s="2" t="s">
        <v>189</v>
      </c>
      <c r="E26" s="2" t="s">
        <v>120</v>
      </c>
      <c r="F26" s="30" t="n">
        <v>480</v>
      </c>
      <c r="G26" s="6" t="n">
        <f aca="false">IF(F26&lt;&gt;0,F26*G$2/(100+G$2)," ")</f>
        <v>80</v>
      </c>
      <c r="H26" s="6" t="n">
        <f aca="false">IF((F26&lt;&gt;0),F26-G26," ")</f>
        <v>400</v>
      </c>
      <c r="I26" s="5"/>
      <c r="L26" s="7" t="n">
        <f aca="false">IF(F26&lt;&gt;0,F26-K26," ")</f>
        <v>480</v>
      </c>
      <c r="M26" s="8" t="n">
        <f aca="false">IF((F26-K26)&lt;&gt;0,M$1-A26," ")</f>
        <v>46</v>
      </c>
      <c r="N26" s="5"/>
      <c r="O26" s="17" t="n">
        <f aca="false">IF((E26="s"),H26," ")</f>
        <v>400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46221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46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46223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44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46224</v>
      </c>
      <c r="B29" s="2" t="s">
        <v>139</v>
      </c>
      <c r="D29" s="2" t="s">
        <v>140</v>
      </c>
      <c r="E29" s="2" t="s">
        <v>110</v>
      </c>
      <c r="F29" s="30" t="n">
        <v>8</v>
      </c>
      <c r="G29" s="6" t="n">
        <f aca="false">IF(F29&lt;&gt;0,F29*G$2/(100+G$2)," ")</f>
        <v>1.33333333333333</v>
      </c>
      <c r="H29" s="6" t="n">
        <f aca="false">IF((F29&lt;&gt;0),F29-G29," ")</f>
        <v>6.66666666666667</v>
      </c>
      <c r="I29" s="5"/>
      <c r="L29" s="7" t="n">
        <f aca="false">IF(F29&lt;&gt;0,F29-K29," ")</f>
        <v>8</v>
      </c>
      <c r="M29" s="8" t="n">
        <f aca="false">IF((F29-K29)&lt;&gt;0,M$1-A29," ")</f>
        <v>43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6.66666666666667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111</v>
      </c>
    </row>
    <row r="30" customFormat="false" ht="12" hidden="false" customHeight="false" outlineLevel="0" collapsed="false">
      <c r="A30" s="28" t="n">
        <v>46225</v>
      </c>
      <c r="B30" s="2" t="s">
        <v>141</v>
      </c>
      <c r="D30" s="2" t="s">
        <v>142</v>
      </c>
      <c r="E30" s="2" t="s">
        <v>98</v>
      </c>
      <c r="F30" s="30" t="n">
        <v>18</v>
      </c>
      <c r="G30" s="6" t="n">
        <f aca="false">IF(F30&lt;&gt;0,F30*G$2/(100+G$2)," ")</f>
        <v>3</v>
      </c>
      <c r="H30" s="6" t="n">
        <f aca="false">IF((F30&lt;&gt;0),F30-G30," ")</f>
        <v>15</v>
      </c>
      <c r="I30" s="5"/>
      <c r="L30" s="7" t="n">
        <f aca="false">IF(F30&lt;&gt;0,F30-K30," ")</f>
        <v>18</v>
      </c>
      <c r="M30" s="8" t="n">
        <f aca="false">IF((F30-K30)&lt;&gt;0,M$1-A30," ")</f>
        <v>42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15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99</v>
      </c>
    </row>
    <row r="31" customFormat="false" ht="12" hidden="false" customHeight="false" outlineLevel="0" collapsed="false">
      <c r="A31" s="28" t="n">
        <v>46228</v>
      </c>
      <c r="B31" s="2" t="s">
        <v>190</v>
      </c>
      <c r="D31" s="2" t="s">
        <v>191</v>
      </c>
      <c r="E31" s="2" t="s">
        <v>192</v>
      </c>
      <c r="F31" s="30" t="n">
        <v>420</v>
      </c>
      <c r="G31" s="6" t="n">
        <f aca="false">IF(F31&lt;&gt;0,F31*G$2/(100+G$2)," ")</f>
        <v>70</v>
      </c>
      <c r="H31" s="6" t="n">
        <f aca="false">IF((F31&lt;&gt;0),F31-G31," ")</f>
        <v>350</v>
      </c>
      <c r="I31" s="5"/>
      <c r="L31" s="7" t="n">
        <f aca="false">IF(F31&lt;&gt;0,F31-K31," ")</f>
        <v>420</v>
      </c>
      <c r="M31" s="8" t="n">
        <f aca="false">IF((F31-K31)&lt;&gt;0,M$1-A31," ")</f>
        <v>39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350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193</v>
      </c>
    </row>
    <row r="32" customFormat="false" ht="12" hidden="false" customHeight="false" outlineLevel="0" collapsed="false">
      <c r="A32" s="28" t="n">
        <v>46228</v>
      </c>
      <c r="B32" s="2" t="s">
        <v>143</v>
      </c>
      <c r="D32" s="2" t="s">
        <v>144</v>
      </c>
      <c r="E32" s="2" t="s">
        <v>98</v>
      </c>
      <c r="F32" s="30" t="n">
        <v>15</v>
      </c>
      <c r="G32" s="6" t="n">
        <f aca="false">IF(F32&lt;&gt;0,F32*G$2/(100+G$2)," ")</f>
        <v>2.5</v>
      </c>
      <c r="H32" s="6" t="n">
        <f aca="false">IF((F32&lt;&gt;0),F32-G32," ")</f>
        <v>12.5</v>
      </c>
      <c r="I32" s="5"/>
      <c r="L32" s="7" t="n">
        <f aca="false">IF(F32&lt;&gt;0,F32-K32," ")</f>
        <v>15</v>
      </c>
      <c r="M32" s="8" t="n">
        <f aca="false">IF((F32-K32)&lt;&gt;0,M$1-A32," ")</f>
        <v>39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12.5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46228</v>
      </c>
      <c r="B33" s="2" t="s">
        <v>145</v>
      </c>
      <c r="D33" s="2" t="s">
        <v>245</v>
      </c>
      <c r="E33" s="2" t="s">
        <v>104</v>
      </c>
      <c r="F33" s="30" t="n">
        <v>49.5</v>
      </c>
      <c r="G33" s="6" t="n">
        <f aca="false">IF(F33&lt;&gt;0,F33*G$2/(100+G$2)," ")</f>
        <v>8.25</v>
      </c>
      <c r="H33" s="6" t="n">
        <f aca="false">IF((F33&lt;&gt;0),F33-G33," ")</f>
        <v>41.25</v>
      </c>
      <c r="I33" s="5"/>
      <c r="L33" s="7" t="n">
        <f aca="false">IF(F33&lt;&gt;0,F33-K33," ")</f>
        <v>49.5</v>
      </c>
      <c r="M33" s="8" t="n">
        <f aca="false">IF((F33-K33)&lt;&gt;0,M$1-A33," ")</f>
        <v>39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41.25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46231</v>
      </c>
      <c r="B34" s="2" t="s">
        <v>20</v>
      </c>
      <c r="D34" s="2" t="s">
        <v>147</v>
      </c>
      <c r="E34" s="2" t="s">
        <v>104</v>
      </c>
      <c r="F34" s="30" t="n">
        <v>120</v>
      </c>
      <c r="G34" s="6" t="n">
        <f aca="false">IF(F34&lt;&gt;0,F34*G$2/(100+G$2)," ")</f>
        <v>20</v>
      </c>
      <c r="H34" s="6" t="n">
        <f aca="false">IF((F34&lt;&gt;0),F34-G34," ")</f>
        <v>100</v>
      </c>
      <c r="I34" s="5"/>
      <c r="L34" s="7" t="n">
        <f aca="false">IF(F34&lt;&gt;0,F34-K34," ")</f>
        <v>120</v>
      </c>
      <c r="M34" s="8" t="n">
        <f aca="false">IF((F34-K34)&lt;&gt;0,M$1-A34," ")</f>
        <v>36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n">
        <f aca="false">IF((E34="v"),H34," ")</f>
        <v>100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105</v>
      </c>
    </row>
    <row r="35" customFormat="false" ht="12" hidden="false" customHeight="false" outlineLevel="0" collapsed="false">
      <c r="A35" s="28" t="n">
        <v>46234</v>
      </c>
      <c r="B35" s="2" t="s">
        <v>16</v>
      </c>
      <c r="D35" s="2" t="s">
        <v>148</v>
      </c>
      <c r="E35" s="2" t="s">
        <v>149</v>
      </c>
      <c r="F35" s="30" t="n">
        <v>300</v>
      </c>
      <c r="G35" s="6" t="n">
        <f aca="false">IF(F35&lt;&gt;0,F35*G$2/(100+G$2)," ")</f>
        <v>50</v>
      </c>
      <c r="H35" s="6" t="n">
        <f aca="false">IF((F35&lt;&gt;0),F35-G35," ")</f>
        <v>250</v>
      </c>
      <c r="I35" s="5"/>
      <c r="L35" s="7" t="n">
        <f aca="false">IF(F35&lt;&gt;0,F35-K35," ")</f>
        <v>300</v>
      </c>
      <c r="M35" s="8" t="n">
        <f aca="false">IF((F35-K35)&lt;&gt;0,M$1-A35," ")</f>
        <v>33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250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150</v>
      </c>
    </row>
    <row r="36" customFormat="false" ht="12" hidden="false" customHeight="false" outlineLevel="0" collapsed="false">
      <c r="A36" s="28" t="n">
        <v>46234</v>
      </c>
      <c r="B36" s="2" t="s">
        <v>246</v>
      </c>
      <c r="D36" s="2" t="s">
        <v>247</v>
      </c>
      <c r="E36" s="2" t="s">
        <v>248</v>
      </c>
      <c r="F36" s="30" t="n">
        <v>5000</v>
      </c>
      <c r="G36" s="6" t="n">
        <f aca="false">IF(F36&lt;&gt;0,F36*G$2/(100+G$2)," ")</f>
        <v>833.333333333333</v>
      </c>
      <c r="H36" s="6" t="n">
        <f aca="false">IF((F36&lt;&gt;0),F36-G36," ")</f>
        <v>4166.66666666667</v>
      </c>
      <c r="I36" s="5"/>
      <c r="L36" s="7" t="n">
        <f aca="false">IF(F36&lt;&gt;0,F36-K36," ")</f>
        <v>5000</v>
      </c>
      <c r="M36" s="8" t="n">
        <f aca="false">IF((F36-K36)&lt;&gt;0,M$1-A36," ")</f>
        <v>33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n">
        <f aca="false">IF((E36="d"),H36," ")</f>
        <v>4166.66666666667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249</v>
      </c>
    </row>
    <row r="37" customFormat="false" ht="12" hidden="false" customHeight="false" outlineLevel="0" collapsed="false">
      <c r="A37" s="28" t="n">
        <v>46234</v>
      </c>
      <c r="B37" s="2" t="s">
        <v>195</v>
      </c>
      <c r="C37" s="3" t="s">
        <v>250</v>
      </c>
      <c r="D37" s="2" t="s">
        <v>197</v>
      </c>
      <c r="E37" s="2" t="s">
        <v>149</v>
      </c>
      <c r="F37" s="30" t="n">
        <v>167</v>
      </c>
      <c r="G37" s="6" t="n">
        <f aca="false">IF(F37&lt;&gt;0,F37*G$2/(100+G$2)," ")</f>
        <v>27.8333333333333</v>
      </c>
      <c r="H37" s="6" t="n">
        <f aca="false">IF((F37&lt;&gt;0),F37-G37," ")</f>
        <v>139.166666666667</v>
      </c>
      <c r="I37" s="5"/>
      <c r="L37" s="7" t="n">
        <f aca="false">IF(F37&lt;&gt;0,F37-K37," ")</f>
        <v>167</v>
      </c>
      <c r="M37" s="8" t="n">
        <f aca="false">IF((F37-K37)&lt;&gt;0,M$1-A37," ")</f>
        <v>33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139.166666666667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198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4511.25</v>
      </c>
      <c r="G1" s="12" t="n">
        <f aca="false">SUM(G5:G300)</f>
        <v>751.875</v>
      </c>
      <c r="H1" s="12" t="n">
        <f aca="false">SUM(H5:H300)</f>
        <v>3759.375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4511.25</v>
      </c>
      <c r="M1" s="16" t="n">
        <f aca="true">TODAY()</f>
        <v>46267</v>
      </c>
      <c r="N1" s="13"/>
      <c r="O1" s="12" t="n">
        <f aca="false">SUM(O5:O300)</f>
        <v>500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150</v>
      </c>
      <c r="W1" s="12" t="n">
        <f aca="false">SUM(W5:W300)</f>
        <v>150</v>
      </c>
      <c r="X1" s="12" t="n">
        <f aca="false">SUM(X5:X300)</f>
        <v>120</v>
      </c>
      <c r="Y1" s="12" t="n">
        <f aca="false">SUM(Y5:Y300)</f>
        <v>95.8333333333333</v>
      </c>
      <c r="Z1" s="12" t="n">
        <f aca="false">SUM(Z5:Z300)</f>
        <v>400</v>
      </c>
      <c r="AA1" s="12" t="n">
        <f aca="false">SUM(AA5:AA300)</f>
        <v>127.5</v>
      </c>
      <c r="AB1" s="12" t="n">
        <f aca="false">SUM(AB5:AB300)</f>
        <v>76.6666666666667</v>
      </c>
      <c r="AC1" s="12" t="n">
        <f aca="false">SUM(AC5:AC300)</f>
        <v>531.875</v>
      </c>
      <c r="AD1" s="12" t="n">
        <f aca="false">SUM(AD5:AD300)</f>
        <v>0</v>
      </c>
      <c r="AE1" s="12" t="n">
        <f aca="false">SUM(AE5:AE300)</f>
        <v>150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46235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32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46235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46235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46235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32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46235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32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46235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32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46237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30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46237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30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46239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28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46239</v>
      </c>
      <c r="B14" s="2" t="s">
        <v>206</v>
      </c>
      <c r="D14" s="2" t="s">
        <v>207</v>
      </c>
      <c r="E14" s="2" t="s">
        <v>159</v>
      </c>
      <c r="F14" s="30" t="n">
        <v>480</v>
      </c>
      <c r="G14" s="6" t="n">
        <f aca="false">IF(F14&lt;&gt;0,F14*G$2/(100+G$2)," ")</f>
        <v>80</v>
      </c>
      <c r="H14" s="6" t="n">
        <f aca="false">IF((F14&lt;&gt;0),F14-G14," ")</f>
        <v>400</v>
      </c>
      <c r="I14" s="5"/>
      <c r="L14" s="7" t="n">
        <f aca="false">IF(F14&lt;&gt;0,F14-K14," ")</f>
        <v>480</v>
      </c>
      <c r="M14" s="8" t="n">
        <f aca="false">IF((F14-K14)&lt;&gt;0,M$1-A14," ")</f>
        <v>28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400</v>
      </c>
      <c r="AA14" s="17" t="str">
        <f aca="false">IF((E14="g"),H14," ")</f>
        <v> </v>
      </c>
      <c r="AB14" s="17" t="str">
        <f aca="false">IF((E14="h"),H14," ")</f>
        <v> </v>
      </c>
      <c r="AC14" s="30" t="str">
        <f aca="false">IF((E14="v"),H14," ")</f>
        <v> 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160</v>
      </c>
    </row>
    <row r="15" customFormat="false" ht="12" hidden="false" customHeight="false" outlineLevel="0" collapsed="false">
      <c r="A15" s="28" t="n">
        <v>46239</v>
      </c>
      <c r="B15" s="2" t="s">
        <v>102</v>
      </c>
      <c r="D15" s="2" t="s">
        <v>103</v>
      </c>
      <c r="E15" s="2" t="s">
        <v>104</v>
      </c>
      <c r="F15" s="30" t="n">
        <v>180</v>
      </c>
      <c r="G15" s="6" t="n">
        <f aca="false">IF(F15&lt;&gt;0,F15*G$2/(100+G$2)," ")</f>
        <v>30</v>
      </c>
      <c r="H15" s="6" t="n">
        <f aca="false">IF((F15&lt;&gt;0),F15-G15," ")</f>
        <v>150</v>
      </c>
      <c r="I15" s="5"/>
      <c r="L15" s="7" t="n">
        <f aca="false">IF(F15&lt;&gt;0,F15-K15," ")</f>
        <v>180</v>
      </c>
      <c r="M15" s="8" t="n">
        <f aca="false">IF((F15-K15)&lt;&gt;0,M$1-A15," ")</f>
        <v>28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n">
        <f aca="false">IF((E15="v"),H15," ")</f>
        <v>150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105</v>
      </c>
    </row>
    <row r="16" customFormat="false" ht="12" hidden="false" customHeight="false" outlineLevel="0" collapsed="false">
      <c r="A16" s="28" t="n">
        <v>46242</v>
      </c>
      <c r="B16" s="2" t="s">
        <v>108</v>
      </c>
      <c r="D16" s="2" t="s">
        <v>109</v>
      </c>
      <c r="E16" s="2" t="s">
        <v>110</v>
      </c>
      <c r="F16" s="30" t="n">
        <v>48</v>
      </c>
      <c r="G16" s="6" t="n">
        <f aca="false">IF(F16&lt;&gt;0,F16*G$2/(100+G$2)," ")</f>
        <v>8</v>
      </c>
      <c r="H16" s="6" t="n">
        <f aca="false">IF((F16&lt;&gt;0),F16-G16," ")</f>
        <v>40</v>
      </c>
      <c r="I16" s="5"/>
      <c r="L16" s="7" t="n">
        <f aca="false">IF(F16&lt;&gt;0,F16-K16," ")</f>
        <v>48</v>
      </c>
      <c r="M16" s="8" t="n">
        <f aca="false">IF((F16-K16)&lt;&gt;0,M$1-A16," ")</f>
        <v>25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46242</v>
      </c>
      <c r="B17" s="2" t="s">
        <v>153</v>
      </c>
      <c r="D17" s="2" t="s">
        <v>154</v>
      </c>
      <c r="E17" s="2" t="s">
        <v>155</v>
      </c>
      <c r="F17" s="30" t="n">
        <v>180</v>
      </c>
      <c r="G17" s="6" t="n">
        <f aca="false">IF(F17&lt;&gt;0,F17*G$2/(100+G$2)," ")</f>
        <v>30</v>
      </c>
      <c r="H17" s="6" t="n">
        <f aca="false">IF((F17&lt;&gt;0),F17-G17," ")</f>
        <v>150</v>
      </c>
      <c r="I17" s="5"/>
      <c r="L17" s="7" t="n">
        <f aca="false">IF(F17&lt;&gt;0,F17-K17," ")</f>
        <v>180</v>
      </c>
      <c r="M17" s="8" t="n">
        <f aca="false">IF((F17-K17)&lt;&gt;0,M$1-A17," ")</f>
        <v>25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150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156</v>
      </c>
    </row>
    <row r="18" customFormat="false" ht="12" hidden="false" customHeight="false" outlineLevel="0" collapsed="false">
      <c r="A18" s="28" t="n">
        <v>46244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23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46244</v>
      </c>
      <c r="B19" s="2" t="s">
        <v>114</v>
      </c>
      <c r="D19" s="2" t="s">
        <v>115</v>
      </c>
      <c r="E19" s="2" t="s">
        <v>116</v>
      </c>
      <c r="F19" s="30" t="n">
        <v>180</v>
      </c>
      <c r="G19" s="6" t="n">
        <f aca="false">IF(F19&lt;&gt;0,F19*G$2/(100+G$2)," ")</f>
        <v>30</v>
      </c>
      <c r="H19" s="6" t="n">
        <f aca="false">IF((F19&lt;&gt;0),F19-G19," ")</f>
        <v>150</v>
      </c>
      <c r="I19" s="5"/>
      <c r="L19" s="7" t="n">
        <f aca="false">IF(F19&lt;&gt;0,F19-K19," ")</f>
        <v>180</v>
      </c>
      <c r="M19" s="8" t="n">
        <f aca="false">IF((F19-K19)&lt;&gt;0,M$1-A19," ")</f>
        <v>23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str">
        <f aca="false">IF((E19="v"),H19," ")</f>
        <v> </v>
      </c>
      <c r="AD19" s="30" t="str">
        <f aca="false">IF((E19="n"),H19," ")</f>
        <v> </v>
      </c>
      <c r="AE19" s="17" t="n">
        <f aca="false">IF((E19="f"),H19," ")</f>
        <v>150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117</v>
      </c>
    </row>
    <row r="20" customFormat="false" ht="12" hidden="false" customHeight="false" outlineLevel="0" collapsed="false">
      <c r="A20" s="28" t="n">
        <v>46244</v>
      </c>
      <c r="B20" s="2" t="s">
        <v>118</v>
      </c>
      <c r="D20" s="2" t="s">
        <v>119</v>
      </c>
      <c r="E20" s="2" t="s">
        <v>120</v>
      </c>
      <c r="F20" s="30" t="n">
        <v>600</v>
      </c>
      <c r="G20" s="6" t="n">
        <f aca="false">IF(F20&lt;&gt;0,F20*G$2/(100+G$2)," ")</f>
        <v>100</v>
      </c>
      <c r="H20" s="6" t="n">
        <f aca="false">IF((F20&lt;&gt;0),F20-G20," ")</f>
        <v>500</v>
      </c>
      <c r="I20" s="5"/>
      <c r="L20" s="7" t="n">
        <f aca="false">IF(F20&lt;&gt;0,F20-K20," ")</f>
        <v>600</v>
      </c>
      <c r="M20" s="8" t="n">
        <f aca="false">IF((F20-K20)&lt;&gt;0,M$1-A20," ")</f>
        <v>23</v>
      </c>
      <c r="N20" s="5"/>
      <c r="O20" s="17" t="n">
        <f aca="false">IF((E20="s"),H20," ")</f>
        <v>500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121</v>
      </c>
    </row>
    <row r="21" customFormat="false" ht="12" hidden="false" customHeight="false" outlineLevel="0" collapsed="false">
      <c r="A21" s="28" t="n">
        <v>46246</v>
      </c>
      <c r="B21" s="2" t="s">
        <v>122</v>
      </c>
      <c r="D21" s="2" t="s">
        <v>123</v>
      </c>
      <c r="E21" s="2" t="s">
        <v>104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21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46248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19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46248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19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46249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18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46249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18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46250</v>
      </c>
      <c r="B26" s="2" t="s">
        <v>168</v>
      </c>
      <c r="D26" s="2" t="s">
        <v>169</v>
      </c>
      <c r="E26" s="2" t="s">
        <v>78</v>
      </c>
      <c r="F26" s="30" t="n">
        <v>18</v>
      </c>
      <c r="G26" s="6" t="n">
        <f aca="false">IF(F26&lt;&gt;0,F26*G$2/(100+G$2)," ")</f>
        <v>3</v>
      </c>
      <c r="H26" s="6" t="n">
        <f aca="false">IF((F26&lt;&gt;0),F26-G26," ")</f>
        <v>15</v>
      </c>
      <c r="I26" s="5"/>
      <c r="L26" s="7" t="n">
        <f aca="false">IF(F26&lt;&gt;0,F26-K26," ")</f>
        <v>18</v>
      </c>
      <c r="M26" s="8" t="n">
        <f aca="false">IF((F26-K26)&lt;&gt;0,M$1-A26," ")</f>
        <v>17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15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46252</v>
      </c>
      <c r="B27" s="2" t="s">
        <v>132</v>
      </c>
      <c r="D27" s="2" t="s">
        <v>103</v>
      </c>
      <c r="E27" s="2" t="s">
        <v>104</v>
      </c>
      <c r="F27" s="30" t="n">
        <v>96</v>
      </c>
      <c r="G27" s="6" t="n">
        <f aca="false">IF(F27&lt;&gt;0,F27*G$2/(100+G$2)," ")</f>
        <v>16</v>
      </c>
      <c r="H27" s="6" t="n">
        <f aca="false">IF((F27&lt;&gt;0),F27-G27," ")</f>
        <v>80</v>
      </c>
      <c r="I27" s="5"/>
      <c r="L27" s="7" t="n">
        <f aca="false">IF(F27&lt;&gt;0,F27-K27," ")</f>
        <v>96</v>
      </c>
      <c r="M27" s="8" t="n">
        <f aca="false">IF((F27-K27)&lt;&gt;0,M$1-A27," ")</f>
        <v>15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n">
        <f aca="false">IF((E27="v"),H27," ")</f>
        <v>80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105</v>
      </c>
    </row>
    <row r="28" customFormat="false" ht="12" hidden="false" customHeight="false" outlineLevel="0" collapsed="false">
      <c r="A28" s="28" t="n">
        <v>46254</v>
      </c>
      <c r="B28" s="2" t="s">
        <v>133</v>
      </c>
      <c r="D28" s="2" t="s">
        <v>134</v>
      </c>
      <c r="E28" s="2" t="s">
        <v>78</v>
      </c>
      <c r="F28" s="30" t="n">
        <v>60</v>
      </c>
      <c r="G28" s="6" t="n">
        <f aca="false">IF(F28&lt;&gt;0,F28*G$2/(100+G$2)," ")</f>
        <v>10</v>
      </c>
      <c r="H28" s="6" t="n">
        <f aca="false">IF((F28&lt;&gt;0),F28-G28," ")</f>
        <v>50</v>
      </c>
      <c r="I28" s="5"/>
      <c r="L28" s="7" t="n">
        <f aca="false">IF(F28&lt;&gt;0,F28-K28," ")</f>
        <v>60</v>
      </c>
      <c r="M28" s="8" t="n">
        <f aca="false">IF((F28-K28)&lt;&gt;0,M$1-A28," ")</f>
        <v>13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50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79</v>
      </c>
    </row>
    <row r="29" customFormat="false" ht="12" hidden="false" customHeight="false" outlineLevel="0" collapsed="false">
      <c r="A29" s="28" t="n">
        <v>46254</v>
      </c>
      <c r="B29" s="2" t="s">
        <v>213</v>
      </c>
      <c r="D29" s="2" t="s">
        <v>214</v>
      </c>
      <c r="E29" s="2" t="s">
        <v>172</v>
      </c>
      <c r="F29" s="30" t="n">
        <v>180</v>
      </c>
      <c r="G29" s="6" t="n">
        <f aca="false">IF(F29&lt;&gt;0,F29*G$2/(100+G$2)," ")</f>
        <v>30</v>
      </c>
      <c r="H29" s="6" t="n">
        <f aca="false">IF((F29&lt;&gt;0),F29-G29," ")</f>
        <v>150</v>
      </c>
      <c r="I29" s="5"/>
      <c r="L29" s="7" t="n">
        <f aca="false">IF(F29&lt;&gt;0,F29-K29," ")</f>
        <v>180</v>
      </c>
      <c r="M29" s="8" t="n">
        <f aca="false">IF((F29-K29)&lt;&gt;0,M$1-A29," ")</f>
        <v>13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150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str">
        <f aca="false">IF((E29="v"),H29," ")</f>
        <v> 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173</v>
      </c>
    </row>
    <row r="30" customFormat="false" ht="12" hidden="false" customHeight="false" outlineLevel="0" collapsed="false">
      <c r="A30" s="28" t="n">
        <v>46254</v>
      </c>
      <c r="B30" s="2" t="s">
        <v>135</v>
      </c>
      <c r="D30" s="2" t="s">
        <v>136</v>
      </c>
      <c r="E30" s="2" t="s">
        <v>137</v>
      </c>
      <c r="F30" s="30" t="n">
        <v>144</v>
      </c>
      <c r="G30" s="6" t="n">
        <f aca="false">IF(F30&lt;&gt;0,F30*G$2/(100+G$2)," ")</f>
        <v>24</v>
      </c>
      <c r="H30" s="6" t="n">
        <f aca="false">IF((F30&lt;&gt;0),F30-G30," ")</f>
        <v>120</v>
      </c>
      <c r="I30" s="5"/>
      <c r="L30" s="7" t="n">
        <f aca="false">IF(F30&lt;&gt;0,F30-K30," ")</f>
        <v>144</v>
      </c>
      <c r="M30" s="8" t="n">
        <f aca="false">IF((F30-K30)&lt;&gt;0,M$1-A30," ")</f>
        <v>13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120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138</v>
      </c>
    </row>
    <row r="31" customFormat="false" ht="12" hidden="false" customHeight="false" outlineLevel="0" collapsed="false">
      <c r="A31" s="28" t="n">
        <v>46255</v>
      </c>
      <c r="B31" s="2" t="s">
        <v>139</v>
      </c>
      <c r="D31" s="2" t="s">
        <v>140</v>
      </c>
      <c r="E31" s="2" t="s">
        <v>110</v>
      </c>
      <c r="F31" s="30" t="n">
        <v>8</v>
      </c>
      <c r="G31" s="6" t="n">
        <f aca="false">IF(F31&lt;&gt;0,F31*G$2/(100+G$2)," ")</f>
        <v>1.33333333333333</v>
      </c>
      <c r="H31" s="6" t="n">
        <f aca="false">IF((F31&lt;&gt;0),F31-G31," ")</f>
        <v>6.66666666666667</v>
      </c>
      <c r="I31" s="5"/>
      <c r="L31" s="7" t="n">
        <f aca="false">IF(F31&lt;&gt;0,F31-K31," ")</f>
        <v>8</v>
      </c>
      <c r="M31" s="8" t="n">
        <f aca="false">IF((F31-K31)&lt;&gt;0,M$1-A31," ")</f>
        <v>12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6.66666666666667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111</v>
      </c>
    </row>
    <row r="32" customFormat="false" ht="12" hidden="false" customHeight="false" outlineLevel="0" collapsed="false">
      <c r="A32" s="28" t="n">
        <v>46256</v>
      </c>
      <c r="B32" s="2" t="s">
        <v>141</v>
      </c>
      <c r="D32" s="2" t="s">
        <v>142</v>
      </c>
      <c r="E32" s="2" t="s">
        <v>98</v>
      </c>
      <c r="F32" s="30" t="n">
        <v>18</v>
      </c>
      <c r="G32" s="6" t="n">
        <f aca="false">IF(F32&lt;&gt;0,F32*G$2/(100+G$2)," ")</f>
        <v>3</v>
      </c>
      <c r="H32" s="6" t="n">
        <f aca="false">IF((F32&lt;&gt;0),F32-G32," ")</f>
        <v>15</v>
      </c>
      <c r="I32" s="5"/>
      <c r="L32" s="7" t="n">
        <f aca="false">IF(F32&lt;&gt;0,F32-K32," ")</f>
        <v>18</v>
      </c>
      <c r="M32" s="8" t="n">
        <f aca="false">IF((F32-K32)&lt;&gt;0,M$1-A32," ")</f>
        <v>11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99</v>
      </c>
    </row>
    <row r="33" customFormat="false" ht="12" hidden="false" customHeight="false" outlineLevel="0" collapsed="false">
      <c r="A33" s="28" t="n">
        <v>46256</v>
      </c>
      <c r="B33" s="2" t="s">
        <v>176</v>
      </c>
      <c r="D33" s="2" t="s">
        <v>177</v>
      </c>
      <c r="E33" s="2" t="s">
        <v>104</v>
      </c>
      <c r="F33" s="30" t="n">
        <v>36</v>
      </c>
      <c r="G33" s="6" t="n">
        <f aca="false">IF(F33&lt;&gt;0,F33*G$2/(100+G$2)," ")</f>
        <v>6</v>
      </c>
      <c r="H33" s="6" t="n">
        <f aca="false">IF((F33&lt;&gt;0),F33-G33," ")</f>
        <v>30</v>
      </c>
      <c r="I33" s="5"/>
      <c r="L33" s="7" t="n">
        <f aca="false">IF(F33&lt;&gt;0,F33-K33," ")</f>
        <v>36</v>
      </c>
      <c r="M33" s="8" t="n">
        <f aca="false">IF((F33-K33)&lt;&gt;0,M$1-A33," ")</f>
        <v>11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30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46259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46259</v>
      </c>
      <c r="B35" s="2" t="s">
        <v>145</v>
      </c>
      <c r="D35" s="2" t="s">
        <v>146</v>
      </c>
      <c r="E35" s="2" t="s">
        <v>104</v>
      </c>
      <c r="F35" s="30" t="n">
        <v>38.25</v>
      </c>
      <c r="G35" s="6" t="n">
        <f aca="false">IF(F35&lt;&gt;0,F35*G$2/(100+G$2)," ")</f>
        <v>6.375</v>
      </c>
      <c r="H35" s="6" t="n">
        <f aca="false">IF((F35&lt;&gt;0),F35-G35," ")</f>
        <v>31.875</v>
      </c>
      <c r="I35" s="5"/>
      <c r="L35" s="7" t="n">
        <f aca="false">IF(F35&lt;&gt;0,F35-K35," ")</f>
        <v>38.25</v>
      </c>
      <c r="M35" s="8" t="n">
        <f aca="false">IF((F35-K35)&lt;&gt;0,M$1-A35," ")</f>
        <v>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31.875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46262</v>
      </c>
      <c r="B36" s="2" t="s">
        <v>20</v>
      </c>
      <c r="D36" s="2" t="s">
        <v>147</v>
      </c>
      <c r="E36" s="2" t="s">
        <v>104</v>
      </c>
      <c r="F36" s="30" t="n">
        <v>120</v>
      </c>
      <c r="G36" s="6" t="n">
        <f aca="false">IF(F36&lt;&gt;0,F36*G$2/(100+G$2)," ")</f>
        <v>20</v>
      </c>
      <c r="H36" s="6" t="n">
        <f aca="false">IF((F36&lt;&gt;0),F36-G36," ")</f>
        <v>100</v>
      </c>
      <c r="I36" s="5"/>
      <c r="L36" s="7" t="n">
        <f aca="false">IF(F36&lt;&gt;0,F36-K36," ")</f>
        <v>120</v>
      </c>
      <c r="M36" s="8" t="n">
        <f aca="false">IF((F36-K36)&lt;&gt;0,M$1-A36," ")</f>
        <v>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n">
        <f aca="false">IF((E36="v"),H36," ")</f>
        <v>100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105</v>
      </c>
    </row>
    <row r="37" customFormat="false" ht="12" hidden="false" customHeight="false" outlineLevel="0" collapsed="false">
      <c r="A37" s="28" t="n">
        <v>46265</v>
      </c>
      <c r="B37" s="2" t="s">
        <v>16</v>
      </c>
      <c r="D37" s="2" t="s">
        <v>148</v>
      </c>
      <c r="E37" s="2" t="s">
        <v>149</v>
      </c>
      <c r="F37" s="30" t="n">
        <v>300</v>
      </c>
      <c r="G37" s="6" t="n">
        <f aca="false">IF(F37&lt;&gt;0,F37*G$2/(100+G$2)," ")</f>
        <v>50</v>
      </c>
      <c r="H37" s="6" t="n">
        <f aca="false">IF((F37&lt;&gt;0),F37-G37," ")</f>
        <v>250</v>
      </c>
      <c r="I37" s="5"/>
      <c r="L37" s="7" t="n">
        <f aca="false">IF(F37&lt;&gt;0,F37-K37," ")</f>
        <v>300</v>
      </c>
      <c r="M37" s="8" t="n">
        <f aca="false">IF((F37-K37)&lt;&gt;0,M$1-A37," ")</f>
        <v>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150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4396.5</v>
      </c>
      <c r="G1" s="12" t="n">
        <f aca="false">SUM(G5:G300)</f>
        <v>732.75</v>
      </c>
      <c r="H1" s="12" t="n">
        <f aca="false">SUM(H5:H300)</f>
        <v>3663.75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46267</v>
      </c>
      <c r="N1" s="13"/>
      <c r="O1" s="12" t="n">
        <f aca="false">SUM(O5:O300)</f>
        <v>550</v>
      </c>
      <c r="P1" s="12" t="n">
        <f aca="false">SUM(P5:P300)</f>
        <v>0</v>
      </c>
      <c r="Q1" s="12" t="n">
        <f aca="false">SUM(Q5:Q300)</f>
        <v>237.5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300</v>
      </c>
      <c r="X1" s="12" t="n">
        <f aca="false">SUM(X5:X300)</f>
        <v>300</v>
      </c>
      <c r="Y1" s="12" t="n">
        <f aca="false">SUM(Y5:Y300)</f>
        <v>110.833333333333</v>
      </c>
      <c r="Z1" s="12" t="n">
        <f aca="false">SUM(Z5:Z300)</f>
        <v>0</v>
      </c>
      <c r="AA1" s="12" t="n">
        <f aca="false">SUM(AA5:AA300)</f>
        <v>112.5</v>
      </c>
      <c r="AB1" s="12" t="n">
        <f aca="false">SUM(AB5:AB300)</f>
        <v>306.666666666667</v>
      </c>
      <c r="AC1" s="12" t="n">
        <f aca="false">SUM(AC5:AC300)</f>
        <v>496.25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250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46266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46266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46266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46266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46266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46266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46268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46268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46270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46270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46270</v>
      </c>
      <c r="B15" s="2" t="s">
        <v>106</v>
      </c>
      <c r="D15" s="2" t="s">
        <v>107</v>
      </c>
      <c r="E15" s="2" t="s">
        <v>84</v>
      </c>
      <c r="F15" s="30" t="n">
        <v>36</v>
      </c>
      <c r="G15" s="6" t="n">
        <f aca="false">IF(F15&lt;&gt;0,F15*G$2/(100+G$2)," ")</f>
        <v>6</v>
      </c>
      <c r="H15" s="6" t="n">
        <f aca="false">IF((F15&lt;&gt;0),F15-G15," ")</f>
        <v>30</v>
      </c>
      <c r="I15" s="5"/>
      <c r="L15" s="7" t="n">
        <f aca="false">IF(F15&lt;&gt;0,F15-K15," ")</f>
        <v>36</v>
      </c>
      <c r="M15" s="8" t="n">
        <f aca="false">IF((F15-K15)&lt;&gt;0,M$1-A15," ")</f>
        <v>-3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30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85</v>
      </c>
    </row>
    <row r="16" customFormat="false" ht="12" hidden="false" customHeight="false" outlineLevel="0" collapsed="false">
      <c r="A16" s="28" t="n">
        <v>46271</v>
      </c>
      <c r="B16" s="2" t="s">
        <v>151</v>
      </c>
      <c r="D16" s="2" t="s">
        <v>152</v>
      </c>
      <c r="E16" s="2" t="s">
        <v>110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30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111</v>
      </c>
    </row>
    <row r="17" customFormat="false" ht="12" hidden="false" customHeight="false" outlineLevel="0" collapsed="false">
      <c r="A17" s="28" t="n">
        <v>46273</v>
      </c>
      <c r="B17" s="2" t="s">
        <v>108</v>
      </c>
      <c r="D17" s="2" t="s">
        <v>109</v>
      </c>
      <c r="E17" s="2" t="s">
        <v>110</v>
      </c>
      <c r="F17" s="30" t="n">
        <v>48</v>
      </c>
      <c r="G17" s="6" t="n">
        <f aca="false">IF(F17&lt;&gt;0,F17*G$2/(100+G$2)," ")</f>
        <v>8</v>
      </c>
      <c r="H17" s="6" t="n">
        <f aca="false">IF((F17&lt;&gt;0),F17-G17," ")</f>
        <v>40</v>
      </c>
      <c r="I17" s="5"/>
      <c r="L17" s="7" t="n">
        <f aca="false">IF(F17&lt;&gt;0,F17-K17," ")</f>
        <v>48</v>
      </c>
      <c r="M17" s="8" t="n">
        <f aca="false">IF((F17-K17)&lt;&gt;0,M$1-A17," ")</f>
        <v>-6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40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111</v>
      </c>
    </row>
    <row r="18" customFormat="false" ht="12" hidden="false" customHeight="false" outlineLevel="0" collapsed="false">
      <c r="A18" s="28" t="n">
        <v>46275</v>
      </c>
      <c r="B18" s="2" t="s">
        <v>112</v>
      </c>
      <c r="D18" s="2" t="s">
        <v>113</v>
      </c>
      <c r="E18" s="2" t="s">
        <v>98</v>
      </c>
      <c r="F18" s="30" t="n">
        <v>36</v>
      </c>
      <c r="G18" s="6" t="n">
        <f aca="false">IF(F18&lt;&gt;0,F18*G$2/(100+G$2)," ")</f>
        <v>6</v>
      </c>
      <c r="H18" s="6" t="n">
        <f aca="false">IF((F18&lt;&gt;0),F18-G18," ")</f>
        <v>30</v>
      </c>
      <c r="I18" s="5"/>
      <c r="L18" s="7" t="n">
        <f aca="false">IF(F18&lt;&gt;0,F18-K18," ")</f>
        <v>36</v>
      </c>
      <c r="M18" s="8" t="n">
        <f aca="false">IF((F18-K18)&lt;&gt;0,M$1-A18," ")</f>
        <v>-8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30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str">
        <f aca="false">IF((E18="v"),H18," ")</f>
        <v> 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99</v>
      </c>
    </row>
    <row r="19" customFormat="false" ht="12" hidden="false" customHeight="false" outlineLevel="0" collapsed="false">
      <c r="A19" s="28" t="n">
        <v>46277</v>
      </c>
      <c r="B19" s="2" t="s">
        <v>122</v>
      </c>
      <c r="D19" s="2" t="s">
        <v>123</v>
      </c>
      <c r="E19" s="2" t="s">
        <v>104</v>
      </c>
      <c r="F19" s="30" t="n">
        <v>18</v>
      </c>
      <c r="G19" s="6" t="n">
        <f aca="false">IF(F19&lt;&gt;0,F19*G$2/(100+G$2)," ")</f>
        <v>3</v>
      </c>
      <c r="H19" s="6" t="n">
        <f aca="false">IF((F19&lt;&gt;0),F19-G19," ")</f>
        <v>15</v>
      </c>
      <c r="I19" s="5"/>
      <c r="L19" s="7" t="n">
        <f aca="false">IF(F19&lt;&gt;0,F19-K19," ")</f>
        <v>18</v>
      </c>
      <c r="M19" s="8" t="n">
        <f aca="false">IF((F19-K19)&lt;&gt;0,M$1-A19," ")</f>
        <v>-10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30" t="n">
        <f aca="false">IF((E19="v"),H19," ")</f>
        <v>15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105</v>
      </c>
    </row>
    <row r="20" customFormat="false" ht="12" hidden="false" customHeight="false" outlineLevel="0" collapsed="false">
      <c r="A20" s="28" t="n">
        <v>46277</v>
      </c>
      <c r="B20" s="2" t="s">
        <v>208</v>
      </c>
      <c r="D20" s="2" t="s">
        <v>209</v>
      </c>
      <c r="E20" s="2" t="s">
        <v>155</v>
      </c>
      <c r="F20" s="30" t="n">
        <v>360</v>
      </c>
      <c r="G20" s="6" t="n">
        <f aca="false">IF(F20&lt;&gt;0,F20*G$2/(100+G$2)," ")</f>
        <v>60</v>
      </c>
      <c r="H20" s="6" t="n">
        <f aca="false">IF((F20&lt;&gt;0),F20-G20," ")</f>
        <v>300</v>
      </c>
      <c r="I20" s="5"/>
      <c r="L20" s="7" t="n">
        <f aca="false">IF(F20&lt;&gt;0,F20-K20," ")</f>
        <v>360</v>
      </c>
      <c r="M20" s="8" t="n">
        <f aca="false">IF((F20-K20)&lt;&gt;0,M$1-A20," ")</f>
        <v>-10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300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156</v>
      </c>
    </row>
    <row r="21" customFormat="false" ht="12" hidden="false" customHeight="false" outlineLevel="0" collapsed="false">
      <c r="A21" s="28" t="n">
        <v>46279</v>
      </c>
      <c r="B21" s="2" t="s">
        <v>124</v>
      </c>
      <c r="D21" s="2" t="s">
        <v>125</v>
      </c>
      <c r="E21" s="2" t="s">
        <v>98</v>
      </c>
      <c r="F21" s="30" t="n">
        <v>18</v>
      </c>
      <c r="G21" s="6" t="n">
        <f aca="false">IF(F21&lt;&gt;0,F21*G$2/(100+G$2)," ")</f>
        <v>3</v>
      </c>
      <c r="H21" s="6" t="n">
        <f aca="false">IF((F21&lt;&gt;0),F21-G21," ")</f>
        <v>15</v>
      </c>
      <c r="I21" s="5"/>
      <c r="L21" s="7" t="n">
        <f aca="false">IF(F21&lt;&gt;0,F21-K21," ")</f>
        <v>18</v>
      </c>
      <c r="M21" s="8" t="n">
        <f aca="false">IF((F21-K21)&lt;&gt;0,M$1-A21," ")</f>
        <v>-12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15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str">
        <f aca="false">IF((E21="v"),H21," ")</f>
        <v> 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99</v>
      </c>
    </row>
    <row r="22" customFormat="false" ht="12" hidden="false" customHeight="false" outlineLevel="0" collapsed="false">
      <c r="A22" s="28" t="n">
        <v>46279</v>
      </c>
      <c r="B22" s="2" t="s">
        <v>126</v>
      </c>
      <c r="D22" s="2" t="s">
        <v>127</v>
      </c>
      <c r="E22" s="2" t="s">
        <v>110</v>
      </c>
      <c r="F22" s="30" t="n">
        <v>24</v>
      </c>
      <c r="G22" s="6" t="n">
        <f aca="false">IF(F22&lt;&gt;0,F22*G$2/(100+G$2)," ")</f>
        <v>4</v>
      </c>
      <c r="H22" s="6" t="n">
        <f aca="false">IF((F22&lt;&gt;0),F22-G22," ")</f>
        <v>20</v>
      </c>
      <c r="I22" s="5"/>
      <c r="L22" s="7" t="n">
        <f aca="false">IF(F22&lt;&gt;0,F22-K22," ")</f>
        <v>24</v>
      </c>
      <c r="M22" s="8" t="n">
        <f aca="false">IF((F22-K22)&lt;&gt;0,M$1-A22," ")</f>
        <v>-12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20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111</v>
      </c>
    </row>
    <row r="23" customFormat="false" ht="12" hidden="false" customHeight="false" outlineLevel="0" collapsed="false">
      <c r="A23" s="28" t="n">
        <v>46279</v>
      </c>
      <c r="B23" s="2" t="s">
        <v>128</v>
      </c>
      <c r="D23" s="2" t="s">
        <v>129</v>
      </c>
      <c r="E23" s="2" t="s">
        <v>110</v>
      </c>
      <c r="F23" s="30" t="n">
        <v>12</v>
      </c>
      <c r="G23" s="6" t="n">
        <f aca="false">IF(F23&lt;&gt;0,F23*G$2/(100+G$2)," ")</f>
        <v>2</v>
      </c>
      <c r="H23" s="6" t="n">
        <f aca="false">IF((F23&lt;&gt;0),F23-G23," ")</f>
        <v>10</v>
      </c>
      <c r="I23" s="5"/>
      <c r="L23" s="7" t="n">
        <f aca="false">IF(F23&lt;&gt;0,F23-K23," ")</f>
        <v>12</v>
      </c>
      <c r="M23" s="8" t="n">
        <f aca="false">IF((F23-K23)&lt;&gt;0,M$1-A23," ")</f>
        <v>-12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10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111</v>
      </c>
    </row>
    <row r="24" customFormat="false" ht="12" hidden="false" customHeight="false" outlineLevel="0" collapsed="false">
      <c r="A24" s="28" t="n">
        <v>46280</v>
      </c>
      <c r="B24" s="2" t="s">
        <v>20</v>
      </c>
      <c r="D24" s="2" t="s">
        <v>103</v>
      </c>
      <c r="E24" s="2" t="s">
        <v>104</v>
      </c>
      <c r="F24" s="30" t="n">
        <v>150</v>
      </c>
      <c r="G24" s="6" t="n">
        <f aca="false">IF(F24&lt;&gt;0,F24*G$2/(100+G$2)," ")</f>
        <v>25</v>
      </c>
      <c r="H24" s="6" t="n">
        <f aca="false">IF((F24&lt;&gt;0),F24-G24," ")</f>
        <v>125</v>
      </c>
      <c r="I24" s="5"/>
      <c r="L24" s="7" t="n">
        <f aca="false">IF(F24&lt;&gt;0,F24-K24," ")</f>
        <v>150</v>
      </c>
      <c r="M24" s="8" t="n">
        <f aca="false">IF((F24-K24)&lt;&gt;0,M$1-A24," ")</f>
        <v>-13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n">
        <f aca="false">IF((E24="v"),H24," ")</f>
        <v>125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105</v>
      </c>
    </row>
    <row r="25" customFormat="false" ht="12" hidden="false" customHeight="false" outlineLevel="0" collapsed="false">
      <c r="A25" s="28" t="n">
        <v>46280</v>
      </c>
      <c r="B25" s="2" t="s">
        <v>130</v>
      </c>
      <c r="D25" s="2" t="s">
        <v>131</v>
      </c>
      <c r="E25" s="2" t="s">
        <v>78</v>
      </c>
      <c r="F25" s="30" t="n">
        <v>12</v>
      </c>
      <c r="G25" s="6" t="n">
        <f aca="false">IF(F25&lt;&gt;0,F25*G$2/(100+G$2)," ")</f>
        <v>2</v>
      </c>
      <c r="H25" s="6" t="n">
        <f aca="false">IF((F25&lt;&gt;0),F25-G25," ")</f>
        <v>10</v>
      </c>
      <c r="I25" s="5"/>
      <c r="L25" s="7" t="n">
        <f aca="false">IF(F25&lt;&gt;0,F25-K25," ")</f>
        <v>12</v>
      </c>
      <c r="M25" s="8" t="n">
        <f aca="false">IF((F25-K25)&lt;&gt;0,M$1-A25," ")</f>
        <v>-13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10</v>
      </c>
      <c r="AB25" s="17" t="str">
        <f aca="false">IF((E25="h"),H25," ")</f>
        <v> </v>
      </c>
      <c r="AC25" s="30" t="str">
        <f aca="false">IF((E25="v"),H25," ")</f>
        <v> 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79</v>
      </c>
    </row>
    <row r="26" customFormat="false" ht="12" hidden="false" customHeight="false" outlineLevel="0" collapsed="false">
      <c r="A26" s="28" t="n">
        <v>46280</v>
      </c>
      <c r="B26" s="2" t="s">
        <v>161</v>
      </c>
      <c r="D26" s="2" t="s">
        <v>162</v>
      </c>
      <c r="E26" s="2" t="s">
        <v>120</v>
      </c>
      <c r="F26" s="30" t="n">
        <v>420</v>
      </c>
      <c r="G26" s="6" t="n">
        <f aca="false">IF(F26&lt;&gt;0,F26*G$2/(100+G$2)," ")</f>
        <v>70</v>
      </c>
      <c r="H26" s="6" t="n">
        <f aca="false">IF((F26&lt;&gt;0),F26-G26," ")</f>
        <v>350</v>
      </c>
      <c r="I26" s="5"/>
      <c r="L26" s="7" t="n">
        <f aca="false">IF(F26&lt;&gt;0,F26-K26," ")</f>
        <v>420</v>
      </c>
      <c r="M26" s="8" t="n">
        <f aca="false">IF((F26-K26)&lt;&gt;0,M$1-A26," ")</f>
        <v>-13</v>
      </c>
      <c r="N26" s="5"/>
      <c r="O26" s="17" t="n">
        <f aca="false">IF((E26="s"),H26," ")</f>
        <v>350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121</v>
      </c>
    </row>
    <row r="27" customFormat="false" ht="12" hidden="false" customHeight="false" outlineLevel="0" collapsed="false">
      <c r="A27" s="28" t="n">
        <v>46283</v>
      </c>
      <c r="B27" s="2" t="s">
        <v>216</v>
      </c>
      <c r="D27" s="2" t="s">
        <v>251</v>
      </c>
      <c r="E27" s="2" t="s">
        <v>137</v>
      </c>
      <c r="F27" s="30" t="n">
        <v>360</v>
      </c>
      <c r="G27" s="6" t="n">
        <f aca="false">IF(F27&lt;&gt;0,F27*G$2/(100+G$2)," ")</f>
        <v>60</v>
      </c>
      <c r="H27" s="6" t="n">
        <f aca="false">IF((F27&lt;&gt;0),F27-G27," ")</f>
        <v>300</v>
      </c>
      <c r="I27" s="5"/>
      <c r="L27" s="7" t="n">
        <f aca="false">IF(F27&lt;&gt;0,F27-K27," ")</f>
        <v>360</v>
      </c>
      <c r="M27" s="8" t="n">
        <f aca="false">IF((F27-K27)&lt;&gt;0,M$1-A27," ")</f>
        <v>-16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300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138</v>
      </c>
    </row>
    <row r="28" customFormat="false" ht="12" hidden="false" customHeight="false" outlineLevel="0" collapsed="false">
      <c r="A28" s="28" t="n">
        <v>46283</v>
      </c>
      <c r="B28" s="2" t="s">
        <v>186</v>
      </c>
      <c r="D28" s="2" t="s">
        <v>252</v>
      </c>
      <c r="E28" s="2" t="s">
        <v>110</v>
      </c>
      <c r="F28" s="30" t="n">
        <v>240</v>
      </c>
      <c r="G28" s="6" t="n">
        <f aca="false">IF(F28&lt;&gt;0,F28*G$2/(100+G$2)," ")</f>
        <v>40</v>
      </c>
      <c r="H28" s="6" t="n">
        <f aca="false">IF((F28&lt;&gt;0),F28-G28," ")</f>
        <v>200</v>
      </c>
      <c r="I28" s="5"/>
      <c r="L28" s="7" t="n">
        <f aca="false">IF(F28&lt;&gt;0,F28-K28," ")</f>
        <v>240</v>
      </c>
      <c r="M28" s="8" t="n">
        <f aca="false">IF((F28-K28)&lt;&gt;0,M$1-A28," ")</f>
        <v>-16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200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111</v>
      </c>
    </row>
    <row r="29" customFormat="false" ht="12" hidden="false" customHeight="false" outlineLevel="0" collapsed="false">
      <c r="A29" s="28" t="n">
        <v>46283</v>
      </c>
      <c r="B29" s="2" t="s">
        <v>132</v>
      </c>
      <c r="D29" s="2" t="s">
        <v>103</v>
      </c>
      <c r="E29" s="2" t="s">
        <v>104</v>
      </c>
      <c r="F29" s="30" t="n">
        <v>96</v>
      </c>
      <c r="G29" s="6" t="n">
        <f aca="false">IF(F29&lt;&gt;0,F29*G$2/(100+G$2)," ")</f>
        <v>16</v>
      </c>
      <c r="H29" s="6" t="n">
        <f aca="false">IF((F29&lt;&gt;0),F29-G29," ")</f>
        <v>80</v>
      </c>
      <c r="I29" s="5"/>
      <c r="L29" s="7" t="n">
        <f aca="false">IF(F29&lt;&gt;0,F29-K29," ")</f>
        <v>96</v>
      </c>
      <c r="M29" s="8" t="n">
        <f aca="false">IF((F29-K29)&lt;&gt;0,M$1-A29," ")</f>
        <v>-16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80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46285</v>
      </c>
      <c r="B30" s="2" t="s">
        <v>133</v>
      </c>
      <c r="D30" s="2" t="s">
        <v>134</v>
      </c>
      <c r="E30" s="2" t="s">
        <v>78</v>
      </c>
      <c r="F30" s="30" t="n">
        <v>60</v>
      </c>
      <c r="G30" s="6" t="n">
        <f aca="false">IF(F30&lt;&gt;0,F30*G$2/(100+G$2)," ")</f>
        <v>10</v>
      </c>
      <c r="H30" s="6" t="n">
        <f aca="false">IF((F30&lt;&gt;0),F30-G30," ")</f>
        <v>50</v>
      </c>
      <c r="I30" s="5"/>
      <c r="L30" s="7" t="n">
        <f aca="false">IF(F30&lt;&gt;0,F30-K30," ")</f>
        <v>60</v>
      </c>
      <c r="M30" s="8" t="n">
        <f aca="false">IF((F30-K30)&lt;&gt;0,M$1-A30," ")</f>
        <v>-18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50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79</v>
      </c>
    </row>
    <row r="31" customFormat="false" ht="12" hidden="false" customHeight="false" outlineLevel="0" collapsed="false">
      <c r="A31" s="28" t="n">
        <v>46285</v>
      </c>
      <c r="B31" s="2" t="s">
        <v>174</v>
      </c>
      <c r="D31" s="2" t="s">
        <v>175</v>
      </c>
      <c r="E31" s="2" t="s">
        <v>120</v>
      </c>
      <c r="F31" s="30" t="n">
        <v>240</v>
      </c>
      <c r="G31" s="6" t="n">
        <f aca="false">IF(F31&lt;&gt;0,F31*G$2/(100+G$2)," ")</f>
        <v>40</v>
      </c>
      <c r="H31" s="6" t="n">
        <f aca="false">IF((F31&lt;&gt;0),F31-G31," ")</f>
        <v>200</v>
      </c>
      <c r="I31" s="5"/>
      <c r="L31" s="7" t="n">
        <f aca="false">IF(F31&lt;&gt;0,F31-K31," ")</f>
        <v>240</v>
      </c>
      <c r="M31" s="8" t="n">
        <f aca="false">IF((F31-K31)&lt;&gt;0,M$1-A31," ")</f>
        <v>-18</v>
      </c>
      <c r="N31" s="5"/>
      <c r="O31" s="17" t="n">
        <f aca="false">IF((E31="s"),H31," ")</f>
        <v>200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121</v>
      </c>
    </row>
    <row r="32" customFormat="false" ht="12" hidden="false" customHeight="false" outlineLevel="0" collapsed="false">
      <c r="A32" s="28" t="n">
        <v>46286</v>
      </c>
      <c r="B32" s="2" t="s">
        <v>139</v>
      </c>
      <c r="D32" s="2" t="s">
        <v>140</v>
      </c>
      <c r="E32" s="2" t="s">
        <v>110</v>
      </c>
      <c r="F32" s="30" t="n">
        <v>8</v>
      </c>
      <c r="G32" s="6" t="n">
        <f aca="false">IF(F32&lt;&gt;0,F32*G$2/(100+G$2)," ")</f>
        <v>1.33333333333333</v>
      </c>
      <c r="H32" s="6" t="n">
        <f aca="false">IF((F32&lt;&gt;0),F32-G32," ")</f>
        <v>6.66666666666667</v>
      </c>
      <c r="I32" s="5"/>
      <c r="L32" s="7" t="n">
        <f aca="false">IF(F32&lt;&gt;0,F32-K32," ")</f>
        <v>8</v>
      </c>
      <c r="M32" s="8" t="n">
        <f aca="false">IF((F32-K32)&lt;&gt;0,M$1-A32," ")</f>
        <v>-19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6.66666666666667</v>
      </c>
      <c r="AC32" s="30" t="str">
        <f aca="false">IF((E32="v"),H32," ")</f>
        <v> 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111</v>
      </c>
    </row>
    <row r="33" customFormat="false" ht="12" hidden="false" customHeight="false" outlineLevel="0" collapsed="false">
      <c r="A33" s="28" t="n">
        <v>46287</v>
      </c>
      <c r="B33" s="2" t="s">
        <v>141</v>
      </c>
      <c r="D33" s="2" t="s">
        <v>142</v>
      </c>
      <c r="E33" s="2" t="s">
        <v>98</v>
      </c>
      <c r="F33" s="30" t="n">
        <v>18</v>
      </c>
      <c r="G33" s="6" t="n">
        <f aca="false">IF(F33&lt;&gt;0,F33*G$2/(100+G$2)," ")</f>
        <v>3</v>
      </c>
      <c r="H33" s="6" t="n">
        <f aca="false">IF((F33&lt;&gt;0),F33-G33," ")</f>
        <v>15</v>
      </c>
      <c r="I33" s="5"/>
      <c r="L33" s="7" t="n">
        <f aca="false">IF(F33&lt;&gt;0,F33-K33," ")</f>
        <v>18</v>
      </c>
      <c r="M33" s="8" t="n">
        <f aca="false">IF((F33-K33)&lt;&gt;0,M$1-A33," ")</f>
        <v>-20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str">
        <f aca="false">IF((E33="v"),H33," ")</f>
        <v> 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99</v>
      </c>
    </row>
    <row r="34" customFormat="false" ht="12" hidden="false" customHeight="false" outlineLevel="0" collapsed="false">
      <c r="A34" s="28" t="n">
        <v>46290</v>
      </c>
      <c r="B34" s="2" t="s">
        <v>143</v>
      </c>
      <c r="D34" s="2" t="s">
        <v>144</v>
      </c>
      <c r="E34" s="2" t="s">
        <v>98</v>
      </c>
      <c r="F34" s="30" t="n">
        <v>15</v>
      </c>
      <c r="G34" s="6" t="n">
        <f aca="false">IF(F34&lt;&gt;0,F34*G$2/(100+G$2)," ")</f>
        <v>2.5</v>
      </c>
      <c r="H34" s="6" t="n">
        <f aca="false">IF((F34&lt;&gt;0),F34-G34," ")</f>
        <v>12.5</v>
      </c>
      <c r="I34" s="5"/>
      <c r="L34" s="7" t="n">
        <f aca="false">IF(F34&lt;&gt;0,F34-K34," ")</f>
        <v>15</v>
      </c>
      <c r="M34" s="8" t="n">
        <f aca="false">IF((F34-K34)&lt;&gt;0,M$1-A34," ")</f>
        <v>-23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12.5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99</v>
      </c>
    </row>
    <row r="35" customFormat="false" ht="12" hidden="false" customHeight="false" outlineLevel="0" collapsed="false">
      <c r="A35" s="28" t="n">
        <v>46290</v>
      </c>
      <c r="B35" s="2" t="s">
        <v>145</v>
      </c>
      <c r="D35" s="2" t="s">
        <v>253</v>
      </c>
      <c r="E35" s="2" t="s">
        <v>104</v>
      </c>
      <c r="F35" s="30" t="n">
        <v>31.5</v>
      </c>
      <c r="G35" s="6" t="n">
        <f aca="false">IF(F35&lt;&gt;0,F35*G$2/(100+G$2)," ")</f>
        <v>5.25</v>
      </c>
      <c r="H35" s="6" t="n">
        <f aca="false">IF((F35&lt;&gt;0),F35-G35," ")</f>
        <v>26.25</v>
      </c>
      <c r="I35" s="5"/>
      <c r="L35" s="7" t="n">
        <f aca="false">IF(F35&lt;&gt;0,F35-K35," ")</f>
        <v>31.5</v>
      </c>
      <c r="M35" s="8" t="n">
        <f aca="false">IF((F35-K35)&lt;&gt;0,M$1-A35," ")</f>
        <v>-23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n">
        <f aca="false">IF((E35="v"),H35," ")</f>
        <v>26.25</v>
      </c>
      <c r="AD35" s="30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105</v>
      </c>
    </row>
    <row r="36" customFormat="false" ht="12" hidden="false" customHeight="false" outlineLevel="0" collapsed="false">
      <c r="A36" s="28" t="n">
        <v>46293</v>
      </c>
      <c r="B36" s="2" t="s">
        <v>16</v>
      </c>
      <c r="D36" s="2" t="s">
        <v>148</v>
      </c>
      <c r="E36" s="2" t="s">
        <v>149</v>
      </c>
      <c r="F36" s="30" t="n">
        <v>300</v>
      </c>
      <c r="G36" s="6" t="n">
        <f aca="false">IF(F36&lt;&gt;0,F36*G$2/(100+G$2)," ")</f>
        <v>50</v>
      </c>
      <c r="H36" s="6" t="n">
        <f aca="false">IF((F36&lt;&gt;0),F36-G36," ")</f>
        <v>250</v>
      </c>
      <c r="I36" s="5"/>
      <c r="L36" s="7" t="n">
        <f aca="false">IF(F36&lt;&gt;0,F36-K36," ")</f>
        <v>300</v>
      </c>
      <c r="M36" s="8" t="n">
        <f aca="false">IF((F36-K36)&lt;&gt;0,M$1-A36," ")</f>
        <v>-26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250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  <c r="BZ36" s="2" t="s">
        <v>150</v>
      </c>
    </row>
    <row r="37" customFormat="false" ht="12" hidden="false" customHeight="false" outlineLevel="0" collapsed="false">
      <c r="A37" s="28" t="n">
        <v>46293</v>
      </c>
      <c r="B37" s="2" t="s">
        <v>20</v>
      </c>
      <c r="D37" s="2" t="s">
        <v>147</v>
      </c>
      <c r="E37" s="2" t="s">
        <v>104</v>
      </c>
      <c r="F37" s="30" t="n">
        <v>120</v>
      </c>
      <c r="G37" s="6" t="n">
        <f aca="false">IF(F37&lt;&gt;0,F37*G$2/(100+G$2)," ")</f>
        <v>20</v>
      </c>
      <c r="H37" s="6" t="n">
        <f aca="false">IF((F37&lt;&gt;0),F37-G37," ")</f>
        <v>100</v>
      </c>
      <c r="I37" s="5"/>
      <c r="L37" s="7" t="n">
        <f aca="false">IF(F37&lt;&gt;0,F37-K37," ")</f>
        <v>120</v>
      </c>
      <c r="M37" s="8" t="n">
        <f aca="false">IF((F37-K37)&lt;&gt;0,M$1-A37," ")</f>
        <v>-26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n">
        <f aca="false">IF((E37="v"),H37," ")</f>
        <v>100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  <c r="BZ37" s="2" t="s">
        <v>105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9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40" t="n">
        <f aca="false">F1-G1-SUM(O1:AI1)</f>
        <v>0</v>
      </c>
      <c r="B1" s="41" t="s">
        <v>22</v>
      </c>
      <c r="C1" s="20" t="s">
        <v>5</v>
      </c>
      <c r="D1" s="42" t="s">
        <v>23</v>
      </c>
      <c r="E1" s="42"/>
      <c r="F1" s="12" t="n">
        <f aca="false">SUM(F5:F300)</f>
        <v>3726.5</v>
      </c>
      <c r="G1" s="12" t="n">
        <f aca="false">SUM(G5:G300)</f>
        <v>621.083333333333</v>
      </c>
      <c r="H1" s="12" t="n">
        <f aca="false">SUM(H5:H300)</f>
        <v>3105.41666666667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46267</v>
      </c>
      <c r="N1" s="13"/>
      <c r="O1" s="12" t="n">
        <f aca="false">SUM(O5:O300)</f>
        <v>250</v>
      </c>
      <c r="P1" s="12" t="n">
        <f aca="false">SUM(P5:P300)</f>
        <v>0</v>
      </c>
      <c r="Q1" s="12" t="n">
        <f aca="false">SUM(Q5:Q300)</f>
        <v>207.5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1000</v>
      </c>
      <c r="U1" s="12" t="n">
        <f aca="false">SUM(U5:U300)</f>
        <v>300</v>
      </c>
      <c r="V1" s="12" t="n">
        <f aca="false">SUM(V5:V300)</f>
        <v>120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95.8333333333333</v>
      </c>
      <c r="Z1" s="12" t="n">
        <f aca="false">SUM(Z5:Z300)</f>
        <v>0</v>
      </c>
      <c r="AA1" s="12" t="n">
        <f aca="false">SUM(AA5:AA300)</f>
        <v>132.5</v>
      </c>
      <c r="AB1" s="12" t="n">
        <f aca="false">SUM(AB5:AB300)</f>
        <v>76.6666666666667</v>
      </c>
      <c r="AC1" s="12" t="n">
        <f aca="false">SUM(AC5:AC300)</f>
        <v>568.75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354.166666666667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3"/>
      <c r="AK1" s="12" t="n">
        <f aca="false">SUM(AK5:AK300)</f>
        <v>0</v>
      </c>
      <c r="AL1" s="44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Nov!AI1+Dec!AI1+Jan!AI1+Feb!AI1+Mar!AI1+Apr!AI1+May!AI1+Jun!AI1+Jul!AI1+Aug!AI1+Sep!AI1+Oct!AI1</f>
        <v>52500</v>
      </c>
      <c r="AJ2" s="43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3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5" t="s">
        <v>50</v>
      </c>
      <c r="P4" s="45" t="s">
        <v>51</v>
      </c>
      <c r="Q4" s="45" t="s">
        <v>52</v>
      </c>
      <c r="R4" s="45" t="s">
        <v>53</v>
      </c>
      <c r="S4" s="45" t="s">
        <v>54</v>
      </c>
      <c r="T4" s="45" t="s">
        <v>55</v>
      </c>
      <c r="U4" s="45" t="s">
        <v>56</v>
      </c>
      <c r="V4" s="45" t="s">
        <v>57</v>
      </c>
      <c r="W4" s="45" t="s">
        <v>58</v>
      </c>
      <c r="X4" s="45" t="s">
        <v>59</v>
      </c>
      <c r="Y4" s="45" t="s">
        <v>60</v>
      </c>
      <c r="Z4" s="45" t="s">
        <v>61</v>
      </c>
      <c r="AA4" s="45" t="s">
        <v>62</v>
      </c>
      <c r="AB4" s="45" t="s">
        <v>63</v>
      </c>
      <c r="AC4" s="46" t="s">
        <v>64</v>
      </c>
      <c r="AD4" s="46" t="s">
        <v>65</v>
      </c>
      <c r="AE4" s="45" t="s">
        <v>66</v>
      </c>
      <c r="AF4" s="45" t="s">
        <v>67</v>
      </c>
      <c r="AG4" s="45" t="s">
        <v>68</v>
      </c>
      <c r="AH4" s="45" t="s">
        <v>69</v>
      </c>
      <c r="AI4" s="45" t="s">
        <v>70</v>
      </c>
      <c r="AJ4" s="43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46296</v>
      </c>
      <c r="B5" s="2" t="s">
        <v>14</v>
      </c>
      <c r="C5" s="3"/>
      <c r="D5" s="2" t="s">
        <v>73</v>
      </c>
      <c r="E5" s="2" t="s">
        <v>74</v>
      </c>
      <c r="F5" s="30" t="n">
        <v>1200</v>
      </c>
      <c r="G5" s="6" t="n">
        <f aca="false">IF(F5&lt;&gt;0,F5*G$2/(100+G$2)," ")</f>
        <v>200</v>
      </c>
      <c r="H5" s="6" t="n">
        <f aca="false">IF((F5&lt;&gt;0),F5-G5," ")</f>
        <v>1000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1000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30" t="str">
        <f aca="false">IF((E5="v"),H5," ")</f>
        <v> </v>
      </c>
      <c r="AD5" s="30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  <c r="BZ5" s="5" t="s">
        <v>75</v>
      </c>
    </row>
    <row r="6" customFormat="false" ht="12" hidden="false" customHeight="false" outlineLevel="0" collapsed="false">
      <c r="A6" s="28" t="n">
        <v>46296</v>
      </c>
      <c r="B6" s="2" t="s">
        <v>76</v>
      </c>
      <c r="D6" s="2" t="s">
        <v>77</v>
      </c>
      <c r="E6" s="2" t="s">
        <v>78</v>
      </c>
      <c r="F6" s="30" t="n">
        <v>30</v>
      </c>
      <c r="G6" s="6" t="n">
        <f aca="false">IF(F6&lt;&gt;0,F6*G$2/(100+G$2)," ")</f>
        <v>5</v>
      </c>
      <c r="H6" s="6" t="n">
        <f aca="false">IF((F6&lt;&gt;0),F6-G6," ")</f>
        <v>25</v>
      </c>
      <c r="I6" s="5"/>
      <c r="L6" s="7" t="n">
        <f aca="false">IF(F6&lt;&gt;0,F6-K6," ")</f>
        <v>30</v>
      </c>
      <c r="M6" s="8" t="n">
        <f aca="false">IF((F6-K6)&lt;&gt;0,M$1-A6," ")</f>
        <v>-29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25</v>
      </c>
      <c r="AB6" s="17" t="str">
        <f aca="false">IF((E6="h"),H6," ")</f>
        <v> </v>
      </c>
      <c r="AC6" s="30" t="str">
        <f aca="false">IF((E6="v"),H6," ")</f>
        <v> </v>
      </c>
      <c r="AD6" s="30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  <c r="BZ6" s="2" t="s">
        <v>79</v>
      </c>
    </row>
    <row r="7" customFormat="false" ht="12" hidden="false" customHeight="false" outlineLevel="0" collapsed="false">
      <c r="A7" s="28" t="n">
        <v>46296</v>
      </c>
      <c r="B7" s="2" t="s">
        <v>80</v>
      </c>
      <c r="D7" s="2" t="s">
        <v>81</v>
      </c>
      <c r="E7" s="2" t="s">
        <v>78</v>
      </c>
      <c r="F7" s="30" t="n">
        <v>15</v>
      </c>
      <c r="G7" s="6" t="n">
        <f aca="false">IF(F7&lt;&gt;0,F7*G$2/(100+G$2)," ")</f>
        <v>2.5</v>
      </c>
      <c r="H7" s="6" t="n">
        <f aca="false">IF((F7&lt;&gt;0),F7-G7," ")</f>
        <v>12.5</v>
      </c>
      <c r="I7" s="5"/>
      <c r="L7" s="7" t="n">
        <f aca="false">IF(F7&lt;&gt;0,F7-K7," ")</f>
        <v>15</v>
      </c>
      <c r="M7" s="8" t="n">
        <f aca="false">IF((F7-K7)&lt;&gt;0,M$1-A7," ")</f>
        <v>-29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12.5</v>
      </c>
      <c r="AB7" s="17" t="str">
        <f aca="false">IF((E7="h"),H7," ")</f>
        <v> </v>
      </c>
      <c r="AC7" s="30" t="str">
        <f aca="false">IF((E7="v"),H7," ")</f>
        <v> </v>
      </c>
      <c r="AD7" s="30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  <c r="BZ7" s="2" t="s">
        <v>79</v>
      </c>
    </row>
    <row r="8" customFormat="false" ht="12" hidden="false" customHeight="false" outlineLevel="0" collapsed="false">
      <c r="A8" s="28" t="n">
        <v>46296</v>
      </c>
      <c r="B8" s="2" t="s">
        <v>82</v>
      </c>
      <c r="D8" s="2" t="s">
        <v>83</v>
      </c>
      <c r="E8" s="2" t="s">
        <v>84</v>
      </c>
      <c r="F8" s="30" t="n">
        <v>45</v>
      </c>
      <c r="G8" s="6" t="n">
        <f aca="false">IF(F8&lt;&gt;0,F8*G$2/(100+G$2)," ")</f>
        <v>7.5</v>
      </c>
      <c r="H8" s="6" t="n">
        <f aca="false">IF((F8&lt;&gt;0),F8-G8," ")</f>
        <v>37.5</v>
      </c>
      <c r="I8" s="5"/>
      <c r="L8" s="7" t="n">
        <f aca="false">IF(F8&lt;&gt;0,F8-K8," ")</f>
        <v>45</v>
      </c>
      <c r="M8" s="8" t="n">
        <f aca="false">IF((F8-K8)&lt;&gt;0,M$1-A8," ")</f>
        <v>-29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37.5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30" t="str">
        <f aca="false">IF((E8="v"),H8," ")</f>
        <v> </v>
      </c>
      <c r="AD8" s="30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  <c r="BZ8" s="2" t="s">
        <v>85</v>
      </c>
    </row>
    <row r="9" customFormat="false" ht="12" hidden="false" customHeight="false" outlineLevel="0" collapsed="false">
      <c r="A9" s="28" t="n">
        <v>46296</v>
      </c>
      <c r="B9" s="2" t="s">
        <v>90</v>
      </c>
      <c r="D9" s="2" t="s">
        <v>91</v>
      </c>
      <c r="E9" s="2" t="s">
        <v>84</v>
      </c>
      <c r="F9" s="30" t="n">
        <v>24</v>
      </c>
      <c r="G9" s="6" t="n">
        <f aca="false">IF(F9&lt;&gt;0,F9*G$2/(100+G$2)," ")</f>
        <v>4</v>
      </c>
      <c r="H9" s="6" t="n">
        <f aca="false">IF((F9&lt;&gt;0),F9-G9," ")</f>
        <v>20</v>
      </c>
      <c r="I9" s="5"/>
      <c r="L9" s="7" t="n">
        <f aca="false">IF(F9&lt;&gt;0,F9-K9," ")</f>
        <v>24</v>
      </c>
      <c r="M9" s="8" t="n">
        <f aca="false">IF((F9-K9)&lt;&gt;0,M$1-A9," ")</f>
        <v>-29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20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30" t="str">
        <f aca="false">IF((E9="v"),H9," ")</f>
        <v> </v>
      </c>
      <c r="AD9" s="30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  <c r="BZ9" s="2" t="s">
        <v>85</v>
      </c>
    </row>
    <row r="10" customFormat="false" ht="12" hidden="false" customHeight="false" outlineLevel="0" collapsed="false">
      <c r="A10" s="28" t="n">
        <v>46296</v>
      </c>
      <c r="B10" s="2" t="s">
        <v>92</v>
      </c>
      <c r="D10" s="2" t="s">
        <v>93</v>
      </c>
      <c r="E10" s="2" t="s">
        <v>78</v>
      </c>
      <c r="F10" s="30" t="n">
        <v>18</v>
      </c>
      <c r="G10" s="6" t="n">
        <f aca="false">IF(F10&lt;&gt;0,F10*G$2/(100+G$2)," ")</f>
        <v>3</v>
      </c>
      <c r="H10" s="6" t="n">
        <f aca="false">IF((F10&lt;&gt;0),F10-G10," ")</f>
        <v>15</v>
      </c>
      <c r="I10" s="5"/>
      <c r="L10" s="7" t="n">
        <f aca="false">IF(F10&lt;&gt;0,F10-K10," ")</f>
        <v>18</v>
      </c>
      <c r="M10" s="8" t="n">
        <f aca="false">IF((F10-K10)&lt;&gt;0,M$1-A10," ")</f>
        <v>-29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30" t="str">
        <f aca="false">IF((E10="v"),H10," ")</f>
        <v> </v>
      </c>
      <c r="AD10" s="30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  <c r="BZ10" s="2" t="s">
        <v>79</v>
      </c>
    </row>
    <row r="11" customFormat="false" ht="12" hidden="false" customHeight="false" outlineLevel="0" collapsed="false">
      <c r="A11" s="28" t="n">
        <v>46298</v>
      </c>
      <c r="B11" s="2" t="s">
        <v>94</v>
      </c>
      <c r="D11" s="2" t="s">
        <v>95</v>
      </c>
      <c r="E11" s="2" t="s">
        <v>84</v>
      </c>
      <c r="F11" s="30" t="n">
        <v>180</v>
      </c>
      <c r="G11" s="6" t="n">
        <f aca="false">IF(F11&lt;&gt;0,F11*G$2/(100+G$2)," ")</f>
        <v>30</v>
      </c>
      <c r="H11" s="6" t="n">
        <f aca="false">IF((F11&lt;&gt;0),F11-G11," ")</f>
        <v>150</v>
      </c>
      <c r="I11" s="5"/>
      <c r="L11" s="7" t="n">
        <f aca="false">IF(F11&lt;&gt;0,F11-K11," ")</f>
        <v>180</v>
      </c>
      <c r="M11" s="8" t="n">
        <f aca="false">IF((F11-K11)&lt;&gt;0,M$1-A11," ")</f>
        <v>-31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150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30" t="str">
        <f aca="false">IF((E11="v"),H11," ")</f>
        <v> </v>
      </c>
      <c r="AD11" s="30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  <c r="BZ11" s="2" t="s">
        <v>85</v>
      </c>
    </row>
    <row r="12" customFormat="false" ht="12" hidden="false" customHeight="false" outlineLevel="0" collapsed="false">
      <c r="A12" s="28" t="n">
        <v>46298</v>
      </c>
      <c r="B12" s="2" t="s">
        <v>96</v>
      </c>
      <c r="D12" s="2" t="s">
        <v>97</v>
      </c>
      <c r="E12" s="2" t="s">
        <v>98</v>
      </c>
      <c r="F12" s="30" t="n">
        <v>22</v>
      </c>
      <c r="G12" s="6" t="n">
        <f aca="false">IF(F12&lt;&gt;0,F12*G$2/(100+G$2)," ")</f>
        <v>3.66666666666667</v>
      </c>
      <c r="H12" s="6" t="n">
        <f aca="false">IF((F12&lt;&gt;0),F12-G12," ")</f>
        <v>18.3333333333333</v>
      </c>
      <c r="I12" s="5"/>
      <c r="L12" s="7" t="n">
        <f aca="false">IF(F12&lt;&gt;0,F12-K12," ")</f>
        <v>22</v>
      </c>
      <c r="M12" s="8" t="n">
        <f aca="false">IF((F12-K12)&lt;&gt;0,M$1-A12," ")</f>
        <v>-31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18.3333333333333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30" t="str">
        <f aca="false">IF((E12="v"),H12," ")</f>
        <v> </v>
      </c>
      <c r="AD12" s="30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  <c r="BZ12" s="2" t="s">
        <v>99</v>
      </c>
    </row>
    <row r="13" customFormat="false" ht="12" hidden="false" customHeight="false" outlineLevel="0" collapsed="false">
      <c r="A13" s="28" t="n">
        <v>46300</v>
      </c>
      <c r="B13" s="2" t="s">
        <v>100</v>
      </c>
      <c r="D13" s="2" t="s">
        <v>101</v>
      </c>
      <c r="E13" s="2" t="s">
        <v>98</v>
      </c>
      <c r="F13" s="30" t="n">
        <v>24</v>
      </c>
      <c r="G13" s="6" t="n">
        <f aca="false">IF(F13&lt;&gt;0,F13*G$2/(100+G$2)," ")</f>
        <v>4</v>
      </c>
      <c r="H13" s="6" t="n">
        <f aca="false">IF((F13&lt;&gt;0),F13-G13," ")</f>
        <v>20</v>
      </c>
      <c r="I13" s="5"/>
      <c r="L13" s="7" t="n">
        <f aca="false">IF(F13&lt;&gt;0,F13-K13," ")</f>
        <v>24</v>
      </c>
      <c r="M13" s="8" t="n">
        <f aca="false">IF((F13-K13)&lt;&gt;0,M$1-A13," ")</f>
        <v>-33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20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30" t="str">
        <f aca="false">IF((E13="v"),H13," ")</f>
        <v> </v>
      </c>
      <c r="AD13" s="30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  <c r="BZ13" s="2" t="s">
        <v>99</v>
      </c>
    </row>
    <row r="14" customFormat="false" ht="12" hidden="false" customHeight="false" outlineLevel="0" collapsed="false">
      <c r="A14" s="28" t="n">
        <v>46300</v>
      </c>
      <c r="B14" s="2" t="s">
        <v>102</v>
      </c>
      <c r="D14" s="2" t="s">
        <v>103</v>
      </c>
      <c r="E14" s="2" t="s">
        <v>104</v>
      </c>
      <c r="F14" s="30" t="n">
        <v>180</v>
      </c>
      <c r="G14" s="6" t="n">
        <f aca="false">IF(F14&lt;&gt;0,F14*G$2/(100+G$2)," ")</f>
        <v>30</v>
      </c>
      <c r="H14" s="6" t="n">
        <f aca="false">IF((F14&lt;&gt;0),F14-G14," ")</f>
        <v>150</v>
      </c>
      <c r="I14" s="5"/>
      <c r="L14" s="7" t="n">
        <f aca="false">IF(F14&lt;&gt;0,F14-K14," ")</f>
        <v>180</v>
      </c>
      <c r="M14" s="8" t="n">
        <f aca="false">IF((F14-K14)&lt;&gt;0,M$1-A14," ")</f>
        <v>-33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30" t="n">
        <f aca="false">IF((E14="v"),H14," ")</f>
        <v>150</v>
      </c>
      <c r="AD14" s="30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  <c r="BZ14" s="2" t="s">
        <v>105</v>
      </c>
    </row>
    <row r="15" customFormat="false" ht="12" hidden="false" customHeight="false" outlineLevel="0" collapsed="false">
      <c r="A15" s="28" t="n">
        <v>46303</v>
      </c>
      <c r="B15" s="2" t="s">
        <v>108</v>
      </c>
      <c r="D15" s="2" t="s">
        <v>109</v>
      </c>
      <c r="E15" s="2" t="s">
        <v>110</v>
      </c>
      <c r="F15" s="30" t="n">
        <v>48</v>
      </c>
      <c r="G15" s="6" t="n">
        <f aca="false">IF(F15&lt;&gt;0,F15*G$2/(100+G$2)," ")</f>
        <v>8</v>
      </c>
      <c r="H15" s="6" t="n">
        <f aca="false">IF((F15&lt;&gt;0),F15-G15," ")</f>
        <v>40</v>
      </c>
      <c r="I15" s="5"/>
      <c r="L15" s="7" t="n">
        <f aca="false">IF(F15&lt;&gt;0,F15-K15," ")</f>
        <v>48</v>
      </c>
      <c r="M15" s="8" t="n">
        <f aca="false">IF((F15-K15)&lt;&gt;0,M$1-A15," ")</f>
        <v>-36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40</v>
      </c>
      <c r="AC15" s="30" t="str">
        <f aca="false">IF((E15="v"),H15," ")</f>
        <v> </v>
      </c>
      <c r="AD15" s="30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  <c r="BZ15" s="2" t="s">
        <v>111</v>
      </c>
    </row>
    <row r="16" customFormat="false" ht="12" hidden="false" customHeight="false" outlineLevel="0" collapsed="false">
      <c r="A16" s="28" t="n">
        <v>46305</v>
      </c>
      <c r="B16" s="2" t="s">
        <v>112</v>
      </c>
      <c r="D16" s="2" t="s">
        <v>113</v>
      </c>
      <c r="E16" s="2" t="s">
        <v>98</v>
      </c>
      <c r="F16" s="30" t="n">
        <v>36</v>
      </c>
      <c r="G16" s="6" t="n">
        <f aca="false">IF(F16&lt;&gt;0,F16*G$2/(100+G$2)," ")</f>
        <v>6</v>
      </c>
      <c r="H16" s="6" t="n">
        <f aca="false">IF((F16&lt;&gt;0),F16-G16," ")</f>
        <v>30</v>
      </c>
      <c r="I16" s="5"/>
      <c r="L16" s="7" t="n">
        <f aca="false">IF(F16&lt;&gt;0,F16-K16," ")</f>
        <v>36</v>
      </c>
      <c r="M16" s="8" t="n">
        <f aca="false">IF((F16-K16)&lt;&gt;0,M$1-A16," ")</f>
        <v>-38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30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30" t="str">
        <f aca="false">IF((E16="v"),H16," ")</f>
        <v> </v>
      </c>
      <c r="AD16" s="30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  <c r="BZ16" s="2" t="s">
        <v>99</v>
      </c>
    </row>
    <row r="17" customFormat="false" ht="12" hidden="false" customHeight="false" outlineLevel="0" collapsed="false">
      <c r="A17" s="28" t="n">
        <v>46305</v>
      </c>
      <c r="B17" s="2" t="s">
        <v>130</v>
      </c>
      <c r="D17" s="2" t="s">
        <v>222</v>
      </c>
      <c r="E17" s="2" t="s">
        <v>172</v>
      </c>
      <c r="F17" s="30" t="n">
        <v>144</v>
      </c>
      <c r="G17" s="6" t="n">
        <f aca="false">IF(F17&lt;&gt;0,F17*G$2/(100+G$2)," ")</f>
        <v>24</v>
      </c>
      <c r="H17" s="6" t="n">
        <f aca="false">IF((F17&lt;&gt;0),F17-G17," ")</f>
        <v>120</v>
      </c>
      <c r="I17" s="5"/>
      <c r="L17" s="7" t="n">
        <f aca="false">IF(F17&lt;&gt;0,F17-K17," ")</f>
        <v>144</v>
      </c>
      <c r="M17" s="8" t="n">
        <f aca="false">IF((F17-K17)&lt;&gt;0,M$1-A17," ")</f>
        <v>-38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120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30" t="str">
        <f aca="false">IF((E17="v"),H17," ")</f>
        <v> </v>
      </c>
      <c r="AD17" s="30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  <c r="BZ17" s="2" t="s">
        <v>173</v>
      </c>
    </row>
    <row r="18" customFormat="false" ht="12" hidden="false" customHeight="false" outlineLevel="0" collapsed="false">
      <c r="A18" s="28" t="n">
        <v>46307</v>
      </c>
      <c r="B18" s="2" t="s">
        <v>122</v>
      </c>
      <c r="D18" s="2" t="s">
        <v>123</v>
      </c>
      <c r="E18" s="2" t="s">
        <v>104</v>
      </c>
      <c r="F18" s="30" t="n">
        <v>18</v>
      </c>
      <c r="G18" s="6" t="n">
        <f aca="false">IF(F18&lt;&gt;0,F18*G$2/(100+G$2)," ")</f>
        <v>3</v>
      </c>
      <c r="H18" s="6" t="n">
        <f aca="false">IF((F18&lt;&gt;0),F18-G18," ")</f>
        <v>15</v>
      </c>
      <c r="I18" s="5"/>
      <c r="L18" s="7" t="n">
        <f aca="false">IF(F18&lt;&gt;0,F18-K18," ")</f>
        <v>18</v>
      </c>
      <c r="M18" s="8" t="n">
        <f aca="false">IF((F18-K18)&lt;&gt;0,M$1-A18," ")</f>
        <v>-40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30" t="n">
        <f aca="false">IF((E18="v"),H18," ")</f>
        <v>15</v>
      </c>
      <c r="AD18" s="30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  <c r="BZ18" s="2" t="s">
        <v>105</v>
      </c>
    </row>
    <row r="19" customFormat="false" ht="12" hidden="false" customHeight="false" outlineLevel="0" collapsed="false">
      <c r="A19" s="28" t="n">
        <v>46309</v>
      </c>
      <c r="B19" s="2" t="s">
        <v>126</v>
      </c>
      <c r="D19" s="2" t="s">
        <v>127</v>
      </c>
      <c r="E19" s="2" t="s">
        <v>110</v>
      </c>
      <c r="F19" s="30" t="n">
        <v>24</v>
      </c>
      <c r="G19" s="6" t="n">
        <f aca="false">IF(F19&lt;&gt;0,F19*G$2/(100+G$2)," ")</f>
        <v>4</v>
      </c>
      <c r="H19" s="6" t="n">
        <f aca="false">IF((F19&lt;&gt;0),F19-G19," ")</f>
        <v>20</v>
      </c>
      <c r="I19" s="5"/>
      <c r="L19" s="7" t="n">
        <f aca="false">IF(F19&lt;&gt;0,F19-K19," ")</f>
        <v>24</v>
      </c>
      <c r="M19" s="8" t="n">
        <f aca="false">IF((F19-K19)&lt;&gt;0,M$1-A19," ")</f>
        <v>-42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20</v>
      </c>
      <c r="AC19" s="30" t="str">
        <f aca="false">IF((E19="v"),H19," ")</f>
        <v> </v>
      </c>
      <c r="AD19" s="30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  <c r="BZ19" s="2" t="s">
        <v>111</v>
      </c>
    </row>
    <row r="20" customFormat="false" ht="12" hidden="false" customHeight="false" outlineLevel="0" collapsed="false">
      <c r="A20" s="28" t="n">
        <v>46309</v>
      </c>
      <c r="B20" s="2" t="s">
        <v>128</v>
      </c>
      <c r="D20" s="2" t="s">
        <v>129</v>
      </c>
      <c r="E20" s="2" t="s">
        <v>110</v>
      </c>
      <c r="F20" s="30" t="n">
        <v>12</v>
      </c>
      <c r="G20" s="6" t="n">
        <f aca="false">IF(F20&lt;&gt;0,F20*G$2/(100+G$2)," ")</f>
        <v>2</v>
      </c>
      <c r="H20" s="6" t="n">
        <f aca="false">IF((F20&lt;&gt;0),F20-G20," ")</f>
        <v>10</v>
      </c>
      <c r="I20" s="5"/>
      <c r="L20" s="7" t="n">
        <f aca="false">IF(F20&lt;&gt;0,F20-K20," ")</f>
        <v>12</v>
      </c>
      <c r="M20" s="8" t="n">
        <f aca="false">IF((F20-K20)&lt;&gt;0,M$1-A20," ")</f>
        <v>-42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10</v>
      </c>
      <c r="AC20" s="30" t="str">
        <f aca="false">IF((E20="v"),H20," ")</f>
        <v> </v>
      </c>
      <c r="AD20" s="30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  <c r="BZ20" s="2" t="s">
        <v>111</v>
      </c>
    </row>
    <row r="21" customFormat="false" ht="12" hidden="false" customHeight="false" outlineLevel="0" collapsed="false">
      <c r="A21" s="28" t="n">
        <v>46310</v>
      </c>
      <c r="B21" s="2" t="s">
        <v>20</v>
      </c>
      <c r="D21" s="2" t="s">
        <v>103</v>
      </c>
      <c r="E21" s="2" t="s">
        <v>104</v>
      </c>
      <c r="F21" s="30" t="n">
        <v>150</v>
      </c>
      <c r="G21" s="6" t="n">
        <f aca="false">IF(F21&lt;&gt;0,F21*G$2/(100+G$2)," ")</f>
        <v>25</v>
      </c>
      <c r="H21" s="6" t="n">
        <f aca="false">IF((F21&lt;&gt;0),F21-G21," ")</f>
        <v>125</v>
      </c>
      <c r="I21" s="5"/>
      <c r="L21" s="7" t="n">
        <f aca="false">IF(F21&lt;&gt;0,F21-K21," ")</f>
        <v>150</v>
      </c>
      <c r="M21" s="8" t="n">
        <f aca="false">IF((F21-K21)&lt;&gt;0,M$1-A21," ")</f>
        <v>-43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30" t="n">
        <f aca="false">IF((E21="v"),H21," ")</f>
        <v>125</v>
      </c>
      <c r="AD21" s="30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  <c r="BZ21" s="2" t="s">
        <v>105</v>
      </c>
    </row>
    <row r="22" customFormat="false" ht="12" hidden="false" customHeight="false" outlineLevel="0" collapsed="false">
      <c r="A22" s="28" t="n">
        <v>46310</v>
      </c>
      <c r="B22" s="2" t="s">
        <v>130</v>
      </c>
      <c r="D22" s="2" t="s">
        <v>131</v>
      </c>
      <c r="E22" s="2" t="s">
        <v>78</v>
      </c>
      <c r="F22" s="30" t="n">
        <v>12</v>
      </c>
      <c r="G22" s="6" t="n">
        <f aca="false">IF(F22&lt;&gt;0,F22*G$2/(100+G$2)," ")</f>
        <v>2</v>
      </c>
      <c r="H22" s="6" t="n">
        <f aca="false">IF((F22&lt;&gt;0),F22-G22," ")</f>
        <v>10</v>
      </c>
      <c r="I22" s="5"/>
      <c r="L22" s="7" t="n">
        <f aca="false">IF(F22&lt;&gt;0,F22-K22," ")</f>
        <v>12</v>
      </c>
      <c r="M22" s="8" t="n">
        <f aca="false">IF((F22-K22)&lt;&gt;0,M$1-A22," ")</f>
        <v>-43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10</v>
      </c>
      <c r="AB22" s="17" t="str">
        <f aca="false">IF((E22="h"),H22," ")</f>
        <v> </v>
      </c>
      <c r="AC22" s="30" t="str">
        <f aca="false">IF((E22="v"),H22," ")</f>
        <v> </v>
      </c>
      <c r="AD22" s="30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  <c r="BZ22" s="2" t="s">
        <v>79</v>
      </c>
    </row>
    <row r="23" customFormat="false" ht="12" hidden="false" customHeight="false" outlineLevel="0" collapsed="false">
      <c r="A23" s="28" t="n">
        <v>46311</v>
      </c>
      <c r="B23" s="2" t="s">
        <v>168</v>
      </c>
      <c r="D23" s="2" t="s">
        <v>169</v>
      </c>
      <c r="E23" s="2" t="s">
        <v>78</v>
      </c>
      <c r="F23" s="30" t="n">
        <v>24</v>
      </c>
      <c r="G23" s="6" t="n">
        <f aca="false">IF(F23&lt;&gt;0,F23*G$2/(100+G$2)," ")</f>
        <v>4</v>
      </c>
      <c r="H23" s="6" t="n">
        <f aca="false">IF((F23&lt;&gt;0),F23-G23," ")</f>
        <v>20</v>
      </c>
      <c r="I23" s="5"/>
      <c r="L23" s="7" t="n">
        <f aca="false">IF(F23&lt;&gt;0,F23-K23," ")</f>
        <v>24</v>
      </c>
      <c r="M23" s="8" t="n">
        <f aca="false">IF((F23-K23)&lt;&gt;0,M$1-A23," ")</f>
        <v>-44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20</v>
      </c>
      <c r="AB23" s="17" t="str">
        <f aca="false">IF((E23="h"),H23," ")</f>
        <v> </v>
      </c>
      <c r="AC23" s="30" t="str">
        <f aca="false">IF((E23="v"),H23," ")</f>
        <v> </v>
      </c>
      <c r="AD23" s="30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  <c r="BZ23" s="2" t="s">
        <v>79</v>
      </c>
    </row>
    <row r="24" customFormat="false" ht="12" hidden="false" customHeight="false" outlineLevel="0" collapsed="false">
      <c r="A24" s="28" t="n">
        <v>46313</v>
      </c>
      <c r="B24" s="2" t="s">
        <v>188</v>
      </c>
      <c r="D24" s="2" t="s">
        <v>189</v>
      </c>
      <c r="E24" s="2" t="s">
        <v>120</v>
      </c>
      <c r="F24" s="30" t="n">
        <v>300</v>
      </c>
      <c r="G24" s="6" t="n">
        <f aca="false">IF(F24&lt;&gt;0,F24*G$2/(100+G$2)," ")</f>
        <v>50</v>
      </c>
      <c r="H24" s="6" t="n">
        <f aca="false">IF((F24&lt;&gt;0),F24-G24," ")</f>
        <v>250</v>
      </c>
      <c r="I24" s="5"/>
      <c r="L24" s="7" t="n">
        <f aca="false">IF(F24&lt;&gt;0,F24-K24," ")</f>
        <v>300</v>
      </c>
      <c r="M24" s="8" t="n">
        <f aca="false">IF((F24-K24)&lt;&gt;0,M$1-A24," ")</f>
        <v>-46</v>
      </c>
      <c r="N24" s="5"/>
      <c r="O24" s="17" t="n">
        <f aca="false">IF((E24="s"),H24," ")</f>
        <v>250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30" t="str">
        <f aca="false">IF((E24="v"),H24," ")</f>
        <v> </v>
      </c>
      <c r="AD24" s="30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  <c r="BZ24" s="2" t="s">
        <v>121</v>
      </c>
    </row>
    <row r="25" customFormat="false" ht="12" hidden="false" customHeight="false" outlineLevel="0" collapsed="false">
      <c r="A25" s="28" t="n">
        <v>46313</v>
      </c>
      <c r="B25" s="2" t="s">
        <v>132</v>
      </c>
      <c r="D25" s="2" t="s">
        <v>103</v>
      </c>
      <c r="E25" s="2" t="s">
        <v>104</v>
      </c>
      <c r="F25" s="30" t="n">
        <v>96</v>
      </c>
      <c r="G25" s="6" t="n">
        <f aca="false">IF(F25&lt;&gt;0,F25*G$2/(100+G$2)," ")</f>
        <v>16</v>
      </c>
      <c r="H25" s="6" t="n">
        <f aca="false">IF((F25&lt;&gt;0),F25-G25," ")</f>
        <v>80</v>
      </c>
      <c r="I25" s="5"/>
      <c r="L25" s="7" t="n">
        <f aca="false">IF(F25&lt;&gt;0,F25-K25," ")</f>
        <v>96</v>
      </c>
      <c r="M25" s="8" t="n">
        <f aca="false">IF((F25-K25)&lt;&gt;0,M$1-A25," ")</f>
        <v>-46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30" t="n">
        <f aca="false">IF((E25="v"),H25," ")</f>
        <v>80</v>
      </c>
      <c r="AD25" s="30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  <c r="BZ25" s="2" t="s">
        <v>105</v>
      </c>
    </row>
    <row r="26" customFormat="false" ht="12" hidden="false" customHeight="false" outlineLevel="0" collapsed="false">
      <c r="A26" s="28" t="n">
        <v>46315</v>
      </c>
      <c r="B26" s="2" t="s">
        <v>133</v>
      </c>
      <c r="D26" s="2" t="s">
        <v>134</v>
      </c>
      <c r="E26" s="2" t="s">
        <v>78</v>
      </c>
      <c r="F26" s="30" t="n">
        <v>60</v>
      </c>
      <c r="G26" s="6" t="n">
        <f aca="false">IF(F26&lt;&gt;0,F26*G$2/(100+G$2)," ")</f>
        <v>10</v>
      </c>
      <c r="H26" s="6" t="n">
        <f aca="false">IF((F26&lt;&gt;0),F26-G26," ")</f>
        <v>50</v>
      </c>
      <c r="I26" s="5"/>
      <c r="L26" s="7" t="n">
        <f aca="false">IF(F26&lt;&gt;0,F26-K26," ")</f>
        <v>60</v>
      </c>
      <c r="M26" s="8" t="n">
        <f aca="false">IF((F26-K26)&lt;&gt;0,M$1-A26," ")</f>
        <v>-48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50</v>
      </c>
      <c r="AB26" s="17" t="str">
        <f aca="false">IF((E26="h"),H26," ")</f>
        <v> </v>
      </c>
      <c r="AC26" s="30" t="str">
        <f aca="false">IF((E26="v"),H26," ")</f>
        <v> </v>
      </c>
      <c r="AD26" s="30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  <c r="BZ26" s="2" t="s">
        <v>79</v>
      </c>
    </row>
    <row r="27" customFormat="false" ht="12" hidden="false" customHeight="false" outlineLevel="0" collapsed="false">
      <c r="A27" s="28" t="n">
        <v>46316</v>
      </c>
      <c r="B27" s="2" t="s">
        <v>139</v>
      </c>
      <c r="D27" s="2" t="s">
        <v>140</v>
      </c>
      <c r="E27" s="2" t="s">
        <v>110</v>
      </c>
      <c r="F27" s="30" t="n">
        <v>8</v>
      </c>
      <c r="G27" s="6" t="n">
        <f aca="false">IF(F27&lt;&gt;0,F27*G$2/(100+G$2)," ")</f>
        <v>1.33333333333333</v>
      </c>
      <c r="H27" s="6" t="n">
        <f aca="false">IF((F27&lt;&gt;0),F27-G27," ")</f>
        <v>6.66666666666667</v>
      </c>
      <c r="I27" s="5"/>
      <c r="L27" s="7" t="n">
        <f aca="false">IF(F27&lt;&gt;0,F27-K27," ")</f>
        <v>8</v>
      </c>
      <c r="M27" s="8" t="n">
        <f aca="false">IF((F27-K27)&lt;&gt;0,M$1-A27," ")</f>
        <v>-49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6.66666666666667</v>
      </c>
      <c r="AC27" s="30" t="str">
        <f aca="false">IF((E27="v"),H27," ")</f>
        <v> </v>
      </c>
      <c r="AD27" s="30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  <c r="BZ27" s="2" t="s">
        <v>111</v>
      </c>
    </row>
    <row r="28" customFormat="false" ht="12" hidden="false" customHeight="false" outlineLevel="0" collapsed="false">
      <c r="A28" s="28" t="n">
        <v>46317</v>
      </c>
      <c r="B28" s="2" t="s">
        <v>141</v>
      </c>
      <c r="D28" s="2" t="s">
        <v>142</v>
      </c>
      <c r="E28" s="2" t="s">
        <v>98</v>
      </c>
      <c r="F28" s="30" t="n">
        <v>18</v>
      </c>
      <c r="G28" s="6" t="n">
        <f aca="false">IF(F28&lt;&gt;0,F28*G$2/(100+G$2)," ")</f>
        <v>3</v>
      </c>
      <c r="H28" s="6" t="n">
        <f aca="false">IF((F28&lt;&gt;0),F28-G28," ")</f>
        <v>15</v>
      </c>
      <c r="I28" s="5"/>
      <c r="L28" s="7" t="n">
        <f aca="false">IF(F28&lt;&gt;0,F28-K28," ")</f>
        <v>18</v>
      </c>
      <c r="M28" s="8" t="n">
        <f aca="false">IF((F28-K28)&lt;&gt;0,M$1-A28," ")</f>
        <v>-50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15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30" t="str">
        <f aca="false">IF((E28="v"),H28," ")</f>
        <v> </v>
      </c>
      <c r="AD28" s="30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  <c r="BZ28" s="2" t="s">
        <v>99</v>
      </c>
    </row>
    <row r="29" customFormat="false" ht="12" hidden="false" customHeight="false" outlineLevel="0" collapsed="false">
      <c r="A29" s="28" t="n">
        <v>46317</v>
      </c>
      <c r="B29" s="2" t="s">
        <v>176</v>
      </c>
      <c r="D29" s="2" t="s">
        <v>177</v>
      </c>
      <c r="E29" s="2" t="s">
        <v>104</v>
      </c>
      <c r="F29" s="30" t="n">
        <v>60</v>
      </c>
      <c r="G29" s="6" t="n">
        <f aca="false">IF(F29&lt;&gt;0,F29*G$2/(100+G$2)," ")</f>
        <v>10</v>
      </c>
      <c r="H29" s="6" t="n">
        <f aca="false">IF((F29&lt;&gt;0),F29-G29," ")</f>
        <v>50</v>
      </c>
      <c r="I29" s="5"/>
      <c r="L29" s="7" t="n">
        <f aca="false">IF(F29&lt;&gt;0,F29-K29," ")</f>
        <v>60</v>
      </c>
      <c r="M29" s="8" t="n">
        <f aca="false">IF((F29-K29)&lt;&gt;0,M$1-A29," ")</f>
        <v>-50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30" t="n">
        <f aca="false">IF((E29="v"),H29," ")</f>
        <v>50</v>
      </c>
      <c r="AD29" s="30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  <c r="BZ29" s="2" t="s">
        <v>105</v>
      </c>
    </row>
    <row r="30" customFormat="false" ht="12" hidden="false" customHeight="false" outlineLevel="0" collapsed="false">
      <c r="A30" s="28" t="n">
        <v>46320</v>
      </c>
      <c r="B30" s="2" t="s">
        <v>190</v>
      </c>
      <c r="D30" s="2" t="s">
        <v>191</v>
      </c>
      <c r="E30" s="2" t="s">
        <v>192</v>
      </c>
      <c r="F30" s="30" t="n">
        <v>360</v>
      </c>
      <c r="G30" s="6" t="n">
        <f aca="false">IF(F30&lt;&gt;0,F30*G$2/(100+G$2)," ")</f>
        <v>60</v>
      </c>
      <c r="H30" s="6" t="n">
        <f aca="false">IF((F30&lt;&gt;0),F30-G30," ")</f>
        <v>300</v>
      </c>
      <c r="I30" s="5"/>
      <c r="L30" s="7" t="n">
        <f aca="false">IF(F30&lt;&gt;0,F30-K30," ")</f>
        <v>360</v>
      </c>
      <c r="M30" s="8" t="n">
        <f aca="false">IF((F30-K30)&lt;&gt;0,M$1-A30," ")</f>
        <v>-53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300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30" t="str">
        <f aca="false">IF((E30="v"),H30," ")</f>
        <v> </v>
      </c>
      <c r="AD30" s="30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  <c r="BZ30" s="2" t="s">
        <v>193</v>
      </c>
    </row>
    <row r="31" customFormat="false" ht="12" hidden="false" customHeight="false" outlineLevel="0" collapsed="false">
      <c r="A31" s="28" t="n">
        <v>46320</v>
      </c>
      <c r="B31" s="2" t="s">
        <v>143</v>
      </c>
      <c r="D31" s="2" t="s">
        <v>144</v>
      </c>
      <c r="E31" s="2" t="s">
        <v>98</v>
      </c>
      <c r="F31" s="30" t="n">
        <v>15</v>
      </c>
      <c r="G31" s="6" t="n">
        <f aca="false">IF(F31&lt;&gt;0,F31*G$2/(100+G$2)," ")</f>
        <v>2.5</v>
      </c>
      <c r="H31" s="6" t="n">
        <f aca="false">IF((F31&lt;&gt;0),F31-G31," ")</f>
        <v>12.5</v>
      </c>
      <c r="I31" s="5"/>
      <c r="L31" s="7" t="n">
        <f aca="false">IF(F31&lt;&gt;0,F31-K31," ")</f>
        <v>15</v>
      </c>
      <c r="M31" s="8" t="n">
        <f aca="false">IF((F31-K31)&lt;&gt;0,M$1-A31," ")</f>
        <v>-53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12.5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30" t="str">
        <f aca="false">IF((E31="v"),H31," ")</f>
        <v> </v>
      </c>
      <c r="AD31" s="30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  <c r="BZ31" s="2" t="s">
        <v>99</v>
      </c>
    </row>
    <row r="32" customFormat="false" ht="12" hidden="false" customHeight="false" outlineLevel="0" collapsed="false">
      <c r="A32" s="28" t="n">
        <v>46320</v>
      </c>
      <c r="B32" s="2" t="s">
        <v>145</v>
      </c>
      <c r="D32" s="2" t="s">
        <v>245</v>
      </c>
      <c r="E32" s="2" t="s">
        <v>104</v>
      </c>
      <c r="F32" s="30" t="n">
        <v>58.5</v>
      </c>
      <c r="G32" s="6" t="n">
        <f aca="false">IF(F32&lt;&gt;0,F32*G$2/(100+G$2)," ")</f>
        <v>9.75</v>
      </c>
      <c r="H32" s="6" t="n">
        <f aca="false">IF((F32&lt;&gt;0),F32-G32," ")</f>
        <v>48.75</v>
      </c>
      <c r="I32" s="5"/>
      <c r="L32" s="7" t="n">
        <f aca="false">IF(F32&lt;&gt;0,F32-K32," ")</f>
        <v>58.5</v>
      </c>
      <c r="M32" s="8" t="n">
        <f aca="false">IF((F32-K32)&lt;&gt;0,M$1-A32," ")</f>
        <v>-53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30" t="n">
        <f aca="false">IF((E32="v"),H32," ")</f>
        <v>48.75</v>
      </c>
      <c r="AD32" s="30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  <c r="BZ32" s="2" t="s">
        <v>105</v>
      </c>
    </row>
    <row r="33" customFormat="false" ht="12" hidden="false" customHeight="false" outlineLevel="0" collapsed="false">
      <c r="A33" s="28" t="n">
        <v>46323</v>
      </c>
      <c r="B33" s="2" t="s">
        <v>20</v>
      </c>
      <c r="D33" s="2" t="s">
        <v>147</v>
      </c>
      <c r="E33" s="2" t="s">
        <v>104</v>
      </c>
      <c r="F33" s="30" t="n">
        <v>120</v>
      </c>
      <c r="G33" s="6" t="n">
        <f aca="false">IF(F33&lt;&gt;0,F33*G$2/(100+G$2)," ")</f>
        <v>20</v>
      </c>
      <c r="H33" s="6" t="n">
        <f aca="false">IF((F33&lt;&gt;0),F33-G33," ")</f>
        <v>100</v>
      </c>
      <c r="I33" s="5"/>
      <c r="L33" s="7" t="n">
        <f aca="false">IF(F33&lt;&gt;0,F33-K33," ")</f>
        <v>120</v>
      </c>
      <c r="M33" s="8" t="n">
        <f aca="false">IF((F33-K33)&lt;&gt;0,M$1-A33," ")</f>
        <v>-56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30" t="n">
        <f aca="false">IF((E33="v"),H33," ")</f>
        <v>100</v>
      </c>
      <c r="AD33" s="30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  <c r="BZ33" s="2" t="s">
        <v>105</v>
      </c>
    </row>
    <row r="34" customFormat="false" ht="12" hidden="false" customHeight="false" outlineLevel="0" collapsed="false">
      <c r="A34" s="28" t="n">
        <v>46326</v>
      </c>
      <c r="B34" s="2" t="s">
        <v>16</v>
      </c>
      <c r="D34" s="2" t="s">
        <v>148</v>
      </c>
      <c r="E34" s="2" t="s">
        <v>149</v>
      </c>
      <c r="F34" s="30" t="n">
        <v>300</v>
      </c>
      <c r="G34" s="6" t="n">
        <f aca="false">IF(F34&lt;&gt;0,F34*G$2/(100+G$2)," ")</f>
        <v>50</v>
      </c>
      <c r="H34" s="6" t="n">
        <f aca="false">IF((F34&lt;&gt;0),F34-G34," ")</f>
        <v>250</v>
      </c>
      <c r="I34" s="5"/>
      <c r="L34" s="7" t="n">
        <f aca="false">IF(F34&lt;&gt;0,F34-K34," ")</f>
        <v>300</v>
      </c>
      <c r="M34" s="8" t="n">
        <f aca="false">IF((F34-K34)&lt;&gt;0,M$1-A34," ")</f>
        <v>-59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30" t="str">
        <f aca="false">IF((E34="v"),H34," ")</f>
        <v> </v>
      </c>
      <c r="AD34" s="30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250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  <c r="BZ34" s="2" t="s">
        <v>150</v>
      </c>
    </row>
    <row r="35" customFormat="false" ht="12" hidden="false" customHeight="false" outlineLevel="0" collapsed="false">
      <c r="A35" s="28" t="n">
        <v>46326</v>
      </c>
      <c r="B35" s="2" t="s">
        <v>195</v>
      </c>
      <c r="C35" s="3" t="s">
        <v>254</v>
      </c>
      <c r="D35" s="2" t="s">
        <v>197</v>
      </c>
      <c r="E35" s="2" t="s">
        <v>149</v>
      </c>
      <c r="F35" s="30" t="n">
        <v>125</v>
      </c>
      <c r="G35" s="6" t="n">
        <f aca="false">IF(F35&lt;&gt;0,F35*G$2/(100+G$2)," ")</f>
        <v>20.8333333333333</v>
      </c>
      <c r="H35" s="6" t="n">
        <f aca="false">IF((F35&lt;&gt;0),F35-G35," ")</f>
        <v>104.166666666667</v>
      </c>
      <c r="I35" s="5"/>
      <c r="L35" s="7" t="n">
        <f aca="false">IF(F35&lt;&gt;0,F35-K35," ")</f>
        <v>125</v>
      </c>
      <c r="M35" s="8" t="n">
        <f aca="false">IF((F35-K35)&lt;&gt;0,M$1-A35," ")</f>
        <v>-59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30" t="str">
        <f aca="false">IF((E35="v"),H35," ")</f>
        <v> </v>
      </c>
      <c r="AD35" s="30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104.166666666667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  <c r="BZ35" s="2" t="s">
        <v>198</v>
      </c>
    </row>
    <row r="36" customFormat="false" ht="12" hidden="false" customHeight="false" outlineLevel="0" collapsed="false">
      <c r="A36" s="28"/>
      <c r="E36" s="2"/>
      <c r="F36" s="30"/>
      <c r="G36" s="6" t="str">
        <f aca="false">IF(F36&lt;&gt;0,F36*G$2/(100+G$2)," ")</f>
        <v> </v>
      </c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30" t="str">
        <f aca="false">IF((E36="v"),H36," ")</f>
        <v> </v>
      </c>
      <c r="AD36" s="30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30"/>
      <c r="G37" s="6" t="str">
        <f aca="false">IF(F37&lt;&gt;0,F37*G$2/(100+G$2)," ")</f>
        <v> </v>
      </c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30" t="str">
        <f aca="false">IF((E37="v"),H37," ")</f>
        <v> </v>
      </c>
      <c r="AD37" s="30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30"/>
      <c r="G38" s="6" t="str">
        <f aca="false">IF(F38&lt;&gt;0,F38*G$2/(100+G$2)," ")</f>
        <v> </v>
      </c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30" t="str">
        <f aca="false">IF((E38="v"),H38," ")</f>
        <v> </v>
      </c>
      <c r="AD38" s="30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30"/>
      <c r="G39" s="6" t="str">
        <f aca="false">IF(F39&lt;&gt;0,F39*G$2/(100+G$2)," ")</f>
        <v> </v>
      </c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30" t="str">
        <f aca="false">IF((E39="v"),H39," ")</f>
        <v> </v>
      </c>
      <c r="AD39" s="30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30"/>
      <c r="G40" s="6" t="str">
        <f aca="false">IF(F40&lt;&gt;0,F40*G$2/(100+G$2)," ")</f>
        <v> </v>
      </c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30" t="str">
        <f aca="false">IF((E40="v"),H40," ")</f>
        <v> </v>
      </c>
      <c r="AD40" s="30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30"/>
      <c r="G41" s="6" t="str">
        <f aca="false">IF(F41&lt;&gt;0,F41*G$2/(100+G$2)," ")</f>
        <v> </v>
      </c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30" t="str">
        <f aca="false">IF((E41="v"),H41," ")</f>
        <v> </v>
      </c>
      <c r="AD41" s="30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30"/>
      <c r="G42" s="6" t="str">
        <f aca="false">IF(F42&lt;&gt;0,F42*G$2/(100+G$2)," ")</f>
        <v> </v>
      </c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30" t="str">
        <f aca="false">IF((E42="v"),H42," ")</f>
        <v> </v>
      </c>
      <c r="AD42" s="30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30"/>
      <c r="G43" s="6" t="str">
        <f aca="false">IF(F43&lt;&gt;0,F43*G$2/(100+G$2)," ")</f>
        <v> </v>
      </c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30" t="str">
        <f aca="false">IF((E43="v"),H43," ")</f>
        <v> </v>
      </c>
      <c r="AD43" s="30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30"/>
      <c r="G44" s="6" t="str">
        <f aca="false">IF(F44&lt;&gt;0,F44*G$2/(100+G$2)," ")</f>
        <v> </v>
      </c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30" t="str">
        <f aca="false">IF((E44="v"),H44," ")</f>
        <v> </v>
      </c>
      <c r="AD44" s="30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30"/>
      <c r="G45" s="6" t="str">
        <f aca="false">IF(F45&lt;&gt;0,F45*G$2/(100+G$2)," ")</f>
        <v> </v>
      </c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30" t="str">
        <f aca="false">IF((E45="v"),H45," ")</f>
        <v> </v>
      </c>
      <c r="AD45" s="30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30"/>
      <c r="G46" s="6" t="str">
        <f aca="false">IF(F46&lt;&gt;0,F46*G$2/(100+G$2)," ")</f>
        <v> </v>
      </c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30" t="str">
        <f aca="false">IF((E46="v"),H46," ")</f>
        <v> </v>
      </c>
      <c r="AD46" s="30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30"/>
      <c r="G47" s="6" t="str">
        <f aca="false">IF(F47&lt;&gt;0,F47*G$2/(100+G$2)," ")</f>
        <v> </v>
      </c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30" t="str">
        <f aca="false">IF((E47="v"),H47," ")</f>
        <v> </v>
      </c>
      <c r="AD47" s="30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30"/>
      <c r="G48" s="6" t="str">
        <f aca="false">IF(F48&lt;&gt;0,F48*G$2/(100+G$2)," ")</f>
        <v> </v>
      </c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30" t="str">
        <f aca="false">IF((E48="v"),H48," ")</f>
        <v> </v>
      </c>
      <c r="AD48" s="30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30"/>
      <c r="G49" s="6" t="str">
        <f aca="false">IF(F49&lt;&gt;0,F49*G$2/(100+G$2)," ")</f>
        <v> </v>
      </c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30" t="str">
        <f aca="false">IF((E49="v"),H49," ")</f>
        <v> </v>
      </c>
      <c r="AD49" s="30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30"/>
      <c r="G50" s="6" t="str">
        <f aca="false">IF(F50&lt;&gt;0,F50*G$2/(100+G$2)," ")</f>
        <v> </v>
      </c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30" t="str">
        <f aca="false">IF((E50="v"),H50," ")</f>
        <v> </v>
      </c>
      <c r="AD50" s="30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30"/>
      <c r="G51" s="6" t="str">
        <f aca="false">IF(F51&lt;&gt;0,F51*G$2/(100+G$2)," ")</f>
        <v> </v>
      </c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30" t="str">
        <f aca="false">IF((E51="v"),H51," ")</f>
        <v> </v>
      </c>
      <c r="AD51" s="30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30"/>
      <c r="G52" s="6" t="str">
        <f aca="false">IF(F52&lt;&gt;0,F52*G$2/(100+G$2)," ")</f>
        <v> </v>
      </c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30" t="str">
        <f aca="false">IF((E52="v"),H52," ")</f>
        <v> </v>
      </c>
      <c r="AD52" s="30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30"/>
      <c r="G53" s="6" t="str">
        <f aca="false">IF(F53&lt;&gt;0,F53*G$2/(100+G$2)," ")</f>
        <v> </v>
      </c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30" t="str">
        <f aca="false">IF((E53="v"),H53," ")</f>
        <v> </v>
      </c>
      <c r="AD53" s="30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30"/>
      <c r="G54" s="6" t="str">
        <f aca="false">IF(F54&lt;&gt;0,F54*G$2/(100+G$2)," ")</f>
        <v> </v>
      </c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30" t="str">
        <f aca="false">IF((E54="v"),H54," ")</f>
        <v> </v>
      </c>
      <c r="AD54" s="30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30"/>
      <c r="G55" s="6" t="str">
        <f aca="false">IF(F55&lt;&gt;0,F55*G$2/(100+G$2)," ")</f>
        <v> </v>
      </c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30" t="str">
        <f aca="false">IF((E55="v"),H55," ")</f>
        <v> </v>
      </c>
      <c r="AD55" s="30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30"/>
      <c r="G56" s="6" t="str">
        <f aca="false">IF(F56&lt;&gt;0,F56*G$2/(100+G$2)," ")</f>
        <v> </v>
      </c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30" t="str">
        <f aca="false">IF((E56="v"),H56," ")</f>
        <v> </v>
      </c>
      <c r="AD56" s="30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30"/>
      <c r="G57" s="6" t="str">
        <f aca="false">IF(F57&lt;&gt;0,F57*G$2/(100+G$2)," ")</f>
        <v> </v>
      </c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30" t="str">
        <f aca="false">IF((E57="v"),H57," ")</f>
        <v> </v>
      </c>
      <c r="AD57" s="30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30"/>
      <c r="G58" s="6" t="str">
        <f aca="false">IF(F58&lt;&gt;0,F58*G$2/(100+G$2)," ")</f>
        <v> </v>
      </c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30" t="str">
        <f aca="false">IF((E58="v"),H58," ")</f>
        <v> </v>
      </c>
      <c r="AD58" s="30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30"/>
      <c r="G59" s="6" t="str">
        <f aca="false">IF(F59&lt;&gt;0,F59*G$2/(100+G$2)," ")</f>
        <v> </v>
      </c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30" t="str">
        <f aca="false">IF((E59="v"),H59," ")</f>
        <v> </v>
      </c>
      <c r="AD59" s="30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30"/>
      <c r="G60" s="6" t="str">
        <f aca="false">IF(F60&lt;&gt;0,F60*G$2/(100+G$2)," ")</f>
        <v> </v>
      </c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30" t="str">
        <f aca="false">IF((E60="v"),H60," ")</f>
        <v> </v>
      </c>
      <c r="AD60" s="30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30"/>
      <c r="G61" s="6" t="str">
        <f aca="false">IF(F61&lt;&gt;0,F61*G$2/(100+G$2)," ")</f>
        <v> </v>
      </c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30" t="str">
        <f aca="false">IF((E61="v"),H61," ")</f>
        <v> </v>
      </c>
      <c r="AD61" s="30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30"/>
      <c r="G62" s="6" t="str">
        <f aca="false">IF(F62&lt;&gt;0,F62*G$2/(100+G$2)," ")</f>
        <v> </v>
      </c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30" t="str">
        <f aca="false">IF((E62="v"),H62," ")</f>
        <v> </v>
      </c>
      <c r="AD62" s="30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30"/>
      <c r="G63" s="6" t="str">
        <f aca="false">IF(F63&lt;&gt;0,F63*G$2/(100+G$2)," ")</f>
        <v> </v>
      </c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30" t="str">
        <f aca="false">IF((E63="v"),H63," ")</f>
        <v> </v>
      </c>
      <c r="AD63" s="30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30"/>
      <c r="G64" s="6" t="str">
        <f aca="false">IF(F64&lt;&gt;0,F64*G$2/(100+G$2)," ")</f>
        <v> </v>
      </c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30" t="str">
        <f aca="false">IF((E64="v"),H64," ")</f>
        <v> </v>
      </c>
      <c r="AD64" s="30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30"/>
      <c r="G65" s="6" t="str">
        <f aca="false">IF(F65&lt;&gt;0,F65*G$2/(100+G$2)," ")</f>
        <v> </v>
      </c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30" t="str">
        <f aca="false">IF((E65="v"),H65," ")</f>
        <v> </v>
      </c>
      <c r="AD65" s="30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30"/>
      <c r="G66" s="6" t="str">
        <f aca="false">IF(F66&lt;&gt;0,F66*G$2/(100+G$2)," ")</f>
        <v> </v>
      </c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30" t="str">
        <f aca="false">IF((E66="v"),H66," ")</f>
        <v> </v>
      </c>
      <c r="AD66" s="30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30"/>
      <c r="G67" s="6" t="str">
        <f aca="false">IF(F67&lt;&gt;0,F67*G$2/(100+G$2)," ")</f>
        <v> </v>
      </c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30" t="str">
        <f aca="false">IF((E67="v"),H67," ")</f>
        <v> </v>
      </c>
      <c r="AD67" s="30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30"/>
      <c r="G68" s="6" t="str">
        <f aca="false">IF(F68&lt;&gt;0,F68*G$2/(100+G$2)," ")</f>
        <v> </v>
      </c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30" t="str">
        <f aca="false">IF((E68="v"),H68," ")</f>
        <v> </v>
      </c>
      <c r="AD68" s="30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30"/>
      <c r="G69" s="6" t="str">
        <f aca="false">IF(F69&lt;&gt;0,F69*G$2/(100+G$2)," ")</f>
        <v> </v>
      </c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30" t="str">
        <f aca="false">IF((E69="v"),H69," ")</f>
        <v> </v>
      </c>
      <c r="AD69" s="30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30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30" t="str">
        <f aca="false">IF((E70="v"),H70," ")</f>
        <v> </v>
      </c>
      <c r="AD70" s="30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30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30" t="str">
        <f aca="false">IF((E71="v"),H71," ")</f>
        <v> </v>
      </c>
      <c r="AD71" s="30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30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30" t="str">
        <f aca="false">IF((E72="v"),H72," ")</f>
        <v> </v>
      </c>
      <c r="AD72" s="30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30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30" t="str">
        <f aca="false">IF((E73="v"),H73," ")</f>
        <v> </v>
      </c>
      <c r="AD73" s="30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30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30" t="str">
        <f aca="false">IF((E74="v"),H74," ")</f>
        <v> </v>
      </c>
      <c r="AD74" s="30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30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30" t="str">
        <f aca="false">IF((E75="v"),H75," ")</f>
        <v> </v>
      </c>
      <c r="AD75" s="30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30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30" t="str">
        <f aca="false">IF((E76="v"),H76," ")</f>
        <v> </v>
      </c>
      <c r="AD76" s="30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30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30" t="str">
        <f aca="false">IF((E77="v"),H77," ")</f>
        <v> </v>
      </c>
      <c r="AD77" s="30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30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30" t="str">
        <f aca="false">IF((E78="v"),H78," ")</f>
        <v> </v>
      </c>
      <c r="AD78" s="30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30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30" t="str">
        <f aca="false">IF((E79="v"),H79," ")</f>
        <v> </v>
      </c>
      <c r="AD79" s="30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30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30" t="str">
        <f aca="false">IF((E80="v"),H80," ")</f>
        <v> </v>
      </c>
      <c r="AD80" s="30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30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30" t="str">
        <f aca="false">IF((E81="v"),H81," ")</f>
        <v> </v>
      </c>
      <c r="AD81" s="30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30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30" t="str">
        <f aca="false">IF((E82="v"),H82," ")</f>
        <v> </v>
      </c>
      <c r="AD82" s="30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30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30" t="str">
        <f aca="false">IF((E83="v"),H83," ")</f>
        <v> </v>
      </c>
      <c r="AD83" s="30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30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30" t="str">
        <f aca="false">IF((E84="v"),H84," ")</f>
        <v> </v>
      </c>
      <c r="AD84" s="30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30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30" t="str">
        <f aca="false">IF((E85="v"),H85," ")</f>
        <v> </v>
      </c>
      <c r="AD85" s="30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30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30" t="str">
        <f aca="false">IF((E86="v"),H86," ")</f>
        <v> </v>
      </c>
      <c r="AD86" s="30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30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30" t="str">
        <f aca="false">IF((E87="v"),H87," ")</f>
        <v> </v>
      </c>
      <c r="AD87" s="30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30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30" t="str">
        <f aca="false">IF((E88="v"),H88," ")</f>
        <v> </v>
      </c>
      <c r="AD88" s="30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30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30" t="str">
        <f aca="false">IF((E89="v"),H89," ")</f>
        <v> </v>
      </c>
      <c r="AD89" s="30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30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30" t="str">
        <f aca="false">IF((E90="v"),H90," ")</f>
        <v> </v>
      </c>
      <c r="AD90" s="30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30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30" t="str">
        <f aca="false">IF((E91="v"),H91," ")</f>
        <v> </v>
      </c>
      <c r="AD91" s="30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30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30" t="str">
        <f aca="false">IF((E92="v"),H92," ")</f>
        <v> </v>
      </c>
      <c r="AD92" s="30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30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30" t="str">
        <f aca="false">IF((E93="v"),H93," ")</f>
        <v> </v>
      </c>
      <c r="AD93" s="30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30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30" t="str">
        <f aca="false">IF((E94="v"),H94," ")</f>
        <v> </v>
      </c>
      <c r="AD94" s="30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30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30" t="str">
        <f aca="false">IF((E95="v"),H95," ")</f>
        <v> </v>
      </c>
      <c r="AD95" s="30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30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30" t="str">
        <f aca="false">IF((E96="v"),H96," ")</f>
        <v> </v>
      </c>
      <c r="AD96" s="30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30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30" t="str">
        <f aca="false">IF((E97="v"),H97," ")</f>
        <v> </v>
      </c>
      <c r="AD97" s="30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30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30" t="str">
        <f aca="false">IF((E98="v"),H98," ")</f>
        <v> </v>
      </c>
      <c r="AD98" s="30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30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30" t="str">
        <f aca="false">IF((E99="v"),H99," ")</f>
        <v> </v>
      </c>
      <c r="AD99" s="30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30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30" t="str">
        <f aca="false">IF((E100="v"),H100," ")</f>
        <v> </v>
      </c>
      <c r="AD100" s="30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30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30" t="str">
        <f aca="false">IF((E101="v"),H101," ")</f>
        <v> </v>
      </c>
      <c r="AD101" s="30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30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30" t="str">
        <f aca="false">IF((E102="v"),H102," ")</f>
        <v> </v>
      </c>
      <c r="AD102" s="30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30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30" t="str">
        <f aca="false">IF((E103="v"),H103," ")</f>
        <v> </v>
      </c>
      <c r="AD103" s="30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30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30" t="str">
        <f aca="false">IF((E104="v"),H104," ")</f>
        <v> </v>
      </c>
      <c r="AD104" s="30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30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30" t="str">
        <f aca="false">IF((E105="v"),H105," ")</f>
        <v> </v>
      </c>
      <c r="AD105" s="30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30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30" t="str">
        <f aca="false">IF((E106="v"),H106," ")</f>
        <v> </v>
      </c>
      <c r="AD106" s="30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30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30" t="str">
        <f aca="false">IF((E107="v"),H107," ")</f>
        <v> </v>
      </c>
      <c r="AD107" s="30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30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30" t="str">
        <f aca="false">IF((E108="v"),H108," ")</f>
        <v> </v>
      </c>
      <c r="AD108" s="30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30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30" t="str">
        <f aca="false">IF((E109="v"),H109," ")</f>
        <v> </v>
      </c>
      <c r="AD109" s="30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30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30" t="str">
        <f aca="false">IF((E110="v"),H110," ")</f>
        <v> </v>
      </c>
      <c r="AD110" s="30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30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30" t="str">
        <f aca="false">IF((E111="v"),H111," ")</f>
        <v> </v>
      </c>
      <c r="AD111" s="30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30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30" t="str">
        <f aca="false">IF((E112="v"),H112," ")</f>
        <v> </v>
      </c>
      <c r="AD112" s="30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30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30" t="str">
        <f aca="false">IF((E113="v"),H113," ")</f>
        <v> </v>
      </c>
      <c r="AD113" s="30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30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30" t="str">
        <f aca="false">IF((E114="v"),H114," ")</f>
        <v> </v>
      </c>
      <c r="AD114" s="30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30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30" t="str">
        <f aca="false">IF((E115="v"),H115," ")</f>
        <v> </v>
      </c>
      <c r="AD115" s="30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30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30" t="str">
        <f aca="false">IF((E116="v"),H116," ")</f>
        <v> </v>
      </c>
      <c r="AD116" s="30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30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30" t="str">
        <f aca="false">IF((E117="v"),H117," ")</f>
        <v> </v>
      </c>
      <c r="AD117" s="30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30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30" t="str">
        <f aca="false">IF((E118="v"),H118," ")</f>
        <v> </v>
      </c>
      <c r="AD118" s="30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30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30" t="str">
        <f aca="false">IF((E119="v"),H119," ")</f>
        <v> </v>
      </c>
      <c r="AD119" s="30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30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30" t="str">
        <f aca="false">IF((E120="v"),H120," ")</f>
        <v> </v>
      </c>
      <c r="AD120" s="30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30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30" t="str">
        <f aca="false">IF((E121="v"),H121," ")</f>
        <v> </v>
      </c>
      <c r="AD121" s="30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30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30" t="str">
        <f aca="false">IF((E122="v"),H122," ")</f>
        <v> </v>
      </c>
      <c r="AD122" s="30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30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30" t="str">
        <f aca="false">IF((E123="v"),H123," ")</f>
        <v> </v>
      </c>
      <c r="AD123" s="30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30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30" t="str">
        <f aca="false">IF((E124="v"),H124," ")</f>
        <v> </v>
      </c>
      <c r="AD124" s="30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30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30" t="str">
        <f aca="false">IF((E125="v"),H125," ")</f>
        <v> </v>
      </c>
      <c r="AD125" s="30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30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30" t="str">
        <f aca="false">IF((E126="v"),H126," ")</f>
        <v> </v>
      </c>
      <c r="AD126" s="30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30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30" t="str">
        <f aca="false">IF((E127="v"),H127," ")</f>
        <v> </v>
      </c>
      <c r="AD127" s="30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30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30" t="str">
        <f aca="false">IF((E128="v"),H128," ")</f>
        <v> </v>
      </c>
      <c r="AD128" s="30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30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30" t="str">
        <f aca="false">IF((E129="v"),H129," ")</f>
        <v> </v>
      </c>
      <c r="AD129" s="30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30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30" t="str">
        <f aca="false">IF((E130="v"),H130," ")</f>
        <v> </v>
      </c>
      <c r="AD130" s="30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30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30" t="str">
        <f aca="false">IF((E131="v"),H131," ")</f>
        <v> </v>
      </c>
      <c r="AD131" s="30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30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30" t="str">
        <f aca="false">IF((E132="v"),H132," ")</f>
        <v> </v>
      </c>
      <c r="AD132" s="30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30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30" t="str">
        <f aca="false">IF((E133="v"),H133," ")</f>
        <v> </v>
      </c>
      <c r="AD133" s="30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30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30" t="str">
        <f aca="false">IF((E134="v"),H134," ")</f>
        <v> </v>
      </c>
      <c r="AD134" s="30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30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30" t="str">
        <f aca="false">IF((E135="v"),H135," ")</f>
        <v> </v>
      </c>
      <c r="AD135" s="30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30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30" t="str">
        <f aca="false">IF((E136="v"),H136," ")</f>
        <v> </v>
      </c>
      <c r="AD136" s="30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30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30" t="str">
        <f aca="false">IF((E137="v"),H137," ")</f>
        <v> </v>
      </c>
      <c r="AD137" s="30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30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30" t="str">
        <f aca="false">IF((E138="v"),H138," ")</f>
        <v> </v>
      </c>
      <c r="AD138" s="30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30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30" t="str">
        <f aca="false">IF((E139="v"),H139," ")</f>
        <v> </v>
      </c>
      <c r="AD139" s="30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30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30" t="str">
        <f aca="false">IF((E140="v"),H140," ")</f>
        <v> </v>
      </c>
      <c r="AD140" s="30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30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30" t="str">
        <f aca="false">IF((E141="v"),H141," ")</f>
        <v> </v>
      </c>
      <c r="AD141" s="30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30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30" t="str">
        <f aca="false">IF((E142="v"),H142," ")</f>
        <v> </v>
      </c>
      <c r="AD142" s="30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30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30" t="str">
        <f aca="false">IF((E143="v"),H143," ")</f>
        <v> </v>
      </c>
      <c r="AD143" s="30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30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30" t="str">
        <f aca="false">IF((E144="v"),H144," ")</f>
        <v> </v>
      </c>
      <c r="AD144" s="30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30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30" t="str">
        <f aca="false">IF((E145="v"),H145," ")</f>
        <v> </v>
      </c>
      <c r="AD145" s="30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30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30" t="str">
        <f aca="false">IF((E146="v"),H146," ")</f>
        <v> </v>
      </c>
      <c r="AD146" s="30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30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30" t="str">
        <f aca="false">IF((E147="v"),H147," ")</f>
        <v> </v>
      </c>
      <c r="AD147" s="30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30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30" t="str">
        <f aca="false">IF((E148="v"),H148," ")</f>
        <v> </v>
      </c>
      <c r="AD148" s="30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30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30" t="str">
        <f aca="false">IF((E149="v"),H149," ")</f>
        <v> </v>
      </c>
      <c r="AD149" s="30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30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30" t="str">
        <f aca="false">IF((E150="v"),H150," ")</f>
        <v> </v>
      </c>
      <c r="AD150" s="30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30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30" t="str">
        <f aca="false">IF((E151="v"),H151," ")</f>
        <v> </v>
      </c>
      <c r="AD151" s="30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30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30" t="str">
        <f aca="false">IF((E152="v"),H152," ")</f>
        <v> </v>
      </c>
      <c r="AD152" s="30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30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30" t="str">
        <f aca="false">IF((E153="v"),H153," ")</f>
        <v> </v>
      </c>
      <c r="AD153" s="30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30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30" t="str">
        <f aca="false">IF((E154="v"),H154," ")</f>
        <v> </v>
      </c>
      <c r="AD154" s="30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30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30" t="str">
        <f aca="false">IF((E155="v"),H155," ")</f>
        <v> </v>
      </c>
      <c r="AD155" s="30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30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30" t="str">
        <f aca="false">IF((E156="v"),H156," ")</f>
        <v> </v>
      </c>
      <c r="AD156" s="30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30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30" t="str">
        <f aca="false">IF((E157="v"),H157," ")</f>
        <v> </v>
      </c>
      <c r="AD157" s="30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30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30" t="str">
        <f aca="false">IF((E158="v"),H158," ")</f>
        <v> </v>
      </c>
      <c r="AD158" s="30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30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30" t="str">
        <f aca="false">IF((E159="v"),H159," ")</f>
        <v> </v>
      </c>
      <c r="AD159" s="30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30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30" t="str">
        <f aca="false">IF((E160="v"),H160," ")</f>
        <v> </v>
      </c>
      <c r="AD160" s="30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30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30" t="str">
        <f aca="false">IF((E161="v"),H161," ")</f>
        <v> </v>
      </c>
      <c r="AD161" s="30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30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30" t="str">
        <f aca="false">IF((E162="v"),H162," ")</f>
        <v> </v>
      </c>
      <c r="AD162" s="30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30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30" t="str">
        <f aca="false">IF((E163="v"),H163," ")</f>
        <v> </v>
      </c>
      <c r="AD163" s="30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30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30" t="str">
        <f aca="false">IF((E164="v"),H164," ")</f>
        <v> </v>
      </c>
      <c r="AD164" s="30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30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30" t="str">
        <f aca="false">IF((E165="v"),H165," ")</f>
        <v> </v>
      </c>
      <c r="AD165" s="30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30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30" t="str">
        <f aca="false">IF((E166="v"),H166," ")</f>
        <v> </v>
      </c>
      <c r="AD166" s="30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30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30" t="str">
        <f aca="false">IF((E167="v"),H167," ")</f>
        <v> </v>
      </c>
      <c r="AD167" s="30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30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30" t="str">
        <f aca="false">IF((E168="v"),H168," ")</f>
        <v> </v>
      </c>
      <c r="AD168" s="30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30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30" t="str">
        <f aca="false">IF((E169="v"),H169," ")</f>
        <v> </v>
      </c>
      <c r="AD169" s="30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30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30" t="str">
        <f aca="false">IF((E170="v"),H170," ")</f>
        <v> </v>
      </c>
      <c r="AD170" s="30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30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30" t="str">
        <f aca="false">IF((E171="v"),H171," ")</f>
        <v> </v>
      </c>
      <c r="AD171" s="30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30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30" t="str">
        <f aca="false">IF((E172="v"),H172," ")</f>
        <v> </v>
      </c>
      <c r="AD172" s="30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30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30" t="str">
        <f aca="false">IF((E173="v"),H173," ")</f>
        <v> </v>
      </c>
      <c r="AD173" s="30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30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30" t="str">
        <f aca="false">IF((E174="v"),H174," ")</f>
        <v> </v>
      </c>
      <c r="AD174" s="30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30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30" t="str">
        <f aca="false">IF((E175="v"),H175," ")</f>
        <v> </v>
      </c>
      <c r="AD175" s="30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30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30" t="str">
        <f aca="false">IF((E176="v"),H176," ")</f>
        <v> </v>
      </c>
      <c r="AD176" s="30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30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30" t="str">
        <f aca="false">IF((E177="v"),H177," ")</f>
        <v> </v>
      </c>
      <c r="AD177" s="30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30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30" t="str">
        <f aca="false">IF((E178="v"),H178," ")</f>
        <v> </v>
      </c>
      <c r="AD178" s="30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30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30" t="str">
        <f aca="false">IF((E179="v"),H179," ")</f>
        <v> </v>
      </c>
      <c r="AD179" s="30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30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30" t="str">
        <f aca="false">IF((E180="v"),H180," ")</f>
        <v> </v>
      </c>
      <c r="AD180" s="30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30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30" t="str">
        <f aca="false">IF((E181="v"),H181," ")</f>
        <v> </v>
      </c>
      <c r="AD181" s="30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30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30" t="str">
        <f aca="false">IF((E182="v"),H182," ")</f>
        <v> </v>
      </c>
      <c r="AD182" s="30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30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30" t="str">
        <f aca="false">IF((E183="v"),H183," ")</f>
        <v> </v>
      </c>
      <c r="AD183" s="30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30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30" t="str">
        <f aca="false">IF((E184="v"),H184," ")</f>
        <v> </v>
      </c>
      <c r="AD184" s="30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30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30" t="str">
        <f aca="false">IF((E185="v"),H185," ")</f>
        <v> </v>
      </c>
      <c r="AD185" s="30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30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30" t="str">
        <f aca="false">IF((E186="v"),H186," ")</f>
        <v> </v>
      </c>
      <c r="AD186" s="30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30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30" t="str">
        <f aca="false">IF((E187="v"),H187," ")</f>
        <v> </v>
      </c>
      <c r="AD187" s="30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30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30" t="str">
        <f aca="false">IF((E188="v"),H188," ")</f>
        <v> </v>
      </c>
      <c r="AD188" s="30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30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30" t="str">
        <f aca="false">IF((E189="v"),H189," ")</f>
        <v> </v>
      </c>
      <c r="AD189" s="30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30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30" t="str">
        <f aca="false">IF((E190="v"),H190," ")</f>
        <v> </v>
      </c>
      <c r="AD190" s="30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30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30" t="str">
        <f aca="false">IF((E191="v"),H191," ")</f>
        <v> </v>
      </c>
      <c r="AD191" s="30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30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30" t="str">
        <f aca="false">IF((E192="v"),H192," ")</f>
        <v> </v>
      </c>
      <c r="AD192" s="30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30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30" t="str">
        <f aca="false">IF((E193="v"),H193," ")</f>
        <v> </v>
      </c>
      <c r="AD193" s="30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30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30" t="str">
        <f aca="false">IF((E194="v"),H194," ")</f>
        <v> </v>
      </c>
      <c r="AD194" s="30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30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30" t="str">
        <f aca="false">IF((E195="v"),H195," ")</f>
        <v> </v>
      </c>
      <c r="AD195" s="30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30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30" t="str">
        <f aca="false">IF((E196="v"),H196," ")</f>
        <v> </v>
      </c>
      <c r="AD196" s="30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30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30" t="str">
        <f aca="false">IF((E197="v"),H197," ")</f>
        <v> </v>
      </c>
      <c r="AD197" s="30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30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30" t="str">
        <f aca="false">IF((E198="v"),H198," ")</f>
        <v> </v>
      </c>
      <c r="AD198" s="30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30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30" t="str">
        <f aca="false">IF((E199="v"),H199," ")</f>
        <v> </v>
      </c>
      <c r="AD199" s="30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30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30" t="str">
        <f aca="false">IF((E200="v"),H200," ")</f>
        <v> </v>
      </c>
      <c r="AD200" s="30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30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30" t="str">
        <f aca="false">IF((E201="v"),H201," ")</f>
        <v> </v>
      </c>
      <c r="AD201" s="30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30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30" t="str">
        <f aca="false">IF((E202="v"),H202," ")</f>
        <v> </v>
      </c>
      <c r="AD202" s="30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30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30" t="str">
        <f aca="false">IF((E203="v"),H203," ")</f>
        <v> </v>
      </c>
      <c r="AD203" s="30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30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30" t="str">
        <f aca="false">IF((E204="v"),H204," ")</f>
        <v> </v>
      </c>
      <c r="AD204" s="30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30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30" t="str">
        <f aca="false">IF((E205="v"),H205," ")</f>
        <v> </v>
      </c>
      <c r="AD205" s="30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30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30" t="str">
        <f aca="false">IF((E206="v"),H206," ")</f>
        <v> </v>
      </c>
      <c r="AD206" s="30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30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30" t="str">
        <f aca="false">IF((E207="v"),H207," ")</f>
        <v> </v>
      </c>
      <c r="AD207" s="30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30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30" t="str">
        <f aca="false">IF((E208="v"),H208," ")</f>
        <v> </v>
      </c>
      <c r="AD208" s="30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30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30" t="str">
        <f aca="false">IF((E209="v"),H209," ")</f>
        <v> </v>
      </c>
      <c r="AD209" s="30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30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30" t="str">
        <f aca="false">IF((E210="v"),H210," ")</f>
        <v> </v>
      </c>
      <c r="AD210" s="30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30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30" t="str">
        <f aca="false">IF((E211="v"),H211," ")</f>
        <v> </v>
      </c>
      <c r="AD211" s="30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30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30" t="str">
        <f aca="false">IF((E212="v"),H212," ")</f>
        <v> </v>
      </c>
      <c r="AD212" s="30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30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30" t="str">
        <f aca="false">IF((E213="v"),H213," ")</f>
        <v> </v>
      </c>
      <c r="AD213" s="30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30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30" t="str">
        <f aca="false">IF((E214="v"),H214," ")</f>
        <v> </v>
      </c>
      <c r="AD214" s="30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30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30" t="str">
        <f aca="false">IF((E215="v"),H215," ")</f>
        <v> </v>
      </c>
      <c r="AD215" s="30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30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30" t="str">
        <f aca="false">IF((E216="v"),H216," ")</f>
        <v> </v>
      </c>
      <c r="AD216" s="30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30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30" t="str">
        <f aca="false">IF((E217="v"),H217," ")</f>
        <v> </v>
      </c>
      <c r="AD217" s="30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30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30" t="str">
        <f aca="false">IF((E218="v"),H218," ")</f>
        <v> </v>
      </c>
      <c r="AD218" s="30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30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30" t="str">
        <f aca="false">IF((E219="v"),H219," ")</f>
        <v> </v>
      </c>
      <c r="AD219" s="30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30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30" t="str">
        <f aca="false">IF((E220="v"),H220," ")</f>
        <v> </v>
      </c>
      <c r="AD220" s="30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30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30" t="str">
        <f aca="false">IF((E221="v"),H221," ")</f>
        <v> </v>
      </c>
      <c r="AD221" s="30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30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30" t="str">
        <f aca="false">IF((E222="v"),H222," ")</f>
        <v> </v>
      </c>
      <c r="AD222" s="30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30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30" t="str">
        <f aca="false">IF((E223="v"),H223," ")</f>
        <v> </v>
      </c>
      <c r="AD223" s="30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30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30" t="str">
        <f aca="false">IF((E224="v"),H224," ")</f>
        <v> </v>
      </c>
      <c r="AD224" s="30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30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30" t="str">
        <f aca="false">IF((E225="v"),H225," ")</f>
        <v> </v>
      </c>
      <c r="AD225" s="30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30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30" t="str">
        <f aca="false">IF((E226="v"),H226," ")</f>
        <v> </v>
      </c>
      <c r="AD226" s="30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30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30" t="str">
        <f aca="false">IF((E227="v"),H227," ")</f>
        <v> </v>
      </c>
      <c r="AD227" s="30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30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30" t="str">
        <f aca="false">IF((E228="v"),H228," ")</f>
        <v> </v>
      </c>
      <c r="AD228" s="30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30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30" t="str">
        <f aca="false">IF((E229="v"),H229," ")</f>
        <v> </v>
      </c>
      <c r="AD229" s="30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30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30" t="str">
        <f aca="false">IF((E230="v"),H230," ")</f>
        <v> </v>
      </c>
      <c r="AD230" s="30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30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30" t="str">
        <f aca="false">IF((E231="v"),H231," ")</f>
        <v> </v>
      </c>
      <c r="AD231" s="30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30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30" t="str">
        <f aca="false">IF((E232="v"),H232," ")</f>
        <v> </v>
      </c>
      <c r="AD232" s="30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30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30" t="str">
        <f aca="false">IF((E233="v"),H233," ")</f>
        <v> </v>
      </c>
      <c r="AD233" s="30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30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30" t="str">
        <f aca="false">IF((E234="v"),H234," ")</f>
        <v> </v>
      </c>
      <c r="AD234" s="30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30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30" t="str">
        <f aca="false">IF((E235="v"),H235," ")</f>
        <v> </v>
      </c>
      <c r="AD235" s="30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30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30" t="str">
        <f aca="false">IF((E236="v"),H236," ")</f>
        <v> </v>
      </c>
      <c r="AD236" s="30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30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30" t="str">
        <f aca="false">IF((E237="v"),H237," ")</f>
        <v> </v>
      </c>
      <c r="AD237" s="30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30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30" t="str">
        <f aca="false">IF((E238="v"),H238," ")</f>
        <v> </v>
      </c>
      <c r="AD238" s="30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30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30" t="str">
        <f aca="false">IF((E239="v"),H239," ")</f>
        <v> </v>
      </c>
      <c r="AD239" s="30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30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30" t="str">
        <f aca="false">IF((E240="v"),H240," ")</f>
        <v> </v>
      </c>
      <c r="AD240" s="30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30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30" t="str">
        <f aca="false">IF((E241="v"),H241," ")</f>
        <v> </v>
      </c>
      <c r="AD241" s="30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30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30" t="str">
        <f aca="false">IF((E242="v"),H242," ")</f>
        <v> </v>
      </c>
      <c r="AD242" s="30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30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30" t="str">
        <f aca="false">IF((E243="v"),H243," ")</f>
        <v> </v>
      </c>
      <c r="AD243" s="30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30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30" t="str">
        <f aca="false">IF((E244="v"),H244," ")</f>
        <v> </v>
      </c>
      <c r="AD244" s="30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30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30" t="str">
        <f aca="false">IF((E245="v"),H245," ")</f>
        <v> </v>
      </c>
      <c r="AD245" s="30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30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30" t="str">
        <f aca="false">IF((E246="v"),H246," ")</f>
        <v> </v>
      </c>
      <c r="AD246" s="30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30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30" t="str">
        <f aca="false">IF((E247="v"),H247," ")</f>
        <v> </v>
      </c>
      <c r="AD247" s="30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30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30" t="str">
        <f aca="false">IF((E248="v"),H248," ")</f>
        <v> </v>
      </c>
      <c r="AD248" s="30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30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30" t="str">
        <f aca="false">IF((E249="v"),H249," ")</f>
        <v> </v>
      </c>
      <c r="AD249" s="30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30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30" t="str">
        <f aca="false">IF((E250="v"),H250," ")</f>
        <v> </v>
      </c>
      <c r="AD250" s="30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30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30" t="str">
        <f aca="false">IF((E251="v"),H251," ")</f>
        <v> </v>
      </c>
      <c r="AD251" s="30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30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30" t="str">
        <f aca="false">IF((E252="v"),H252," ")</f>
        <v> </v>
      </c>
      <c r="AD252" s="30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30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30" t="str">
        <f aca="false">IF((E253="v"),H253," ")</f>
        <v> </v>
      </c>
      <c r="AD253" s="30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30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30" t="str">
        <f aca="false">IF((E254="v"),H254," ")</f>
        <v> </v>
      </c>
      <c r="AD254" s="30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30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30" t="str">
        <f aca="false">IF((E255="v"),H255," ")</f>
        <v> </v>
      </c>
      <c r="AD255" s="30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30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30" t="str">
        <f aca="false">IF((E256="v"),H256," ")</f>
        <v> </v>
      </c>
      <c r="AD256" s="30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30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30" t="str">
        <f aca="false">IF((E257="v"),H257," ")</f>
        <v> </v>
      </c>
      <c r="AD257" s="30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30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30" t="str">
        <f aca="false">IF((E258="v"),H258," ")</f>
        <v> </v>
      </c>
      <c r="AD258" s="30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30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30" t="str">
        <f aca="false">IF((E259="v"),H259," ")</f>
        <v> </v>
      </c>
      <c r="AD259" s="30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30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30" t="str">
        <f aca="false">IF((E260="v"),H260," ")</f>
        <v> </v>
      </c>
      <c r="AD260" s="30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30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30" t="str">
        <f aca="false">IF((E261="v"),H261," ")</f>
        <v> </v>
      </c>
      <c r="AD261" s="30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30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30" t="str">
        <f aca="false">IF((E262="v"),H262," ")</f>
        <v> </v>
      </c>
      <c r="AD262" s="30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30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30" t="str">
        <f aca="false">IF((E263="v"),H263," ")</f>
        <v> </v>
      </c>
      <c r="AD263" s="30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30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30" t="str">
        <f aca="false">IF((E264="v"),H264," ")</f>
        <v> </v>
      </c>
      <c r="AD264" s="30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30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30" t="str">
        <f aca="false">IF((E265="v"),H265," ")</f>
        <v> </v>
      </c>
      <c r="AD265" s="30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30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30" t="str">
        <f aca="false">IF((E266="v"),H266," ")</f>
        <v> </v>
      </c>
      <c r="AD266" s="30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30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30" t="str">
        <f aca="false">IF((E267="v"),H267," ")</f>
        <v> </v>
      </c>
      <c r="AD267" s="30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30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30" t="str">
        <f aca="false">IF((E268="v"),H268," ")</f>
        <v> </v>
      </c>
      <c r="AD268" s="30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30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30" t="str">
        <f aca="false">IF((E269="v"),H269," ")</f>
        <v> </v>
      </c>
      <c r="AD269" s="30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30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30" t="str">
        <f aca="false">IF((E270="v"),H270," ")</f>
        <v> </v>
      </c>
      <c r="AD270" s="30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30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30" t="str">
        <f aca="false">IF((E271="v"),H271," ")</f>
        <v> </v>
      </c>
      <c r="AD271" s="30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30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30" t="str">
        <f aca="false">IF((E272="v"),H272," ")</f>
        <v> </v>
      </c>
      <c r="AD272" s="30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30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30" t="str">
        <f aca="false">IF((E273="v"),H273," ")</f>
        <v> </v>
      </c>
      <c r="AD273" s="30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30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30" t="str">
        <f aca="false">IF((E274="v"),H274," ")</f>
        <v> </v>
      </c>
      <c r="AD274" s="30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30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30" t="str">
        <f aca="false">IF((E275="v"),H275," ")</f>
        <v> </v>
      </c>
      <c r="AD275" s="30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30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30" t="str">
        <f aca="false">IF((E276="v"),H276," ")</f>
        <v> </v>
      </c>
      <c r="AD276" s="30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30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30" t="str">
        <f aca="false">IF((E277="v"),H277," ")</f>
        <v> </v>
      </c>
      <c r="AD277" s="30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30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30" t="str">
        <f aca="false">IF((E278="v"),H278," ")</f>
        <v> </v>
      </c>
      <c r="AD278" s="30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30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30" t="str">
        <f aca="false">IF((E279="v"),H279," ")</f>
        <v> </v>
      </c>
      <c r="AD279" s="30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30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30" t="str">
        <f aca="false">IF((E280="v"),H280," ")</f>
        <v> </v>
      </c>
      <c r="AD280" s="30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30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30" t="str">
        <f aca="false">IF((E281="v"),H281," ")</f>
        <v> </v>
      </c>
      <c r="AD281" s="30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30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30" t="str">
        <f aca="false">IF((E282="v"),H282," ")</f>
        <v> </v>
      </c>
      <c r="AD282" s="30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30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30" t="str">
        <f aca="false">IF((E283="v"),H283," ")</f>
        <v> </v>
      </c>
      <c r="AD283" s="30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30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30" t="str">
        <f aca="false">IF((E284="v"),H284," ")</f>
        <v> </v>
      </c>
      <c r="AD284" s="30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30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30" t="str">
        <f aca="false">IF((E285="v"),H285," ")</f>
        <v> </v>
      </c>
      <c r="AD285" s="30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30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30" t="str">
        <f aca="false">IF((E286="v"),H286," ")</f>
        <v> </v>
      </c>
      <c r="AD286" s="30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30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30" t="str">
        <f aca="false">IF((E287="v"),H287," ")</f>
        <v> </v>
      </c>
      <c r="AD287" s="30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30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30" t="str">
        <f aca="false">IF((E288="v"),H288," ")</f>
        <v> </v>
      </c>
      <c r="AD288" s="30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30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30" t="str">
        <f aca="false">IF((E289="v"),H289," ")</f>
        <v> </v>
      </c>
      <c r="AD289" s="30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30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30" t="str">
        <f aca="false">IF((E290="v"),H290," ")</f>
        <v> </v>
      </c>
      <c r="AD290" s="30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30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30" t="str">
        <f aca="false">IF((E291="v"),H291," ")</f>
        <v> </v>
      </c>
      <c r="AD291" s="30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30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30" t="str">
        <f aca="false">IF((E292="v"),H292," ")</f>
        <v> </v>
      </c>
      <c r="AD292" s="30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30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30" t="str">
        <f aca="false">IF((E293="v"),H293," ")</f>
        <v> </v>
      </c>
      <c r="AD293" s="30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30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30" t="str">
        <f aca="false">IF((E294="v"),H294," ")</f>
        <v> </v>
      </c>
      <c r="AD294" s="30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30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30" t="str">
        <f aca="false">IF((E295="v"),H295," ")</f>
        <v> </v>
      </c>
      <c r="AD295" s="30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30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30" t="str">
        <f aca="false">IF((E296="v"),H296," ")</f>
        <v> </v>
      </c>
      <c r="AD296" s="30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30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30" t="str">
        <f aca="false">IF((E297="v"),H297," ")</f>
        <v> </v>
      </c>
      <c r="AD297" s="30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30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30" t="str">
        <f aca="false">IF((E298="v"),H298," ")</f>
        <v> </v>
      </c>
      <c r="AD298" s="30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30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30" t="str">
        <f aca="false">IF((E299="v"),H299," ")</f>
        <v> </v>
      </c>
      <c r="AD299" s="30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2"/>
      <c r="B300" s="33"/>
      <c r="C300" s="34"/>
      <c r="D300" s="33"/>
      <c r="E300" s="47" t="str">
        <f aca="false">IF((F300&lt;&gt;0),"Enter Letter"," ")</f>
        <v> </v>
      </c>
      <c r="F300" s="48"/>
      <c r="G300" s="36" t="str">
        <f aca="false">IF(F300&lt;&gt;0,F300*G$2/(100+G$2)," ")</f>
        <v> </v>
      </c>
      <c r="H300" s="36" t="str">
        <f aca="false">IF((F300&lt;&gt;0),F300-G300," ")</f>
        <v> </v>
      </c>
      <c r="I300" s="49"/>
      <c r="J300" s="36"/>
      <c r="K300" s="36"/>
      <c r="L300" s="37" t="str">
        <f aca="false">IF(F300&lt;&gt;0,F300-K300," ")</f>
        <v> </v>
      </c>
      <c r="M300" s="38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255</v>
      </c>
      <c r="B1" s="9"/>
      <c r="C1" s="10" t="n">
        <f aca="false">-SUM([1]TrialBalance!$EJ$28:$EJ$31)</f>
        <v>10832.25</v>
      </c>
      <c r="D1" s="11" t="s">
        <v>1</v>
      </c>
      <c r="E1" s="11"/>
      <c r="F1" s="12" t="n">
        <f aca="false">SUM(F2:F200)</f>
        <v>0</v>
      </c>
      <c r="G1" s="12" t="n">
        <f aca="false">SUM(G5:G300)</f>
        <v>0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46267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256</v>
      </c>
      <c r="E5" s="2"/>
      <c r="F5" s="30"/>
      <c r="G5" s="6" t="str">
        <f aca="false">IF(F5&lt;&gt;0,F5*G$2/(100+G$2)," ")</f>
        <v> 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257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133</v>
      </c>
      <c r="C7" s="3" t="s">
        <v>258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259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1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2"/>
      <c r="B200" s="33"/>
      <c r="C200" s="34"/>
      <c r="D200" s="35"/>
      <c r="E200" s="33"/>
      <c r="F200" s="36"/>
      <c r="G200" s="36" t="str">
        <f aca="false">IF(F200&lt;&gt;0,F200*G$2/(100+G$2)," ")</f>
        <v> </v>
      </c>
      <c r="H200" s="36" t="str">
        <f aca="false">IF((F200&lt;&gt;0),F200-G200," ")</f>
        <v> </v>
      </c>
      <c r="J200" s="36"/>
      <c r="K200" s="36"/>
      <c r="L200" s="37" t="str">
        <f aca="false">IF(F200&lt;&gt;0,F200-K200," ")</f>
        <v> </v>
      </c>
      <c r="M200" s="38" t="str">
        <f aca="false">IF((F200-K200)&lt;&gt;0,M$1-A200," ")</f>
        <v> 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