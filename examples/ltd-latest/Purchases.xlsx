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<sst xmlns="http://schemas.openxmlformats.org/spreadsheetml/2006/main" count="1590" uniqueCount="155">
  <si>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</si>
  <si>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</si>
  <si>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</si>
  <si>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</si>
  <si>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</si>
  <si>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</si>
  <si>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</si>
  <si>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</si>
  <si>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</si>
  <si>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</si>
  <si>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</si>
  <si>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</si>
  <si>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</si>
  <si>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</si>
  <si>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</si>
  <si>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</si>
  <si>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</si>
  <si>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</si>
  <si>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</si>
  <si>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</si>
  <si>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</si>
  <si>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</si>
  <si>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</si>
  <si>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</si>
  <si>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</si>
  <si>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</si>
  <si>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</si>
  <si>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</si>
  <si>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</si>
  <si>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</si>
  <si>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</si>
  <si>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</si>
  <si>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</si>
  <si>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</si>
  <si>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</si>
  <si>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</si>
  <si>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</si>
  <si>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</si>
  <si>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</si>
  <si>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</si>
  <si>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</si>
  <si>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</si>
  <si>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</si>
  <si>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</si>
  <si>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</si>
  <si>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</si>
  <si>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</si>
  <si>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</si>
  <si>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</si>
  <si>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</si>
  <si>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</si>
  <si>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</si>
  <si>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</si>
  <si>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</si>
  <si>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</si>
  <si>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</si>
  <si>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</si>
  <si>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</si>
  <si>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</si>
  <si>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</si>
  <si>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</si>
  <si>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</si>
  <si>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</si>
  <si>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</si>
  <si>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</si>
  <si>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</si>
  <si>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</si>
  <si>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</si>
  <si>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</si>
  <si>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</si>
  <si>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</si>
  <si>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</si>
  <si>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</si>
  <si>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</si>
  <si>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</si>
  <si>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</si>
  <si>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</si>
  <si>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</si>
  <si>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</si>
  <si>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</si>
  <si>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</si>
  <si>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</si>
  <si>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</si>
  <si>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</si>
  <si>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</si>
  <si>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</si>
  <si>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</si>
  <si>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</si>
  <si>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</si>
  <si>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</si>
  <si>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</si>
  <si>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</si>
  <si>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</si>
  <si>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</si>
  <si>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</si>
  <si>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</si>
  <si>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</si>
  <si>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</si>
  <si>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</si>
  <si>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</si>
  <si>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</si>
  <si>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</si>
  <si>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</si>
  <si>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</si>
  <si>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</si>
  <si>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</si>
  <si>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</si>
  <si>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</si>
  <si>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</si>
  <si>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</si>
  <si>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</si>
  <si>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</si>
  <si>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</si>
  <si>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</si>
  <si>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</si>
  <si>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</si>
  <si>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</si>
  <si>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</si>
  <si>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</si>
  <si>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</si>
  <si>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</si>
  <si>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</si>
  <si>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</si>
  <si>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</si>
  <si>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</si>
  <si>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</si>
  <si>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</si>
  <si>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</si>
  <si>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</si>
  <si>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</si>
  <si>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</si>
  <si>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</si>
  <si>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Precision Tooling Supplies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</si>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</sst>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-10832.25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46264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46264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333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333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333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333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79</v>
      </c>
      <c r="E9" s="2" t="s">
        <v>80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333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333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333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331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331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329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329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2" t="s">
        <v>78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329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45938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326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45940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324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324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45940</v>
      </c>
      <c r="B20" s="2" t="s">
        <v>95</v>
      </c>
      <c r="E20" s="2" t="s">
        <v>96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324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45942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322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98</v>
      </c>
      <c r="E22" s="2" t="s">
        <v>85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320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99</v>
      </c>
      <c r="E23" s="2" t="s">
        <v>91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320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45944</v>
      </c>
      <c r="B24" s="2" t="s">
        <v>100</v>
      </c>
      <c r="E24" s="2" t="s">
        <v>91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320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20</v>
      </c>
      <c r="E25" s="2" t="s">
        <v>88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319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101</v>
      </c>
      <c r="E26" s="2" t="s">
        <v>75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319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316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45950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314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104</v>
      </c>
      <c r="E29" s="2" t="s">
        <v>105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314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45951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313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45952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312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45955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309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45955</v>
      </c>
      <c r="B33" s="2" t="s">
        <v>109</v>
      </c>
      <c r="E33" s="2" t="s">
        <v>88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309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45958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306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45960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304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46264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302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302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302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302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302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300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300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298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298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45967</v>
      </c>
      <c r="B15" s="2" t="s">
        <v>111</v>
      </c>
      <c r="E15" s="2" t="s">
        <v>91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297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295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45969</v>
      </c>
      <c r="B17" s="2" t="s">
        <v>112</v>
      </c>
      <c r="E17" s="2" t="s">
        <v>113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295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293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45971</v>
      </c>
      <c r="B19" s="2" t="s">
        <v>114</v>
      </c>
      <c r="E19" s="2" t="s">
        <v>115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293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45973</v>
      </c>
      <c r="B20" s="2" t="s">
        <v>97</v>
      </c>
      <c r="E20" s="2" t="s">
        <v>88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291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289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45975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289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288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288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45976</v>
      </c>
      <c r="B25" s="2" t="s">
        <v>116</v>
      </c>
      <c r="E25" s="2" t="s">
        <v>96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288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45976</v>
      </c>
      <c r="B26" s="2" t="s">
        <v>117</v>
      </c>
      <c r="E26" s="2" t="s">
        <v>118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288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</row>
    <row r="27" customFormat="false" ht="12" hidden="false" customHeight="false" outlineLevel="0" collapsed="false">
      <c r="A27" s="28" t="n">
        <v>45977</v>
      </c>
      <c r="B27" s="2" t="s">
        <v>119</v>
      </c>
      <c r="E27" s="2" t="s">
        <v>75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287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45979</v>
      </c>
      <c r="B28" s="2" t="s">
        <v>102</v>
      </c>
      <c r="E28" s="2" t="s">
        <v>88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285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45981</v>
      </c>
      <c r="B29" s="2" t="s">
        <v>103</v>
      </c>
      <c r="E29" s="2" t="s">
        <v>75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283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45981</v>
      </c>
      <c r="B30" s="2" t="s">
        <v>120</v>
      </c>
      <c r="E30" s="2" t="s">
        <v>121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283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45981</v>
      </c>
      <c r="B31" s="2" t="s">
        <v>122</v>
      </c>
      <c r="E31" s="2" t="s">
        <v>96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283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45982</v>
      </c>
      <c r="B32" s="2" t="s">
        <v>106</v>
      </c>
      <c r="E32" s="2" t="s">
        <v>91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282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45983</v>
      </c>
      <c r="B33" s="2" t="s">
        <v>107</v>
      </c>
      <c r="E33" s="2" t="s">
        <v>85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281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45983</v>
      </c>
      <c r="B34" s="2" t="s">
        <v>123</v>
      </c>
      <c r="E34" s="2" t="s">
        <v>88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281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45986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278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45986</v>
      </c>
      <c r="B36" s="2" t="s">
        <v>109</v>
      </c>
      <c r="E36" s="2" t="s">
        <v>88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278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45989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275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45991</v>
      </c>
      <c r="B38" s="2" t="s">
        <v>16</v>
      </c>
      <c r="E38" s="2" t="s">
        <v>110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273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24657</v>
      </c>
      <c r="G1" s="12" t="n">
        <f aca="false">SUM(G5:G300)</f>
        <v>4109.5</v>
      </c>
      <c r="H1" s="12" t="n">
        <f aca="false">SUM(H5:H300)</f>
        <v>20547.5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24657</v>
      </c>
      <c r="M1" s="16" t="n">
        <f aca="true">TODAY()</f>
        <v>46264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13000</v>
      </c>
      <c r="AJ1" s="43"/>
      <c r="AK1" s="12" t="n">
        <f aca="false">SUM(AK5:AK300)</f>
        <v>1000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272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272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272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272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272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270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270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268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268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268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45999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265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46001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263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124</v>
      </c>
      <c r="E18" s="2" t="s">
        <v>75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263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46003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261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46005</v>
      </c>
      <c r="B20" s="2" t="s">
        <v>98</v>
      </c>
      <c r="E20" s="2" t="s">
        <v>85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259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46005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259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46005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259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46006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258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46006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258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46006</v>
      </c>
      <c r="B25" s="2" t="s">
        <v>125</v>
      </c>
      <c r="E25" s="2" t="s">
        <v>126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258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K25" s="17" t="n">
        <v>1000</v>
      </c>
    </row>
    <row r="26" customFormat="false" ht="12" hidden="false" customHeight="false" outlineLevel="0" collapsed="false">
      <c r="A26" s="28" t="n">
        <v>46009</v>
      </c>
      <c r="B26" s="2" t="s">
        <v>127</v>
      </c>
      <c r="E26" s="2" t="s">
        <v>91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255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46009</v>
      </c>
      <c r="B27" s="2" t="s">
        <v>128</v>
      </c>
      <c r="E27" s="2" t="s">
        <v>96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255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46009</v>
      </c>
      <c r="B28" s="2" t="s">
        <v>102</v>
      </c>
      <c r="E28" s="2" t="s">
        <v>88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255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46011</v>
      </c>
      <c r="B29" s="2" t="s">
        <v>103</v>
      </c>
      <c r="E29" s="2" t="s">
        <v>75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253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46012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252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46013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251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46016</v>
      </c>
      <c r="B32" s="2" t="s">
        <v>129</v>
      </c>
      <c r="E32" s="2" t="s">
        <v>130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248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46016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248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46016</v>
      </c>
      <c r="B34" s="2" t="s">
        <v>109</v>
      </c>
      <c r="E34" s="2" t="s">
        <v>88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248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46019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245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46021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243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46021</v>
      </c>
      <c r="B37" s="2" t="s">
        <v>131</v>
      </c>
      <c r="E37" s="2" t="s">
        <v>110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243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45992</v>
      </c>
      <c r="B38" s="2" t="s">
        <v>132</v>
      </c>
      <c r="E38" s="2" t="s">
        <v>118</v>
      </c>
      <c r="F38" s="30" t="n">
        <v>15600</v>
      </c>
      <c r="G38" s="6" t="n">
        <f aca="false">IF(F38&lt;&gt;0,F38*G$2/(100+G$2)," ")</f>
        <v>2600</v>
      </c>
      <c r="H38" s="6" t="n">
        <f aca="false">IF((F38&lt;&gt;0),F38-G38," ")</f>
        <v>13000</v>
      </c>
      <c r="I38" s="5"/>
      <c r="L38" s="7" t="n">
        <f aca="false">IF(F38&lt;&gt;0,F38-K38," ")</f>
        <v>15600</v>
      </c>
      <c r="M38" s="8" t="n">
        <f aca="false">IF((F38-K38)&lt;&gt;0,M$1-A38," ")</f>
        <v>272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13000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46264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241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241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241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133</v>
      </c>
      <c r="E9" s="2" t="s">
        <v>134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241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241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46023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241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239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46025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239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237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46027</v>
      </c>
      <c r="B15" s="2" t="s">
        <v>135</v>
      </c>
      <c r="E15" s="2" t="s">
        <v>115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237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46027</v>
      </c>
      <c r="B16" s="2" t="s">
        <v>87</v>
      </c>
      <c r="E16" s="2" t="s">
        <v>88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237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46030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234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46032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232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46032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232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46032</v>
      </c>
      <c r="B20" s="2" t="s">
        <v>95</v>
      </c>
      <c r="E20" s="2" t="s">
        <v>96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232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46034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230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46034</v>
      </c>
      <c r="B22" s="2" t="s">
        <v>136</v>
      </c>
      <c r="E22" s="2" t="s">
        <v>113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230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46036</v>
      </c>
      <c r="B23" s="2" t="s">
        <v>99</v>
      </c>
      <c r="E23" s="2" t="s">
        <v>91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228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46036</v>
      </c>
      <c r="B24" s="2" t="s">
        <v>100</v>
      </c>
      <c r="E24" s="2" t="s">
        <v>91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228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46037</v>
      </c>
      <c r="B25" s="2" t="s">
        <v>20</v>
      </c>
      <c r="E25" s="2" t="s">
        <v>88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227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46037</v>
      </c>
      <c r="B26" s="2" t="s">
        <v>101</v>
      </c>
      <c r="E26" s="2" t="s">
        <v>75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227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46037</v>
      </c>
      <c r="B27" s="2" t="s">
        <v>137</v>
      </c>
      <c r="E27" s="2" t="s">
        <v>118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227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</row>
    <row r="28" customFormat="false" ht="12" hidden="false" customHeight="false" outlineLevel="0" collapsed="false">
      <c r="A28" s="28" t="n">
        <v>46038</v>
      </c>
      <c r="B28" s="2" t="s">
        <v>119</v>
      </c>
      <c r="E28" s="2" t="s">
        <v>75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226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46040</v>
      </c>
      <c r="B29" s="2" t="s">
        <v>102</v>
      </c>
      <c r="E29" s="2" t="s">
        <v>88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224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46042</v>
      </c>
      <c r="B30" s="2" t="s">
        <v>103</v>
      </c>
      <c r="E30" s="2" t="s">
        <v>75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222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46042</v>
      </c>
      <c r="B31" s="2" t="s">
        <v>138</v>
      </c>
      <c r="E31" s="2" t="s">
        <v>121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222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46042</v>
      </c>
      <c r="B32" s="2" t="s">
        <v>104</v>
      </c>
      <c r="E32" s="2" t="s">
        <v>105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222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46043</v>
      </c>
      <c r="B33" s="2" t="s">
        <v>106</v>
      </c>
      <c r="E33" s="2" t="s">
        <v>91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221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46044</v>
      </c>
      <c r="B34" s="2" t="s">
        <v>107</v>
      </c>
      <c r="E34" s="2" t="s">
        <v>85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220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46047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217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46047</v>
      </c>
      <c r="B36" s="2" t="s">
        <v>109</v>
      </c>
      <c r="E36" s="2" t="s">
        <v>88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217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46050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214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46053</v>
      </c>
      <c r="B38" s="2" t="s">
        <v>16</v>
      </c>
      <c r="E38" s="2" t="s">
        <v>110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211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4405.25</v>
      </c>
      <c r="G1" s="12" t="n">
        <f aca="false">SUM(G5:G300)</f>
        <v>734.208333333333</v>
      </c>
      <c r="H1" s="12" t="n">
        <f aca="false">SUM(H5:H300)</f>
        <v>3671.04166666667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4405.25</v>
      </c>
      <c r="M1" s="16" t="n">
        <f aca="true">TODAY()</f>
        <v>46264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210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210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210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210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210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208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208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206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206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206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46059</v>
      </c>
      <c r="B16" s="2" t="s">
        <v>111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205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46061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203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201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199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2" t="s">
        <v>85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197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197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197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196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196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116</v>
      </c>
      <c r="E25" s="2" t="s">
        <v>96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196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139</v>
      </c>
      <c r="E26" s="2" t="s">
        <v>105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193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193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191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46073</v>
      </c>
      <c r="B29" s="2" t="s">
        <v>140</v>
      </c>
      <c r="E29" s="2" t="s">
        <v>141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191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46073</v>
      </c>
      <c r="B30" s="2" t="s">
        <v>122</v>
      </c>
      <c r="E30" s="2" t="s">
        <v>96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191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46074</v>
      </c>
      <c r="B31" s="2" t="s">
        <v>106</v>
      </c>
      <c r="E31" s="2" t="s">
        <v>91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190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46075</v>
      </c>
      <c r="B32" s="2" t="s">
        <v>107</v>
      </c>
      <c r="E32" s="2" t="s">
        <v>85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189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186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46078</v>
      </c>
      <c r="B34" s="2" t="s">
        <v>109</v>
      </c>
      <c r="E34" s="2" t="s">
        <v>88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186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46081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183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46081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183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13375</v>
      </c>
      <c r="G1" s="12" t="n">
        <f aca="false">SUM(G5:G300)</f>
        <v>2229.16666666667</v>
      </c>
      <c r="H1" s="12" t="n">
        <f aca="false">SUM(H5:H300)</f>
        <v>11145.8333333333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13375</v>
      </c>
      <c r="M1" s="16" t="n">
        <f aca="true">TODAY()</f>
        <v>46264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7000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182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182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182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182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182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180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180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178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178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46089</v>
      </c>
      <c r="B15" s="2" t="s">
        <v>90</v>
      </c>
      <c r="E15" s="2" t="s">
        <v>91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175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46089</v>
      </c>
      <c r="B16" s="2" t="s">
        <v>112</v>
      </c>
      <c r="E16" s="2" t="s">
        <v>113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175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46091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173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46091</v>
      </c>
      <c r="B18" s="2" t="s">
        <v>101</v>
      </c>
      <c r="E18" s="2" t="s">
        <v>121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173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46093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171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46095</v>
      </c>
      <c r="B20" s="2" t="s">
        <v>99</v>
      </c>
      <c r="E20" s="2" t="s">
        <v>91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169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46095</v>
      </c>
      <c r="B21" s="2" t="s">
        <v>100</v>
      </c>
      <c r="E21" s="2" t="s">
        <v>91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169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46096</v>
      </c>
      <c r="B22" s="2" t="s">
        <v>20</v>
      </c>
      <c r="E22" s="2" t="s">
        <v>88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168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46096</v>
      </c>
      <c r="B23" s="2" t="s">
        <v>101</v>
      </c>
      <c r="E23" s="2" t="s">
        <v>75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168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46096</v>
      </c>
      <c r="B24" s="2" t="s">
        <v>142</v>
      </c>
      <c r="E24" s="2" t="s">
        <v>110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168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46097</v>
      </c>
      <c r="B25" s="2" t="s">
        <v>119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167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46099</v>
      </c>
      <c r="B26" s="2" t="s">
        <v>128</v>
      </c>
      <c r="E26" s="2" t="s">
        <v>96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165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46099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165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46101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163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46102</v>
      </c>
      <c r="B29" s="2" t="s">
        <v>106</v>
      </c>
      <c r="E29" s="2" t="s">
        <v>91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162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46103</v>
      </c>
      <c r="B30" s="2" t="s">
        <v>107</v>
      </c>
      <c r="E30" s="2" t="s">
        <v>85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161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46103</v>
      </c>
      <c r="B31" s="2" t="s">
        <v>123</v>
      </c>
      <c r="E31" s="2" t="s">
        <v>88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161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46106</v>
      </c>
      <c r="B32" s="2" t="s">
        <v>129</v>
      </c>
      <c r="E32" s="2" t="s">
        <v>130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158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46106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158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46106</v>
      </c>
      <c r="B34" s="2" t="s">
        <v>109</v>
      </c>
      <c r="E34" s="2" t="s">
        <v>88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158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46109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155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46111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153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46111</v>
      </c>
      <c r="B37" s="2" t="s">
        <v>131</v>
      </c>
      <c r="E37" s="2" t="s">
        <v>110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153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46082</v>
      </c>
      <c r="B38" s="2" t="s">
        <v>132</v>
      </c>
      <c r="E38" s="2" t="s">
        <v>118</v>
      </c>
      <c r="F38" s="30" t="n">
        <v>8400</v>
      </c>
      <c r="G38" s="6" t="n">
        <f aca="false">IF(F38&lt;&gt;0,F38*G$2/(100+G$2)," ")</f>
        <v>1400</v>
      </c>
      <c r="H38" s="6" t="n">
        <f aca="false">IF((F38&lt;&gt;0),F38-G38," ")</f>
        <v>7000</v>
      </c>
      <c r="I38" s="5"/>
      <c r="L38" s="7" t="n">
        <f aca="false">IF(F38&lt;&gt;0,F38-K38," ")</f>
        <v>8400</v>
      </c>
      <c r="M38" s="8" t="n">
        <f aca="false">IF((F38-K38)&lt;&gt;0,M$1-A38," ")</f>
        <v>182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7000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46264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151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151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151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143</v>
      </c>
      <c r="E9" s="2" t="s">
        <v>80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151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151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46113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151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149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46115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149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147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147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46117</v>
      </c>
      <c r="B16" s="2" t="s">
        <v>89</v>
      </c>
      <c r="E16" s="2" t="s">
        <v>78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147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144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142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46122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142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46122</v>
      </c>
      <c r="B20" s="2" t="s">
        <v>95</v>
      </c>
      <c r="E20" s="2" t="s">
        <v>96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142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46122</v>
      </c>
      <c r="B21" s="2" t="s">
        <v>114</v>
      </c>
      <c r="E21" s="2" t="s">
        <v>115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142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46124</v>
      </c>
      <c r="B22" s="2" t="s">
        <v>97</v>
      </c>
      <c r="E22" s="2" t="s">
        <v>88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140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98</v>
      </c>
      <c r="E23" s="2" t="s">
        <v>85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138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46126</v>
      </c>
      <c r="B24" s="2" t="s">
        <v>99</v>
      </c>
      <c r="E24" s="2" t="s">
        <v>91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138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46126</v>
      </c>
      <c r="B25" s="2" t="s">
        <v>100</v>
      </c>
      <c r="E25" s="2" t="s">
        <v>91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138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20</v>
      </c>
      <c r="E26" s="2" t="s">
        <v>88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137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46127</v>
      </c>
      <c r="B27" s="2" t="s">
        <v>101</v>
      </c>
      <c r="E27" s="2" t="s">
        <v>75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137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46127</v>
      </c>
      <c r="B28" s="2" t="s">
        <v>144</v>
      </c>
      <c r="E28" s="2" t="s">
        <v>115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137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127</v>
      </c>
      <c r="E29" s="2" t="s">
        <v>91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134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46130</v>
      </c>
      <c r="B30" s="2" t="s">
        <v>102</v>
      </c>
      <c r="E30" s="2" t="s">
        <v>88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134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103</v>
      </c>
      <c r="E31" s="2" t="s">
        <v>75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132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46132</v>
      </c>
      <c r="B32" s="2" t="s">
        <v>104</v>
      </c>
      <c r="E32" s="2" t="s">
        <v>105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132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46133</v>
      </c>
      <c r="B33" s="2" t="s">
        <v>106</v>
      </c>
      <c r="E33" s="2" t="s">
        <v>91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131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46134</v>
      </c>
      <c r="B34" s="2" t="s">
        <v>107</v>
      </c>
      <c r="E34" s="2" t="s">
        <v>85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130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127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46137</v>
      </c>
      <c r="B36" s="2" t="s">
        <v>109</v>
      </c>
      <c r="E36" s="2" t="s">
        <v>88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127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46137</v>
      </c>
      <c r="B37" s="2" t="s">
        <v>145</v>
      </c>
      <c r="E37" s="2" t="s">
        <v>118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127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</row>
    <row r="38" customFormat="false" ht="12" hidden="false" customHeight="false" outlineLevel="0" collapsed="false">
      <c r="A38" s="28" t="n">
        <v>46140</v>
      </c>
      <c r="B38" s="2" t="s">
        <v>20</v>
      </c>
      <c r="E38" s="2" t="s">
        <v>88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124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46142</v>
      </c>
      <c r="B39" s="2" t="s">
        <v>16</v>
      </c>
      <c r="E39" s="2" t="s">
        <v>110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122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46264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600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121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121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121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121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121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119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119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117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117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46148</v>
      </c>
      <c r="B15" s="2" t="s">
        <v>111</v>
      </c>
      <c r="E15" s="2" t="s">
        <v>91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116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46150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114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112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2" t="s">
        <v>88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110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2" t="s">
        <v>91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108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2" t="s">
        <v>91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108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2" t="s">
        <v>88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107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2" t="s">
        <v>75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107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46157</v>
      </c>
      <c r="B23" s="2" t="s">
        <v>116</v>
      </c>
      <c r="E23" s="2" t="s">
        <v>96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107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46157</v>
      </c>
      <c r="B24" s="2" t="s">
        <v>125</v>
      </c>
      <c r="E24" s="2" t="s">
        <v>126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107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K24" s="17" t="n">
        <v>600</v>
      </c>
    </row>
    <row r="25" customFormat="false" ht="12" hidden="false" customHeight="false" outlineLevel="0" collapsed="false">
      <c r="A25" s="28" t="n">
        <v>46158</v>
      </c>
      <c r="B25" s="2" t="s">
        <v>119</v>
      </c>
      <c r="E25" s="2" t="s">
        <v>75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106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46160</v>
      </c>
      <c r="B26" s="2" t="s">
        <v>102</v>
      </c>
      <c r="E26" s="2" t="s">
        <v>88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104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46162</v>
      </c>
      <c r="B27" s="2" t="s">
        <v>103</v>
      </c>
      <c r="E27" s="2" t="s">
        <v>75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102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46162</v>
      </c>
      <c r="B28" s="2" t="s">
        <v>120</v>
      </c>
      <c r="E28" s="2" t="s">
        <v>121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102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46162</v>
      </c>
      <c r="B29" s="2" t="s">
        <v>122</v>
      </c>
      <c r="E29" s="2" t="s">
        <v>96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102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46163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101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46164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100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97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46167</v>
      </c>
      <c r="B33" s="2" t="s">
        <v>109</v>
      </c>
      <c r="E33" s="2" t="s">
        <v>88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97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46170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94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46172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92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46264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90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90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46174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90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46174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90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90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46174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90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46176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88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46176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88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46178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86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46178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86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46178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86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46181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83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46183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81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46183</v>
      </c>
      <c r="B18" s="2" t="s">
        <v>124</v>
      </c>
      <c r="E18" s="2" t="s">
        <v>75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81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46185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79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46187</v>
      </c>
      <c r="B20" s="2" t="s">
        <v>98</v>
      </c>
      <c r="E20" s="2" t="s">
        <v>85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77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46187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77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46187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77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46188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76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46188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76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46188</v>
      </c>
      <c r="B25" s="2" t="s">
        <v>146</v>
      </c>
      <c r="E25" s="2" t="s">
        <v>147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76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46191</v>
      </c>
      <c r="B26" s="2" t="s">
        <v>128</v>
      </c>
      <c r="E26" s="2" t="s">
        <v>96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73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46191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73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46193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71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46194</v>
      </c>
      <c r="B29" s="2" t="s">
        <v>106</v>
      </c>
      <c r="E29" s="2" t="s">
        <v>91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70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46195</v>
      </c>
      <c r="B30" s="2" t="s">
        <v>107</v>
      </c>
      <c r="E30" s="2" t="s">
        <v>85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69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46198</v>
      </c>
      <c r="B31" s="2" t="s">
        <v>129</v>
      </c>
      <c r="E31" s="2" t="s">
        <v>130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66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46198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66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46198</v>
      </c>
      <c r="B33" s="2" t="s">
        <v>109</v>
      </c>
      <c r="E33" s="2" t="s">
        <v>88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66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46201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63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46203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61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46203</v>
      </c>
      <c r="B36" s="2" t="s">
        <v>148</v>
      </c>
      <c r="E36" s="2" t="s">
        <v>149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61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46203</v>
      </c>
      <c r="B37" s="2" t="s">
        <v>131</v>
      </c>
      <c r="E37" s="2" t="s">
        <v>110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61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46264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60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46204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60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46204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60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46204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60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46204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60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46204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60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46206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58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46206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58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46208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56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46208</v>
      </c>
      <c r="B14" s="2" t="s">
        <v>135</v>
      </c>
      <c r="E14" s="2" t="s">
        <v>115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56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46208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56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46211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53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46211</v>
      </c>
      <c r="B17" s="2" t="s">
        <v>112</v>
      </c>
      <c r="E17" s="2" t="s">
        <v>113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53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46213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51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46213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51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46213</v>
      </c>
      <c r="B20" s="2" t="s">
        <v>95</v>
      </c>
      <c r="E20" s="2" t="s">
        <v>96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51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46215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49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46217</v>
      </c>
      <c r="B22" s="2" t="s">
        <v>99</v>
      </c>
      <c r="E22" s="2" t="s">
        <v>91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47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46217</v>
      </c>
      <c r="B23" s="2" t="s">
        <v>100</v>
      </c>
      <c r="E23" s="2" t="s">
        <v>91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47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46218</v>
      </c>
      <c r="B24" s="2" t="s">
        <v>20</v>
      </c>
      <c r="E24" s="2" t="s">
        <v>88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46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46218</v>
      </c>
      <c r="B25" s="2" t="s">
        <v>101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46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46219</v>
      </c>
      <c r="B26" s="2" t="s">
        <v>119</v>
      </c>
      <c r="E26" s="2" t="s">
        <v>75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45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46221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43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46223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41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46223</v>
      </c>
      <c r="B29" s="2" t="s">
        <v>138</v>
      </c>
      <c r="E29" s="2" t="s">
        <v>121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41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46223</v>
      </c>
      <c r="B30" s="2" t="s">
        <v>104</v>
      </c>
      <c r="E30" s="2" t="s">
        <v>105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41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46224</v>
      </c>
      <c r="B31" s="2" t="s">
        <v>106</v>
      </c>
      <c r="E31" s="2" t="s">
        <v>91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40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46225</v>
      </c>
      <c r="B32" s="2" t="s">
        <v>107</v>
      </c>
      <c r="E32" s="2" t="s">
        <v>85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39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46225</v>
      </c>
      <c r="B33" s="2" t="s">
        <v>123</v>
      </c>
      <c r="E33" s="2" t="s">
        <v>88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39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46228</v>
      </c>
      <c r="B34" s="2" t="s">
        <v>108</v>
      </c>
      <c r="E34" s="2" t="s">
        <v>85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36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46228</v>
      </c>
      <c r="B35" s="2" t="s">
        <v>109</v>
      </c>
      <c r="E35" s="2" t="s">
        <v>88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36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46231</v>
      </c>
      <c r="B36" s="2" t="s">
        <v>20</v>
      </c>
      <c r="E36" s="2" t="s">
        <v>88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33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46234</v>
      </c>
      <c r="B37" s="2" t="s">
        <v>16</v>
      </c>
      <c r="E37" s="2" t="s">
        <v>110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30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46264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46235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46235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46235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46235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46235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46237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46237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46239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46239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46239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46240</v>
      </c>
      <c r="B16" s="2" t="s">
        <v>111</v>
      </c>
      <c r="E16" s="2" t="s">
        <v>91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24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46242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46244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46246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46246</v>
      </c>
      <c r="B20" s="2" t="s">
        <v>136</v>
      </c>
      <c r="E20" s="2" t="s">
        <v>113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18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46248</v>
      </c>
      <c r="B21" s="2" t="s">
        <v>98</v>
      </c>
      <c r="E21" s="2" t="s">
        <v>85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16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46248</v>
      </c>
      <c r="B22" s="2" t="s">
        <v>99</v>
      </c>
      <c r="E22" s="2" t="s">
        <v>91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16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46248</v>
      </c>
      <c r="B23" s="2" t="s">
        <v>100</v>
      </c>
      <c r="E23" s="2" t="s">
        <v>91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46249</v>
      </c>
      <c r="B24" s="2" t="s">
        <v>20</v>
      </c>
      <c r="E24" s="2" t="s">
        <v>88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15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46249</v>
      </c>
      <c r="B25" s="2" t="s">
        <v>101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46249</v>
      </c>
      <c r="B26" s="2" t="s">
        <v>116</v>
      </c>
      <c r="E26" s="2" t="s">
        <v>96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15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46252</v>
      </c>
      <c r="B27" s="2" t="s">
        <v>139</v>
      </c>
      <c r="E27" s="2" t="s">
        <v>105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12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46252</v>
      </c>
      <c r="B28" s="2" t="s">
        <v>127</v>
      </c>
      <c r="E28" s="2" t="s">
        <v>91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12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46252</v>
      </c>
      <c r="B29" s="2" t="s">
        <v>102</v>
      </c>
      <c r="E29" s="2" t="s">
        <v>88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12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46254</v>
      </c>
      <c r="B30" s="2" t="s">
        <v>103</v>
      </c>
      <c r="E30" s="2" t="s">
        <v>75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10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46254</v>
      </c>
      <c r="B31" s="2" t="s">
        <v>122</v>
      </c>
      <c r="E31" s="2" t="s">
        <v>96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10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46255</v>
      </c>
      <c r="B32" s="2" t="s">
        <v>106</v>
      </c>
      <c r="E32" s="2" t="s">
        <v>91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46256</v>
      </c>
      <c r="B33" s="2" t="s">
        <v>107</v>
      </c>
      <c r="E33" s="2" t="s">
        <v>85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46259</v>
      </c>
      <c r="B34" s="2" t="s">
        <v>108</v>
      </c>
      <c r="E34" s="2" t="s">
        <v>85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46259</v>
      </c>
      <c r="B35" s="2" t="s">
        <v>109</v>
      </c>
      <c r="E35" s="2" t="s">
        <v>88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46262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46262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46264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Oct!AI1+Nov!AI1+Dec!AI1+Jan!AI1+Feb!AI1+Mar!AI1+Apr!AI1+May!AI1+Jun!AI1+Jul!AI1+Aug!AI1+Sep!AI1</f>
        <v>52500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46266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46266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46266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46266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46266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46268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46268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46270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46270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46273</v>
      </c>
      <c r="B15" s="2" t="s">
        <v>90</v>
      </c>
      <c r="E15" s="2" t="s">
        <v>91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46275</v>
      </c>
      <c r="B16" s="2" t="s">
        <v>92</v>
      </c>
      <c r="E16" s="2" t="s">
        <v>85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-11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46275</v>
      </c>
      <c r="B17" s="2" t="s">
        <v>101</v>
      </c>
      <c r="E17" s="2" t="s">
        <v>121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-11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46277</v>
      </c>
      <c r="B18" s="2" t="s">
        <v>97</v>
      </c>
      <c r="E18" s="2" t="s">
        <v>88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-13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46279</v>
      </c>
      <c r="B19" s="2" t="s">
        <v>99</v>
      </c>
      <c r="E19" s="2" t="s">
        <v>91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-15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46279</v>
      </c>
      <c r="B20" s="2" t="s">
        <v>100</v>
      </c>
      <c r="E20" s="2" t="s">
        <v>91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-15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46280</v>
      </c>
      <c r="B21" s="2" t="s">
        <v>20</v>
      </c>
      <c r="E21" s="2" t="s">
        <v>88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-16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46280</v>
      </c>
      <c r="B22" s="2" t="s">
        <v>101</v>
      </c>
      <c r="E22" s="2" t="s">
        <v>75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46281</v>
      </c>
      <c r="B23" s="2" t="s">
        <v>119</v>
      </c>
      <c r="E23" s="2" t="s">
        <v>75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-17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46283</v>
      </c>
      <c r="B24" s="2" t="s">
        <v>128</v>
      </c>
      <c r="E24" s="2" t="s">
        <v>96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-19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46283</v>
      </c>
      <c r="B25" s="2" t="s">
        <v>102</v>
      </c>
      <c r="E25" s="2" t="s">
        <v>88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-19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46285</v>
      </c>
      <c r="B26" s="2" t="s">
        <v>103</v>
      </c>
      <c r="E26" s="2" t="s">
        <v>75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-21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46286</v>
      </c>
      <c r="B27" s="2" t="s">
        <v>106</v>
      </c>
      <c r="E27" s="2" t="s">
        <v>91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-22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46287</v>
      </c>
      <c r="B28" s="2" t="s">
        <v>107</v>
      </c>
      <c r="E28" s="2" t="s">
        <v>85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-23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46287</v>
      </c>
      <c r="B29" s="2" t="s">
        <v>123</v>
      </c>
      <c r="E29" s="2" t="s">
        <v>88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-23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46290</v>
      </c>
      <c r="B30" s="2" t="s">
        <v>129</v>
      </c>
      <c r="E30" s="2" t="s">
        <v>130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-26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46290</v>
      </c>
      <c r="B31" s="2" t="s">
        <v>108</v>
      </c>
      <c r="E31" s="2" t="s">
        <v>85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-26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46290</v>
      </c>
      <c r="B32" s="2" t="s">
        <v>109</v>
      </c>
      <c r="E32" s="2" t="s">
        <v>88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-26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46293</v>
      </c>
      <c r="B33" s="2" t="s">
        <v>20</v>
      </c>
      <c r="E33" s="2" t="s">
        <v>88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-29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46295</v>
      </c>
      <c r="B34" s="2" t="s">
        <v>16</v>
      </c>
      <c r="E34" s="2" t="s">
        <v>110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-31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46295</v>
      </c>
      <c r="B35" s="2" t="s">
        <v>131</v>
      </c>
      <c r="E35" s="2" t="s">
        <v>110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-31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150</v>
      </c>
      <c r="B1" s="9"/>
      <c r="C1" s="10" t="n">
        <f aca="false">-SUM([1]TrialBalance!$EJ$28:$EJ$31)</f>
        <v>10832.25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46264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151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152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153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154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