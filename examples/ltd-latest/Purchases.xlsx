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<sst xmlns="http://schemas.openxmlformats.org/spreadsheetml/2006/main" count="948" uniqueCount="119">
  <si>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</si>
  <si>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</si>
  <si>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</si>
  <si>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</si>
  <si>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</si>
  <si>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</si>
  <si>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</si>
  <si>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</si>
  <si>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</si>
  <si>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</si>
  <si>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</si>
  <si>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</si>
  <si>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</si>
  <si>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</si>
  <si>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</si>
  <si>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</si>
  <si>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</si>
  <si>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</si>
  <si>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</si>
  <si>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</si>
  <si>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</si>
  <si>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</si>
  <si>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</si>
  <si>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</si>
  <si>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</si>
  <si>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</si>
  <si>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</si>
  <si>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</si>
  <si>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</si>
  <si>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</si>
  <si>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</si>
  <si>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</si>
  <si>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</si>
  <si>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</si>
  <si>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</si>
  <si>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</si>
  <si>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</si>
  <si>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</si>
  <si>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</si>
  <si>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</si>
  <si>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</si>
  <si>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</si>
  <si>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</si>
  <si>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</si>
  <si>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</si>
  <si>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</si>
  <si>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</si>
  <si>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</si>
  <si>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</si>
  <si>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</si>
  <si>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</si>
  <si>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</si>
  <si>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</si>
  <si>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</si>
  <si>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</si>
  <si>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</si>
  <si>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</si>
  <si>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</si>
  <si>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</si>
  <si>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</si>
  <si>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</si>
  <si>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</si>
  <si>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</si>
  <si>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</si>
  <si>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</si>
  <si>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TechParts Ltd</t>
  </si>
  <si>
    <t xml:space="preserve">s</t>
  </si>
  <si>
    <t xml:space="preserve">WorkSpace Ltd</t>
  </si>
  <si>
    <t xml:space="preserve">r</t>
  </si>
  <si>
    <t xml:space="preserve">Amazon Business</t>
  </si>
  <si>
    <t xml:space="preserve">u</t>
  </si>
  <si>
    <t xml:space="preserve">BT Business</t>
  </si>
  <si>
    <t xml:space="preserve">g</t>
  </si>
  <si>
    <t xml:space="preserve">Admiral Insurance</t>
  </si>
  <si>
    <t xml:space="preserve">v</t>
  </si>
  <si>
    <t xml:space="preserve">Hiscox</t>
  </si>
  <si>
    <t xml:space="preserve">n</t>
  </si>
  <si>
    <t xml:space="preserve">Zurich</t>
  </si>
  <si>
    <t xml:space="preserve">Smith &amp; Co</t>
  </si>
  <si>
    <t xml:space="preserve">l</t>
  </si>
  <si>
    <t xml:space="preserve">Goodwill amortisation</t>
  </si>
  <si>
    <t xml:space="preserve">z</t>
  </si>
  <si>
    <t xml:space="preserve">Cloud Hosting Inc</t>
  </si>
  <si>
    <t xml:space="preserve">o</t>
  </si>
  <si>
    <t xml:space="preserve">DHL Express</t>
  </si>
  <si>
    <t xml:space="preserve">t</t>
  </si>
  <si>
    <t xml:space="preserve">Google Ads</t>
  </si>
  <si>
    <t xml:space="preserve">a</t>
  </si>
  <si>
    <t xml:space="preserve">Shell</t>
  </si>
  <si>
    <t xml:space="preserve">Dell</t>
  </si>
  <si>
    <t xml:space="preserve">fa</t>
  </si>
  <si>
    <t xml:space="preserve">Freelance Dev Co</t>
  </si>
  <si>
    <t xml:space="preserve">c</t>
  </si>
  <si>
    <t xml:space="preserve">British Gas</t>
  </si>
  <si>
    <t xml:space="preserve">p</t>
  </si>
  <si>
    <t xml:space="preserve">Staples</t>
  </si>
  <si>
    <t xml:space="preserve">Premier Inn</t>
  </si>
  <si>
    <t xml:space="preserve">h</t>
  </si>
  <si>
    <t xml:space="preserve">HP Capital</t>
  </si>
  <si>
    <t xml:space="preserve">f</t>
  </si>
  <si>
    <t xml:space="preserve">HireStation</t>
  </si>
  <si>
    <t xml:space="preserve">q</t>
  </si>
  <si>
    <t xml:space="preserve">Halfords</t>
  </si>
  <si>
    <t xml:space="preserve">Toyota</t>
  </si>
  <si>
    <t xml:space="preserve">Casual worker</t>
  </si>
  <si>
    <t xml:space="preserve">w</t>
  </si>
  <si>
    <t xml:space="preserve">IT Fix Ltd</t>
  </si>
  <si>
    <t xml:space="preserve">m</t>
  </si>
  <si>
    <t xml:space="preserve">IKEA Business</t>
  </si>
  <si>
    <t xml:space="preserve">Royal Mail</t>
  </si>
  <si>
    <t xml:space="preserve">Travelodge</t>
  </si>
  <si>
    <t xml:space="preserve">Director fees</t>
  </si>
  <si>
    <t xml:space="preserve">d</t>
  </si>
  <si>
    <t xml:space="preserve">British Heart Foundation</t>
  </si>
  <si>
    <t xml:space="preserve">y</t>
  </si>
  <si>
    <t xml:space="preserve">LinkedIn</t>
  </si>
  <si>
    <t xml:space="preserve">Building Services</t>
  </si>
  <si>
    <t xml:space="preserve">Trainline</t>
  </si>
  <si>
    <t xml:space="preserve">Closing Creditors Balance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</si>
</sst>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C5" s="29"/>
      <c r="E5" s="2"/>
      <c r="F5" s="30"/>
      <c r="G5" s="6" t="str">
        <f aca="false">IF(F5&lt;&gt;0,F5*G$2/(100+G$2)," ")</f>
        <v> </v>
      </c>
      <c r="H5" s="6" t="str">
        <f aca="false">IF((F5&lt;&gt;0),F5-G5," ")</f>
        <v> 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E6" s="2"/>
      <c r="G6" s="6" t="str">
        <f aca="false">IF(F6&lt;&gt;0,F6*G$2/(100+G$2)," ")</f>
        <v> </v>
      </c>
      <c r="H6" s="6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E7" s="2"/>
      <c r="G7" s="6" t="str">
        <f aca="false">IF(F7&lt;&gt;0,F7*G$2/(100+G$2)," ")</f>
        <v> </v>
      </c>
      <c r="H7" s="6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E8" s="2"/>
      <c r="G8" s="6" t="str">
        <f aca="false">IF(F8&lt;&gt;0,F8*G$2/(100+G$2)," ")</f>
        <v> </v>
      </c>
      <c r="H8" s="6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6780</v>
      </c>
      <c r="G1" s="12" t="n">
        <f aca="false">SUM(G5:G300)</f>
        <v>0</v>
      </c>
      <c r="H1" s="12" t="n">
        <f aca="false">SUM(H5:H300)</f>
        <v>6780</v>
      </c>
      <c r="I1" s="13"/>
      <c r="J1" s="14" t="s">
        <v>2</v>
      </c>
      <c r="K1" s="15" t="n">
        <f aca="false">SUM(K5:K300)</f>
        <v>0</v>
      </c>
      <c r="L1" s="15" t="n">
        <f aca="false">SUM(L5:L300)</f>
        <v>6780</v>
      </c>
      <c r="M1" s="16" t="n">
        <f aca="true">TODAY()</f>
        <v>46115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180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1080</v>
      </c>
      <c r="AD1" s="12" t="n">
        <f aca="false">SUM(AD5:AD300)</f>
        <v>960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2400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45818</v>
      </c>
      <c r="B5" s="5" t="s">
        <v>65</v>
      </c>
      <c r="E5" s="5" t="s">
        <v>66</v>
      </c>
      <c r="F5" s="30" t="n">
        <v>600</v>
      </c>
      <c r="H5" s="6" t="n">
        <f aca="false">IF((F5&lt;&gt;0),F5-G5," ")</f>
        <v>600</v>
      </c>
      <c r="J5" s="6"/>
      <c r="K5" s="6"/>
      <c r="L5" s="7" t="n">
        <f aca="false">IF(F5&lt;&gt;0,F5-K5," ")</f>
        <v>600</v>
      </c>
      <c r="M5" s="8" t="n">
        <f aca="false">IF((F5-K5)&lt;&gt;0,M$1-A5," ")</f>
        <v>297</v>
      </c>
      <c r="O5" s="17" t="n">
        <f aca="false">IF((E5="s"),H5," ")</f>
        <v>600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306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45823</v>
      </c>
      <c r="B7" s="2" t="s">
        <v>69</v>
      </c>
      <c r="E7" s="5" t="s">
        <v>70</v>
      </c>
      <c r="F7" s="30" t="n">
        <v>180</v>
      </c>
      <c r="H7" s="6" t="n">
        <f aca="false">IF((F7&lt;&gt;0),F7-G7," ")</f>
        <v>180</v>
      </c>
      <c r="I7" s="5"/>
      <c r="L7" s="7" t="n">
        <f aca="false">IF(F7&lt;&gt;0,F7-K7," ")</f>
        <v>180</v>
      </c>
      <c r="M7" s="8" t="n">
        <f aca="false">IF((F7-K7)&lt;&gt;0,M$1-A7," ")</f>
        <v>292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n">
        <f aca="false">IF((E7="u"),H7," ")</f>
        <v>180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45833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282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45813</v>
      </c>
      <c r="B9" s="2" t="s">
        <v>73</v>
      </c>
      <c r="E9" s="5" t="s">
        <v>74</v>
      </c>
      <c r="F9" s="30" t="n">
        <v>1080</v>
      </c>
      <c r="H9" s="6" t="n">
        <f aca="false">IF((F9&lt;&gt;0),F9-G9," ")</f>
        <v>1080</v>
      </c>
      <c r="I9" s="5"/>
      <c r="L9" s="7" t="n">
        <f aca="false">IF(F9&lt;&gt;0,F9-K9," ")</f>
        <v>1080</v>
      </c>
      <c r="M9" s="8" t="n">
        <f aca="false">IF((F9-K9)&lt;&gt;0,M$1-A9," ")</f>
        <v>302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n">
        <f aca="false">IF((E9="v"),H9," ")</f>
        <v>1080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75</v>
      </c>
      <c r="E10" s="5" t="s">
        <v>76</v>
      </c>
      <c r="F10" s="30" t="n">
        <v>600</v>
      </c>
      <c r="H10" s="6" t="n">
        <f aca="false">IF((F10&lt;&gt;0),F10-G10," ")</f>
        <v>600</v>
      </c>
      <c r="I10" s="5"/>
      <c r="L10" s="7" t="n">
        <f aca="false">IF(F10&lt;&gt;0,F10-K10," ")</f>
        <v>600</v>
      </c>
      <c r="M10" s="8" t="n">
        <f aca="false">IF((F10-K10)&lt;&gt;0,M$1-A10," ")</f>
        <v>306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n">
        <f aca="false">IF((E10="n"),H10," ")</f>
        <v>600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77</v>
      </c>
      <c r="E11" s="5" t="s">
        <v>76</v>
      </c>
      <c r="F11" s="30" t="n">
        <v>360</v>
      </c>
      <c r="H11" s="6" t="n">
        <f aca="false">IF((F11&lt;&gt;0),F11-G11," ")</f>
        <v>360</v>
      </c>
      <c r="I11" s="5"/>
      <c r="L11" s="7" t="n">
        <f aca="false">IF(F11&lt;&gt;0,F11-K11," ")</f>
        <v>360</v>
      </c>
      <c r="M11" s="8" t="n">
        <f aca="false">IF((F11-K11)&lt;&gt;0,M$1-A11," ")</f>
        <v>306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n">
        <f aca="false">IF((E11="n"),H11," ")</f>
        <v>360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45836</v>
      </c>
      <c r="B12" s="2" t="s">
        <v>78</v>
      </c>
      <c r="E12" s="5" t="s">
        <v>79</v>
      </c>
      <c r="F12" s="30" t="n">
        <v>300</v>
      </c>
      <c r="H12" s="6" t="n">
        <f aca="false">IF((F12&lt;&gt;0),F12-G12," ")</f>
        <v>300</v>
      </c>
      <c r="I12" s="5"/>
      <c r="L12" s="7" t="n">
        <f aca="false">IF(F12&lt;&gt;0,F12-K12," ")</f>
        <v>300</v>
      </c>
      <c r="M12" s="8" t="n">
        <f aca="false">IF((F12-K12)&lt;&gt;0,M$1-A12," ")</f>
        <v>279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n">
        <f aca="false">IF((E12="l"),H12," ")</f>
        <v>300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45809</v>
      </c>
      <c r="B13" s="2" t="s">
        <v>80</v>
      </c>
      <c r="E13" s="5" t="s">
        <v>81</v>
      </c>
      <c r="F13" s="30" t="n">
        <v>2400</v>
      </c>
      <c r="H13" s="6" t="n">
        <f aca="false">IF((F13&lt;&gt;0),F13-G13," ")</f>
        <v>2400</v>
      </c>
      <c r="I13" s="5"/>
      <c r="L13" s="7" t="n">
        <f aca="false">IF(F13&lt;&gt;0,F13-K13," ")</f>
        <v>2400</v>
      </c>
      <c r="M13" s="8" t="n">
        <f aca="false">IF((F13-K13)&lt;&gt;0,M$1-A13," ")</f>
        <v>306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n">
        <f aca="false">IF((E13="z"),H13," ")</f>
        <v>2400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5520</v>
      </c>
      <c r="G1" s="12" t="n">
        <f aca="false">SUM(G5:G300)</f>
        <v>0</v>
      </c>
      <c r="H1" s="12" t="n">
        <f aca="false">SUM(H5:H300)</f>
        <v>5520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5520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360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480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1200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45858</v>
      </c>
      <c r="B5" s="5" t="s">
        <v>82</v>
      </c>
      <c r="E5" s="5" t="s">
        <v>83</v>
      </c>
      <c r="F5" s="30" t="n">
        <v>360</v>
      </c>
      <c r="H5" s="6" t="n">
        <f aca="false">IF((F5&lt;&gt;0),F5-G5," ")</f>
        <v>360</v>
      </c>
      <c r="J5" s="6"/>
      <c r="K5" s="6"/>
      <c r="L5" s="7" t="n">
        <f aca="false">IF(F5&lt;&gt;0,F5-K5," ")</f>
        <v>360</v>
      </c>
      <c r="M5" s="8" t="n">
        <f aca="false">IF((F5-K5)&lt;&gt;0,M$1-A5," ")</f>
        <v>257</v>
      </c>
      <c r="O5" s="17" t="str">
        <f aca="false">IF((E5="s"),H5," ")</f>
        <v> </v>
      </c>
      <c r="P5" s="17" t="str">
        <f aca="false">IF((E5="c"),H5," ")</f>
        <v> </v>
      </c>
      <c r="Q5" s="17" t="n">
        <f aca="false">IF((E5="o"),H5," ")</f>
        <v>360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276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45853</v>
      </c>
      <c r="B7" s="2" t="s">
        <v>84</v>
      </c>
      <c r="E7" s="5" t="s">
        <v>85</v>
      </c>
      <c r="F7" s="30" t="n">
        <v>480</v>
      </c>
      <c r="H7" s="6" t="n">
        <f aca="false">IF((F7&lt;&gt;0),F7-G7," ")</f>
        <v>480</v>
      </c>
      <c r="I7" s="5"/>
      <c r="L7" s="7" t="n">
        <f aca="false">IF(F7&lt;&gt;0,F7-K7," ")</f>
        <v>480</v>
      </c>
      <c r="M7" s="8" t="n">
        <f aca="false">IF((F7-K7)&lt;&gt;0,M$1-A7," ")</f>
        <v>262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n">
        <f aca="false">IF((E7="t"),H7," ")</f>
        <v>480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86</v>
      </c>
      <c r="E8" s="5" t="s">
        <v>87</v>
      </c>
      <c r="F8" s="30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276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n">
        <f aca="false">IF((E8="a"),H8," ")</f>
        <v>1200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45863</v>
      </c>
      <c r="B9" s="2" t="s">
        <v>71</v>
      </c>
      <c r="E9" s="5" t="s">
        <v>72</v>
      </c>
      <c r="F9" s="30" t="n">
        <v>60</v>
      </c>
      <c r="H9" s="6" t="n">
        <f aca="false">IF((F9&lt;&gt;0),F9-G9," ")</f>
        <v>60</v>
      </c>
      <c r="I9" s="5"/>
      <c r="L9" s="7" t="n">
        <f aca="false">IF(F9&lt;&gt;0,F9-K9," ")</f>
        <v>60</v>
      </c>
      <c r="M9" s="8" t="n">
        <f aca="false">IF((F9-K9)&lt;&gt;0,M$1-A9," ")</f>
        <v>252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60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45848</v>
      </c>
      <c r="B10" s="2" t="s">
        <v>88</v>
      </c>
      <c r="E10" s="5" t="s">
        <v>74</v>
      </c>
      <c r="F10" s="30" t="n">
        <v>120</v>
      </c>
      <c r="H10" s="6" t="n">
        <f aca="false">IF((F10&lt;&gt;0),F10-G10," ")</f>
        <v>120</v>
      </c>
      <c r="I10" s="5"/>
      <c r="L10" s="7" t="n">
        <f aca="false">IF(F10&lt;&gt;0,F10-K10," ")</f>
        <v>120</v>
      </c>
      <c r="M10" s="8" t="n">
        <f aca="false">IF((F10-K10)&lt;&gt;0,M$1-A10," ")</f>
        <v>267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n">
        <f aca="false">IF((E10="v"),H10," ")</f>
        <v>120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45866</v>
      </c>
      <c r="B11" s="2" t="s">
        <v>78</v>
      </c>
      <c r="E11" s="5" t="s">
        <v>79</v>
      </c>
      <c r="F11" s="30" t="n">
        <v>300</v>
      </c>
      <c r="H11" s="6" t="n">
        <f aca="false">IF((F11&lt;&gt;0),F11-G11," ")</f>
        <v>300</v>
      </c>
      <c r="I11" s="5"/>
      <c r="L11" s="7" t="n">
        <f aca="false">IF(F11&lt;&gt;0,F11-K11," ")</f>
        <v>300</v>
      </c>
      <c r="M11" s="8" t="n">
        <f aca="false">IF((F11-K11)&lt;&gt;0,M$1-A11," ")</f>
        <v>249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n">
        <f aca="false">IF((E11="l"),H11," ")</f>
        <v>300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45843</v>
      </c>
      <c r="B12" s="2" t="s">
        <v>89</v>
      </c>
      <c r="E12" s="5" t="s">
        <v>90</v>
      </c>
      <c r="F12" s="30" t="n">
        <v>1800</v>
      </c>
      <c r="H12" s="6" t="n">
        <f aca="false">IF((F12&lt;&gt;0),F12-G12," ")</f>
        <v>1800</v>
      </c>
      <c r="I12" s="5"/>
      <c r="L12" s="7" t="n">
        <f aca="false">IF(F12&lt;&gt;0,F12-K12," ")</f>
        <v>1800</v>
      </c>
      <c r="M12" s="8" t="n">
        <f aca="false">IF((F12-K12)&lt;&gt;0,M$1-A12," ")</f>
        <v>272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n">
        <f aca="false">IF((E12="fa"),H12," ")</f>
        <v>1800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6840</v>
      </c>
      <c r="G1" s="12" t="n">
        <f aca="false">SUM(G5:G300)</f>
        <v>0</v>
      </c>
      <c r="H1" s="12" t="n">
        <f aca="false">SUM(H5:H300)</f>
        <v>6840</v>
      </c>
      <c r="I1" s="13"/>
      <c r="J1" s="14" t="s">
        <v>2</v>
      </c>
      <c r="K1" s="15" t="n">
        <f aca="false">SUM(K5:K300)</f>
        <v>0</v>
      </c>
      <c r="L1" s="15" t="n">
        <f aca="false">SUM(L5:L300)</f>
        <v>6840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3600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180</v>
      </c>
      <c r="AB1" s="12" t="n">
        <f aca="false">SUM(AB5:AB300)</f>
        <v>480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45884</v>
      </c>
      <c r="B5" s="5" t="s">
        <v>91</v>
      </c>
      <c r="E5" s="5" t="s">
        <v>92</v>
      </c>
      <c r="F5" s="30" t="n">
        <v>3600</v>
      </c>
      <c r="H5" s="6" t="n">
        <f aca="false">IF((F5&lt;&gt;0),F5-G5," ")</f>
        <v>3600</v>
      </c>
      <c r="J5" s="6"/>
      <c r="K5" s="6"/>
      <c r="L5" s="7" t="n">
        <f aca="false">IF(F5&lt;&gt;0,F5-K5," ")</f>
        <v>3600</v>
      </c>
      <c r="M5" s="8" t="n">
        <f aca="false">IF((F5-K5)&lt;&gt;0,M$1-A5," ")</f>
        <v>231</v>
      </c>
      <c r="O5" s="17" t="str">
        <f aca="false">IF((E5="s"),H5," ")</f>
        <v> </v>
      </c>
      <c r="P5" s="17" t="n">
        <f aca="false">IF((E5="c"),H5," ")</f>
        <v>3600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245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45899</v>
      </c>
      <c r="B7" s="2" t="s">
        <v>93</v>
      </c>
      <c r="E7" s="5" t="s">
        <v>94</v>
      </c>
      <c r="F7" s="30" t="n">
        <v>360</v>
      </c>
      <c r="H7" s="6" t="n">
        <f aca="false">IF((F7&lt;&gt;0),F7-G7," ")</f>
        <v>360</v>
      </c>
      <c r="I7" s="5"/>
      <c r="L7" s="7" t="n">
        <f aca="false">IF(F7&lt;&gt;0,F7-K7," ")</f>
        <v>360</v>
      </c>
      <c r="M7" s="8" t="n">
        <f aca="false">IF((F7-K7)&lt;&gt;0,M$1-A7," ")</f>
        <v>216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n">
        <f aca="false">IF((E7="p"),H7," ")</f>
        <v>360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45894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221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45884</v>
      </c>
      <c r="B9" s="2" t="s">
        <v>95</v>
      </c>
      <c r="E9" s="5" t="s">
        <v>72</v>
      </c>
      <c r="F9" s="30" t="n">
        <v>120</v>
      </c>
      <c r="H9" s="6" t="n">
        <f aca="false">IF((F9&lt;&gt;0),F9-G9," ")</f>
        <v>120</v>
      </c>
      <c r="I9" s="5"/>
      <c r="L9" s="7" t="n">
        <f aca="false">IF(F9&lt;&gt;0,F9-K9," ")</f>
        <v>120</v>
      </c>
      <c r="M9" s="8" t="n">
        <f aca="false">IF((F9-K9)&lt;&gt;0,M$1-A9," ")</f>
        <v>231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120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45887</v>
      </c>
      <c r="B10" s="2" t="s">
        <v>96</v>
      </c>
      <c r="E10" s="5" t="s">
        <v>97</v>
      </c>
      <c r="F10" s="30" t="n">
        <v>480</v>
      </c>
      <c r="H10" s="6" t="n">
        <f aca="false">IF((F10&lt;&gt;0),F10-G10," ")</f>
        <v>480</v>
      </c>
      <c r="I10" s="5"/>
      <c r="L10" s="7" t="n">
        <f aca="false">IF(F10&lt;&gt;0,F10-K10," ")</f>
        <v>480</v>
      </c>
      <c r="M10" s="8" t="n">
        <f aca="false">IF((F10-K10)&lt;&gt;0,M$1-A10," ")</f>
        <v>228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n">
        <f aca="false">IF((E10="h"),H10," ")</f>
        <v>480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45870</v>
      </c>
      <c r="B11" s="2" t="s">
        <v>98</v>
      </c>
      <c r="E11" s="5" t="s">
        <v>99</v>
      </c>
      <c r="F11" s="30" t="n">
        <v>720</v>
      </c>
      <c r="H11" s="6" t="n">
        <f aca="false">IF((F11&lt;&gt;0),F11-G11," ")</f>
        <v>720</v>
      </c>
      <c r="I11" s="5"/>
      <c r="L11" s="7" t="n">
        <f aca="false">IF(F11&lt;&gt;0,F11-K11," ")</f>
        <v>720</v>
      </c>
      <c r="M11" s="8" t="n">
        <f aca="false">IF((F11-K11)&lt;&gt;0,M$1-A11," ")</f>
        <v>245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n">
        <f aca="false">IF((E11="f"),H11," ")</f>
        <v>720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45897</v>
      </c>
      <c r="B12" s="2" t="s">
        <v>78</v>
      </c>
      <c r="E12" s="5" t="s">
        <v>79</v>
      </c>
      <c r="F12" s="30" t="n">
        <v>300</v>
      </c>
      <c r="H12" s="6" t="n">
        <f aca="false">IF((F12&lt;&gt;0),F12-G12," ")</f>
        <v>300</v>
      </c>
      <c r="I12" s="5"/>
      <c r="L12" s="7" t="n">
        <f aca="false">IF(F12&lt;&gt;0,F12-K12," ")</f>
        <v>300</v>
      </c>
      <c r="M12" s="8" t="n">
        <f aca="false">IF((F12-K12)&lt;&gt;0,M$1-A12," ")</f>
        <v>218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n">
        <f aca="false">IF((E12="l"),H12," ")</f>
        <v>300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22080</v>
      </c>
      <c r="G1" s="12" t="n">
        <f aca="false">SUM(G5:G300)</f>
        <v>0</v>
      </c>
      <c r="H1" s="12" t="n">
        <f aca="false">SUM(H5:H300)</f>
        <v>22080</v>
      </c>
      <c r="I1" s="13"/>
      <c r="J1" s="14" t="s">
        <v>2</v>
      </c>
      <c r="K1" s="15" t="n">
        <f aca="false">SUM(K5:K300)</f>
        <v>0</v>
      </c>
      <c r="L1" s="15" t="n">
        <f aca="false">SUM(L5:L300)</f>
        <v>22080</v>
      </c>
      <c r="M1" s="16" t="n">
        <f aca="true">TODAY()</f>
        <v>46115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960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840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45910</v>
      </c>
      <c r="B5" s="5" t="s">
        <v>65</v>
      </c>
      <c r="E5" s="5" t="s">
        <v>66</v>
      </c>
      <c r="F5" s="30" t="n">
        <v>720</v>
      </c>
      <c r="H5" s="6" t="n">
        <f aca="false">IF((F5&lt;&gt;0),F5-G5," ")</f>
        <v>720</v>
      </c>
      <c r="J5" s="6"/>
      <c r="K5" s="6"/>
      <c r="L5" s="7" t="n">
        <f aca="false">IF(F5&lt;&gt;0,F5-K5," ")</f>
        <v>720</v>
      </c>
      <c r="M5" s="8" t="n">
        <f aca="false">IF((F5-K5)&lt;&gt;0,M$1-A5," ")</f>
        <v>205</v>
      </c>
      <c r="O5" s="17" t="n">
        <f aca="false">IF((E5="s"),H5," ")</f>
        <v>720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214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45905</v>
      </c>
      <c r="B7" s="2" t="s">
        <v>100</v>
      </c>
      <c r="E7" s="5" t="s">
        <v>101</v>
      </c>
      <c r="F7" s="30" t="n">
        <v>960</v>
      </c>
      <c r="H7" s="6" t="n">
        <f aca="false">IF((F7&lt;&gt;0),F7-G7," ")</f>
        <v>960</v>
      </c>
      <c r="I7" s="5"/>
      <c r="L7" s="7" t="n">
        <f aca="false">IF(F7&lt;&gt;0,F7-K7," ")</f>
        <v>960</v>
      </c>
      <c r="M7" s="8" t="n">
        <f aca="false">IF((F7-K7)&lt;&gt;0,M$1-A7," ")</f>
        <v>210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n">
        <f aca="false">IF((E7="q"),H7," ")</f>
        <v>960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45925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190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45920</v>
      </c>
      <c r="B9" s="2" t="s">
        <v>102</v>
      </c>
      <c r="E9" s="5" t="s">
        <v>74</v>
      </c>
      <c r="F9" s="30" t="n">
        <v>840</v>
      </c>
      <c r="H9" s="6" t="n">
        <f aca="false">IF((F9&lt;&gt;0),F9-G9," ")</f>
        <v>840</v>
      </c>
      <c r="I9" s="5"/>
      <c r="L9" s="7" t="n">
        <f aca="false">IF(F9&lt;&gt;0,F9-K9," ")</f>
        <v>840</v>
      </c>
      <c r="M9" s="8" t="n">
        <f aca="false">IF((F9-K9)&lt;&gt;0,M$1-A9," ")</f>
        <v>195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n">
        <f aca="false">IF((E9="v"),H9," ")</f>
        <v>840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45928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187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103</v>
      </c>
      <c r="E11" s="5" t="s">
        <v>90</v>
      </c>
      <c r="F11" s="30" t="n">
        <v>18000</v>
      </c>
      <c r="H11" s="6" t="n">
        <f aca="false">IF((F11&lt;&gt;0),F11-G11," ")</f>
        <v>18000</v>
      </c>
      <c r="I11" s="5"/>
      <c r="L11" s="7" t="n">
        <f aca="false">IF(F11&lt;&gt;0,F11-K11," ")</f>
        <v>18000</v>
      </c>
      <c r="M11" s="8" t="n">
        <f aca="false">IF((F11-K11)&lt;&gt;0,M$1-A11," ")</f>
        <v>214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n">
        <f aca="false">IF((E11="fa"),H11," ")</f>
        <v>18000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2480</v>
      </c>
      <c r="G1" s="12" t="n">
        <f aca="false">SUM(G5:G300)</f>
        <v>0</v>
      </c>
      <c r="H1" s="12" t="n">
        <f aca="false">SUM(H5:H300)</f>
        <v>2480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2480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45955</v>
      </c>
      <c r="B5" s="5" t="s">
        <v>104</v>
      </c>
      <c r="E5" s="5" t="s">
        <v>105</v>
      </c>
      <c r="F5" s="30" t="n">
        <v>800</v>
      </c>
      <c r="H5" s="6" t="n">
        <f aca="false">IF((F5&lt;&gt;0),F5-G5," ")</f>
        <v>800</v>
      </c>
      <c r="J5" s="6"/>
      <c r="K5" s="6"/>
      <c r="L5" s="7" t="n">
        <f aca="false">IF(F5&lt;&gt;0,F5-K5," ")</f>
        <v>800</v>
      </c>
      <c r="M5" s="8" t="n">
        <f aca="false">IF((F5-K5)&lt;&gt;0,M$1-A5," ")</f>
        <v>160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n">
        <f aca="false">IF((E5="w"),H5," ")</f>
        <v>800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45955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160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45940</v>
      </c>
      <c r="B8" s="2" t="s">
        <v>88</v>
      </c>
      <c r="E8" s="5" t="s">
        <v>74</v>
      </c>
      <c r="F8" s="30" t="n">
        <v>120</v>
      </c>
      <c r="H8" s="6" t="n">
        <f aca="false">IF((F8&lt;&gt;0),F8-G8," ")</f>
        <v>120</v>
      </c>
      <c r="I8" s="5"/>
      <c r="L8" s="7" t="n">
        <f aca="false">IF(F8&lt;&gt;0,F8-K8," ")</f>
        <v>120</v>
      </c>
      <c r="M8" s="8" t="n">
        <f aca="false">IF((F8-K8)&lt;&gt;0,M$1-A8," ")</f>
        <v>175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n">
        <f aca="false">IF((E8="v"),H8," ")</f>
        <v>120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45958</v>
      </c>
      <c r="B9" s="2" t="s">
        <v>78</v>
      </c>
      <c r="E9" s="5" t="s">
        <v>79</v>
      </c>
      <c r="F9" s="30" t="n">
        <v>300</v>
      </c>
      <c r="H9" s="6" t="n">
        <f aca="false">IF((F9&lt;&gt;0),F9-G9," ")</f>
        <v>300</v>
      </c>
      <c r="I9" s="5"/>
      <c r="L9" s="7" t="n">
        <f aca="false">IF(F9&lt;&gt;0,F9-K9," ")</f>
        <v>300</v>
      </c>
      <c r="M9" s="8" t="n">
        <f aca="false">IF((F9-K9)&lt;&gt;0,M$1-A9," ")</f>
        <v>157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n">
        <f aca="false">IF((E9="l"),H9," ")</f>
        <v>300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/>
      <c r="E10" s="2"/>
      <c r="F10" s="30"/>
      <c r="H10" s="6" t="str">
        <f aca="false">IF((F10&lt;&gt;0),F10-G10," ")</f>
        <v> </v>
      </c>
      <c r="I10" s="5"/>
      <c r="L10" s="7" t="str">
        <f aca="false">IF(F10&lt;&gt;0,F10-K10," ")</f>
        <v> </v>
      </c>
      <c r="M10" s="8" t="str">
        <f aca="false">IF((F10-K10)&lt;&gt;0,M$1-A10," ")</f>
        <v> 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7920</v>
      </c>
      <c r="G1" s="12" t="n">
        <f aca="false">SUM(G5:G300)</f>
        <v>0</v>
      </c>
      <c r="H1" s="12" t="n">
        <f aca="false">SUM(H5:H300)</f>
        <v>7920</v>
      </c>
      <c r="I1" s="13"/>
      <c r="J1" s="14" t="s">
        <v>2</v>
      </c>
      <c r="K1" s="15" t="n">
        <f aca="false">SUM(K5:K300)</f>
        <v>0</v>
      </c>
      <c r="L1" s="15" t="n">
        <f aca="false">SUM(L5:L300)</f>
        <v>7920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2400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480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2400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45976</v>
      </c>
      <c r="B5" s="5" t="s">
        <v>91</v>
      </c>
      <c r="E5" s="5" t="s">
        <v>92</v>
      </c>
      <c r="F5" s="30" t="n">
        <v>2400</v>
      </c>
      <c r="H5" s="6" t="n">
        <f aca="false">IF((F5&lt;&gt;0),F5-G5," ")</f>
        <v>2400</v>
      </c>
      <c r="J5" s="6"/>
      <c r="K5" s="6"/>
      <c r="L5" s="7" t="n">
        <f aca="false">IF(F5&lt;&gt;0,F5-K5," ")</f>
        <v>2400</v>
      </c>
      <c r="M5" s="8" t="n">
        <f aca="false">IF((F5-K5)&lt;&gt;0,M$1-A5," ")</f>
        <v>139</v>
      </c>
      <c r="O5" s="17" t="str">
        <f aca="false">IF((E5="s"),H5," ")</f>
        <v> </v>
      </c>
      <c r="P5" s="17" t="n">
        <f aca="false">IF((E5="c"),H5," ")</f>
        <v>2400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153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45991</v>
      </c>
      <c r="B7" s="2" t="s">
        <v>93</v>
      </c>
      <c r="E7" s="5" t="s">
        <v>94</v>
      </c>
      <c r="F7" s="30" t="n">
        <v>360</v>
      </c>
      <c r="H7" s="6" t="n">
        <f aca="false">IF((F7&lt;&gt;0),F7-G7," ")</f>
        <v>360</v>
      </c>
      <c r="I7" s="5"/>
      <c r="L7" s="7" t="n">
        <f aca="false">IF(F7&lt;&gt;0,F7-K7," ")</f>
        <v>360</v>
      </c>
      <c r="M7" s="8" t="n">
        <f aca="false">IF((F7-K7)&lt;&gt;0,M$1-A7," ")</f>
        <v>124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n">
        <f aca="false">IF((E7="p"),H7," ")</f>
        <v>360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45971</v>
      </c>
      <c r="B8" s="2" t="s">
        <v>106</v>
      </c>
      <c r="E8" s="5" t="s">
        <v>107</v>
      </c>
      <c r="F8" s="30" t="n">
        <v>480</v>
      </c>
      <c r="H8" s="6" t="n">
        <f aca="false">IF((F8&lt;&gt;0),F8-G8," ")</f>
        <v>480</v>
      </c>
      <c r="I8" s="5"/>
      <c r="L8" s="7" t="n">
        <f aca="false">IF(F8&lt;&gt;0,F8-K8," ")</f>
        <v>480</v>
      </c>
      <c r="M8" s="8" t="n">
        <f aca="false">IF((F8-K8)&lt;&gt;0,M$1-A8," ")</f>
        <v>144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n">
        <f aca="false">IF((E8="m"),H8," ")</f>
        <v>480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45986</v>
      </c>
      <c r="B9" s="2" t="s">
        <v>71</v>
      </c>
      <c r="E9" s="5" t="s">
        <v>72</v>
      </c>
      <c r="F9" s="30" t="n">
        <v>60</v>
      </c>
      <c r="H9" s="6" t="n">
        <f aca="false">IF((F9&lt;&gt;0),F9-G9," ")</f>
        <v>60</v>
      </c>
      <c r="I9" s="5"/>
      <c r="L9" s="7" t="n">
        <f aca="false">IF(F9&lt;&gt;0,F9-K9," ")</f>
        <v>60</v>
      </c>
      <c r="M9" s="8" t="n">
        <f aca="false">IF((F9-K9)&lt;&gt;0,M$1-A9," ")</f>
        <v>129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60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98</v>
      </c>
      <c r="E10" s="5" t="s">
        <v>99</v>
      </c>
      <c r="F10" s="30" t="n">
        <v>720</v>
      </c>
      <c r="H10" s="6" t="n">
        <f aca="false">IF((F10&lt;&gt;0),F10-G10," ")</f>
        <v>720</v>
      </c>
      <c r="I10" s="5"/>
      <c r="L10" s="7" t="n">
        <f aca="false">IF(F10&lt;&gt;0,F10-K10," ")</f>
        <v>720</v>
      </c>
      <c r="M10" s="8" t="n">
        <f aca="false">IF((F10-K10)&lt;&gt;0,M$1-A10," ")</f>
        <v>153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n">
        <f aca="false">IF((E10="f"),H10," ")</f>
        <v>720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45989</v>
      </c>
      <c r="B11" s="2" t="s">
        <v>78</v>
      </c>
      <c r="E11" s="5" t="s">
        <v>79</v>
      </c>
      <c r="F11" s="30" t="n">
        <v>300</v>
      </c>
      <c r="H11" s="6" t="n">
        <f aca="false">IF((F11&lt;&gt;0),F11-G11," ")</f>
        <v>300</v>
      </c>
      <c r="I11" s="5"/>
      <c r="L11" s="7" t="n">
        <f aca="false">IF(F11&lt;&gt;0,F11-K11," ")</f>
        <v>300</v>
      </c>
      <c r="M11" s="8" t="n">
        <f aca="false">IF((F11-K11)&lt;&gt;0,M$1-A11," ")</f>
        <v>126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n">
        <f aca="false">IF((E11="l"),H11," ")</f>
        <v>300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45962</v>
      </c>
      <c r="B12" s="2" t="s">
        <v>108</v>
      </c>
      <c r="E12" s="5" t="s">
        <v>90</v>
      </c>
      <c r="F12" s="30" t="n">
        <v>2400</v>
      </c>
      <c r="H12" s="6" t="n">
        <f aca="false">IF((F12&lt;&gt;0),F12-G12," ")</f>
        <v>2400</v>
      </c>
      <c r="I12" s="5"/>
      <c r="L12" s="7" t="n">
        <f aca="false">IF(F12&lt;&gt;0,F12-K12," ")</f>
        <v>2400</v>
      </c>
      <c r="M12" s="8" t="n">
        <f aca="false">IF((F12-K12)&lt;&gt;0,M$1-A12," ")</f>
        <v>153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n">
        <f aca="false">IF((E12="fa"),H12," ")</f>
        <v>2400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2184</v>
      </c>
      <c r="G1" s="12" t="n">
        <f aca="false">SUM(G5:G300)</f>
        <v>0</v>
      </c>
      <c r="H1" s="12" t="n">
        <f aca="false">SUM(H5:H300)</f>
        <v>2184</v>
      </c>
      <c r="I1" s="13"/>
      <c r="J1" s="14" t="s">
        <v>2</v>
      </c>
      <c r="K1" s="15" t="n">
        <f aca="false">SUM(K5:K300)</f>
        <v>0</v>
      </c>
      <c r="L1" s="15" t="n">
        <f aca="false">SUM(L5:L300)</f>
        <v>2184</v>
      </c>
      <c r="M1" s="16" t="n">
        <f aca="true">TODAY()</f>
        <v>46115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144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46001</v>
      </c>
      <c r="B5" s="5" t="s">
        <v>65</v>
      </c>
      <c r="E5" s="5" t="s">
        <v>66</v>
      </c>
      <c r="F5" s="30" t="n">
        <v>480</v>
      </c>
      <c r="H5" s="6" t="n">
        <f aca="false">IF((F5&lt;&gt;0),F5-G5," ")</f>
        <v>480</v>
      </c>
      <c r="J5" s="6"/>
      <c r="K5" s="6"/>
      <c r="L5" s="7" t="n">
        <f aca="false">IF(F5&lt;&gt;0,F5-K5," ")</f>
        <v>480</v>
      </c>
      <c r="M5" s="8" t="n">
        <f aca="false">IF((F5-K5)&lt;&gt;0,M$1-A5," ")</f>
        <v>114</v>
      </c>
      <c r="O5" s="17" t="n">
        <f aca="false">IF((E5="s"),H5," ")</f>
        <v>480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46006</v>
      </c>
      <c r="B7" s="2" t="s">
        <v>69</v>
      </c>
      <c r="E7" s="5" t="s">
        <v>70</v>
      </c>
      <c r="F7" s="30" t="n">
        <v>144</v>
      </c>
      <c r="H7" s="6" t="n">
        <f aca="false">IF((F7&lt;&gt;0),F7-G7," ")</f>
        <v>144</v>
      </c>
      <c r="I7" s="5"/>
      <c r="L7" s="7" t="n">
        <f aca="false">IF(F7&lt;&gt;0,F7-K7," ")</f>
        <v>144</v>
      </c>
      <c r="M7" s="8" t="n">
        <f aca="false">IF((F7-K7)&lt;&gt;0,M$1-A7," ")</f>
        <v>109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n">
        <f aca="false">IF((E7="u"),H7," ")</f>
        <v>144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46016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99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46019</v>
      </c>
      <c r="B9" s="2" t="s">
        <v>78</v>
      </c>
      <c r="E9" s="5" t="s">
        <v>79</v>
      </c>
      <c r="F9" s="30" t="n">
        <v>300</v>
      </c>
      <c r="H9" s="6" t="n">
        <f aca="false">IF((F9&lt;&gt;0),F9-G9," ")</f>
        <v>300</v>
      </c>
      <c r="I9" s="5"/>
      <c r="L9" s="7" t="n">
        <f aca="false">IF(F9&lt;&gt;0,F9-K9," ")</f>
        <v>300</v>
      </c>
      <c r="M9" s="8" t="n">
        <f aca="false">IF((F9-K9)&lt;&gt;0,M$1-A9," ")</f>
        <v>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n">
        <f aca="false">IF((E9="l"),H9," ")</f>
        <v>300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/>
      <c r="E10" s="2"/>
      <c r="F10" s="30"/>
      <c r="H10" s="6" t="str">
        <f aca="false">IF((F10&lt;&gt;0),F10-G10," ")</f>
        <v> </v>
      </c>
      <c r="I10" s="5"/>
      <c r="L10" s="7" t="str">
        <f aca="false">IF(F10&lt;&gt;0,F10-K10," ")</f>
        <v> </v>
      </c>
      <c r="M10" s="8" t="str">
        <f aca="false">IF((F10-K10)&lt;&gt;0,M$1-A10," ")</f>
        <v> 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2640</v>
      </c>
      <c r="G1" s="12" t="n">
        <f aca="false">SUM(G5:G300)</f>
        <v>0</v>
      </c>
      <c r="H1" s="12" t="n">
        <f aca="false">SUM(H5:H300)</f>
        <v>2640</v>
      </c>
      <c r="I1" s="13"/>
      <c r="J1" s="14" t="s">
        <v>2</v>
      </c>
      <c r="K1" s="15" t="n">
        <f aca="false">SUM(K5:K300)</f>
        <v>0</v>
      </c>
      <c r="L1" s="15" t="n">
        <f aca="false">SUM(L5:L300)</f>
        <v>2640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360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360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46042</v>
      </c>
      <c r="B5" s="5" t="s">
        <v>82</v>
      </c>
      <c r="E5" s="5" t="s">
        <v>83</v>
      </c>
      <c r="F5" s="30" t="n">
        <v>360</v>
      </c>
      <c r="H5" s="6" t="n">
        <f aca="false">IF((F5&lt;&gt;0),F5-G5," ")</f>
        <v>360</v>
      </c>
      <c r="J5" s="6"/>
      <c r="K5" s="6"/>
      <c r="L5" s="7" t="n">
        <f aca="false">IF(F5&lt;&gt;0,F5-K5," ")</f>
        <v>360</v>
      </c>
      <c r="M5" s="8" t="n">
        <f aca="false">IF((F5-K5)&lt;&gt;0,M$1-A5," ")</f>
        <v>73</v>
      </c>
      <c r="O5" s="17" t="str">
        <f aca="false">IF((E5="s"),H5," ")</f>
        <v> </v>
      </c>
      <c r="P5" s="17" t="str">
        <f aca="false">IF((E5="c"),H5," ")</f>
        <v> </v>
      </c>
      <c r="Q5" s="17" t="n">
        <f aca="false">IF((E5="o"),H5," ")</f>
        <v>360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92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46037</v>
      </c>
      <c r="B7" s="2" t="s">
        <v>109</v>
      </c>
      <c r="E7" s="5" t="s">
        <v>85</v>
      </c>
      <c r="F7" s="30" t="n">
        <v>240</v>
      </c>
      <c r="H7" s="6" t="n">
        <f aca="false">IF((F7&lt;&gt;0),F7-G7," ")</f>
        <v>240</v>
      </c>
      <c r="I7" s="5"/>
      <c r="L7" s="7" t="n">
        <f aca="false">IF(F7&lt;&gt;0,F7-K7," ")</f>
        <v>240</v>
      </c>
      <c r="M7" s="8" t="n">
        <f aca="false">IF((F7-K7)&lt;&gt;0,M$1-A7," ")</f>
        <v>78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n">
        <f aca="false">IF((E7="t"),H7," ")</f>
        <v>240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46047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68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46040</v>
      </c>
      <c r="B9" s="2" t="s">
        <v>110</v>
      </c>
      <c r="E9" s="5" t="s">
        <v>97</v>
      </c>
      <c r="F9" s="30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75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n">
        <f aca="false">IF((E9="h"),H9," ")</f>
        <v>360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46032</v>
      </c>
      <c r="B10" s="2" t="s">
        <v>88</v>
      </c>
      <c r="E10" s="5" t="s">
        <v>74</v>
      </c>
      <c r="F10" s="30" t="n">
        <v>120</v>
      </c>
      <c r="H10" s="6" t="n">
        <f aca="false">IF((F10&lt;&gt;0),F10-G10," ")</f>
        <v>120</v>
      </c>
      <c r="I10" s="5"/>
      <c r="L10" s="7" t="n">
        <f aca="false">IF(F10&lt;&gt;0,F10-K10," ")</f>
        <v>120</v>
      </c>
      <c r="M10" s="8" t="n">
        <f aca="false">IF((F10-K10)&lt;&gt;0,M$1-A10," ")</f>
        <v>83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n">
        <f aca="false">IF((E10="v"),H10," ")</f>
        <v>120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46050</v>
      </c>
      <c r="B11" s="2" t="s">
        <v>78</v>
      </c>
      <c r="E11" s="5" t="s">
        <v>79</v>
      </c>
      <c r="F11" s="30" t="n">
        <v>300</v>
      </c>
      <c r="H11" s="6" t="n">
        <f aca="false">IF((F11&lt;&gt;0),F11-G11," ")</f>
        <v>300</v>
      </c>
      <c r="I11" s="5"/>
      <c r="L11" s="7" t="n">
        <f aca="false">IF(F11&lt;&gt;0,F11-K11," ")</f>
        <v>300</v>
      </c>
      <c r="M11" s="8" t="n">
        <f aca="false">IF((F11-K11)&lt;&gt;0,M$1-A11," ")</f>
        <v>65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n">
        <f aca="false">IF((E11="l"),H11," ")</f>
        <v>300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7900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5" t="n">
        <f aca="false">SUM(L5:L300)</f>
        <v>7900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180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300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46073</v>
      </c>
      <c r="B5" s="5" t="s">
        <v>111</v>
      </c>
      <c r="E5" s="5" t="s">
        <v>112</v>
      </c>
      <c r="F5" s="30" t="n">
        <v>5000</v>
      </c>
      <c r="H5" s="6" t="n">
        <f aca="false">IF((F5&lt;&gt;0),F5-G5," ")</f>
        <v>5000</v>
      </c>
      <c r="J5" s="6"/>
      <c r="K5" s="6"/>
      <c r="L5" s="7" t="n">
        <f aca="false">IF(F5&lt;&gt;0,F5-K5," ")</f>
        <v>5000</v>
      </c>
      <c r="M5" s="8" t="n">
        <f aca="false">IF((F5-K5)&lt;&gt;0,M$1-A5," ")</f>
        <v>42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n">
        <f aca="false">IF((E5="d"),H5," ")</f>
        <v>5000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46078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37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46068</v>
      </c>
      <c r="B8" s="2" t="s">
        <v>95</v>
      </c>
      <c r="E8" s="5" t="s">
        <v>72</v>
      </c>
      <c r="F8" s="30" t="n">
        <v>120</v>
      </c>
      <c r="H8" s="6" t="n">
        <f aca="false">IF((F8&lt;&gt;0),F8-G8," ")</f>
        <v>120</v>
      </c>
      <c r="I8" s="5"/>
      <c r="L8" s="7" t="n">
        <f aca="false">IF(F8&lt;&gt;0,F8-K8," ")</f>
        <v>120</v>
      </c>
      <c r="M8" s="8" t="n">
        <f aca="false">IF((F8-K8)&lt;&gt;0,M$1-A8," ")</f>
        <v>47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120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98</v>
      </c>
      <c r="E9" s="5" t="s">
        <v>99</v>
      </c>
      <c r="F9" s="30" t="n">
        <v>720</v>
      </c>
      <c r="H9" s="6" t="n">
        <f aca="false">IF((F9&lt;&gt;0),F9-G9," ")</f>
        <v>720</v>
      </c>
      <c r="I9" s="5"/>
      <c r="L9" s="7" t="n">
        <f aca="false">IF(F9&lt;&gt;0,F9-K9," ")</f>
        <v>720</v>
      </c>
      <c r="M9" s="8" t="n">
        <f aca="false">IF((F9-K9)&lt;&gt;0,M$1-A9," ")</f>
        <v>61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n">
        <f aca="false">IF((E9="f"),H9," ")</f>
        <v>720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46081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46068</v>
      </c>
      <c r="B11" s="2" t="s">
        <v>113</v>
      </c>
      <c r="E11" s="5" t="s">
        <v>114</v>
      </c>
      <c r="F11" s="30" t="n">
        <v>500</v>
      </c>
      <c r="H11" s="6" t="n">
        <f aca="false">IF((F11&lt;&gt;0),F11-G11," ")</f>
        <v>500</v>
      </c>
      <c r="I11" s="5"/>
      <c r="L11" s="7" t="n">
        <f aca="false">IF(F11&lt;&gt;0,F11-K11," ")</f>
        <v>500</v>
      </c>
      <c r="M11" s="8" t="n">
        <f aca="false">IF((F11-K11)&lt;&gt;0,M$1-A11," ")</f>
        <v>47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n">
        <f aca="false">IF((E11="y"),H11," ")</f>
        <v>500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3120</v>
      </c>
      <c r="G1" s="12" t="n">
        <f aca="false">SUM(G5:G300)</f>
        <v>0</v>
      </c>
      <c r="H1" s="12" t="n">
        <f aca="false">SUM(H5:H300)</f>
        <v>3120</v>
      </c>
      <c r="I1" s="13"/>
      <c r="J1" s="14" t="s">
        <v>2</v>
      </c>
      <c r="K1" s="15" t="n">
        <f aca="false">SUM(K5:K300)</f>
        <v>0</v>
      </c>
      <c r="L1" s="15" t="n">
        <f aca="false">SUM(L5:L300)</f>
        <v>3120</v>
      </c>
      <c r="M1" s="16" t="n">
        <f aca="true">TODAY()</f>
        <v>46115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600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46084</v>
      </c>
      <c r="B5" s="5" t="s">
        <v>93</v>
      </c>
      <c r="E5" s="5" t="s">
        <v>94</v>
      </c>
      <c r="F5" s="30" t="n">
        <v>360</v>
      </c>
      <c r="H5" s="6" t="n">
        <f aca="false">IF((F5&lt;&gt;0),F5-G5," ")</f>
        <v>360</v>
      </c>
      <c r="J5" s="6"/>
      <c r="K5" s="6"/>
      <c r="L5" s="7" t="n">
        <f aca="false">IF(F5&lt;&gt;0,F5-K5," ")</f>
        <v>360</v>
      </c>
      <c r="M5" s="8" t="n">
        <f aca="false">IF((F5-K5)&lt;&gt;0,M$1-A5," ")</f>
        <v>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n">
        <f aca="false">IF((E5="p"),H5," ")</f>
        <v>360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46091</v>
      </c>
      <c r="B6" s="2" t="s">
        <v>65</v>
      </c>
      <c r="E6" s="5" t="s">
        <v>66</v>
      </c>
      <c r="F6" s="30" t="n">
        <v>600</v>
      </c>
      <c r="H6" s="6" t="n">
        <f aca="false">IF((F6&lt;&gt;0),F6-G6," ")</f>
        <v>600</v>
      </c>
      <c r="I6" s="5"/>
      <c r="L6" s="7" t="n">
        <f aca="false">IF(F6&lt;&gt;0,F6-K6," ")</f>
        <v>600</v>
      </c>
      <c r="M6" s="8" t="n">
        <f aca="false">IF((F6-K6)&lt;&gt;0,M$1-A6," ")</f>
        <v>24</v>
      </c>
      <c r="N6" s="5"/>
      <c r="O6" s="17" t="n">
        <f aca="false">IF((E6="s"),H6," ")</f>
        <v>600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67</v>
      </c>
      <c r="E7" s="5" t="s">
        <v>68</v>
      </c>
      <c r="F7" s="30" t="n">
        <v>1200</v>
      </c>
      <c r="H7" s="6" t="n">
        <f aca="false">IF((F7&lt;&gt;0),F7-G7," ")</f>
        <v>1200</v>
      </c>
      <c r="I7" s="5"/>
      <c r="L7" s="7" t="n">
        <f aca="false">IF(F7&lt;&gt;0,F7-K7," ")</f>
        <v>1200</v>
      </c>
      <c r="M7" s="8" t="n">
        <f aca="false">IF((F7-K7)&lt;&gt;0,M$1-A7," ")</f>
        <v>33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n">
        <f aca="false">IF((E7="r"),H7," ")</f>
        <v>1200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46091</v>
      </c>
      <c r="B8" s="2" t="s">
        <v>115</v>
      </c>
      <c r="E8" s="5" t="s">
        <v>87</v>
      </c>
      <c r="F8" s="30" t="n">
        <v>600</v>
      </c>
      <c r="H8" s="6" t="n">
        <f aca="false">IF((F8&lt;&gt;0),F8-G8," ")</f>
        <v>600</v>
      </c>
      <c r="I8" s="5"/>
      <c r="L8" s="7" t="n">
        <f aca="false">IF(F8&lt;&gt;0,F8-K8," ")</f>
        <v>600</v>
      </c>
      <c r="M8" s="8" t="n">
        <f aca="false">IF((F8-K8)&lt;&gt;0,M$1-A8," ")</f>
        <v>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n">
        <f aca="false">IF((E8="a"),H8," ")</f>
        <v>600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46106</v>
      </c>
      <c r="B9" s="2" t="s">
        <v>71</v>
      </c>
      <c r="E9" s="5" t="s">
        <v>72</v>
      </c>
      <c r="F9" s="30" t="n">
        <v>60</v>
      </c>
      <c r="H9" s="6" t="n">
        <f aca="false">IF((F9&lt;&gt;0),F9-G9," ")</f>
        <v>60</v>
      </c>
      <c r="I9" s="5"/>
      <c r="L9" s="7" t="n">
        <f aca="false">IF(F9&lt;&gt;0,F9-K9," ")</f>
        <v>60</v>
      </c>
      <c r="M9" s="8" t="n">
        <f aca="false">IF((F9-K9)&lt;&gt;0,M$1-A9," ")</f>
        <v>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60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46109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2136</v>
      </c>
      <c r="G1" s="12" t="n">
        <f aca="false">SUM(G5:G300)</f>
        <v>0</v>
      </c>
      <c r="H1" s="12" t="n">
        <f aca="false">SUM(H5:H300)</f>
        <v>2136</v>
      </c>
      <c r="I1" s="13"/>
      <c r="J1" s="14" t="s">
        <v>2</v>
      </c>
      <c r="K1" s="15" t="n">
        <f aca="false">SUM(K5:K300)</f>
        <v>0</v>
      </c>
      <c r="L1" s="15" t="n">
        <f aca="false">SUM(L5:L300)</f>
        <v>2136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360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96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46113</v>
      </c>
      <c r="B5" s="5" t="s">
        <v>67</v>
      </c>
      <c r="E5" s="5" t="s">
        <v>68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46122</v>
      </c>
      <c r="B6" s="2" t="s">
        <v>116</v>
      </c>
      <c r="E6" s="5" t="s">
        <v>107</v>
      </c>
      <c r="F6" s="30" t="n">
        <v>360</v>
      </c>
      <c r="H6" s="6" t="n">
        <f aca="false">IF((F6&lt;&gt;0),F6-G6," ")</f>
        <v>360</v>
      </c>
      <c r="I6" s="5"/>
      <c r="L6" s="7" t="n">
        <f aca="false">IF(F6&lt;&gt;0,F6-K6," ")</f>
        <v>360</v>
      </c>
      <c r="M6" s="8" t="n">
        <f aca="false">IF((F6-K6)&lt;&gt;0,M$1-A6," ")</f>
        <v>-7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n">
        <f aca="false">IF((E6="m"),H6," ")</f>
        <v>360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46137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-22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46132</v>
      </c>
      <c r="B8" s="2" t="s">
        <v>117</v>
      </c>
      <c r="E8" s="5" t="s">
        <v>97</v>
      </c>
      <c r="F8" s="30" t="n">
        <v>96</v>
      </c>
      <c r="H8" s="6" t="n">
        <f aca="false">IF((F8&lt;&gt;0),F8-G8," ")</f>
        <v>96</v>
      </c>
      <c r="I8" s="5"/>
      <c r="L8" s="7" t="n">
        <f aca="false">IF(F8&lt;&gt;0,F8-K8," ")</f>
        <v>96</v>
      </c>
      <c r="M8" s="8" t="n">
        <f aca="false">IF((F8-K8)&lt;&gt;0,M$1-A8," ")</f>
        <v>-17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n">
        <f aca="false">IF((E8="h"),H8," ")</f>
        <v>96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46122</v>
      </c>
      <c r="B9" s="2" t="s">
        <v>88</v>
      </c>
      <c r="E9" s="5" t="s">
        <v>74</v>
      </c>
      <c r="F9" s="30" t="n">
        <v>120</v>
      </c>
      <c r="H9" s="6" t="n">
        <f aca="false">IF((F9&lt;&gt;0),F9-G9," ")</f>
        <v>120</v>
      </c>
      <c r="I9" s="5"/>
      <c r="L9" s="7" t="n">
        <f aca="false">IF(F9&lt;&gt;0,F9-K9," ")</f>
        <v>120</v>
      </c>
      <c r="M9" s="8" t="n">
        <f aca="false">IF((F9-K9)&lt;&gt;0,M$1-A9," ")</f>
        <v>-7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n">
        <f aca="false">IF((E9="v"),H9," ")</f>
        <v>120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46140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-25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4440</v>
      </c>
      <c r="G1" s="12" t="n">
        <f aca="false">SUM(G5:G300)</f>
        <v>0</v>
      </c>
      <c r="H1" s="12" t="n">
        <f aca="false">SUM(H5:H300)</f>
        <v>4440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4440</v>
      </c>
      <c r="M1" s="16" t="n">
        <f aca="true">TODAY()</f>
        <v>46115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2100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51" t="n">
        <f aca="false">Jun!AI1+Jul!AI1+Aug!AI1+Sep!AI1+Oct!AI1+Nov!AI1+Dec!AI1+Jan!AI1+Feb!AI1+Mar!AI1+Apr!AI1+May!AI1</f>
        <v>22200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34</v>
      </c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46143</v>
      </c>
      <c r="B5" s="5" t="s">
        <v>67</v>
      </c>
      <c r="E5" s="5" t="s">
        <v>68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46173</v>
      </c>
      <c r="B6" s="2" t="s">
        <v>93</v>
      </c>
      <c r="E6" s="5" t="s">
        <v>94</v>
      </c>
      <c r="F6" s="30" t="n">
        <v>360</v>
      </c>
      <c r="H6" s="6" t="n">
        <f aca="false">IF((F6&lt;&gt;0),F6-G6," ")</f>
        <v>360</v>
      </c>
      <c r="I6" s="5"/>
      <c r="L6" s="7" t="n">
        <f aca="false">IF(F6&lt;&gt;0,F6-K6," ")</f>
        <v>360</v>
      </c>
      <c r="M6" s="8" t="n">
        <f aca="false">IF((F6-K6)&lt;&gt;0,M$1-A6," ")</f>
        <v>-58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n">
        <f aca="false">IF((E6="p"),H6," ")</f>
        <v>360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46167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-52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98</v>
      </c>
      <c r="E8" s="5" t="s">
        <v>99</v>
      </c>
      <c r="F8" s="30" t="n">
        <v>720</v>
      </c>
      <c r="H8" s="6" t="n">
        <f aca="false">IF((F8&lt;&gt;0),F8-G8," ")</f>
        <v>720</v>
      </c>
      <c r="I8" s="5"/>
      <c r="L8" s="7" t="n">
        <f aca="false">IF(F8&lt;&gt;0,F8-K8," ")</f>
        <v>720</v>
      </c>
      <c r="M8" s="8" t="n">
        <f aca="false">IF((F8-K8)&lt;&gt;0,M$1-A8," ")</f>
        <v>-28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n">
        <f aca="false">IF((E8="f"),H8," ")</f>
        <v>720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46170</v>
      </c>
      <c r="B9" s="2" t="s">
        <v>78</v>
      </c>
      <c r="E9" s="5" t="s">
        <v>79</v>
      </c>
      <c r="F9" s="30" t="n">
        <v>300</v>
      </c>
      <c r="H9" s="6" t="n">
        <f aca="false">IF((F9&lt;&gt;0),F9-G9," ")</f>
        <v>300</v>
      </c>
      <c r="I9" s="5"/>
      <c r="L9" s="7" t="n">
        <f aca="false">IF(F9&lt;&gt;0,F9-K9," ")</f>
        <v>300</v>
      </c>
      <c r="M9" s="8" t="n">
        <f aca="false">IF((F9-K9)&lt;&gt;0,M$1-A9," ")</f>
        <v>-55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n">
        <f aca="false">IF((E9="l"),H9," ")</f>
        <v>300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46167</v>
      </c>
      <c r="B10" s="2" t="s">
        <v>78</v>
      </c>
      <c r="E10" s="5" t="s">
        <v>79</v>
      </c>
      <c r="F10" s="30" t="n">
        <v>1800</v>
      </c>
      <c r="H10" s="6" t="n">
        <f aca="false">IF((F10&lt;&gt;0),F10-G10," ")</f>
        <v>1800</v>
      </c>
      <c r="I10" s="5"/>
      <c r="L10" s="7" t="n">
        <f aca="false">IF(F10&lt;&gt;0,F10-K10," ")</f>
        <v>1800</v>
      </c>
      <c r="M10" s="8" t="n">
        <f aca="false">IF((F10-K10)&lt;&gt;0,M$1-A10," ")</f>
        <v>-52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1800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118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C5" s="29"/>
      <c r="E5" s="2"/>
      <c r="F5" s="30"/>
      <c r="G5" s="6" t="str">
        <f aca="false">IF(F5&lt;&gt;0,F5*G$2/(100+G$2)," ")</f>
        <v> </v>
      </c>
      <c r="H5" s="6" t="str">
        <f aca="false">IF((F5&lt;&gt;0),F5-G5," ")</f>
        <v> 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E6" s="2"/>
      <c r="G6" s="6" t="str">
        <f aca="false">IF(F6&lt;&gt;0,F6*G$2/(100+G$2)," ")</f>
        <v> </v>
      </c>
      <c r="H6" s="6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E7" s="2"/>
      <c r="G7" s="6" t="str">
        <f aca="false">IF(F7&lt;&gt;0,F7*G$2/(100+G$2)," ")</f>
        <v> </v>
      </c>
      <c r="H7" s="6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E8" s="2"/>
      <c r="G8" s="6" t="str">
        <f aca="false">IF(F8&lt;&gt;0,F8*G$2/(100+G$2)," ")</f>
        <v> </v>
      </c>
      <c r="H8" s="6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