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<sst xmlns="http://schemas.openxmlformats.org/spreadsheetml/2006/main" count="948" uniqueCount="119">
  <si>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</si>
  <si>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</si>
  <si>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</si>
  <si>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</si>
  <si>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</si>
  <si>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</si>
  <si>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</si>
  <si>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</si>
  <si>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</si>
  <si>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</si>
  <si>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</si>
  <si>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</si>
  <si>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</si>
  <si>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</si>
  <si>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</si>
  <si>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</si>
  <si>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</si>
  <si>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</si>
  <si>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</si>
  <si>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</si>
  <si>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</si>
  <si>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</si>
  <si>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</si>
  <si>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</si>
  <si>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</si>
  <si>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</si>
  <si>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</si>
  <si>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</si>
  <si>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</si>
  <si>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</si>
  <si>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</si>
  <si>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</si>
  <si>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</si>
  <si>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</si>
  <si>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</si>
  <si>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</si>
  <si>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</si>
  <si>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</si>
  <si>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</si>
  <si>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</si>
  <si>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</si>
  <si>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</si>
  <si>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</si>
  <si>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</si>
  <si>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</si>
  <si>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</si>
  <si>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</si>
  <si>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</si>
  <si>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</si>
  <si>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</si>
  <si>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</si>
  <si>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</si>
  <si>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</si>
  <si>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</si>
  <si>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</si>
  <si>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</si>
  <si>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</si>
  <si>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</si>
  <si>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</si>
  <si>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</si>
  <si>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</si>
  <si>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</si>
  <si>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</si>
  <si>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</si>
  <si>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</si>
  <si>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TechParts Ltd</t>
  </si>
  <si>
    <t xml:space="preserve">s</t>
  </si>
  <si>
    <t xml:space="preserve">WorkSpace Ltd</t>
  </si>
  <si>
    <t xml:space="preserve">r</t>
  </si>
  <si>
    <t xml:space="preserve">Amazon Business</t>
  </si>
  <si>
    <t xml:space="preserve">u</t>
  </si>
  <si>
    <t xml:space="preserve">BT Business</t>
  </si>
  <si>
    <t xml:space="preserve">g</t>
  </si>
  <si>
    <t xml:space="preserve">Admiral Insurance</t>
  </si>
  <si>
    <t xml:space="preserve">v</t>
  </si>
  <si>
    <t xml:space="preserve">Hiscox</t>
  </si>
  <si>
    <t xml:space="preserve">n</t>
  </si>
  <si>
    <t xml:space="preserve">Zurich</t>
  </si>
  <si>
    <t xml:space="preserve">Smith &amp; Co</t>
  </si>
  <si>
    <t xml:space="preserve">l</t>
  </si>
  <si>
    <t xml:space="preserve">Goodwill amortisation</t>
  </si>
  <si>
    <t xml:space="preserve">z</t>
  </si>
  <si>
    <t xml:space="preserve">Cloud Hosting Inc</t>
  </si>
  <si>
    <t xml:space="preserve">o</t>
  </si>
  <si>
    <t xml:space="preserve">DHL Express</t>
  </si>
  <si>
    <t xml:space="preserve">t</t>
  </si>
  <si>
    <t xml:space="preserve">Google Ads</t>
  </si>
  <si>
    <t xml:space="preserve">a</t>
  </si>
  <si>
    <t xml:space="preserve">Shell</t>
  </si>
  <si>
    <t xml:space="preserve">Dell</t>
  </si>
  <si>
    <t xml:space="preserve">fa</t>
  </si>
  <si>
    <t xml:space="preserve">Freelance Dev Co</t>
  </si>
  <si>
    <t xml:space="preserve">c</t>
  </si>
  <si>
    <t xml:space="preserve">British Gas</t>
  </si>
  <si>
    <t xml:space="preserve">p</t>
  </si>
  <si>
    <t xml:space="preserve">Staples</t>
  </si>
  <si>
    <t xml:space="preserve">Premier Inn</t>
  </si>
  <si>
    <t xml:space="preserve">h</t>
  </si>
  <si>
    <t xml:space="preserve">HP Capital</t>
  </si>
  <si>
    <t xml:space="preserve">f</t>
  </si>
  <si>
    <t xml:space="preserve">HireStation</t>
  </si>
  <si>
    <t xml:space="preserve">q</t>
  </si>
  <si>
    <t xml:space="preserve">Halfords</t>
  </si>
  <si>
    <t xml:space="preserve">Toyota</t>
  </si>
  <si>
    <t xml:space="preserve">Casual worker</t>
  </si>
  <si>
    <t xml:space="preserve">w</t>
  </si>
  <si>
    <t xml:space="preserve">IT Fix Ltd</t>
  </si>
  <si>
    <t xml:space="preserve">m</t>
  </si>
  <si>
    <t xml:space="preserve">IKEA Business</t>
  </si>
  <si>
    <t xml:space="preserve">Royal Mail</t>
  </si>
  <si>
    <t xml:space="preserve">Travelodge</t>
  </si>
  <si>
    <t xml:space="preserve">Director fees</t>
  </si>
  <si>
    <t xml:space="preserve">d</t>
  </si>
  <si>
    <t xml:space="preserve">British Heart Foundation</t>
  </si>
  <si>
    <t xml:space="preserve">y</t>
  </si>
  <si>
    <t xml:space="preserve">LinkedIn</t>
  </si>
  <si>
    <t xml:space="preserve">Building Services</t>
  </si>
  <si>
    <t xml:space="preserve">Trainline</t>
  </si>
  <si>
    <t xml:space="preserve">Closing Creditors Balance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</si>
</sst>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6780</v>
      </c>
      <c r="G1" s="12" t="n">
        <f aca="false">SUM(G5:G300)</f>
        <v>0</v>
      </c>
      <c r="H1" s="12" t="n">
        <f aca="false">SUM(H5:H300)</f>
        <v>6780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6780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180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1080</v>
      </c>
      <c r="AD1" s="12" t="n">
        <f aca="false">SUM(AD5:AD300)</f>
        <v>960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2400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45818</v>
      </c>
      <c r="B5" s="5" t="s">
        <v>65</v>
      </c>
      <c r="E5" s="5" t="s">
        <v>66</v>
      </c>
      <c r="F5" s="30" t="n">
        <v>600</v>
      </c>
      <c r="H5" s="6" t="n">
        <f aca="false">IF((F5&lt;&gt;0),F5-G5," ")</f>
        <v>600</v>
      </c>
      <c r="J5" s="6"/>
      <c r="K5" s="6"/>
      <c r="L5" s="7" t="n">
        <f aca="false">IF(F5&lt;&gt;0,F5-K5," ")</f>
        <v>600</v>
      </c>
      <c r="M5" s="8" t="n">
        <f aca="false">IF((F5-K5)&lt;&gt;0,M$1-A5," ")</f>
        <v>298</v>
      </c>
      <c r="O5" s="17" t="n">
        <f aca="false">IF((E5="s"),H5," ")</f>
        <v>600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307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45823</v>
      </c>
      <c r="B7" s="2" t="s">
        <v>69</v>
      </c>
      <c r="E7" s="5" t="s">
        <v>70</v>
      </c>
      <c r="F7" s="30" t="n">
        <v>180</v>
      </c>
      <c r="H7" s="6" t="n">
        <f aca="false">IF((F7&lt;&gt;0),F7-G7," ")</f>
        <v>180</v>
      </c>
      <c r="I7" s="5"/>
      <c r="L7" s="7" t="n">
        <f aca="false">IF(F7&lt;&gt;0,F7-K7," ")</f>
        <v>180</v>
      </c>
      <c r="M7" s="8" t="n">
        <f aca="false">IF((F7-K7)&lt;&gt;0,M$1-A7," ")</f>
        <v>293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n">
        <f aca="false">IF((E7="u"),H7," ")</f>
        <v>180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45833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283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45813</v>
      </c>
      <c r="B9" s="2" t="s">
        <v>73</v>
      </c>
      <c r="E9" s="5" t="s">
        <v>74</v>
      </c>
      <c r="F9" s="30" t="n">
        <v>1080</v>
      </c>
      <c r="H9" s="6" t="n">
        <f aca="false">IF((F9&lt;&gt;0),F9-G9," ")</f>
        <v>1080</v>
      </c>
      <c r="I9" s="5"/>
      <c r="L9" s="7" t="n">
        <f aca="false">IF(F9&lt;&gt;0,F9-K9," ")</f>
        <v>1080</v>
      </c>
      <c r="M9" s="8" t="n">
        <f aca="false">IF((F9-K9)&lt;&gt;0,M$1-A9," ")</f>
        <v>303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1080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75</v>
      </c>
      <c r="E10" s="5" t="s">
        <v>76</v>
      </c>
      <c r="F10" s="30" t="n">
        <v>600</v>
      </c>
      <c r="H10" s="6" t="n">
        <f aca="false">IF((F10&lt;&gt;0),F10-G10," ")</f>
        <v>600</v>
      </c>
      <c r="I10" s="5"/>
      <c r="L10" s="7" t="n">
        <f aca="false">IF(F10&lt;&gt;0,F10-K10," ")</f>
        <v>600</v>
      </c>
      <c r="M10" s="8" t="n">
        <f aca="false">IF((F10-K10)&lt;&gt;0,M$1-A10," ")</f>
        <v>307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n">
        <f aca="false">IF((E10="n"),H10," ")</f>
        <v>600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77</v>
      </c>
      <c r="E11" s="5" t="s">
        <v>76</v>
      </c>
      <c r="F11" s="30" t="n">
        <v>360</v>
      </c>
      <c r="H11" s="6" t="n">
        <f aca="false">IF((F11&lt;&gt;0),F11-G11," ")</f>
        <v>360</v>
      </c>
      <c r="I11" s="5"/>
      <c r="L11" s="7" t="n">
        <f aca="false">IF(F11&lt;&gt;0,F11-K11," ")</f>
        <v>360</v>
      </c>
      <c r="M11" s="8" t="n">
        <f aca="false">IF((F11-K11)&lt;&gt;0,M$1-A11," ")</f>
        <v>307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n">
        <f aca="false">IF((E11="n"),H11," ")</f>
        <v>360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45836</v>
      </c>
      <c r="B12" s="2" t="s">
        <v>78</v>
      </c>
      <c r="E12" s="5" t="s">
        <v>79</v>
      </c>
      <c r="F12" s="30" t="n">
        <v>300</v>
      </c>
      <c r="H12" s="6" t="n">
        <f aca="false">IF((F12&lt;&gt;0),F12-G12," ")</f>
        <v>300</v>
      </c>
      <c r="I12" s="5"/>
      <c r="L12" s="7" t="n">
        <f aca="false">IF(F12&lt;&gt;0,F12-K12," ")</f>
        <v>300</v>
      </c>
      <c r="M12" s="8" t="n">
        <f aca="false">IF((F12-K12)&lt;&gt;0,M$1-A12," ")</f>
        <v>280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n">
        <f aca="false">IF((E12="l"),H12," ")</f>
        <v>300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45809</v>
      </c>
      <c r="B13" s="2" t="s">
        <v>80</v>
      </c>
      <c r="E13" s="5" t="s">
        <v>81</v>
      </c>
      <c r="F13" s="30" t="n">
        <v>2400</v>
      </c>
      <c r="H13" s="6" t="n">
        <f aca="false">IF((F13&lt;&gt;0),F13-G13," ")</f>
        <v>2400</v>
      </c>
      <c r="I13" s="5"/>
      <c r="L13" s="7" t="n">
        <f aca="false">IF(F13&lt;&gt;0,F13-K13," ")</f>
        <v>2400</v>
      </c>
      <c r="M13" s="8" t="n">
        <f aca="false">IF((F13-K13)&lt;&gt;0,M$1-A13," ")</f>
        <v>307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n">
        <f aca="false">IF((E13="z"),H13," ")</f>
        <v>2400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5520</v>
      </c>
      <c r="G1" s="12" t="n">
        <f aca="false">SUM(G5:G300)</f>
        <v>0</v>
      </c>
      <c r="H1" s="12" t="n">
        <f aca="false">SUM(H5:H300)</f>
        <v>5520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5520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360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480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1200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45858</v>
      </c>
      <c r="B5" s="5" t="s">
        <v>82</v>
      </c>
      <c r="E5" s="5" t="s">
        <v>83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258</v>
      </c>
      <c r="O5" s="17" t="str">
        <f aca="false">IF((E5="s"),H5," ")</f>
        <v> </v>
      </c>
      <c r="P5" s="17" t="str">
        <f aca="false">IF((E5="c"),H5," ")</f>
        <v> </v>
      </c>
      <c r="Q5" s="17" t="n">
        <f aca="false">IF((E5="o"),H5," ")</f>
        <v>360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45853</v>
      </c>
      <c r="B7" s="2" t="s">
        <v>84</v>
      </c>
      <c r="E7" s="5" t="s">
        <v>85</v>
      </c>
      <c r="F7" s="30" t="n">
        <v>480</v>
      </c>
      <c r="H7" s="6" t="n">
        <f aca="false">IF((F7&lt;&gt;0),F7-G7," ")</f>
        <v>480</v>
      </c>
      <c r="I7" s="5"/>
      <c r="L7" s="7" t="n">
        <f aca="false">IF(F7&lt;&gt;0,F7-K7," ")</f>
        <v>480</v>
      </c>
      <c r="M7" s="8" t="n">
        <f aca="false">IF((F7-K7)&lt;&gt;0,M$1-A7," ")</f>
        <v>263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n">
        <f aca="false">IF((E7="t"),H7," ")</f>
        <v>480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86</v>
      </c>
      <c r="E8" s="5" t="s">
        <v>87</v>
      </c>
      <c r="F8" s="30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277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n">
        <f aca="false">IF((E8="a"),H8," ")</f>
        <v>1200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45863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253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45848</v>
      </c>
      <c r="B10" s="2" t="s">
        <v>88</v>
      </c>
      <c r="E10" s="5" t="s">
        <v>74</v>
      </c>
      <c r="F10" s="30" t="n">
        <v>120</v>
      </c>
      <c r="H10" s="6" t="n">
        <f aca="false">IF((F10&lt;&gt;0),F10-G10," ")</f>
        <v>120</v>
      </c>
      <c r="I10" s="5"/>
      <c r="L10" s="7" t="n">
        <f aca="false">IF(F10&lt;&gt;0,F10-K10," ")</f>
        <v>120</v>
      </c>
      <c r="M10" s="8" t="n">
        <f aca="false">IF((F10-K10)&lt;&gt;0,M$1-A10," ")</f>
        <v>268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n">
        <f aca="false">IF((E10="v"),H10," ")</f>
        <v>120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45866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250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45843</v>
      </c>
      <c r="B12" s="2" t="s">
        <v>89</v>
      </c>
      <c r="E12" s="5" t="s">
        <v>90</v>
      </c>
      <c r="F12" s="30" t="n">
        <v>1800</v>
      </c>
      <c r="H12" s="6" t="n">
        <f aca="false">IF((F12&lt;&gt;0),F12-G12," ")</f>
        <v>1800</v>
      </c>
      <c r="I12" s="5"/>
      <c r="L12" s="7" t="n">
        <f aca="false">IF(F12&lt;&gt;0,F12-K12," ")</f>
        <v>1800</v>
      </c>
      <c r="M12" s="8" t="n">
        <f aca="false">IF((F12-K12)&lt;&gt;0,M$1-A12," ")</f>
        <v>273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n">
        <f aca="false">IF((E12="fa"),H12," ")</f>
        <v>1800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6840</v>
      </c>
      <c r="G1" s="12" t="n">
        <f aca="false">SUM(G5:G300)</f>
        <v>0</v>
      </c>
      <c r="H1" s="12" t="n">
        <f aca="false">SUM(H5:H300)</f>
        <v>6840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6840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3600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180</v>
      </c>
      <c r="AB1" s="12" t="n">
        <f aca="false">SUM(AB5:AB300)</f>
        <v>480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45884</v>
      </c>
      <c r="B5" s="5" t="s">
        <v>91</v>
      </c>
      <c r="E5" s="5" t="s">
        <v>92</v>
      </c>
      <c r="F5" s="30" t="n">
        <v>3600</v>
      </c>
      <c r="H5" s="6" t="n">
        <f aca="false">IF((F5&lt;&gt;0),F5-G5," ")</f>
        <v>3600</v>
      </c>
      <c r="J5" s="6"/>
      <c r="K5" s="6"/>
      <c r="L5" s="7" t="n">
        <f aca="false">IF(F5&lt;&gt;0,F5-K5," ")</f>
        <v>3600</v>
      </c>
      <c r="M5" s="8" t="n">
        <f aca="false">IF((F5-K5)&lt;&gt;0,M$1-A5," ")</f>
        <v>232</v>
      </c>
      <c r="O5" s="17" t="str">
        <f aca="false">IF((E5="s"),H5," ")</f>
        <v> </v>
      </c>
      <c r="P5" s="17" t="n">
        <f aca="false">IF((E5="c"),H5," ")</f>
        <v>3600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45899</v>
      </c>
      <c r="B7" s="2" t="s">
        <v>93</v>
      </c>
      <c r="E7" s="5" t="s">
        <v>94</v>
      </c>
      <c r="F7" s="30" t="n">
        <v>360</v>
      </c>
      <c r="H7" s="6" t="n">
        <f aca="false">IF((F7&lt;&gt;0),F7-G7," ")</f>
        <v>360</v>
      </c>
      <c r="I7" s="5"/>
      <c r="L7" s="7" t="n">
        <f aca="false">IF(F7&lt;&gt;0,F7-K7," ")</f>
        <v>360</v>
      </c>
      <c r="M7" s="8" t="n">
        <f aca="false">IF((F7-K7)&lt;&gt;0,M$1-A7," ")</f>
        <v>217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n">
        <f aca="false">IF((E7="p"),H7," ")</f>
        <v>360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45894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222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45884</v>
      </c>
      <c r="B9" s="2" t="s">
        <v>95</v>
      </c>
      <c r="E9" s="5" t="s">
        <v>72</v>
      </c>
      <c r="F9" s="30" t="n">
        <v>120</v>
      </c>
      <c r="H9" s="6" t="n">
        <f aca="false">IF((F9&lt;&gt;0),F9-G9," ")</f>
        <v>120</v>
      </c>
      <c r="I9" s="5"/>
      <c r="L9" s="7" t="n">
        <f aca="false">IF(F9&lt;&gt;0,F9-K9," ")</f>
        <v>120</v>
      </c>
      <c r="M9" s="8" t="n">
        <f aca="false">IF((F9-K9)&lt;&gt;0,M$1-A9," ")</f>
        <v>232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120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45887</v>
      </c>
      <c r="B10" s="2" t="s">
        <v>96</v>
      </c>
      <c r="E10" s="5" t="s">
        <v>97</v>
      </c>
      <c r="F10" s="30" t="n">
        <v>480</v>
      </c>
      <c r="H10" s="6" t="n">
        <f aca="false">IF((F10&lt;&gt;0),F10-G10," ")</f>
        <v>480</v>
      </c>
      <c r="I10" s="5"/>
      <c r="L10" s="7" t="n">
        <f aca="false">IF(F10&lt;&gt;0,F10-K10," ")</f>
        <v>480</v>
      </c>
      <c r="M10" s="8" t="n">
        <f aca="false">IF((F10-K10)&lt;&gt;0,M$1-A10," ")</f>
        <v>229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n">
        <f aca="false">IF((E10="h"),H10," ")</f>
        <v>480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45870</v>
      </c>
      <c r="B11" s="2" t="s">
        <v>98</v>
      </c>
      <c r="E11" s="5" t="s">
        <v>99</v>
      </c>
      <c r="F11" s="30" t="n">
        <v>720</v>
      </c>
      <c r="H11" s="6" t="n">
        <f aca="false">IF((F11&lt;&gt;0),F11-G11," ")</f>
        <v>720</v>
      </c>
      <c r="I11" s="5"/>
      <c r="L11" s="7" t="n">
        <f aca="false">IF(F11&lt;&gt;0,F11-K11," ")</f>
        <v>720</v>
      </c>
      <c r="M11" s="8" t="n">
        <f aca="false">IF((F11-K11)&lt;&gt;0,M$1-A11," ")</f>
        <v>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n">
        <f aca="false">IF((E11="f"),H11," ")</f>
        <v>720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45897</v>
      </c>
      <c r="B12" s="2" t="s">
        <v>78</v>
      </c>
      <c r="E12" s="5" t="s">
        <v>79</v>
      </c>
      <c r="F12" s="30" t="n">
        <v>300</v>
      </c>
      <c r="H12" s="6" t="n">
        <f aca="false">IF((F12&lt;&gt;0),F12-G12," ")</f>
        <v>300</v>
      </c>
      <c r="I12" s="5"/>
      <c r="L12" s="7" t="n">
        <f aca="false">IF(F12&lt;&gt;0,F12-K12," ")</f>
        <v>300</v>
      </c>
      <c r="M12" s="8" t="n">
        <f aca="false">IF((F12-K12)&lt;&gt;0,M$1-A12," ")</f>
        <v>219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n">
        <f aca="false">IF((E12="l"),H12," ")</f>
        <v>300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22080</v>
      </c>
      <c r="G1" s="12" t="n">
        <f aca="false">SUM(G5:G300)</f>
        <v>0</v>
      </c>
      <c r="H1" s="12" t="n">
        <f aca="false">SUM(H5:H300)</f>
        <v>22080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22080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960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840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45910</v>
      </c>
      <c r="B5" s="5" t="s">
        <v>65</v>
      </c>
      <c r="E5" s="5" t="s">
        <v>66</v>
      </c>
      <c r="F5" s="30" t="n">
        <v>720</v>
      </c>
      <c r="H5" s="6" t="n">
        <f aca="false">IF((F5&lt;&gt;0),F5-G5," ")</f>
        <v>720</v>
      </c>
      <c r="J5" s="6"/>
      <c r="K5" s="6"/>
      <c r="L5" s="7" t="n">
        <f aca="false">IF(F5&lt;&gt;0,F5-K5," ")</f>
        <v>720</v>
      </c>
      <c r="M5" s="8" t="n">
        <f aca="false">IF((F5-K5)&lt;&gt;0,M$1-A5," ")</f>
        <v>206</v>
      </c>
      <c r="O5" s="17" t="n">
        <f aca="false">IF((E5="s"),H5," ")</f>
        <v>720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45905</v>
      </c>
      <c r="B7" s="2" t="s">
        <v>100</v>
      </c>
      <c r="E7" s="5" t="s">
        <v>101</v>
      </c>
      <c r="F7" s="30" t="n">
        <v>960</v>
      </c>
      <c r="H7" s="6" t="n">
        <f aca="false">IF((F7&lt;&gt;0),F7-G7," ")</f>
        <v>960</v>
      </c>
      <c r="I7" s="5"/>
      <c r="L7" s="7" t="n">
        <f aca="false">IF(F7&lt;&gt;0,F7-K7," ")</f>
        <v>960</v>
      </c>
      <c r="M7" s="8" t="n">
        <f aca="false">IF((F7-K7)&lt;&gt;0,M$1-A7," ")</f>
        <v>211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n">
        <f aca="false">IF((E7="q"),H7," ")</f>
        <v>960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45925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191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45920</v>
      </c>
      <c r="B9" s="2" t="s">
        <v>102</v>
      </c>
      <c r="E9" s="5" t="s">
        <v>74</v>
      </c>
      <c r="F9" s="30" t="n">
        <v>840</v>
      </c>
      <c r="H9" s="6" t="n">
        <f aca="false">IF((F9&lt;&gt;0),F9-G9," ")</f>
        <v>840</v>
      </c>
      <c r="I9" s="5"/>
      <c r="L9" s="7" t="n">
        <f aca="false">IF(F9&lt;&gt;0,F9-K9," ")</f>
        <v>840</v>
      </c>
      <c r="M9" s="8" t="n">
        <f aca="false">IF((F9-K9)&lt;&gt;0,M$1-A9," ")</f>
        <v>196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840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45928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188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103</v>
      </c>
      <c r="E11" s="5" t="s">
        <v>90</v>
      </c>
      <c r="F11" s="30" t="n">
        <v>18000</v>
      </c>
      <c r="H11" s="6" t="n">
        <f aca="false">IF((F11&lt;&gt;0),F11-G11," ")</f>
        <v>18000</v>
      </c>
      <c r="I11" s="5"/>
      <c r="L11" s="7" t="n">
        <f aca="false">IF(F11&lt;&gt;0,F11-K11," ")</f>
        <v>18000</v>
      </c>
      <c r="M11" s="8" t="n">
        <f aca="false">IF((F11-K11)&lt;&gt;0,M$1-A11," ")</f>
        <v>215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n">
        <f aca="false">IF((E11="fa"),H11," ")</f>
        <v>18000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2480</v>
      </c>
      <c r="G1" s="12" t="n">
        <f aca="false">SUM(G5:G300)</f>
        <v>0</v>
      </c>
      <c r="H1" s="12" t="n">
        <f aca="false">SUM(H5:H300)</f>
        <v>2480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2480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45955</v>
      </c>
      <c r="B5" s="5" t="s">
        <v>104</v>
      </c>
      <c r="E5" s="5" t="s">
        <v>105</v>
      </c>
      <c r="F5" s="30" t="n">
        <v>800</v>
      </c>
      <c r="H5" s="6" t="n">
        <f aca="false">IF((F5&lt;&gt;0),F5-G5," ")</f>
        <v>800</v>
      </c>
      <c r="J5" s="6"/>
      <c r="K5" s="6"/>
      <c r="L5" s="7" t="n">
        <f aca="false">IF(F5&lt;&gt;0,F5-K5," ")</f>
        <v>800</v>
      </c>
      <c r="M5" s="8" t="n">
        <f aca="false">IF((F5-K5)&lt;&gt;0,M$1-A5," ")</f>
        <v>161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n">
        <f aca="false">IF((E5="w"),H5," ")</f>
        <v>800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45955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161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45940</v>
      </c>
      <c r="B8" s="2" t="s">
        <v>88</v>
      </c>
      <c r="E8" s="5" t="s">
        <v>74</v>
      </c>
      <c r="F8" s="30" t="n">
        <v>120</v>
      </c>
      <c r="H8" s="6" t="n">
        <f aca="false">IF((F8&lt;&gt;0),F8-G8," ")</f>
        <v>120</v>
      </c>
      <c r="I8" s="5"/>
      <c r="L8" s="7" t="n">
        <f aca="false">IF(F8&lt;&gt;0,F8-K8," ")</f>
        <v>120</v>
      </c>
      <c r="M8" s="8" t="n">
        <f aca="false">IF((F8-K8)&lt;&gt;0,M$1-A8," ")</f>
        <v>176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n">
        <f aca="false">IF((E8="v"),H8," ")</f>
        <v>120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45958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158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/>
      <c r="E10" s="2"/>
      <c r="F10" s="30"/>
      <c r="H10" s="6" t="str">
        <f aca="false">IF((F10&lt;&gt;0),F10-G10," ")</f>
        <v> </v>
      </c>
      <c r="I10" s="5"/>
      <c r="L10" s="7" t="str">
        <f aca="false">IF(F10&lt;&gt;0,F10-K10," ")</f>
        <v> </v>
      </c>
      <c r="M10" s="8" t="str">
        <f aca="false">IF((F10-K10)&lt;&gt;0,M$1-A10," ")</f>
        <v> 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7920</v>
      </c>
      <c r="G1" s="12" t="n">
        <f aca="false">SUM(G5:G300)</f>
        <v>0</v>
      </c>
      <c r="H1" s="12" t="n">
        <f aca="false">SUM(H5:H300)</f>
        <v>7920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7920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2400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480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2400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45976</v>
      </c>
      <c r="B5" s="5" t="s">
        <v>91</v>
      </c>
      <c r="E5" s="5" t="s">
        <v>92</v>
      </c>
      <c r="F5" s="30" t="n">
        <v>2400</v>
      </c>
      <c r="H5" s="6" t="n">
        <f aca="false">IF((F5&lt;&gt;0),F5-G5," ")</f>
        <v>2400</v>
      </c>
      <c r="J5" s="6"/>
      <c r="K5" s="6"/>
      <c r="L5" s="7" t="n">
        <f aca="false">IF(F5&lt;&gt;0,F5-K5," ")</f>
        <v>2400</v>
      </c>
      <c r="M5" s="8" t="n">
        <f aca="false">IF((F5-K5)&lt;&gt;0,M$1-A5," ")</f>
        <v>140</v>
      </c>
      <c r="O5" s="17" t="str">
        <f aca="false">IF((E5="s"),H5," ")</f>
        <v> </v>
      </c>
      <c r="P5" s="17" t="n">
        <f aca="false">IF((E5="c"),H5," ")</f>
        <v>2400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45991</v>
      </c>
      <c r="B7" s="2" t="s">
        <v>93</v>
      </c>
      <c r="E7" s="5" t="s">
        <v>94</v>
      </c>
      <c r="F7" s="30" t="n">
        <v>360</v>
      </c>
      <c r="H7" s="6" t="n">
        <f aca="false">IF((F7&lt;&gt;0),F7-G7," ")</f>
        <v>360</v>
      </c>
      <c r="I7" s="5"/>
      <c r="L7" s="7" t="n">
        <f aca="false">IF(F7&lt;&gt;0,F7-K7," ")</f>
        <v>360</v>
      </c>
      <c r="M7" s="8" t="n">
        <f aca="false">IF((F7-K7)&lt;&gt;0,M$1-A7," ")</f>
        <v>125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n">
        <f aca="false">IF((E7="p"),H7," ")</f>
        <v>360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45971</v>
      </c>
      <c r="B8" s="2" t="s">
        <v>106</v>
      </c>
      <c r="E8" s="5" t="s">
        <v>107</v>
      </c>
      <c r="F8" s="30" t="n">
        <v>480</v>
      </c>
      <c r="H8" s="6" t="n">
        <f aca="false">IF((F8&lt;&gt;0),F8-G8," ")</f>
        <v>480</v>
      </c>
      <c r="I8" s="5"/>
      <c r="L8" s="7" t="n">
        <f aca="false">IF(F8&lt;&gt;0,F8-K8," ")</f>
        <v>480</v>
      </c>
      <c r="M8" s="8" t="n">
        <f aca="false">IF((F8-K8)&lt;&gt;0,M$1-A8," ")</f>
        <v>145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n">
        <f aca="false">IF((E8="m"),H8," ")</f>
        <v>480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45986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130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98</v>
      </c>
      <c r="E10" s="5" t="s">
        <v>99</v>
      </c>
      <c r="F10" s="30" t="n">
        <v>720</v>
      </c>
      <c r="H10" s="6" t="n">
        <f aca="false">IF((F10&lt;&gt;0),F10-G10," ")</f>
        <v>720</v>
      </c>
      <c r="I10" s="5"/>
      <c r="L10" s="7" t="n">
        <f aca="false">IF(F10&lt;&gt;0,F10-K10," ")</f>
        <v>720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n">
        <f aca="false">IF((E10="f"),H10," ")</f>
        <v>720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45989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127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45962</v>
      </c>
      <c r="B12" s="2" t="s">
        <v>108</v>
      </c>
      <c r="E12" s="5" t="s">
        <v>90</v>
      </c>
      <c r="F12" s="30" t="n">
        <v>2400</v>
      </c>
      <c r="H12" s="6" t="n">
        <f aca="false">IF((F12&lt;&gt;0),F12-G12," ")</f>
        <v>2400</v>
      </c>
      <c r="I12" s="5"/>
      <c r="L12" s="7" t="n">
        <f aca="false">IF(F12&lt;&gt;0,F12-K12," ")</f>
        <v>2400</v>
      </c>
      <c r="M12" s="8" t="n">
        <f aca="false">IF((F12-K12)&lt;&gt;0,M$1-A12," ")</f>
        <v>154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n">
        <f aca="false">IF((E12="fa"),H12," ")</f>
        <v>2400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2184</v>
      </c>
      <c r="G1" s="12" t="n">
        <f aca="false">SUM(G5:G300)</f>
        <v>0</v>
      </c>
      <c r="H1" s="12" t="n">
        <f aca="false">SUM(H5:H300)</f>
        <v>2184</v>
      </c>
      <c r="I1" s="13"/>
      <c r="J1" s="14" t="s">
        <v>2</v>
      </c>
      <c r="K1" s="15" t="n">
        <f aca="false">SUM(K5:K300)</f>
        <v>0</v>
      </c>
      <c r="L1" s="15" t="n">
        <f aca="false">SUM(L5:L300)</f>
        <v>2184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144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46001</v>
      </c>
      <c r="B5" s="5" t="s">
        <v>65</v>
      </c>
      <c r="E5" s="5" t="s">
        <v>66</v>
      </c>
      <c r="F5" s="30" t="n">
        <v>480</v>
      </c>
      <c r="H5" s="6" t="n">
        <f aca="false">IF((F5&lt;&gt;0),F5-G5," ")</f>
        <v>480</v>
      </c>
      <c r="J5" s="6"/>
      <c r="K5" s="6"/>
      <c r="L5" s="7" t="n">
        <f aca="false">IF(F5&lt;&gt;0,F5-K5," ")</f>
        <v>480</v>
      </c>
      <c r="M5" s="8" t="n">
        <f aca="false">IF((F5-K5)&lt;&gt;0,M$1-A5," ")</f>
        <v>115</v>
      </c>
      <c r="O5" s="17" t="n">
        <f aca="false">IF((E5="s"),H5," ")</f>
        <v>480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46006</v>
      </c>
      <c r="B7" s="2" t="s">
        <v>69</v>
      </c>
      <c r="E7" s="5" t="s">
        <v>70</v>
      </c>
      <c r="F7" s="30" t="n">
        <v>144</v>
      </c>
      <c r="H7" s="6" t="n">
        <f aca="false">IF((F7&lt;&gt;0),F7-G7," ")</f>
        <v>144</v>
      </c>
      <c r="I7" s="5"/>
      <c r="L7" s="7" t="n">
        <f aca="false">IF(F7&lt;&gt;0,F7-K7," ")</f>
        <v>144</v>
      </c>
      <c r="M7" s="8" t="n">
        <f aca="false">IF((F7-K7)&lt;&gt;0,M$1-A7," ")</f>
        <v>110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n">
        <f aca="false">IF((E7="u"),H7," ")</f>
        <v>144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46016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100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46019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97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/>
      <c r="E10" s="2"/>
      <c r="F10" s="30"/>
      <c r="H10" s="6" t="str">
        <f aca="false">IF((F10&lt;&gt;0),F10-G10," ")</f>
        <v> </v>
      </c>
      <c r="I10" s="5"/>
      <c r="L10" s="7" t="str">
        <f aca="false">IF(F10&lt;&gt;0,F10-K10," ")</f>
        <v> </v>
      </c>
      <c r="M10" s="8" t="str">
        <f aca="false">IF((F10-K10)&lt;&gt;0,M$1-A10," ")</f>
        <v> 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2640</v>
      </c>
      <c r="G1" s="12" t="n">
        <f aca="false">SUM(G5:G300)</f>
        <v>0</v>
      </c>
      <c r="H1" s="12" t="n">
        <f aca="false">SUM(H5:H300)</f>
        <v>2640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2640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360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360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46042</v>
      </c>
      <c r="B5" s="5" t="s">
        <v>82</v>
      </c>
      <c r="E5" s="5" t="s">
        <v>83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74</v>
      </c>
      <c r="O5" s="17" t="str">
        <f aca="false">IF((E5="s"),H5," ")</f>
        <v> </v>
      </c>
      <c r="P5" s="17" t="str">
        <f aca="false">IF((E5="c"),H5," ")</f>
        <v> </v>
      </c>
      <c r="Q5" s="17" t="n">
        <f aca="false">IF((E5="o"),H5," ")</f>
        <v>360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46037</v>
      </c>
      <c r="B7" s="2" t="s">
        <v>109</v>
      </c>
      <c r="E7" s="5" t="s">
        <v>85</v>
      </c>
      <c r="F7" s="30" t="n">
        <v>240</v>
      </c>
      <c r="H7" s="6" t="n">
        <f aca="false">IF((F7&lt;&gt;0),F7-G7," ")</f>
        <v>240</v>
      </c>
      <c r="I7" s="5"/>
      <c r="L7" s="7" t="n">
        <f aca="false">IF(F7&lt;&gt;0,F7-K7," ")</f>
        <v>240</v>
      </c>
      <c r="M7" s="8" t="n">
        <f aca="false">IF((F7-K7)&lt;&gt;0,M$1-A7," ")</f>
        <v>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n">
        <f aca="false">IF((E7="t"),H7," ")</f>
        <v>240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46047</v>
      </c>
      <c r="B8" s="2" t="s">
        <v>71</v>
      </c>
      <c r="E8" s="5" t="s">
        <v>72</v>
      </c>
      <c r="F8" s="30" t="n">
        <v>60</v>
      </c>
      <c r="H8" s="6" t="n">
        <f aca="false">IF((F8&lt;&gt;0),F8-G8," ")</f>
        <v>60</v>
      </c>
      <c r="I8" s="5"/>
      <c r="L8" s="7" t="n">
        <f aca="false">IF(F8&lt;&gt;0,F8-K8," ")</f>
        <v>60</v>
      </c>
      <c r="M8" s="8" t="n">
        <f aca="false">IF((F8-K8)&lt;&gt;0,M$1-A8," ")</f>
        <v>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60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46040</v>
      </c>
      <c r="B9" s="2" t="s">
        <v>110</v>
      </c>
      <c r="E9" s="5" t="s">
        <v>97</v>
      </c>
      <c r="F9" s="30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n">
        <f aca="false">IF((E9="h"),H9," ")</f>
        <v>360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46032</v>
      </c>
      <c r="B10" s="2" t="s">
        <v>88</v>
      </c>
      <c r="E10" s="5" t="s">
        <v>74</v>
      </c>
      <c r="F10" s="30" t="n">
        <v>120</v>
      </c>
      <c r="H10" s="6" t="n">
        <f aca="false">IF((F10&lt;&gt;0),F10-G10," ")</f>
        <v>120</v>
      </c>
      <c r="I10" s="5"/>
      <c r="L10" s="7" t="n">
        <f aca="false">IF(F10&lt;&gt;0,F10-K10," ")</f>
        <v>120</v>
      </c>
      <c r="M10" s="8" t="n">
        <f aca="false">IF((F10-K10)&lt;&gt;0,M$1-A10," ")</f>
        <v>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n">
        <f aca="false">IF((E10="v"),H10," ")</f>
        <v>120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46050</v>
      </c>
      <c r="B11" s="2" t="s">
        <v>78</v>
      </c>
      <c r="E11" s="5" t="s">
        <v>79</v>
      </c>
      <c r="F11" s="30" t="n">
        <v>300</v>
      </c>
      <c r="H11" s="6" t="n">
        <f aca="false">IF((F11&lt;&gt;0),F11-G11," ")</f>
        <v>300</v>
      </c>
      <c r="I11" s="5"/>
      <c r="L11" s="7" t="n">
        <f aca="false">IF(F11&lt;&gt;0,F11-K11," ")</f>
        <v>300</v>
      </c>
      <c r="M11" s="8" t="n">
        <f aca="false">IF((F11-K11)&lt;&gt;0,M$1-A11," ")</f>
        <v>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n">
        <f aca="false">IF((E11="l"),H11," ")</f>
        <v>300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7900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5" t="n">
        <f aca="false">SUM(L5:L300)</f>
        <v>7900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180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300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46073</v>
      </c>
      <c r="B5" s="5" t="s">
        <v>111</v>
      </c>
      <c r="E5" s="5" t="s">
        <v>112</v>
      </c>
      <c r="F5" s="30" t="n">
        <v>5000</v>
      </c>
      <c r="H5" s="6" t="n">
        <f aca="false">IF((F5&lt;&gt;0),F5-G5," ")</f>
        <v>5000</v>
      </c>
      <c r="J5" s="6"/>
      <c r="K5" s="6"/>
      <c r="L5" s="7" t="n">
        <f aca="false">IF(F5&lt;&gt;0,F5-K5," ")</f>
        <v>5000</v>
      </c>
      <c r="M5" s="8" t="n">
        <f aca="false">IF((F5-K5)&lt;&gt;0,M$1-A5," ")</f>
        <v>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n">
        <f aca="false">IF((E5="d"),H5," ")</f>
        <v>5000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67</v>
      </c>
      <c r="E6" s="5" t="s">
        <v>68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46078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38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46068</v>
      </c>
      <c r="B8" s="2" t="s">
        <v>95</v>
      </c>
      <c r="E8" s="5" t="s">
        <v>72</v>
      </c>
      <c r="F8" s="30" t="n">
        <v>120</v>
      </c>
      <c r="H8" s="6" t="n">
        <f aca="false">IF((F8&lt;&gt;0),F8-G8," ")</f>
        <v>120</v>
      </c>
      <c r="I8" s="5"/>
      <c r="L8" s="7" t="n">
        <f aca="false">IF(F8&lt;&gt;0,F8-K8," ")</f>
        <v>120</v>
      </c>
      <c r="M8" s="8" t="n">
        <f aca="false">IF((F8-K8)&lt;&gt;0,M$1-A8," ")</f>
        <v>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120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98</v>
      </c>
      <c r="E9" s="5" t="s">
        <v>99</v>
      </c>
      <c r="F9" s="30" t="n">
        <v>720</v>
      </c>
      <c r="H9" s="6" t="n">
        <f aca="false">IF((F9&lt;&gt;0),F9-G9," ")</f>
        <v>720</v>
      </c>
      <c r="I9" s="5"/>
      <c r="L9" s="7" t="n">
        <f aca="false">IF(F9&lt;&gt;0,F9-K9," ")</f>
        <v>720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n">
        <f aca="false">IF((E9="f"),H9," ")</f>
        <v>720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46081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46068</v>
      </c>
      <c r="B11" s="2" t="s">
        <v>113</v>
      </c>
      <c r="E11" s="5" t="s">
        <v>114</v>
      </c>
      <c r="F11" s="30" t="n">
        <v>500</v>
      </c>
      <c r="H11" s="6" t="n">
        <f aca="false">IF((F11&lt;&gt;0),F11-G11," ")</f>
        <v>500</v>
      </c>
      <c r="I11" s="5"/>
      <c r="L11" s="7" t="n">
        <f aca="false">IF(F11&lt;&gt;0,F11-K11," ")</f>
        <v>500</v>
      </c>
      <c r="M11" s="8" t="n">
        <f aca="false">IF((F11-K11)&lt;&gt;0,M$1-A11," ")</f>
        <v>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n">
        <f aca="false">IF((E11="y"),H11," ")</f>
        <v>500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3120</v>
      </c>
      <c r="G1" s="12" t="n">
        <f aca="false">SUM(G5:G300)</f>
        <v>0</v>
      </c>
      <c r="H1" s="12" t="n">
        <f aca="false">SUM(H5:H300)</f>
        <v>3120</v>
      </c>
      <c r="I1" s="13"/>
      <c r="J1" s="14" t="s">
        <v>2</v>
      </c>
      <c r="K1" s="15" t="n">
        <f aca="false">SUM(K5:K300)</f>
        <v>0</v>
      </c>
      <c r="L1" s="15" t="n">
        <f aca="false">SUM(L5:L300)</f>
        <v>3120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600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46084</v>
      </c>
      <c r="B5" s="5" t="s">
        <v>93</v>
      </c>
      <c r="E5" s="5" t="s">
        <v>94</v>
      </c>
      <c r="F5" s="30" t="n">
        <v>360</v>
      </c>
      <c r="H5" s="6" t="n">
        <f aca="false">IF((F5&lt;&gt;0),F5-G5," ")</f>
        <v>360</v>
      </c>
      <c r="J5" s="6"/>
      <c r="K5" s="6"/>
      <c r="L5" s="7" t="n">
        <f aca="false">IF(F5&lt;&gt;0,F5-K5," ")</f>
        <v>360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n">
        <f aca="false">IF((E5="p"),H5," ")</f>
        <v>360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46091</v>
      </c>
      <c r="B6" s="2" t="s">
        <v>65</v>
      </c>
      <c r="E6" s="5" t="s">
        <v>66</v>
      </c>
      <c r="F6" s="30" t="n">
        <v>600</v>
      </c>
      <c r="H6" s="6" t="n">
        <f aca="false">IF((F6&lt;&gt;0),F6-G6," ")</f>
        <v>600</v>
      </c>
      <c r="I6" s="5"/>
      <c r="L6" s="7" t="n">
        <f aca="false">IF(F6&lt;&gt;0,F6-K6," ")</f>
        <v>600</v>
      </c>
      <c r="M6" s="8" t="n">
        <f aca="false">IF((F6-K6)&lt;&gt;0,M$1-A6," ")</f>
        <v>25</v>
      </c>
      <c r="N6" s="5"/>
      <c r="O6" s="17" t="n">
        <f aca="false">IF((E6="s"),H6," ")</f>
        <v>600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67</v>
      </c>
      <c r="E7" s="5" t="s">
        <v>68</v>
      </c>
      <c r="F7" s="30" t="n">
        <v>1200</v>
      </c>
      <c r="H7" s="6" t="n">
        <f aca="false">IF((F7&lt;&gt;0),F7-G7," ")</f>
        <v>1200</v>
      </c>
      <c r="I7" s="5"/>
      <c r="L7" s="7" t="n">
        <f aca="false">IF(F7&lt;&gt;0,F7-K7," ")</f>
        <v>1200</v>
      </c>
      <c r="M7" s="8" t="n">
        <f aca="false">IF((F7-K7)&lt;&gt;0,M$1-A7," ")</f>
        <v>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n">
        <f aca="false">IF((E7="r"),H7," ")</f>
        <v>1200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46091</v>
      </c>
      <c r="B8" s="2" t="s">
        <v>115</v>
      </c>
      <c r="E8" s="5" t="s">
        <v>87</v>
      </c>
      <c r="F8" s="30" t="n">
        <v>600</v>
      </c>
      <c r="H8" s="6" t="n">
        <f aca="false">IF((F8&lt;&gt;0),F8-G8," ")</f>
        <v>600</v>
      </c>
      <c r="I8" s="5"/>
      <c r="L8" s="7" t="n">
        <f aca="false">IF(F8&lt;&gt;0,F8-K8," ")</f>
        <v>600</v>
      </c>
      <c r="M8" s="8" t="n">
        <f aca="false">IF((F8-K8)&lt;&gt;0,M$1-A8," ")</f>
        <v>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n">
        <f aca="false">IF((E8="a"),H8," ")</f>
        <v>600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46106</v>
      </c>
      <c r="B9" s="2" t="s">
        <v>71</v>
      </c>
      <c r="E9" s="5" t="s">
        <v>72</v>
      </c>
      <c r="F9" s="30" t="n">
        <v>60</v>
      </c>
      <c r="H9" s="6" t="n">
        <f aca="false">IF((F9&lt;&gt;0),F9-G9," ")</f>
        <v>60</v>
      </c>
      <c r="I9" s="5"/>
      <c r="L9" s="7" t="n">
        <f aca="false">IF(F9&lt;&gt;0,F9-K9," ")</f>
        <v>60</v>
      </c>
      <c r="M9" s="8" t="n">
        <f aca="false">IF((F9-K9)&lt;&gt;0,M$1-A9," ")</f>
        <v>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60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46109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2136</v>
      </c>
      <c r="G1" s="12" t="n">
        <f aca="false">SUM(G5:G300)</f>
        <v>0</v>
      </c>
      <c r="H1" s="12" t="n">
        <f aca="false">SUM(H5:H300)</f>
        <v>2136</v>
      </c>
      <c r="I1" s="13"/>
      <c r="J1" s="14" t="s">
        <v>2</v>
      </c>
      <c r="K1" s="15" t="n">
        <f aca="false">SUM(K5:K300)</f>
        <v>0</v>
      </c>
      <c r="L1" s="15" t="n">
        <f aca="false">SUM(L5:L300)</f>
        <v>2136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360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96</v>
      </c>
      <c r="AC1" s="12" t="n">
        <f aca="false">SUM(AC5:AC300)</f>
        <v>120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46113</v>
      </c>
      <c r="B5" s="5" t="s">
        <v>67</v>
      </c>
      <c r="E5" s="5" t="s">
        <v>68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46122</v>
      </c>
      <c r="B6" s="2" t="s">
        <v>116</v>
      </c>
      <c r="E6" s="5" t="s">
        <v>107</v>
      </c>
      <c r="F6" s="30" t="n">
        <v>360</v>
      </c>
      <c r="H6" s="6" t="n">
        <f aca="false">IF((F6&lt;&gt;0),F6-G6," ")</f>
        <v>360</v>
      </c>
      <c r="I6" s="5"/>
      <c r="L6" s="7" t="n">
        <f aca="false">IF(F6&lt;&gt;0,F6-K6," ")</f>
        <v>360</v>
      </c>
      <c r="M6" s="8" t="n">
        <f aca="false">IF((F6-K6)&lt;&gt;0,M$1-A6," ")</f>
        <v>-6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n">
        <f aca="false">IF((E6="m"),H6," ")</f>
        <v>360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46137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-21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46132</v>
      </c>
      <c r="B8" s="2" t="s">
        <v>117</v>
      </c>
      <c r="E8" s="5" t="s">
        <v>97</v>
      </c>
      <c r="F8" s="30" t="n">
        <v>96</v>
      </c>
      <c r="H8" s="6" t="n">
        <f aca="false">IF((F8&lt;&gt;0),F8-G8," ")</f>
        <v>96</v>
      </c>
      <c r="I8" s="5"/>
      <c r="L8" s="7" t="n">
        <f aca="false">IF(F8&lt;&gt;0,F8-K8," ")</f>
        <v>96</v>
      </c>
      <c r="M8" s="8" t="n">
        <f aca="false">IF((F8-K8)&lt;&gt;0,M$1-A8," ")</f>
        <v>-16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n">
        <f aca="false">IF((E8="h"),H8," ")</f>
        <v>96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46122</v>
      </c>
      <c r="B9" s="2" t="s">
        <v>88</v>
      </c>
      <c r="E9" s="5" t="s">
        <v>74</v>
      </c>
      <c r="F9" s="30" t="n">
        <v>120</v>
      </c>
      <c r="H9" s="6" t="n">
        <f aca="false">IF((F9&lt;&gt;0),F9-G9," ")</f>
        <v>120</v>
      </c>
      <c r="I9" s="5"/>
      <c r="L9" s="7" t="n">
        <f aca="false">IF(F9&lt;&gt;0,F9-K9," ")</f>
        <v>120</v>
      </c>
      <c r="M9" s="8" t="n">
        <f aca="false">IF((F9-K9)&lt;&gt;0,M$1-A9," ")</f>
        <v>-6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n">
        <f aca="false">IF((E9="v"),H9," ")</f>
        <v>120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46140</v>
      </c>
      <c r="B10" s="2" t="s">
        <v>78</v>
      </c>
      <c r="E10" s="5" t="s">
        <v>79</v>
      </c>
      <c r="F10" s="30" t="n">
        <v>300</v>
      </c>
      <c r="H10" s="6" t="n">
        <f aca="false">IF((F10&lt;&gt;0),F10-G10," ")</f>
        <v>300</v>
      </c>
      <c r="I10" s="5"/>
      <c r="L10" s="7" t="n">
        <f aca="false">IF(F10&lt;&gt;0,F10-K10," ")</f>
        <v>300</v>
      </c>
      <c r="M10" s="8" t="n">
        <f aca="false">IF((F10-K10)&lt;&gt;0,M$1-A10," ")</f>
        <v>-24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300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4440</v>
      </c>
      <c r="G1" s="12" t="n">
        <f aca="false">SUM(G5:G300)</f>
        <v>0</v>
      </c>
      <c r="H1" s="12" t="n">
        <f aca="false">SUM(H5:H300)</f>
        <v>4440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4440</v>
      </c>
      <c r="M1" s="16" t="n">
        <f aca="true">TODAY()</f>
        <v>46116</v>
      </c>
      <c r="N1" s="13"/>
      <c r="O1" s="12" t="n">
        <f aca="false">SUM(O5:O300)</f>
        <v>0</v>
      </c>
      <c r="P1" s="12" t="n">
        <f aca="false">SUM(P5:P300)</f>
        <v>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0</v>
      </c>
      <c r="Z1" s="12" t="n">
        <f aca="false">SUM(Z5:Z300)</f>
        <v>0</v>
      </c>
      <c r="AA1" s="12" t="n">
        <f aca="false">SUM(AA5:AA300)</f>
        <v>60</v>
      </c>
      <c r="AB1" s="12" t="n">
        <f aca="false">SUM(AB5:AB300)</f>
        <v>0</v>
      </c>
      <c r="AC1" s="12" t="n">
        <f aca="false">SUM(AC5:AC300)</f>
        <v>0</v>
      </c>
      <c r="AD1" s="12" t="n">
        <f aca="false">SUM(AD5:AD300)</f>
        <v>0</v>
      </c>
      <c r="AE1" s="12" t="n">
        <f aca="false">SUM(AE5:AE300)</f>
        <v>720</v>
      </c>
      <c r="AF1" s="12" t="n">
        <f aca="false">SUM(AF5:AF300)</f>
        <v>2100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51" t="n">
        <f aca="false">Jun!AI1+Jul!AI1+Aug!AI1+Sep!AI1+Oct!AI1+Nov!AI1+Dec!AI1+Jan!AI1+Feb!AI1+Mar!AI1+Apr!AI1+May!AI1</f>
        <v>22200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34</v>
      </c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46143</v>
      </c>
      <c r="B5" s="5" t="s">
        <v>67</v>
      </c>
      <c r="E5" s="5" t="s">
        <v>68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46173</v>
      </c>
      <c r="B6" s="2" t="s">
        <v>93</v>
      </c>
      <c r="E6" s="5" t="s">
        <v>94</v>
      </c>
      <c r="F6" s="30" t="n">
        <v>360</v>
      </c>
      <c r="H6" s="6" t="n">
        <f aca="false">IF((F6&lt;&gt;0),F6-G6," ")</f>
        <v>360</v>
      </c>
      <c r="I6" s="5"/>
      <c r="L6" s="7" t="n">
        <f aca="false">IF(F6&lt;&gt;0,F6-K6," ")</f>
        <v>360</v>
      </c>
      <c r="M6" s="8" t="n">
        <f aca="false">IF((F6-K6)&lt;&gt;0,M$1-A6," ")</f>
        <v>-57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n">
        <f aca="false">IF((E6="p"),H6," ")</f>
        <v>360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46167</v>
      </c>
      <c r="B7" s="2" t="s">
        <v>71</v>
      </c>
      <c r="E7" s="5" t="s">
        <v>72</v>
      </c>
      <c r="F7" s="30" t="n">
        <v>60</v>
      </c>
      <c r="H7" s="6" t="n">
        <f aca="false">IF((F7&lt;&gt;0),F7-G7," ")</f>
        <v>60</v>
      </c>
      <c r="I7" s="5"/>
      <c r="L7" s="7" t="n">
        <f aca="false">IF(F7&lt;&gt;0,F7-K7," ")</f>
        <v>60</v>
      </c>
      <c r="M7" s="8" t="n">
        <f aca="false">IF((F7-K7)&lt;&gt;0,M$1-A7," ")</f>
        <v>-51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60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98</v>
      </c>
      <c r="E8" s="5" t="s">
        <v>99</v>
      </c>
      <c r="F8" s="30" t="n">
        <v>720</v>
      </c>
      <c r="H8" s="6" t="n">
        <f aca="false">IF((F8&lt;&gt;0),F8-G8," ")</f>
        <v>720</v>
      </c>
      <c r="I8" s="5"/>
      <c r="L8" s="7" t="n">
        <f aca="false">IF(F8&lt;&gt;0,F8-K8," ")</f>
        <v>720</v>
      </c>
      <c r="M8" s="8" t="n">
        <f aca="false">IF((F8-K8)&lt;&gt;0,M$1-A8," ")</f>
        <v>-27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n">
        <f aca="false">IF((E8="f"),H8," ")</f>
        <v>720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46170</v>
      </c>
      <c r="B9" s="2" t="s">
        <v>78</v>
      </c>
      <c r="E9" s="5" t="s">
        <v>79</v>
      </c>
      <c r="F9" s="30" t="n">
        <v>300</v>
      </c>
      <c r="H9" s="6" t="n">
        <f aca="false">IF((F9&lt;&gt;0),F9-G9," ")</f>
        <v>300</v>
      </c>
      <c r="I9" s="5"/>
      <c r="L9" s="7" t="n">
        <f aca="false">IF(F9&lt;&gt;0,F9-K9," ")</f>
        <v>300</v>
      </c>
      <c r="M9" s="8" t="n">
        <f aca="false">IF((F9-K9)&lt;&gt;0,M$1-A9," ")</f>
        <v>-54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n">
        <f aca="false">IF((E9="l"),H9," ")</f>
        <v>300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46167</v>
      </c>
      <c r="B10" s="2" t="s">
        <v>78</v>
      </c>
      <c r="E10" s="5" t="s">
        <v>79</v>
      </c>
      <c r="F10" s="30" t="n">
        <v>1800</v>
      </c>
      <c r="H10" s="6" t="n">
        <f aca="false">IF((F10&lt;&gt;0),F10-G10," ")</f>
        <v>1800</v>
      </c>
      <c r="I10" s="5"/>
      <c r="L10" s="7" t="n">
        <f aca="false">IF(F10&lt;&gt;0,F10-K10," ")</f>
        <v>1800</v>
      </c>
      <c r="M10" s="8" t="n">
        <f aca="false">IF((F10-K10)&lt;&gt;0,M$1-A10," ")</f>
        <v>-51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n">
        <f aca="false">IF((E10="l"),H10," ")</f>
        <v>1800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/>
      <c r="E11" s="2"/>
      <c r="F11" s="30"/>
      <c r="H11" s="6" t="str">
        <f aca="false">IF((F11&lt;&gt;0),F11-G11," ")</f>
        <v> </v>
      </c>
      <c r="I11" s="5"/>
      <c r="L11" s="7" t="str">
        <f aca="false">IF(F11&lt;&gt;0,F11-K11," ")</f>
        <v> </v>
      </c>
      <c r="M11" s="8" t="str">
        <f aca="false">IF((F11-K11)&lt;&gt;0,M$1-A11," ")</f>
        <v> 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/>
      <c r="E12" s="2"/>
      <c r="F12" s="30"/>
      <c r="H12" s="6" t="str">
        <f aca="false">IF((F12&lt;&gt;0),F12-G12," ")</f>
        <v> </v>
      </c>
      <c r="I12" s="5"/>
      <c r="L12" s="7" t="str">
        <f aca="false">IF(F12&lt;&gt;0,F12-K12," ")</f>
        <v> </v>
      </c>
      <c r="M12" s="8" t="str">
        <f aca="false">IF((F12-K12)&lt;&gt;0,M$1-A12," ")</f>
        <v> 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/>
      <c r="E13" s="2"/>
      <c r="F13" s="30"/>
      <c r="H13" s="6" t="str">
        <f aca="false">IF((F13&lt;&gt;0),F13-G13," ")</f>
        <v> </v>
      </c>
      <c r="I13" s="5"/>
      <c r="L13" s="7" t="str">
        <f aca="false">IF(F13&lt;&gt;0,F13-K13," ")</f>
        <v> </v>
      </c>
      <c r="M13" s="8" t="str">
        <f aca="false">IF((F13-K13)&lt;&gt;0,M$1-A13," ")</f>
        <v> 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/>
      <c r="E14" s="2"/>
      <c r="F14" s="30"/>
      <c r="H14" s="6" t="str">
        <f aca="false">IF((F14&lt;&gt;0),F14-G14," ")</f>
        <v> </v>
      </c>
      <c r="I14" s="5"/>
      <c r="L14" s="7" t="str">
        <f aca="false">IF(F14&lt;&gt;0,F14-K14," ")</f>
        <v> </v>
      </c>
      <c r="M14" s="8" t="str">
        <f aca="false">IF((F14-K14)&lt;&gt;0,M$1-A14," ")</f>
        <v> 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/>
      <c r="E15" s="2"/>
      <c r="F15" s="30"/>
      <c r="H15" s="6" t="str">
        <f aca="false">IF((F15&lt;&gt;0),F15-G15," ")</f>
        <v> </v>
      </c>
      <c r="I15" s="5"/>
      <c r="L15" s="7" t="str">
        <f aca="false">IF(F15&lt;&gt;0,F15-K15," ")</f>
        <v> </v>
      </c>
      <c r="M15" s="8" t="str">
        <f aca="false">IF((F15-K15)&lt;&gt;0,M$1-A15," ")</f>
        <v> 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/>
      <c r="E16" s="2"/>
      <c r="F16" s="30"/>
      <c r="H16" s="6" t="str">
        <f aca="false">IF((F16&lt;&gt;0),F16-G16," ")</f>
        <v> </v>
      </c>
      <c r="I16" s="5"/>
      <c r="L16" s="7" t="str">
        <f aca="false">IF(F16&lt;&gt;0,F16-K16," ")</f>
        <v> </v>
      </c>
      <c r="M16" s="8" t="str">
        <f aca="false">IF((F16-K16)&lt;&gt;0,M$1-A16," ")</f>
        <v> 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/>
      <c r="E17" s="2"/>
      <c r="F17" s="30"/>
      <c r="H17" s="6" t="str">
        <f aca="false">IF((F17&lt;&gt;0),F17-G17," ")</f>
        <v> </v>
      </c>
      <c r="I17" s="5"/>
      <c r="L17" s="7" t="str">
        <f aca="false">IF(F17&lt;&gt;0,F17-K17," ")</f>
        <v> </v>
      </c>
      <c r="M17" s="8" t="str">
        <f aca="false">IF((F17-K17)&lt;&gt;0,M$1-A17," ")</f>
        <v> 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/>
      <c r="E18" s="2"/>
      <c r="F18" s="30"/>
      <c r="H18" s="6" t="str">
        <f aca="false">IF((F18&lt;&gt;0),F18-G18," ")</f>
        <v> </v>
      </c>
      <c r="I18" s="5"/>
      <c r="L18" s="7" t="str">
        <f aca="false">IF(F18&lt;&gt;0,F18-K18," ")</f>
        <v> </v>
      </c>
      <c r="M18" s="8" t="str">
        <f aca="false">IF((F18-K18)&lt;&gt;0,M$1-A18," ")</f>
        <v> 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/>
      <c r="E19" s="2"/>
      <c r="F19" s="30"/>
      <c r="H19" s="6" t="str">
        <f aca="false">IF((F19&lt;&gt;0),F19-G19," ")</f>
        <v> </v>
      </c>
      <c r="I19" s="5"/>
      <c r="L19" s="7" t="str">
        <f aca="false">IF(F19&lt;&gt;0,F19-K19," ")</f>
        <v> </v>
      </c>
      <c r="M19" s="8" t="str">
        <f aca="false">IF((F19-K19)&lt;&gt;0,M$1-A19," ")</f>
        <v> 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/>
      <c r="E20" s="2"/>
      <c r="F20" s="30"/>
      <c r="H20" s="6" t="str">
        <f aca="false">IF((F20&lt;&gt;0),F20-G20," ")</f>
        <v> </v>
      </c>
      <c r="I20" s="5"/>
      <c r="L20" s="7" t="str">
        <f aca="false">IF(F20&lt;&gt;0,F20-K20," ")</f>
        <v> </v>
      </c>
      <c r="M20" s="8" t="str">
        <f aca="false">IF((F20-K20)&lt;&gt;0,M$1-A20," ")</f>
        <v> 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/>
      <c r="E21" s="2"/>
      <c r="F21" s="30"/>
      <c r="H21" s="6" t="str">
        <f aca="false">IF((F21&lt;&gt;0),F21-G21," ")</f>
        <v> </v>
      </c>
      <c r="I21" s="5"/>
      <c r="L21" s="7" t="str">
        <f aca="false">IF(F21&lt;&gt;0,F21-K21," ")</f>
        <v> </v>
      </c>
      <c r="M21" s="8" t="str">
        <f aca="false">IF((F21-K21)&lt;&gt;0,M$1-A21," ")</f>
        <v> 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/>
      <c r="E22" s="2"/>
      <c r="F22" s="30"/>
      <c r="H22" s="6" t="str">
        <f aca="false">IF((F22&lt;&gt;0),F22-G22," ")</f>
        <v> </v>
      </c>
      <c r="I22" s="5"/>
      <c r="L22" s="7" t="str">
        <f aca="false">IF(F22&lt;&gt;0,F22-K22," ")</f>
        <v> </v>
      </c>
      <c r="M22" s="8" t="str">
        <f aca="false">IF((F22-K22)&lt;&gt;0,M$1-A22," ")</f>
        <v> 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/>
      <c r="E23" s="2"/>
      <c r="F23" s="30"/>
      <c r="H23" s="6" t="str">
        <f aca="false">IF((F23&lt;&gt;0),F23-G23," ")</f>
        <v> </v>
      </c>
      <c r="I23" s="5"/>
      <c r="L23" s="7" t="str">
        <f aca="false">IF(F23&lt;&gt;0,F23-K23," ")</f>
        <v> </v>
      </c>
      <c r="M23" s="8" t="str">
        <f aca="false">IF((F23-K23)&lt;&gt;0,M$1-A23," ")</f>
        <v> 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/>
      <c r="E24" s="2"/>
      <c r="F24" s="30"/>
      <c r="H24" s="6" t="str">
        <f aca="false">IF((F24&lt;&gt;0),F24-G24," ")</f>
        <v> </v>
      </c>
      <c r="I24" s="5"/>
      <c r="L24" s="7" t="str">
        <f aca="false">IF(F24&lt;&gt;0,F24-K24," ")</f>
        <v> </v>
      </c>
      <c r="M24" s="8" t="str">
        <f aca="false">IF((F24-K24)&lt;&gt;0,M$1-A24," ")</f>
        <v> 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/>
      <c r="E25" s="2"/>
      <c r="F25" s="30"/>
      <c r="H25" s="6" t="str">
        <f aca="false">IF((F25&lt;&gt;0),F25-G25," ")</f>
        <v> </v>
      </c>
      <c r="I25" s="5"/>
      <c r="L25" s="7" t="str">
        <f aca="false">IF(F25&lt;&gt;0,F25-K25," ")</f>
        <v> </v>
      </c>
      <c r="M25" s="8" t="str">
        <f aca="false">IF((F25-K25)&lt;&gt;0,M$1-A25," ")</f>
        <v> 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/>
      <c r="E26" s="2"/>
      <c r="F26" s="30"/>
      <c r="H26" s="6" t="str">
        <f aca="false">IF((F26&lt;&gt;0),F26-G26," ")</f>
        <v> </v>
      </c>
      <c r="I26" s="5"/>
      <c r="L26" s="7" t="str">
        <f aca="false">IF(F26&lt;&gt;0,F26-K26," ")</f>
        <v> </v>
      </c>
      <c r="M26" s="8" t="str">
        <f aca="false">IF((F26-K26)&lt;&gt;0,M$1-A26," ")</f>
        <v> 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/>
      <c r="E27" s="2"/>
      <c r="F27" s="30"/>
      <c r="H27" s="6" t="str">
        <f aca="false">IF((F27&lt;&gt;0),F27-G27," ")</f>
        <v> </v>
      </c>
      <c r="I27" s="5"/>
      <c r="L27" s="7" t="str">
        <f aca="false">IF(F27&lt;&gt;0,F27-K27," ")</f>
        <v> </v>
      </c>
      <c r="M27" s="8" t="str">
        <f aca="false">IF((F27-K27)&lt;&gt;0,M$1-A27," ")</f>
        <v> 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/>
      <c r="E28" s="2"/>
      <c r="F28" s="30"/>
      <c r="H28" s="6" t="str">
        <f aca="false">IF((F28&lt;&gt;0),F28-G28," ")</f>
        <v> </v>
      </c>
      <c r="I28" s="5"/>
      <c r="L28" s="7" t="str">
        <f aca="false">IF(F28&lt;&gt;0,F28-K28," ")</f>
        <v> </v>
      </c>
      <c r="M28" s="8" t="str">
        <f aca="false">IF((F28-K28)&lt;&gt;0,M$1-A28," ")</f>
        <v> 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/>
      <c r="E29" s="2"/>
      <c r="F29" s="30"/>
      <c r="H29" s="6" t="str">
        <f aca="false">IF((F29&lt;&gt;0),F29-G29," ")</f>
        <v> </v>
      </c>
      <c r="I29" s="5"/>
      <c r="L29" s="7" t="str">
        <f aca="false">IF(F29&lt;&gt;0,F29-K29," ")</f>
        <v> </v>
      </c>
      <c r="M29" s="8" t="str">
        <f aca="false">IF((F29-K29)&lt;&gt;0,M$1-A29," ")</f>
        <v> 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/>
      <c r="E30" s="2"/>
      <c r="F30" s="30"/>
      <c r="H30" s="6" t="str">
        <f aca="false">IF((F30&lt;&gt;0),F30-G30," ")</f>
        <v> </v>
      </c>
      <c r="I30" s="5"/>
      <c r="L30" s="7" t="str">
        <f aca="false">IF(F30&lt;&gt;0,F30-K30," ")</f>
        <v> </v>
      </c>
      <c r="M30" s="8" t="str">
        <f aca="false">IF((F30-K30)&lt;&gt;0,M$1-A30," ")</f>
        <v> 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/>
      <c r="E31" s="2"/>
      <c r="F31" s="30"/>
      <c r="H31" s="6" t="str">
        <f aca="false">IF((F31&lt;&gt;0),F31-G31," ")</f>
        <v> </v>
      </c>
      <c r="I31" s="5"/>
      <c r="L31" s="7" t="str">
        <f aca="false">IF(F31&lt;&gt;0,F31-K31," ")</f>
        <v> </v>
      </c>
      <c r="M31" s="8" t="str">
        <f aca="false">IF((F31-K31)&lt;&gt;0,M$1-A31," ")</f>
        <v> 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/>
      <c r="E32" s="2"/>
      <c r="F32" s="30"/>
      <c r="H32" s="6" t="str">
        <f aca="false">IF((F32&lt;&gt;0),F32-G32," ")</f>
        <v> </v>
      </c>
      <c r="I32" s="5"/>
      <c r="L32" s="7" t="str">
        <f aca="false">IF(F32&lt;&gt;0,F32-K32," ")</f>
        <v> </v>
      </c>
      <c r="M32" s="8" t="str">
        <f aca="false">IF((F32-K32)&lt;&gt;0,M$1-A32," ")</f>
        <v> 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/>
      <c r="E33" s="2"/>
      <c r="F33" s="30"/>
      <c r="H33" s="6" t="str">
        <f aca="false">IF((F33&lt;&gt;0),F33-G33," ")</f>
        <v> </v>
      </c>
      <c r="I33" s="5"/>
      <c r="L33" s="7" t="str">
        <f aca="false">IF(F33&lt;&gt;0,F33-K33," ")</f>
        <v> </v>
      </c>
      <c r="M33" s="8" t="str">
        <f aca="false">IF((F33-K33)&lt;&gt;0,M$1-A33," ")</f>
        <v> 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30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118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