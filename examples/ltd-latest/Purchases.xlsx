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" sheetId="6" state="visible" r:id="rId8"/>
    <sheet name="Apr" sheetId="7" state="visible" r:id="rId9"/>
    <sheet name="May" sheetId="8" state="visible" r:id="rId10"/>
    <sheet name="Jun" sheetId="9" state="visible" r:id="rId11"/>
    <sheet name="Jul" sheetId="10" state="visible" r:id="rId12"/>
    <sheet name="Aug" sheetId="11" state="visible" r:id="rId13"/>
    <sheet name="Sep" sheetId="12" state="visible" r:id="rId14"/>
    <sheet name="Oct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3" name="_xlnm.Print_Area" vbProcedure="false">ClosingCreditors!$A$1:$M$75</definedName>
    <definedName function="false" hidden="false" localSheetId="13" name="_xlnm.Print_Titles" vbProcedure="false">ClosingCreditors!$1:$4</definedName>
    <definedName function="false" hidden="false" localSheetId="0" name="_xlnm.Print_Area" vbProcedure="false">OpeningCreditors!$A$1:$M$75</definedName>
    <definedName function="false" hidden="false" localSheetId="0" name="_xlnm.Print_Titles" vbProcedure="false">OpeningCreditors!$1:$4</definedName>
    <definedName function="false" hidden="false" localSheetId="0" name="_xlnm_Print_Area" vbProcedure="false">OpeningCreditors!$A$1:$M$75</definedName>
    <definedName function="false" hidden="false" localSheetId="0" name="_xlnm_Print_Titles" vbProcedure="false">OpeningCreditors!$1:$4</definedName>
    <definedName function="false" hidden="false" localSheetId="1" name="_xlnm_Print_Area" vbProcedure="false">Apr!$A$1:$AL$75</definedName>
    <definedName function="false" hidden="false" localSheetId="1" name="_xlnm_Print_Titles" vbProcedure="false">(Apr!$A:$C,Apr!$1:$4)</definedName>
    <definedName function="false" hidden="false" localSheetId="2" name="_xlnm_Print_Area" vbProcedure="false">May!$A$1:$AL$75</definedName>
    <definedName function="false" hidden="false" localSheetId="2" name="_xlnm_Print_Titles" vbProcedure="false">(May!$A:$C,May!$1:$4)</definedName>
    <definedName function="false" hidden="false" localSheetId="3" name="_xlnm_Print_Area" vbProcedure="false">Jun!$A$1:$AL$75</definedName>
    <definedName function="false" hidden="false" localSheetId="3" name="_xlnm_Print_Titles" vbProcedure="false">(Jun!$A:$C,Jun!$1:$4)</definedName>
    <definedName function="false" hidden="false" localSheetId="4" name="_xlnm_Print_Area" vbProcedure="false">Jul!$A$1:$AL$75</definedName>
    <definedName function="false" hidden="false" localSheetId="4" name="_xlnm_Print_Titles" vbProcedure="false">(Jul!$A:$C,Jul!$1:$4)</definedName>
    <definedName function="false" hidden="false" localSheetId="5" name="_xlnm_Print_Area" vbProcedure="false">Aug!$A$1:$AL$75</definedName>
    <definedName function="false" hidden="false" localSheetId="5" name="_xlnm_Print_Titles" vbProcedure="false">(Aug!$A:$C,Aug!$1:$4)</definedName>
    <definedName function="false" hidden="false" localSheetId="6" name="_xlnm_Print_Area" vbProcedure="false">Sep!$A$1:$AL$75</definedName>
    <definedName function="false" hidden="false" localSheetId="6" name="_xlnm_Print_Titles" vbProcedure="false">(Sep!$A:$C,Sep!$1:$4)</definedName>
    <definedName function="false" hidden="false" localSheetId="7" name="_xlnm_Print_Area" vbProcedure="false">Oct!$A$1:$AL$75</definedName>
    <definedName function="false" hidden="false" localSheetId="7" name="_xlnm_Print_Titles" vbProcedure="false">(Oct!$A:$C,Oct!$1:$4)</definedName>
    <definedName function="false" hidden="false" localSheetId="8" name="_xlnm_Print_Area" vbProcedure="false">Nov!$A$1:$AL$75</definedName>
    <definedName function="false" hidden="false" localSheetId="8" name="_xlnm_Print_Titles" vbProcedure="false">(Nov!$A:$C,Nov!$1:$4)</definedName>
    <definedName function="false" hidden="false" localSheetId="9" name="_xlnm_Print_Area" vbProcedure="false">Dec!$A$1:$AL$75</definedName>
    <definedName function="false" hidden="false" localSheetId="9" name="_xlnm_Print_Titles" vbProcedure="false">(Dec!$A:$C,Dec!$1:$4)</definedName>
    <definedName function="false" hidden="false" localSheetId="10" name="_xlnm_Print_Area" vbProcedure="false">Jan!$A$1:$AL$75</definedName>
    <definedName function="false" hidden="false" localSheetId="10" name="_xlnm_Print_Titles" vbProcedure="false">(Jan!$A:$C,Jan!$1:$4)</definedName>
    <definedName function="false" hidden="false" localSheetId="11" name="_xlnm_Print_Area" vbProcedure="false">Feb!$A$1:$AL$75</definedName>
    <definedName function="false" hidden="false" localSheetId="11" name="_xlnm_Print_Titles" vbProcedure="false">(Feb!$A:$C,Feb!$1:$4)</definedName>
    <definedName function="false" hidden="false" localSheetId="12" name="_xlnm_Print_Area" vbProcedure="false">Mar!$A$1:$AL$75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ClosingCreditors!$A$1:$M$75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<sst xmlns="http://schemas.openxmlformats.org/spreadsheetml/2006/main" count="2419" uniqueCount="266">
  <si>
    <t xml:space="preserve">Opening Creditors Balance</t>
  </si>
  <si>
    <t xml:space="preserve">Total in C1 should equal F1</t>
  </si>
  <si>
    <t xml:space="preserve">For your information only. Enter How Paid e.g. Cash, Cheque etc.,</t>
  </si>
  <si>
    <t xml:space="preserve">Purchase Date</t>
  </si>
  <si>
    <t xml:space="preserve">Supplier Name</t>
  </si>
  <si>
    <t xml:space="preserve">Purchase Invoice Number or Reference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</si>
  <si>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</si>
  <si>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</si>
  <si>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</si>
  <si>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</si>
  <si>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</si>
  <si>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</si>
  <si>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</si>
  <si>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</si>
  <si>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WorkSpace Ltd</t>
  </si>
  <si>
    <t xml:space="preserve">WS-2403</t>
  </si>
  <si>
    <t xml:space="preserve">Smith &amp; Co</t>
  </si>
  <si>
    <t xml:space="preserve">SC-2403</t>
  </si>
  <si>
    <t xml:space="preserve">TechParts Ltd</t>
  </si>
  <si>
    <t xml:space="preserve">TP-2403</t>
  </si>
  <si>
    <t xml:space="preserve">Shell</t>
  </si>
  <si>
    <t xml:space="preserve">SH-2403</t>
  </si>
  <si>
    <t xml:space="preserve">Check Total</t>
  </si>
  <si>
    <t xml:space="preserve">Total for Month</t>
  </si>
  <si>
    <t xml:space="preserve">  Enter Expense Code Letter</t>
  </si>
  <si>
    <t xml:space="preserve">Purchases Cost of Sales</t>
  </si>
  <si>
    <t xml:space="preserve"> Directors Wages         Non Paye</t>
  </si>
  <si>
    <t xml:space="preserve">Employee Wages        Non Paye</t>
  </si>
  <si>
    <t xml:space="preserve">Premises 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</si>
  <si>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</si>
  <si>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</si>
  <si>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</si>
  <si>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</si>
  <si>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</si>
  <si>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</si>
  <si>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</si>
  <si>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</si>
  <si>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</si>
  <si>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</si>
  <si>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</t>
  </si>
  <si>
    <t xml:space="preserve">Charitable Donations</t>
  </si>
  <si>
    <t xml:space="preserve">Goodwill</t>
  </si>
  <si>
    <t xml:space="preserve">Fixed Asset Purchases</t>
  </si>
  <si>
    <t xml:space="preserve">Business Entertainment</t>
  </si>
  <si>
    <t xml:space="preserve">Contractors </t>
  </si>
  <si>
    <t xml:space="preserve">Direct Materials</t>
  </si>
  <si>
    <t xml:space="preserve">Sub Contractors</t>
  </si>
  <si>
    <t xml:space="preserve">Other Direct Costs</t>
  </si>
  <si>
    <t xml:space="preserve">Rent &amp; Rates</t>
  </si>
  <si>
    <t xml:space="preserve">Light &amp; Heating</t>
  </si>
  <si>
    <t xml:space="preserve">CIS Certificates</t>
  </si>
  <si>
    <t xml:space="preserve">S</t>
  </si>
  <si>
    <t xml:space="preserve">C</t>
  </si>
  <si>
    <t xml:space="preserve">O</t>
  </si>
  <si>
    <t xml:space="preserve">D</t>
  </si>
  <si>
    <t xml:space="preserve">W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</si>
  <si>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</si>
  <si>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</si>
  <si>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</si>
  <si>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</si>
  <si>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</si>
  <si>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</si>
  <si>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A</t>
  </si>
  <si>
    <t xml:space="preserve">G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</si>
  <si>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</si>
  <si>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</si>
  <si>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</si>
  <si>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</si>
  <si>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</si>
  <si>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Y</t>
  </si>
  <si>
    <t xml:space="preserve">Z</t>
  </si>
  <si>
    <t xml:space="preserve">FA</t>
  </si>
  <si>
    <t xml:space="preserve">E</t>
  </si>
  <si>
    <t xml:space="preserve">Tax Paid</t>
  </si>
  <si>
    <t xml:space="preserve">Certificate No</t>
  </si>
  <si>
    <t xml:space="preserve">Monthly office rent</t>
  </si>
  <si>
    <t xml:space="preserve">r</t>
  </si>
  <si>
    <t xml:space="preserve">5200</t>
  </si>
  <si>
    <t xml:space="preserve">Microsoft</t>
  </si>
  <si>
    <t xml:space="preserve">Microsoft 365 subscription</t>
  </si>
  <si>
    <t xml:space="preserve">g</t>
  </si>
  <si>
    <t xml:space="preserve">5501</t>
  </si>
  <si>
    <t xml:space="preserve">Slack</t>
  </si>
  <si>
    <t xml:space="preserve">Slack team subscription</t>
  </si>
  <si>
    <t xml:space="preserve">GitHub</t>
  </si>
  <si>
    <t xml:space="preserve">GitHub Team subscription</t>
  </si>
  <si>
    <t xml:space="preserve">o</t>
  </si>
  <si>
    <t xml:space="preserve">5002</t>
  </si>
  <si>
    <t xml:space="preserve">Hiscox</t>
  </si>
  <si>
    <t xml:space="preserve">Professional indemnity insurance</t>
  </si>
  <si>
    <t xml:space="preserve">n</t>
  </si>
  <si>
    <t xml:space="preserve">5700</t>
  </si>
  <si>
    <t xml:space="preserve">Cloudflare</t>
  </si>
  <si>
    <t xml:space="preserve">CDN and DNS services</t>
  </si>
  <si>
    <t xml:space="preserve">Zoom</t>
  </si>
  <si>
    <t xml:space="preserve">Video conferencing subscription</t>
  </si>
  <si>
    <t xml:space="preserve">AWS</t>
  </si>
  <si>
    <t xml:space="preserve">Cloud hosting charges</t>
  </si>
  <si>
    <t xml:space="preserve">Argos</t>
  </si>
  <si>
    <t xml:space="preserve">Miscellaneous office items</t>
  </si>
  <si>
    <t xml:space="preserve">u</t>
  </si>
  <si>
    <t xml:space="preserve">5401</t>
  </si>
  <si>
    <t xml:space="preserve">Ryman</t>
  </si>
  <si>
    <t xml:space="preserve">Stationery supplies</t>
  </si>
  <si>
    <t xml:space="preserve">BP</t>
  </si>
  <si>
    <t xml:space="preserve">Fuel for company vehicle</t>
  </si>
  <si>
    <t xml:space="preserve">v</t>
  </si>
  <si>
    <t xml:space="preserve">5601</t>
  </si>
  <si>
    <t xml:space="preserve">DigitalOcean</t>
  </si>
  <si>
    <t xml:space="preserve">Cloud VPS hosting</t>
  </si>
  <si>
    <t xml:space="preserve">National Rail</t>
  </si>
  <si>
    <t xml:space="preserve">Train ticket client meeting</t>
  </si>
  <si>
    <t xml:space="preserve">h</t>
  </si>
  <si>
    <t xml:space="preserve">5600</t>
  </si>
  <si>
    <t xml:space="preserve">Amazon</t>
  </si>
  <si>
    <t xml:space="preserve">Office supplies</t>
  </si>
  <si>
    <t xml:space="preserve">Xerox</t>
  </si>
  <si>
    <t xml:space="preserve">Printer lease payment</t>
  </si>
  <si>
    <t xml:space="preserve">f</t>
  </si>
  <si>
    <t xml:space="preserve">5701</t>
  </si>
  <si>
    <t xml:space="preserve">TechParts</t>
  </si>
  <si>
    <t xml:space="preserve">Hardware components for resale</t>
  </si>
  <si>
    <t xml:space="preserve">s</t>
  </si>
  <si>
    <t xml:space="preserve">5000</t>
  </si>
  <si>
    <t xml:space="preserve">NCP</t>
  </si>
  <si>
    <t xml:space="preserve">Parking charges</t>
  </si>
  <si>
    <t xml:space="preserve">Toolstation</t>
  </si>
  <si>
    <t xml:space="preserve">Assorted fixings and parts</t>
  </si>
  <si>
    <t xml:space="preserve">Uber</t>
  </si>
  <si>
    <t xml:space="preserve">Taxi to client site</t>
  </si>
  <si>
    <t xml:space="preserve">Costa Coffee</t>
  </si>
  <si>
    <t xml:space="preserve">Client meeting refreshments</t>
  </si>
  <si>
    <t xml:space="preserve">Royal Mail</t>
  </si>
  <si>
    <t xml:space="preserve">Postage</t>
  </si>
  <si>
    <t xml:space="preserve">Jet</t>
  </si>
  <si>
    <t xml:space="preserve">BT Business</t>
  </si>
  <si>
    <t xml:space="preserve">Telephone line rental</t>
  </si>
  <si>
    <t xml:space="preserve">Office Maintenance Ltd</t>
  </si>
  <si>
    <t xml:space="preserve">Premises maintenance and repairs</t>
  </si>
  <si>
    <t xml:space="preserve">m</t>
  </si>
  <si>
    <t xml:space="preserve">5400</t>
  </si>
  <si>
    <t xml:space="preserve">Greggs</t>
  </si>
  <si>
    <t xml:space="preserve">Working lunch</t>
  </si>
  <si>
    <t xml:space="preserve">Screwfix</t>
  </si>
  <si>
    <t xml:space="preserve">Miscellaneous supplies</t>
  </si>
  <si>
    <t xml:space="preserve">Wilko</t>
  </si>
  <si>
    <t xml:space="preserve">Cleaning and kitchen supplies</t>
  </si>
  <si>
    <t xml:space="preserve">Mileage claim</t>
  </si>
  <si>
    <t xml:space="preserve">Business mileage to Manchester</t>
  </si>
  <si>
    <t xml:space="preserve">Additional fuel purchase</t>
  </si>
  <si>
    <t xml:space="preserve">Monthly accountancy retainer</t>
  </si>
  <si>
    <t xml:space="preserve">l</t>
  </si>
  <si>
    <t xml:space="preserve">5800</t>
  </si>
  <si>
    <t xml:space="preserve">Trainline</t>
  </si>
  <si>
    <t xml:space="preserve">Advance train ticket</t>
  </si>
  <si>
    <t xml:space="preserve">Hilti</t>
  </si>
  <si>
    <t xml:space="preserve">Power tool hire</t>
  </si>
  <si>
    <t xml:space="preserve">q</t>
  </si>
  <si>
    <t xml:space="preserve">5301</t>
  </si>
  <si>
    <t xml:space="preserve">Google Ads</t>
  </si>
  <si>
    <t xml:space="preserve">PPC advertising campaign</t>
  </si>
  <si>
    <t xml:space="preserve">a</t>
  </si>
  <si>
    <t xml:space="preserve">5500</t>
  </si>
  <si>
    <t xml:space="preserve">ComponentsDirect</t>
  </si>
  <si>
    <t xml:space="preserve">Electronic components</t>
  </si>
  <si>
    <t xml:space="preserve">Dell</t>
  </si>
  <si>
    <t xml:space="preserve">PUR-FA-001</t>
  </si>
  <si>
    <t xml:space="preserve">New laptop for development</t>
  </si>
  <si>
    <t xml:space="preserve">fa</t>
  </si>
  <si>
    <t xml:space="preserve">5900</t>
  </si>
  <si>
    <t xml:space="preserve">WHSmith</t>
  </si>
  <si>
    <t xml:space="preserve">Magazines and stationery</t>
  </si>
  <si>
    <t xml:space="preserve">ParcelForce</t>
  </si>
  <si>
    <t xml:space="preserve">Equipment delivery</t>
  </si>
  <si>
    <t xml:space="preserve">t</t>
  </si>
  <si>
    <t xml:space="preserve">5300</t>
  </si>
  <si>
    <t xml:space="preserve">CableCo</t>
  </si>
  <si>
    <t xml:space="preserve">Cabling and connectors</t>
  </si>
  <si>
    <t xml:space="preserve">Halfords</t>
  </si>
  <si>
    <t xml:space="preserve">Vehicle maintenance supplies</t>
  </si>
  <si>
    <t xml:space="preserve">Business mileage to Birmingham</t>
  </si>
  <si>
    <t xml:space="preserve">Vistaprint</t>
  </si>
  <si>
    <t xml:space="preserve">Business cards and flyers</t>
  </si>
  <si>
    <t xml:space="preserve">BuildTech Solutions</t>
  </si>
  <si>
    <t xml:space="preserve">PUR-CIS-001</t>
  </si>
  <si>
    <t xml:space="preserve">Sub-contractor network installation</t>
  </si>
  <si>
    <t xml:space="preserve">c</t>
  </si>
  <si>
    <t xml:space="preserve">5001</t>
  </si>
  <si>
    <t xml:space="preserve">Premier Inn</t>
  </si>
  <si>
    <t xml:space="preserve">Hotel for London client meeting</t>
  </si>
  <si>
    <t xml:space="preserve">ElectroParts</t>
  </si>
  <si>
    <t xml:space="preserve">Specialist electronic components</t>
  </si>
  <si>
    <t xml:space="preserve">EnergySupply</t>
  </si>
  <si>
    <t xml:space="preserve">Quarterly utility bill</t>
  </si>
  <si>
    <t xml:space="preserve">p</t>
  </si>
  <si>
    <t xml:space="preserve">5201</t>
  </si>
  <si>
    <t xml:space="preserve">Business mileage to London</t>
  </si>
  <si>
    <t xml:space="preserve">Directors loan</t>
  </si>
  <si>
    <t xml:space="preserve">PUR-INT-001</t>
  </si>
  <si>
    <t xml:space="preserve">Directors loan interest</t>
  </si>
  <si>
    <t xml:space="preserve">5803</t>
  </si>
  <si>
    <t xml:space="preserve">Precision Tooling Supplies</t>
  </si>
  <si>
    <t xml:space="preserve">PUR-FA-004</t>
  </si>
  <si>
    <t xml:space="preserve">Test rig bought under HP-2025-01</t>
  </si>
  <si>
    <t xml:space="preserve">J. Smith Consulting</t>
  </si>
  <si>
    <t xml:space="preserve">Goodwill amortisation</t>
  </si>
  <si>
    <t xml:space="preserve">z</t>
  </si>
  <si>
    <t xml:space="preserve">5802</t>
  </si>
  <si>
    <t xml:space="preserve">LinkedIn</t>
  </si>
  <si>
    <t xml:space="preserve">Sponsored content campaign</t>
  </si>
  <si>
    <t xml:space="preserve">ToolHire</t>
  </si>
  <si>
    <t xml:space="preserve">Equipment hire for installation</t>
  </si>
  <si>
    <t xml:space="preserve">IKEA</t>
  </si>
  <si>
    <t xml:space="preserve">PUR-FA-003</t>
  </si>
  <si>
    <t xml:space="preserve">Office furniture</t>
  </si>
  <si>
    <t xml:space="preserve">DHL</t>
  </si>
  <si>
    <t xml:space="preserve">International courier</t>
  </si>
  <si>
    <t xml:space="preserve">Business mileage to Leeds</t>
  </si>
  <si>
    <t xml:space="preserve">PC Repair Shop</t>
  </si>
  <si>
    <t xml:space="preserve">Laptop screen repair</t>
  </si>
  <si>
    <t xml:space="preserve">Casual worker</t>
  </si>
  <si>
    <t xml:space="preserve">Temporary labour</t>
  </si>
  <si>
    <t xml:space="preserve">w</t>
  </si>
  <si>
    <t xml:space="preserve">5101</t>
  </si>
  <si>
    <t xml:space="preserve">The Ivy</t>
  </si>
  <si>
    <t xml:space="preserve">Client dinner, project kickoff</t>
  </si>
  <si>
    <t xml:space="preserve">e</t>
  </si>
  <si>
    <t xml:space="preserve">5502</t>
  </si>
  <si>
    <t xml:space="preserve">Special delivery courier</t>
  </si>
  <si>
    <t xml:space="preserve">Jones Solicitors</t>
  </si>
  <si>
    <t xml:space="preserve">Contract review and legal advice</t>
  </si>
  <si>
    <t xml:space="preserve">Business mileage to Bristol</t>
  </si>
  <si>
    <t xml:space="preserve">PUR-INT-002</t>
  </si>
  <si>
    <t xml:space="preserve">PUR-FA-005</t>
  </si>
  <si>
    <t xml:space="preserve">Bench calibration kit bought under HP-2025-02</t>
  </si>
  <si>
    <t xml:space="preserve">Simply Business</t>
  </si>
  <si>
    <t xml:space="preserve">Contents insurance renewal</t>
  </si>
  <si>
    <t xml:space="preserve">PPC advertising campaign Q3</t>
  </si>
  <si>
    <t xml:space="preserve">TechExpo</t>
  </si>
  <si>
    <t xml:space="preserve">Exhibition stand and materials</t>
  </si>
  <si>
    <t xml:space="preserve">Hotel for Birmingham meeting</t>
  </si>
  <si>
    <t xml:space="preserve">Business mileage to Sheffield</t>
  </si>
  <si>
    <t xml:space="preserve">Ford</t>
  </si>
  <si>
    <t xml:space="preserve">PUR-FA-002</t>
  </si>
  <si>
    <t xml:space="preserve">Ford Transit Custom van</t>
  </si>
  <si>
    <t xml:space="preserve">PUR-CIS-002</t>
  </si>
  <si>
    <t xml:space="preserve">Sub-contractor cabling works</t>
  </si>
  <si>
    <t xml:space="preserve">Code Club UK</t>
  </si>
  <si>
    <t xml:space="preserve">Charitable donation</t>
  </si>
  <si>
    <t xml:space="preserve">y</t>
  </si>
  <si>
    <t xml:space="preserve">5801</t>
  </si>
  <si>
    <t xml:space="preserve">Business mileage to Various</t>
  </si>
  <si>
    <t xml:space="preserve">Director</t>
  </si>
  <si>
    <t xml:space="preserve">Director fees (non-PAYE)</t>
  </si>
  <si>
    <t xml:space="preserve">d</t>
  </si>
  <si>
    <t xml:space="preserve">5100</t>
  </si>
  <si>
    <t xml:space="preserve">PUR-INT-003</t>
  </si>
  <si>
    <t xml:space="preserve">Desktop motherboard replacement</t>
  </si>
  <si>
    <t xml:space="preserve">Hotel for two-day workshop</t>
  </si>
  <si>
    <t xml:space="preserve">Business mileage to Nottingham</t>
  </si>
  <si>
    <t xml:space="preserve">PUR-INT-004</t>
  </si>
  <si>
    <t xml:space="preserve">Closing Creditors Balance</t>
  </si>
  <si>
    <t xml:space="preserve">WS-2603</t>
  </si>
  <si>
    <t xml:space="preserve">SC-2603</t>
  </si>
  <si>
    <t xml:space="preserve">BT-2603</t>
  </si>
  <si>
    <t xml:space="preserve">SH-2603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</si>
</sst>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"/>
    <numFmt numFmtId="166" formatCode="#,##0"/>
    <numFmt numFmtId="167" formatCode="#,##0.00_ ;[RED]\-#,##0.00\ "/>
    <numFmt numFmtId="168" formatCode="0_ ;[RED]\-0\ "/>
    <numFmt numFmtId="169" formatCode="0"/>
    <numFmt numFmtId="170" formatCode="#,##0.00"/>
    <numFmt numFmtId="171" formatCode="#,##0.0_ ;[RED]\-#,##0.0\ "/>
    <numFmt numFmtId="172" formatCode="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3fef4072/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3fef4072/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-2400</v>
          </cell>
        </row>
        <row r="28">
          <cell r="EJ28">
            <v>-11182.25</v>
          </cell>
        </row>
        <row r="29">
          <cell r="D29">
            <v>0</v>
          </cell>
        </row>
        <row r="29">
          <cell r="EJ29">
            <v>0</v>
          </cell>
        </row>
        <row r="30">
          <cell r="D30">
            <v>0</v>
          </cell>
        </row>
        <row r="30">
          <cell r="EJ30">
            <v>0</v>
          </cell>
        </row>
        <row r="31">
          <cell r="D31">
            <v>0</v>
          </cell>
        </row>
        <row r="31"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customFormat="false" ht="12.75" hidden="false" customHeight="true" outlineLevel="0" collapsed="false">
      <c r="A1" s="9" t="s">
        <v>0</v>
      </c>
      <c r="B1" s="9"/>
      <c r="C1" s="10" t="n">
        <f aca="false">-SUM([1]TrialBalance!$D$28:$D$31)</f>
        <v>2400</v>
      </c>
      <c r="D1" s="11" t="s">
        <v>1</v>
      </c>
      <c r="E1" s="11"/>
      <c r="F1" s="12" t="n">
        <f aca="false">SUM(F2:F200)</f>
        <v>0</v>
      </c>
      <c r="G1" s="12" t="n">
        <f aca="false">SUM(G5:G300)</f>
        <v>0</v>
      </c>
      <c r="H1" s="12" t="n">
        <f aca="false">SUM(H2:H200)</f>
        <v>2220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46294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IF([2]Nov!$G$4&gt;0,0,[2]Nov!$G$2)</f>
        <v>20</v>
      </c>
      <c r="H2" s="19" t="s">
        <v>8</v>
      </c>
      <c r="I2" s="13"/>
      <c r="J2" s="14"/>
      <c r="K2" s="23" t="s">
        <v>9</v>
      </c>
      <c r="L2" s="23"/>
      <c r="M2" s="23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/>
      <c r="B5" s="5" t="s">
        <v>14</v>
      </c>
      <c r="C5" s="29" t="s">
        <v>15</v>
      </c>
      <c r="D5" s="5"/>
      <c r="E5" s="2"/>
      <c r="F5" s="30"/>
      <c r="G5" s="6" t="str">
        <f aca="false">IF(F5&lt;&gt;0,F5*G$2/(100+G$2)," ")</f>
        <v> </v>
      </c>
      <c r="H5" s="6" t="n">
        <v>1200</v>
      </c>
      <c r="I5" s="5"/>
      <c r="L5" s="7" t="str">
        <f aca="false">IF(F5&lt;&gt;0,F5-K5," ")</f>
        <v> </v>
      </c>
      <c r="M5" s="8" t="str">
        <f aca="false">IF((F5-K5)&lt;&gt;0,M$1-A5," ")</f>
        <v> 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/>
      <c r="B6" s="2" t="s">
        <v>16</v>
      </c>
      <c r="C6" s="3" t="s">
        <v>17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18</v>
      </c>
      <c r="C7" s="3" t="s">
        <v>19</v>
      </c>
      <c r="E7" s="2"/>
      <c r="G7" s="6" t="str">
        <f aca="false">IF(F7&lt;&gt;0,F7*G$2/(100+G$2)," ")</f>
        <v> </v>
      </c>
      <c r="H7" s="6" t="n">
        <v>600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21</v>
      </c>
      <c r="E8" s="2"/>
      <c r="G8" s="6" t="str">
        <f aca="false">IF(F8&lt;&gt;0,F8*G$2/(100+G$2)," ")</f>
        <v> </v>
      </c>
      <c r="H8" s="6" t="n">
        <v>120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1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2"/>
      <c r="B200" s="33"/>
      <c r="C200" s="34"/>
      <c r="D200" s="35"/>
      <c r="E200" s="33"/>
      <c r="F200" s="36"/>
      <c r="G200" s="36" t="str">
        <f aca="false">IF(F200&lt;&gt;0,F200*G$2/(100+G$2)," ")</f>
        <v> </v>
      </c>
      <c r="H200" s="36" t="str">
        <f aca="false">IF((F200&lt;&gt;0),F200-G200," ")</f>
        <v> </v>
      </c>
      <c r="J200" s="36"/>
      <c r="K200" s="36"/>
      <c r="L200" s="37" t="str">
        <f aca="false">IF(F200&lt;&gt;0,F200-K200," ")</f>
        <v> </v>
      </c>
      <c r="M200" s="38" t="str">
        <f aca="false">IF((F200-K200)&lt;&gt;0,M$1-A200," ")</f>
        <v> 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5111.25</v>
      </c>
      <c r="G1" s="12" t="n">
        <f aca="false">SUM(G5:G300)</f>
        <v>851.875</v>
      </c>
      <c r="H1" s="12" t="n">
        <f aca="false">SUM(H5:H300)</f>
        <v>4259.375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5111.25</v>
      </c>
      <c r="M1" s="16" t="n">
        <f aca="true">TODAY()</f>
        <v>46294</v>
      </c>
      <c r="N1" s="13"/>
      <c r="O1" s="12" t="n">
        <f aca="false">SUM(O5:O300)</f>
        <v>500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100</v>
      </c>
      <c r="Y1" s="12" t="n">
        <f aca="false">SUM(Y5:Y300)</f>
        <v>130.833333333333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76.6666666666667</v>
      </c>
      <c r="AC1" s="12" t="n">
        <f aca="false">SUM(AC5:AC300)</f>
        <v>501.875</v>
      </c>
      <c r="AD1" s="12" t="n">
        <f aca="false">SUM(AD5:AD300)</f>
        <v>1200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IF([2]Nov!$G$4&gt;0,0,[2]Nov!$G$2)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46327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-33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46327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46327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46327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46327</v>
      </c>
      <c r="B9" s="2" t="s">
        <v>88</v>
      </c>
      <c r="D9" s="2" t="s">
        <v>89</v>
      </c>
      <c r="E9" s="2" t="s">
        <v>90</v>
      </c>
      <c r="F9" s="30" t="n">
        <v>1440</v>
      </c>
      <c r="G9" s="6" t="n">
        <f aca="false">IF(F9&lt;&gt;0,F9*G$2/(100+G$2)," ")</f>
        <v>240</v>
      </c>
      <c r="H9" s="6" t="n">
        <f aca="false">IF((F9&lt;&gt;0),F9-G9," ")</f>
        <v>1200</v>
      </c>
      <c r="I9" s="5"/>
      <c r="L9" s="7" t="n">
        <f aca="false">IF(F9&lt;&gt;0,F9-K9," ")</f>
        <v>1440</v>
      </c>
      <c r="M9" s="8" t="n">
        <f aca="false">IF((F9-K9)&lt;&gt;0,M$1-A9," ")</f>
        <v>-33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n">
        <f aca="false">IF((E9="n"),H9," ")</f>
        <v>1200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91</v>
      </c>
    </row>
    <row r="10" customFormat="false" ht="12" hidden="false" customHeight="false" outlineLevel="0" collapsed="false">
      <c r="A10" s="28" t="n">
        <v>46327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-33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46327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-33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46329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-35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46329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-35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46331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-37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46331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-37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46331</v>
      </c>
      <c r="B16" s="2" t="s">
        <v>108</v>
      </c>
      <c r="D16" s="2" t="s">
        <v>109</v>
      </c>
      <c r="E16" s="2" t="s">
        <v>86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-37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30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87</v>
      </c>
    </row>
    <row r="17" customFormat="false" ht="12" hidden="false" customHeight="false" outlineLevel="0" collapsed="false">
      <c r="A17" s="28" t="n">
        <v>46334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-40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46336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-42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46336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-42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46336</v>
      </c>
      <c r="B20" s="2" t="s">
        <v>120</v>
      </c>
      <c r="D20" s="2" t="s">
        <v>121</v>
      </c>
      <c r="E20" s="2" t="s">
        <v>122</v>
      </c>
      <c r="F20" s="30" t="n">
        <v>600</v>
      </c>
      <c r="G20" s="6" t="n">
        <f aca="false">IF(F20&lt;&gt;0,F20*G$2/(100+G$2)," ")</f>
        <v>100</v>
      </c>
      <c r="H20" s="6" t="n">
        <f aca="false">IF((F20&lt;&gt;0),F20-G20," ")</f>
        <v>500</v>
      </c>
      <c r="I20" s="5"/>
      <c r="L20" s="7" t="n">
        <f aca="false">IF(F20&lt;&gt;0,F20-K20," ")</f>
        <v>600</v>
      </c>
      <c r="M20" s="8" t="n">
        <f aca="false">IF((F20-K20)&lt;&gt;0,M$1-A20," ")</f>
        <v>-42</v>
      </c>
      <c r="N20" s="5"/>
      <c r="O20" s="17" t="n">
        <f aca="false">IF((E20="s"),H20," ")</f>
        <v>500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46338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-44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46340</v>
      </c>
      <c r="B22" s="2" t="s">
        <v>126</v>
      </c>
      <c r="D22" s="2" t="s">
        <v>127</v>
      </c>
      <c r="E22" s="2" t="s">
        <v>100</v>
      </c>
      <c r="F22" s="30" t="n">
        <v>42</v>
      </c>
      <c r="G22" s="6" t="n">
        <f aca="false">IF(F22&lt;&gt;0,F22*G$2/(100+G$2)," ")</f>
        <v>7</v>
      </c>
      <c r="H22" s="6" t="n">
        <f aca="false">IF((F22&lt;&gt;0),F22-G22," ")</f>
        <v>35</v>
      </c>
      <c r="I22" s="5"/>
      <c r="L22" s="7" t="n">
        <f aca="false">IF(F22&lt;&gt;0,F22-K22," ")</f>
        <v>42</v>
      </c>
      <c r="M22" s="8" t="n">
        <f aca="false">IF((F22-K22)&lt;&gt;0,M$1-A22," ")</f>
        <v>-46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n">
        <f aca="false">IF((E22="u"),H22," ")</f>
        <v>35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101</v>
      </c>
    </row>
    <row r="23" customFormat="false" ht="12" hidden="false" customHeight="false" outlineLevel="0" collapsed="false">
      <c r="A23" s="28" t="n">
        <v>46340</v>
      </c>
      <c r="B23" s="2" t="s">
        <v>128</v>
      </c>
      <c r="D23" s="2" t="s">
        <v>129</v>
      </c>
      <c r="E23" s="2" t="s">
        <v>112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-46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46340</v>
      </c>
      <c r="B24" s="2" t="s">
        <v>130</v>
      </c>
      <c r="D24" s="2" t="s">
        <v>131</v>
      </c>
      <c r="E24" s="2" t="s">
        <v>112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-46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46341</v>
      </c>
      <c r="B25" s="2" t="s">
        <v>20</v>
      </c>
      <c r="D25" s="2" t="s">
        <v>105</v>
      </c>
      <c r="E25" s="2" t="s">
        <v>106</v>
      </c>
      <c r="F25" s="30" t="n">
        <v>150</v>
      </c>
      <c r="G25" s="6" t="n">
        <f aca="false">IF(F25&lt;&gt;0,F25*G$2/(100+G$2)," ")</f>
        <v>25</v>
      </c>
      <c r="H25" s="6" t="n">
        <f aca="false">IF((F25&lt;&gt;0),F25-G25," ")</f>
        <v>125</v>
      </c>
      <c r="I25" s="5"/>
      <c r="L25" s="7" t="n">
        <f aca="false">IF(F25&lt;&gt;0,F25-K25," ")</f>
        <v>150</v>
      </c>
      <c r="M25" s="8" t="n">
        <f aca="false">IF((F25-K25)&lt;&gt;0,M$1-A25," ")</f>
        <v>-47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125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46341</v>
      </c>
      <c r="B26" s="2" t="s">
        <v>132</v>
      </c>
      <c r="D26" s="2" t="s">
        <v>133</v>
      </c>
      <c r="E26" s="2" t="s">
        <v>80</v>
      </c>
      <c r="F26" s="30" t="n">
        <v>12</v>
      </c>
      <c r="G26" s="6" t="n">
        <f aca="false">IF(F26&lt;&gt;0,F26*G$2/(100+G$2)," ")</f>
        <v>2</v>
      </c>
      <c r="H26" s="6" t="n">
        <f aca="false">IF((F26&lt;&gt;0),F26-G26," ")</f>
        <v>10</v>
      </c>
      <c r="I26" s="5"/>
      <c r="L26" s="7" t="n">
        <f aca="false">IF(F26&lt;&gt;0,F26-K26," ")</f>
        <v>12</v>
      </c>
      <c r="M26" s="8" t="n">
        <f aca="false">IF((F26-K26)&lt;&gt;0,M$1-A26," ")</f>
        <v>-47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46344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-50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46346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-52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46346</v>
      </c>
      <c r="B29" s="2" t="s">
        <v>137</v>
      </c>
      <c r="D29" s="2" t="s">
        <v>138</v>
      </c>
      <c r="E29" s="2" t="s">
        <v>139</v>
      </c>
      <c r="F29" s="30" t="n">
        <v>120</v>
      </c>
      <c r="G29" s="6" t="n">
        <f aca="false">IF(F29&lt;&gt;0,F29*G$2/(100+G$2)," ")</f>
        <v>20</v>
      </c>
      <c r="H29" s="6" t="n">
        <f aca="false">IF((F29&lt;&gt;0),F29-G29," ")</f>
        <v>100</v>
      </c>
      <c r="I29" s="5"/>
      <c r="L29" s="7" t="n">
        <f aca="false">IF(F29&lt;&gt;0,F29-K29," ")</f>
        <v>120</v>
      </c>
      <c r="M29" s="8" t="n">
        <f aca="false">IF((F29-K29)&lt;&gt;0,M$1-A29," ")</f>
        <v>-52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n">
        <f aca="false">IF((E29="m"),H29," ")</f>
        <v>100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140</v>
      </c>
    </row>
    <row r="30" customFormat="false" ht="12" hidden="false" customHeight="false" outlineLevel="0" collapsed="false">
      <c r="A30" s="28" t="n">
        <v>46347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-53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46348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-54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46351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-57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46351</v>
      </c>
      <c r="B33" s="2" t="s">
        <v>147</v>
      </c>
      <c r="D33" s="2" t="s">
        <v>148</v>
      </c>
      <c r="E33" s="2" t="s">
        <v>106</v>
      </c>
      <c r="F33" s="30" t="n">
        <v>38.25</v>
      </c>
      <c r="G33" s="6" t="n">
        <f aca="false">IF(F33&lt;&gt;0,F33*G$2/(100+G$2)," ")</f>
        <v>6.375</v>
      </c>
      <c r="H33" s="6" t="n">
        <f aca="false">IF((F33&lt;&gt;0),F33-G33," ")</f>
        <v>31.875</v>
      </c>
      <c r="I33" s="5"/>
      <c r="L33" s="7" t="n">
        <f aca="false">IF(F33&lt;&gt;0,F33-K33," ")</f>
        <v>38.25</v>
      </c>
      <c r="M33" s="8" t="n">
        <f aca="false">IF((F33-K33)&lt;&gt;0,M$1-A33," ")</f>
        <v>-57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31.875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46354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-60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46356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-62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6375</v>
      </c>
      <c r="G1" s="12" t="n">
        <f aca="false">SUM(G5:G300)</f>
        <v>1062.5</v>
      </c>
      <c r="H1" s="12" t="n">
        <f aca="false">SUM(H5:H300)</f>
        <v>5312.5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6375</v>
      </c>
      <c r="M1" s="16" t="n">
        <f aca="true">TODAY()</f>
        <v>46294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150</v>
      </c>
      <c r="W1" s="12" t="n">
        <f aca="false">SUM(W5:W300)</f>
        <v>200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500</v>
      </c>
      <c r="AA1" s="12" t="n">
        <f aca="false">SUM(AA5:AA300)</f>
        <v>127.5</v>
      </c>
      <c r="AB1" s="12" t="n">
        <f aca="false">SUM(AB5:AB300)</f>
        <v>126.666666666667</v>
      </c>
      <c r="AC1" s="12" t="n">
        <f aca="false">SUM(AC5:AC300)</f>
        <v>555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1500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IF([2]Dec!$G$4&gt;0,0,[2]Dec!$G$2)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46357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-63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46357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-63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46357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-63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46357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-63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46357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-63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46357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-63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46359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-65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46359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-65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46361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-67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46361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-67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46362</v>
      </c>
      <c r="B15" s="2" t="s">
        <v>153</v>
      </c>
      <c r="D15" s="2" t="s">
        <v>154</v>
      </c>
      <c r="E15" s="2" t="s">
        <v>112</v>
      </c>
      <c r="F15" s="30" t="n">
        <v>60</v>
      </c>
      <c r="G15" s="6" t="n">
        <f aca="false">IF(F15&lt;&gt;0,F15*G$2/(100+G$2)," ")</f>
        <v>10</v>
      </c>
      <c r="H15" s="6" t="n">
        <f aca="false">IF((F15&lt;&gt;0),F15-G15," ")</f>
        <v>50</v>
      </c>
      <c r="I15" s="5"/>
      <c r="L15" s="7" t="n">
        <f aca="false">IF(F15&lt;&gt;0,F15-K15," ")</f>
        <v>60</v>
      </c>
      <c r="M15" s="8" t="n">
        <f aca="false">IF((F15-K15)&lt;&gt;0,M$1-A15," ")</f>
        <v>-68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50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46364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-70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46364</v>
      </c>
      <c r="B17" s="2" t="s">
        <v>155</v>
      </c>
      <c r="D17" s="2" t="s">
        <v>156</v>
      </c>
      <c r="E17" s="2" t="s">
        <v>157</v>
      </c>
      <c r="F17" s="30" t="n">
        <v>240</v>
      </c>
      <c r="G17" s="6" t="n">
        <f aca="false">IF(F17&lt;&gt;0,F17*G$2/(100+G$2)," ")</f>
        <v>40</v>
      </c>
      <c r="H17" s="6" t="n">
        <f aca="false">IF((F17&lt;&gt;0),F17-G17," ")</f>
        <v>200</v>
      </c>
      <c r="I17" s="5"/>
      <c r="L17" s="7" t="n">
        <f aca="false">IF(F17&lt;&gt;0,F17-K17," ")</f>
        <v>240</v>
      </c>
      <c r="M17" s="8" t="n">
        <f aca="false">IF((F17-K17)&lt;&gt;0,M$1-A17," ")</f>
        <v>-70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n">
        <f aca="false">IF((E17="q"),H17," ")</f>
        <v>200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158</v>
      </c>
    </row>
    <row r="18" customFormat="false" ht="12" hidden="false" customHeight="false" outlineLevel="0" collapsed="false">
      <c r="A18" s="28" t="n">
        <v>46366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-72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46366</v>
      </c>
      <c r="B19" s="2" t="s">
        <v>159</v>
      </c>
      <c r="D19" s="2" t="s">
        <v>160</v>
      </c>
      <c r="E19" s="2" t="s">
        <v>161</v>
      </c>
      <c r="F19" s="30" t="n">
        <v>600</v>
      </c>
      <c r="G19" s="6" t="n">
        <f aca="false">IF(F19&lt;&gt;0,F19*G$2/(100+G$2)," ")</f>
        <v>100</v>
      </c>
      <c r="H19" s="6" t="n">
        <f aca="false">IF((F19&lt;&gt;0),F19-G19," ")</f>
        <v>500</v>
      </c>
      <c r="I19" s="5"/>
      <c r="L19" s="7" t="n">
        <f aca="false">IF(F19&lt;&gt;0,F19-K19," ")</f>
        <v>600</v>
      </c>
      <c r="M19" s="8" t="n">
        <f aca="false">IF((F19-K19)&lt;&gt;0,M$1-A19," ")</f>
        <v>-72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n">
        <f aca="false">IF((E19="a"),H19," ")</f>
        <v>500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162</v>
      </c>
    </row>
    <row r="20" customFormat="false" ht="12" hidden="false" customHeight="false" outlineLevel="0" collapsed="false">
      <c r="A20" s="28" t="n">
        <v>46368</v>
      </c>
      <c r="B20" s="2" t="s">
        <v>124</v>
      </c>
      <c r="D20" s="2" t="s">
        <v>125</v>
      </c>
      <c r="E20" s="2" t="s">
        <v>106</v>
      </c>
      <c r="F20" s="30" t="n">
        <v>18</v>
      </c>
      <c r="G20" s="6" t="n">
        <f aca="false">IF(F20&lt;&gt;0,F20*G$2/(100+G$2)," ")</f>
        <v>3</v>
      </c>
      <c r="H20" s="6" t="n">
        <f aca="false">IF((F20&lt;&gt;0),F20-G20," ")</f>
        <v>15</v>
      </c>
      <c r="I20" s="5"/>
      <c r="L20" s="7" t="n">
        <f aca="false">IF(F20&lt;&gt;0,F20-K20," ")</f>
        <v>18</v>
      </c>
      <c r="M20" s="8" t="n">
        <f aca="false">IF((F20-K20)&lt;&gt;0,M$1-A20," ")</f>
        <v>-74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n">
        <f aca="false">IF((E20="v"),H20," ")</f>
        <v>15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107</v>
      </c>
    </row>
    <row r="21" customFormat="false" ht="12" hidden="false" customHeight="false" outlineLevel="0" collapsed="false">
      <c r="A21" s="28" t="n">
        <v>46370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-76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46370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-76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46371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-77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46371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-77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46371</v>
      </c>
      <c r="B25" s="2" t="s">
        <v>163</v>
      </c>
      <c r="D25" s="2" t="s">
        <v>164</v>
      </c>
      <c r="E25" s="2" t="s">
        <v>122</v>
      </c>
      <c r="F25" s="30" t="n">
        <v>480</v>
      </c>
      <c r="G25" s="6" t="n">
        <f aca="false">IF(F25&lt;&gt;0,F25*G$2/(100+G$2)," ")</f>
        <v>80</v>
      </c>
      <c r="H25" s="6" t="n">
        <f aca="false">IF((F25&lt;&gt;0),F25-G25," ")</f>
        <v>400</v>
      </c>
      <c r="I25" s="5"/>
      <c r="L25" s="7" t="n">
        <f aca="false">IF(F25&lt;&gt;0,F25-K25," ")</f>
        <v>480</v>
      </c>
      <c r="M25" s="8" t="n">
        <f aca="false">IF((F25-K25)&lt;&gt;0,M$1-A25," ")</f>
        <v>-77</v>
      </c>
      <c r="N25" s="5"/>
      <c r="O25" s="17" t="n">
        <f aca="false">IF((E25="s"),H25," ")</f>
        <v>400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123</v>
      </c>
    </row>
    <row r="26" customFormat="false" ht="12" hidden="false" customHeight="false" outlineLevel="0" collapsed="false">
      <c r="A26" s="28" t="n">
        <v>46371</v>
      </c>
      <c r="B26" s="2" t="s">
        <v>165</v>
      </c>
      <c r="C26" s="3" t="s">
        <v>166</v>
      </c>
      <c r="D26" s="2" t="s">
        <v>167</v>
      </c>
      <c r="E26" s="2" t="s">
        <v>168</v>
      </c>
      <c r="F26" s="30" t="n">
        <v>1800</v>
      </c>
      <c r="G26" s="6" t="n">
        <f aca="false">IF(F26&lt;&gt;0,F26*G$2/(100+G$2)," ")</f>
        <v>300</v>
      </c>
      <c r="H26" s="6" t="n">
        <f aca="false">IF((F26&lt;&gt;0),F26-G26," ")</f>
        <v>1500</v>
      </c>
      <c r="I26" s="5"/>
      <c r="L26" s="7" t="n">
        <f aca="false">IF(F26&lt;&gt;0,F26-K26," ")</f>
        <v>1800</v>
      </c>
      <c r="M26" s="8" t="n">
        <f aca="false">IF((F26-K26)&lt;&gt;0,M$1-A26," ")</f>
        <v>-77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n">
        <f aca="false">IF((E26="fa"),H26," ")</f>
        <v>1500</v>
      </c>
      <c r="AJ26" s="17" t="str">
        <f aca="false">IF((E26="e"),H26," ")</f>
        <v> </v>
      </c>
      <c r="BZ26" s="2" t="s">
        <v>169</v>
      </c>
    </row>
    <row r="27" customFormat="false" ht="12" hidden="false" customHeight="false" outlineLevel="0" collapsed="false">
      <c r="A27" s="28" t="n">
        <v>46372</v>
      </c>
      <c r="B27" s="2" t="s">
        <v>170</v>
      </c>
      <c r="D27" s="2" t="s">
        <v>171</v>
      </c>
      <c r="E27" s="2" t="s">
        <v>80</v>
      </c>
      <c r="F27" s="30" t="n">
        <v>18</v>
      </c>
      <c r="G27" s="6" t="n">
        <f aca="false">IF(F27&lt;&gt;0,F27*G$2/(100+G$2)," ")</f>
        <v>3</v>
      </c>
      <c r="H27" s="6" t="n">
        <f aca="false">IF((F27&lt;&gt;0),F27-G27," ")</f>
        <v>15</v>
      </c>
      <c r="I27" s="5"/>
      <c r="L27" s="7" t="n">
        <f aca="false">IF(F27&lt;&gt;0,F27-K27," ")</f>
        <v>18</v>
      </c>
      <c r="M27" s="8" t="n">
        <f aca="false">IF((F27-K27)&lt;&gt;0,M$1-A27," ")</f>
        <v>-78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15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46374</v>
      </c>
      <c r="B28" s="2" t="s">
        <v>134</v>
      </c>
      <c r="D28" s="2" t="s">
        <v>105</v>
      </c>
      <c r="E28" s="2" t="s">
        <v>106</v>
      </c>
      <c r="F28" s="30" t="n">
        <v>96</v>
      </c>
      <c r="G28" s="6" t="n">
        <f aca="false">IF(F28&lt;&gt;0,F28*G$2/(100+G$2)," ")</f>
        <v>16</v>
      </c>
      <c r="H28" s="6" t="n">
        <f aca="false">IF((F28&lt;&gt;0),F28-G28," ")</f>
        <v>80</v>
      </c>
      <c r="I28" s="5"/>
      <c r="L28" s="7" t="n">
        <f aca="false">IF(F28&lt;&gt;0,F28-K28," ")</f>
        <v>96</v>
      </c>
      <c r="M28" s="8" t="n">
        <f aca="false">IF((F28-K28)&lt;&gt;0,M$1-A28," ")</f>
        <v>-80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n">
        <f aca="false">IF((E28="v"),H28," ")</f>
        <v>80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107</v>
      </c>
    </row>
    <row r="29" customFormat="false" ht="12" hidden="false" customHeight="false" outlineLevel="0" collapsed="false">
      <c r="A29" s="28" t="n">
        <v>46376</v>
      </c>
      <c r="B29" s="2" t="s">
        <v>135</v>
      </c>
      <c r="D29" s="2" t="s">
        <v>136</v>
      </c>
      <c r="E29" s="2" t="s">
        <v>80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-82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50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81</v>
      </c>
    </row>
    <row r="30" customFormat="false" ht="12" hidden="false" customHeight="false" outlineLevel="0" collapsed="false">
      <c r="A30" s="28" t="n">
        <v>46376</v>
      </c>
      <c r="B30" s="2" t="s">
        <v>172</v>
      </c>
      <c r="D30" s="2" t="s">
        <v>173</v>
      </c>
      <c r="E30" s="2" t="s">
        <v>174</v>
      </c>
      <c r="F30" s="30" t="n">
        <v>180</v>
      </c>
      <c r="G30" s="6" t="n">
        <f aca="false">IF(F30&lt;&gt;0,F30*G$2/(100+G$2)," ")</f>
        <v>30</v>
      </c>
      <c r="H30" s="6" t="n">
        <f aca="false">IF((F30&lt;&gt;0),F30-G30," ")</f>
        <v>150</v>
      </c>
      <c r="I30" s="5"/>
      <c r="L30" s="7" t="n">
        <f aca="false">IF(F30&lt;&gt;0,F30-K30," ")</f>
        <v>180</v>
      </c>
      <c r="M30" s="8" t="n">
        <f aca="false">IF((F30-K30)&lt;&gt;0,M$1-A30," ")</f>
        <v>-82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n">
        <f aca="false">IF((E30="t"),H30," ")</f>
        <v>150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175</v>
      </c>
    </row>
    <row r="31" customFormat="false" ht="12" hidden="false" customHeight="false" outlineLevel="0" collapsed="false">
      <c r="A31" s="28" t="n">
        <v>46376</v>
      </c>
      <c r="B31" s="2" t="s">
        <v>176</v>
      </c>
      <c r="D31" s="2" t="s">
        <v>177</v>
      </c>
      <c r="E31" s="2" t="s">
        <v>122</v>
      </c>
      <c r="F31" s="30" t="n">
        <v>240</v>
      </c>
      <c r="G31" s="6" t="n">
        <f aca="false">IF(F31&lt;&gt;0,F31*G$2/(100+G$2)," ")</f>
        <v>40</v>
      </c>
      <c r="H31" s="6" t="n">
        <f aca="false">IF((F31&lt;&gt;0),F31-G31," ")</f>
        <v>200</v>
      </c>
      <c r="I31" s="5"/>
      <c r="L31" s="7" t="n">
        <f aca="false">IF(F31&lt;&gt;0,F31-K31," ")</f>
        <v>240</v>
      </c>
      <c r="M31" s="8" t="n">
        <f aca="false">IF((F31-K31)&lt;&gt;0,M$1-A31," ")</f>
        <v>-82</v>
      </c>
      <c r="N31" s="5"/>
      <c r="O31" s="17" t="n">
        <f aca="false">IF((E31="s"),H31," ")</f>
        <v>200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123</v>
      </c>
    </row>
    <row r="32" customFormat="false" ht="12" hidden="false" customHeight="false" outlineLevel="0" collapsed="false">
      <c r="A32" s="28" t="n">
        <v>46377</v>
      </c>
      <c r="B32" s="2" t="s">
        <v>141</v>
      </c>
      <c r="D32" s="2" t="s">
        <v>142</v>
      </c>
      <c r="E32" s="2" t="s">
        <v>112</v>
      </c>
      <c r="F32" s="30" t="n">
        <v>8</v>
      </c>
      <c r="G32" s="6" t="n">
        <f aca="false">IF(F32&lt;&gt;0,F32*G$2/(100+G$2)," ")</f>
        <v>1.33333333333333</v>
      </c>
      <c r="H32" s="6" t="n">
        <f aca="false">IF((F32&lt;&gt;0),F32-G32," ")</f>
        <v>6.66666666666667</v>
      </c>
      <c r="I32" s="5"/>
      <c r="L32" s="7" t="n">
        <f aca="false">IF(F32&lt;&gt;0,F32-K32," ")</f>
        <v>8</v>
      </c>
      <c r="M32" s="8" t="n">
        <f aca="false">IF((F32-K32)&lt;&gt;0,M$1-A32," ")</f>
        <v>-83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6.66666666666667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113</v>
      </c>
    </row>
    <row r="33" customFormat="false" ht="12" hidden="false" customHeight="false" outlineLevel="0" collapsed="false">
      <c r="A33" s="28" t="n">
        <v>46378</v>
      </c>
      <c r="B33" s="2" t="s">
        <v>143</v>
      </c>
      <c r="D33" s="2" t="s">
        <v>144</v>
      </c>
      <c r="E33" s="2" t="s">
        <v>100</v>
      </c>
      <c r="F33" s="30" t="n">
        <v>18</v>
      </c>
      <c r="G33" s="6" t="n">
        <f aca="false">IF(F33&lt;&gt;0,F33*G$2/(100+G$2)," ")</f>
        <v>3</v>
      </c>
      <c r="H33" s="6" t="n">
        <f aca="false">IF((F33&lt;&gt;0),F33-G33," ")</f>
        <v>15</v>
      </c>
      <c r="I33" s="5"/>
      <c r="L33" s="7" t="n">
        <f aca="false">IF(F33&lt;&gt;0,F33-K33," ")</f>
        <v>18</v>
      </c>
      <c r="M33" s="8" t="n">
        <f aca="false">IF((F33-K33)&lt;&gt;0,M$1-A33," ")</f>
        <v>-84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46378</v>
      </c>
      <c r="B34" s="2" t="s">
        <v>178</v>
      </c>
      <c r="D34" s="2" t="s">
        <v>179</v>
      </c>
      <c r="E34" s="2" t="s">
        <v>106</v>
      </c>
      <c r="F34" s="30" t="n">
        <v>48</v>
      </c>
      <c r="G34" s="6" t="n">
        <f aca="false">IF(F34&lt;&gt;0,F34*G$2/(100+G$2)," ")</f>
        <v>8</v>
      </c>
      <c r="H34" s="6" t="n">
        <f aca="false">IF((F34&lt;&gt;0),F34-G34," ")</f>
        <v>40</v>
      </c>
      <c r="I34" s="5"/>
      <c r="L34" s="7" t="n">
        <f aca="false">IF(F34&lt;&gt;0,F34-K34," ")</f>
        <v>48</v>
      </c>
      <c r="M34" s="8" t="n">
        <f aca="false">IF((F34-K34)&lt;&gt;0,M$1-A34," ")</f>
        <v>-84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40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46381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-87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46381</v>
      </c>
      <c r="B36" s="2" t="s">
        <v>147</v>
      </c>
      <c r="D36" s="2" t="s">
        <v>180</v>
      </c>
      <c r="E36" s="2" t="s">
        <v>106</v>
      </c>
      <c r="F36" s="30" t="n">
        <v>54</v>
      </c>
      <c r="G36" s="6" t="n">
        <f aca="false">IF(F36&lt;&gt;0,F36*G$2/(100+G$2)," ")</f>
        <v>9</v>
      </c>
      <c r="H36" s="6" t="n">
        <f aca="false">IF((F36&lt;&gt;0),F36-G36," ")</f>
        <v>45</v>
      </c>
      <c r="I36" s="5"/>
      <c r="L36" s="7" t="n">
        <f aca="false">IF(F36&lt;&gt;0,F36-K36," ")</f>
        <v>54</v>
      </c>
      <c r="M36" s="8" t="n">
        <f aca="false">IF((F36-K36)&lt;&gt;0,M$1-A36," ")</f>
        <v>-87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45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46384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-90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 t="n">
        <v>46387</v>
      </c>
      <c r="B38" s="2" t="s">
        <v>16</v>
      </c>
      <c r="D38" s="2" t="s">
        <v>150</v>
      </c>
      <c r="E38" s="2" t="s">
        <v>151</v>
      </c>
      <c r="F38" s="30" t="n">
        <v>300</v>
      </c>
      <c r="G38" s="6" t="n">
        <f aca="false">IF(F38&lt;&gt;0,F38*G$2/(100+G$2)," ")</f>
        <v>50</v>
      </c>
      <c r="H38" s="6" t="n">
        <f aca="false">IF((F38&lt;&gt;0),F38-G38," ")</f>
        <v>250</v>
      </c>
      <c r="I38" s="5"/>
      <c r="L38" s="7" t="n">
        <f aca="false">IF(F38&lt;&gt;0,F38-K38," ")</f>
        <v>300</v>
      </c>
      <c r="M38" s="8" t="n">
        <f aca="false">IF((F38-K38)&lt;&gt;0,M$1-A38," ")</f>
        <v>-93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n">
        <f aca="false">IF((E38="l"),H38," ")</f>
        <v>250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152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24657</v>
      </c>
      <c r="G1" s="12" t="n">
        <f aca="false">SUM(G5:G300)</f>
        <v>4109.5</v>
      </c>
      <c r="H1" s="12" t="n">
        <f aca="false">SUM(H5:H300)</f>
        <v>20547.5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24657</v>
      </c>
      <c r="M1" s="16" t="n">
        <f aca="true">TODAY()</f>
        <v>46294</v>
      </c>
      <c r="N1" s="13"/>
      <c r="O1" s="12" t="n">
        <f aca="false">SUM(O5:O300)</f>
        <v>300</v>
      </c>
      <c r="P1" s="12" t="n">
        <f aca="false">SUM(P5:P300)</f>
        <v>4166.66666666667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300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120.833333333333</v>
      </c>
      <c r="Z1" s="12" t="n">
        <f aca="false">SUM(Z5:Z300)</f>
        <v>0</v>
      </c>
      <c r="AA1" s="12" t="n">
        <f aca="false">SUM(AA5:AA300)</f>
        <v>192.5</v>
      </c>
      <c r="AB1" s="12" t="n">
        <f aca="false">SUM(AB5:AB300)</f>
        <v>226.666666666667</v>
      </c>
      <c r="AC1" s="12" t="n">
        <f aca="false">SUM(AC5:AC300)</f>
        <v>545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458.333333333333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13000</v>
      </c>
      <c r="AJ1" s="12" t="n">
        <f aca="false">SUM(AJ5:AJ300)</f>
        <v>0</v>
      </c>
      <c r="AK1" s="12" t="n">
        <f aca="false">SUM(AK5:AK300)</f>
        <v>1000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IF([2]Jan!$G$4&gt;0,0,[2]Jan!$G$2)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46388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-94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46388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-94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46388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-94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46388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-94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46388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-94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46388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-94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46390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-96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46390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-96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46392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-98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46392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-98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46392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-98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46395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-101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46397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-103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46397</v>
      </c>
      <c r="B18" s="2" t="s">
        <v>181</v>
      </c>
      <c r="D18" s="2" t="s">
        <v>182</v>
      </c>
      <c r="E18" s="2" t="s">
        <v>80</v>
      </c>
      <c r="F18" s="30" t="n">
        <v>96</v>
      </c>
      <c r="G18" s="6" t="n">
        <f aca="false">IF(F18&lt;&gt;0,F18*G$2/(100+G$2)," ")</f>
        <v>16</v>
      </c>
      <c r="H18" s="6" t="n">
        <f aca="false">IF((F18&lt;&gt;0),F18-G18," ")</f>
        <v>80</v>
      </c>
      <c r="I18" s="5"/>
      <c r="L18" s="7" t="n">
        <f aca="false">IF(F18&lt;&gt;0,F18-K18," ")</f>
        <v>96</v>
      </c>
      <c r="M18" s="8" t="n">
        <f aca="false">IF((F18-K18)&lt;&gt;0,M$1-A18," ")</f>
        <v>-103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80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81</v>
      </c>
    </row>
    <row r="19" customFormat="false" ht="12" hidden="false" customHeight="false" outlineLevel="0" collapsed="false">
      <c r="A19" s="28" t="n">
        <v>46399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-105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46401</v>
      </c>
      <c r="B20" s="2" t="s">
        <v>126</v>
      </c>
      <c r="D20" s="2" t="s">
        <v>127</v>
      </c>
      <c r="E20" s="2" t="s">
        <v>100</v>
      </c>
      <c r="F20" s="30" t="n">
        <v>30</v>
      </c>
      <c r="G20" s="6" t="n">
        <f aca="false">IF(F20&lt;&gt;0,F20*G$2/(100+G$2)," ")</f>
        <v>5</v>
      </c>
      <c r="H20" s="6" t="n">
        <f aca="false">IF((F20&lt;&gt;0),F20-G20," ")</f>
        <v>25</v>
      </c>
      <c r="I20" s="5"/>
      <c r="L20" s="7" t="n">
        <f aca="false">IF(F20&lt;&gt;0,F20-K20," ")</f>
        <v>30</v>
      </c>
      <c r="M20" s="8" t="n">
        <f aca="false">IF((F20-K20)&lt;&gt;0,M$1-A20," ")</f>
        <v>-107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25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46401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-107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46401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-107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46402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-108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46402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-108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46402</v>
      </c>
      <c r="B25" s="2" t="s">
        <v>183</v>
      </c>
      <c r="C25" s="3" t="s">
        <v>184</v>
      </c>
      <c r="D25" s="2" t="s">
        <v>185</v>
      </c>
      <c r="E25" s="2" t="s">
        <v>186</v>
      </c>
      <c r="F25" s="30" t="n">
        <v>5000</v>
      </c>
      <c r="G25" s="6" t="n">
        <f aca="false">IF(F25&lt;&gt;0,F25*G$2/(100+G$2)," ")</f>
        <v>833.333333333333</v>
      </c>
      <c r="H25" s="6" t="n">
        <f aca="false">IF((F25&lt;&gt;0),F25-G25," ")</f>
        <v>4166.66666666667</v>
      </c>
      <c r="I25" s="5"/>
      <c r="L25" s="7" t="n">
        <f aca="false">IF(F25&lt;&gt;0,F25-K25," ")</f>
        <v>5000</v>
      </c>
      <c r="M25" s="8" t="n">
        <f aca="false">IF((F25-K25)&lt;&gt;0,M$1-A25," ")</f>
        <v>-108</v>
      </c>
      <c r="N25" s="5"/>
      <c r="O25" s="17" t="str">
        <f aca="false">IF((E25="s"),H25," ")</f>
        <v> </v>
      </c>
      <c r="P25" s="17" t="n">
        <f aca="false">IF((E25="c"),H25," ")</f>
        <v>4166.66666666667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AK25" s="17" t="n">
        <v>1000</v>
      </c>
      <c r="BZ25" s="2" t="s">
        <v>187</v>
      </c>
    </row>
    <row r="26" customFormat="false" ht="12" hidden="false" customHeight="false" outlineLevel="0" collapsed="false">
      <c r="A26" s="28" t="n">
        <v>46405</v>
      </c>
      <c r="B26" s="2" t="s">
        <v>188</v>
      </c>
      <c r="D26" s="2" t="s">
        <v>189</v>
      </c>
      <c r="E26" s="2" t="s">
        <v>112</v>
      </c>
      <c r="F26" s="30" t="n">
        <v>180</v>
      </c>
      <c r="G26" s="6" t="n">
        <f aca="false">IF(F26&lt;&gt;0,F26*G$2/(100+G$2)," ")</f>
        <v>30</v>
      </c>
      <c r="H26" s="6" t="n">
        <f aca="false">IF((F26&lt;&gt;0),F26-G26," ")</f>
        <v>150</v>
      </c>
      <c r="I26" s="5"/>
      <c r="L26" s="7" t="n">
        <f aca="false">IF(F26&lt;&gt;0,F26-K26," ")</f>
        <v>180</v>
      </c>
      <c r="M26" s="8" t="n">
        <f aca="false">IF((F26-K26)&lt;&gt;0,M$1-A26," ")</f>
        <v>-111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n">
        <f aca="false">IF((E26="h"),H26," ")</f>
        <v>150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113</v>
      </c>
    </row>
    <row r="27" customFormat="false" ht="12" hidden="false" customHeight="false" outlineLevel="0" collapsed="false">
      <c r="A27" s="28" t="n">
        <v>46405</v>
      </c>
      <c r="B27" s="2" t="s">
        <v>190</v>
      </c>
      <c r="D27" s="2" t="s">
        <v>191</v>
      </c>
      <c r="E27" s="2" t="s">
        <v>122</v>
      </c>
      <c r="F27" s="30" t="n">
        <v>360</v>
      </c>
      <c r="G27" s="6" t="n">
        <f aca="false">IF(F27&lt;&gt;0,F27*G$2/(100+G$2)," ")</f>
        <v>60</v>
      </c>
      <c r="H27" s="6" t="n">
        <f aca="false">IF((F27&lt;&gt;0),F27-G27," ")</f>
        <v>300</v>
      </c>
      <c r="I27" s="5"/>
      <c r="L27" s="7" t="n">
        <f aca="false">IF(F27&lt;&gt;0,F27-K27," ")</f>
        <v>360</v>
      </c>
      <c r="M27" s="8" t="n">
        <f aca="false">IF((F27-K27)&lt;&gt;0,M$1-A27," ")</f>
        <v>-111</v>
      </c>
      <c r="N27" s="5"/>
      <c r="O27" s="17" t="n">
        <f aca="false">IF((E27="s"),H27," ")</f>
        <v>300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123</v>
      </c>
    </row>
    <row r="28" customFormat="false" ht="12" hidden="false" customHeight="false" outlineLevel="0" collapsed="false">
      <c r="A28" s="28" t="n">
        <v>46405</v>
      </c>
      <c r="B28" s="2" t="s">
        <v>134</v>
      </c>
      <c r="D28" s="2" t="s">
        <v>105</v>
      </c>
      <c r="E28" s="2" t="s">
        <v>106</v>
      </c>
      <c r="F28" s="30" t="n">
        <v>96</v>
      </c>
      <c r="G28" s="6" t="n">
        <f aca="false">IF(F28&lt;&gt;0,F28*G$2/(100+G$2)," ")</f>
        <v>16</v>
      </c>
      <c r="H28" s="6" t="n">
        <f aca="false">IF((F28&lt;&gt;0),F28-G28," ")</f>
        <v>80</v>
      </c>
      <c r="I28" s="5"/>
      <c r="L28" s="7" t="n">
        <f aca="false">IF(F28&lt;&gt;0,F28-K28," ")</f>
        <v>96</v>
      </c>
      <c r="M28" s="8" t="n">
        <f aca="false">IF((F28-K28)&lt;&gt;0,M$1-A28," ")</f>
        <v>-111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n">
        <f aca="false">IF((E28="v"),H28," ")</f>
        <v>80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107</v>
      </c>
    </row>
    <row r="29" customFormat="false" ht="12" hidden="false" customHeight="false" outlineLevel="0" collapsed="false">
      <c r="A29" s="28" t="n">
        <v>46407</v>
      </c>
      <c r="B29" s="2" t="s">
        <v>135</v>
      </c>
      <c r="D29" s="2" t="s">
        <v>136</v>
      </c>
      <c r="E29" s="2" t="s">
        <v>80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-113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50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81</v>
      </c>
    </row>
    <row r="30" customFormat="false" ht="12" hidden="false" customHeight="false" outlineLevel="0" collapsed="false">
      <c r="A30" s="28" t="n">
        <v>46408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-114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46409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-115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46412</v>
      </c>
      <c r="B32" s="2" t="s">
        <v>192</v>
      </c>
      <c r="D32" s="2" t="s">
        <v>193</v>
      </c>
      <c r="E32" s="2" t="s">
        <v>194</v>
      </c>
      <c r="F32" s="30" t="n">
        <v>360</v>
      </c>
      <c r="G32" s="6" t="n">
        <f aca="false">IF(F32&lt;&gt;0,F32*G$2/(100+G$2)," ")</f>
        <v>60</v>
      </c>
      <c r="H32" s="6" t="n">
        <f aca="false">IF((F32&lt;&gt;0),F32-G32," ")</f>
        <v>300</v>
      </c>
      <c r="I32" s="5"/>
      <c r="L32" s="7" t="n">
        <f aca="false">IF(F32&lt;&gt;0,F32-K32," ")</f>
        <v>360</v>
      </c>
      <c r="M32" s="8" t="n">
        <f aca="false">IF((F32-K32)&lt;&gt;0,M$1-A32," ")</f>
        <v>-118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300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195</v>
      </c>
    </row>
    <row r="33" customFormat="false" ht="12" hidden="false" customHeight="false" outlineLevel="0" collapsed="false">
      <c r="A33" s="28" t="n">
        <v>46412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-118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46412</v>
      </c>
      <c r="B34" s="2" t="s">
        <v>147</v>
      </c>
      <c r="D34" s="2" t="s">
        <v>196</v>
      </c>
      <c r="E34" s="2" t="s">
        <v>106</v>
      </c>
      <c r="F34" s="30" t="n">
        <v>90</v>
      </c>
      <c r="G34" s="6" t="n">
        <f aca="false">IF(F34&lt;&gt;0,F34*G$2/(100+G$2)," ")</f>
        <v>15</v>
      </c>
      <c r="H34" s="6" t="n">
        <f aca="false">IF((F34&lt;&gt;0),F34-G34," ")</f>
        <v>75</v>
      </c>
      <c r="I34" s="5"/>
      <c r="L34" s="7" t="n">
        <f aca="false">IF(F34&lt;&gt;0,F34-K34," ")</f>
        <v>90</v>
      </c>
      <c r="M34" s="8" t="n">
        <f aca="false">IF((F34-K34)&lt;&gt;0,M$1-A34," ")</f>
        <v>-118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75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46415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-121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46417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-123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46417</v>
      </c>
      <c r="B37" s="2" t="s">
        <v>197</v>
      </c>
      <c r="C37" s="3" t="s">
        <v>198</v>
      </c>
      <c r="D37" s="2" t="s">
        <v>199</v>
      </c>
      <c r="E37" s="2" t="s">
        <v>151</v>
      </c>
      <c r="F37" s="30" t="n">
        <v>250</v>
      </c>
      <c r="G37" s="6" t="n">
        <f aca="false">IF(F37&lt;&gt;0,F37*G$2/(100+G$2)," ")</f>
        <v>41.6666666666667</v>
      </c>
      <c r="H37" s="6" t="n">
        <f aca="false">IF((F37&lt;&gt;0),F37-G37," ")</f>
        <v>208.333333333333</v>
      </c>
      <c r="I37" s="5"/>
      <c r="L37" s="7" t="n">
        <f aca="false">IF(F37&lt;&gt;0,F37-K37," ")</f>
        <v>250</v>
      </c>
      <c r="M37" s="8" t="n">
        <f aca="false">IF((F37-K37)&lt;&gt;0,M$1-A37," ")</f>
        <v>-123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208.333333333333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 t="n">
        <v>46388</v>
      </c>
      <c r="B38" s="2" t="s">
        <v>201</v>
      </c>
      <c r="C38" s="3" t="s">
        <v>202</v>
      </c>
      <c r="D38" s="2" t="s">
        <v>203</v>
      </c>
      <c r="E38" s="2" t="s">
        <v>168</v>
      </c>
      <c r="F38" s="30" t="n">
        <v>15600</v>
      </c>
      <c r="G38" s="6" t="n">
        <f aca="false">IF(F38&lt;&gt;0,F38*G$2/(100+G$2)," ")</f>
        <v>2600</v>
      </c>
      <c r="H38" s="6" t="n">
        <f aca="false">IF((F38&lt;&gt;0),F38-G38," ")</f>
        <v>13000</v>
      </c>
      <c r="I38" s="5"/>
      <c r="L38" s="7" t="n">
        <f aca="false">IF(F38&lt;&gt;0,F38-K38," ")</f>
        <v>15600</v>
      </c>
      <c r="M38" s="8" t="n">
        <f aca="false">IF((F38-K38)&lt;&gt;0,M$1-A38," ")</f>
        <v>-94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n">
        <f aca="false">IF((E38="fa"),H38," ")</f>
        <v>13000</v>
      </c>
      <c r="AJ38" s="17" t="str">
        <f aca="false">IF((E38="e"),H38," ")</f>
        <v> </v>
      </c>
      <c r="BZ38" s="2" t="s">
        <v>169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9059.25</v>
      </c>
      <c r="G1" s="12" t="n">
        <f aca="false">SUM(G5:G300)</f>
        <v>1509.875</v>
      </c>
      <c r="H1" s="12" t="n">
        <f aca="false">SUM(H5:H300)</f>
        <v>7549.375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9059.25</v>
      </c>
      <c r="M1" s="16" t="n">
        <f aca="true">TODAY()</f>
        <v>46294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100</v>
      </c>
      <c r="W1" s="12" t="n">
        <f aca="false">SUM(W5:W300)</f>
        <v>400</v>
      </c>
      <c r="X1" s="12" t="n">
        <f aca="false">SUM(X5:X300)</f>
        <v>150</v>
      </c>
      <c r="Y1" s="12" t="n">
        <f aca="false">SUM(Y5:Y300)</f>
        <v>95.8333333333333</v>
      </c>
      <c r="Z1" s="12" t="n">
        <f aca="false">SUM(Z5:Z300)</f>
        <v>400</v>
      </c>
      <c r="AA1" s="12" t="n">
        <f aca="false">SUM(AA5:AA300)</f>
        <v>132.5</v>
      </c>
      <c r="AB1" s="12" t="n">
        <f aca="false">SUM(AB5:AB300)</f>
        <v>76.6666666666667</v>
      </c>
      <c r="AC1" s="12" t="n">
        <f aca="false">SUM(AC5:AC300)</f>
        <v>486.875</v>
      </c>
      <c r="AD1" s="12" t="n">
        <f aca="false">SUM(AD5:AD300)</f>
        <v>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2500</v>
      </c>
      <c r="AI1" s="12" t="n">
        <f aca="false">SUM(AI5:AI300)</f>
        <v>1000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IF([2]Feb!$G$4&gt;0,0,[2]Feb!$G$2)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46419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-125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46419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-125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46419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-125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46419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-125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46419</v>
      </c>
      <c r="B9" s="2" t="s">
        <v>204</v>
      </c>
      <c r="D9" s="2" t="s">
        <v>205</v>
      </c>
      <c r="E9" s="2" t="s">
        <v>206</v>
      </c>
      <c r="F9" s="30" t="n">
        <v>3000</v>
      </c>
      <c r="G9" s="6" t="n">
        <f aca="false">IF(F9&lt;&gt;0,F9*G$2/(100+G$2)," ")</f>
        <v>500</v>
      </c>
      <c r="H9" s="6" t="n">
        <f aca="false">IF((F9&lt;&gt;0),F9-G9," ")</f>
        <v>2500</v>
      </c>
      <c r="I9" s="5"/>
      <c r="L9" s="7" t="n">
        <f aca="false">IF(F9&lt;&gt;0,F9-K9," ")</f>
        <v>3000</v>
      </c>
      <c r="M9" s="8" t="n">
        <f aca="false">IF((F9-K9)&lt;&gt;0,M$1-A9," ")</f>
        <v>-125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n">
        <f aca="false">IF((E9="z"),H9," ")</f>
        <v>2500</v>
      </c>
      <c r="AI9" s="17" t="str">
        <f aca="false">IF((E9="fa"),H9," ")</f>
        <v> </v>
      </c>
      <c r="AJ9" s="17" t="str">
        <f aca="false">IF((E9="e"),H9," ")</f>
        <v> </v>
      </c>
      <c r="BZ9" s="2" t="s">
        <v>207</v>
      </c>
    </row>
    <row r="10" customFormat="false" ht="12" hidden="false" customHeight="false" outlineLevel="0" collapsed="false">
      <c r="A10" s="28" t="n">
        <v>46419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-125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46419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-125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46421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-127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46421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-127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46423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-129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46423</v>
      </c>
      <c r="B15" s="2" t="s">
        <v>208</v>
      </c>
      <c r="D15" s="2" t="s">
        <v>209</v>
      </c>
      <c r="E15" s="2" t="s">
        <v>161</v>
      </c>
      <c r="F15" s="30" t="n">
        <v>480</v>
      </c>
      <c r="G15" s="6" t="n">
        <f aca="false">IF(F15&lt;&gt;0,F15*G$2/(100+G$2)," ")</f>
        <v>80</v>
      </c>
      <c r="H15" s="6" t="n">
        <f aca="false">IF((F15&lt;&gt;0),F15-G15," ")</f>
        <v>400</v>
      </c>
      <c r="I15" s="5"/>
      <c r="L15" s="7" t="n">
        <f aca="false">IF(F15&lt;&gt;0,F15-K15," ")</f>
        <v>480</v>
      </c>
      <c r="M15" s="8" t="n">
        <f aca="false">IF((F15-K15)&lt;&gt;0,M$1-A15," ")</f>
        <v>-129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n">
        <f aca="false">IF((E15="a"),H15," ")</f>
        <v>400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162</v>
      </c>
    </row>
    <row r="16" customFormat="false" ht="12" hidden="false" customHeight="false" outlineLevel="0" collapsed="false">
      <c r="A16" s="28" t="n">
        <v>46423</v>
      </c>
      <c r="B16" s="2" t="s">
        <v>104</v>
      </c>
      <c r="D16" s="2" t="s">
        <v>105</v>
      </c>
      <c r="E16" s="2" t="s">
        <v>106</v>
      </c>
      <c r="F16" s="30" t="n">
        <v>180</v>
      </c>
      <c r="G16" s="6" t="n">
        <f aca="false">IF(F16&lt;&gt;0,F16*G$2/(100+G$2)," ")</f>
        <v>30</v>
      </c>
      <c r="H16" s="6" t="n">
        <f aca="false">IF((F16&lt;&gt;0),F16-G16," ")</f>
        <v>150</v>
      </c>
      <c r="I16" s="5"/>
      <c r="L16" s="7" t="n">
        <f aca="false">IF(F16&lt;&gt;0,F16-K16," ")</f>
        <v>180</v>
      </c>
      <c r="M16" s="8" t="n">
        <f aca="false">IF((F16-K16)&lt;&gt;0,M$1-A16," ")</f>
        <v>-129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n">
        <f aca="false">IF((E16="v"),H16," ")</f>
        <v>150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107</v>
      </c>
    </row>
    <row r="17" customFormat="false" ht="12" hidden="false" customHeight="false" outlineLevel="0" collapsed="false">
      <c r="A17" s="28" t="n">
        <v>46426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-132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46428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-134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46428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-134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46428</v>
      </c>
      <c r="B20" s="2" t="s">
        <v>120</v>
      </c>
      <c r="D20" s="2" t="s">
        <v>121</v>
      </c>
      <c r="E20" s="2" t="s">
        <v>122</v>
      </c>
      <c r="F20" s="30" t="n">
        <v>720</v>
      </c>
      <c r="G20" s="6" t="n">
        <f aca="false">IF(F20&lt;&gt;0,F20*G$2/(100+G$2)," ")</f>
        <v>120</v>
      </c>
      <c r="H20" s="6" t="n">
        <f aca="false">IF((F20&lt;&gt;0),F20-G20," ")</f>
        <v>600</v>
      </c>
      <c r="I20" s="5"/>
      <c r="L20" s="7" t="n">
        <f aca="false">IF(F20&lt;&gt;0,F20-K20," ")</f>
        <v>720</v>
      </c>
      <c r="M20" s="8" t="n">
        <f aca="false">IF((F20-K20)&lt;&gt;0,M$1-A20," ")</f>
        <v>-134</v>
      </c>
      <c r="N20" s="5"/>
      <c r="O20" s="17" t="n">
        <f aca="false">IF((E20="s"),H20," ")</f>
        <v>600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46430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-136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46430</v>
      </c>
      <c r="B22" s="2" t="s">
        <v>210</v>
      </c>
      <c r="D22" s="2" t="s">
        <v>211</v>
      </c>
      <c r="E22" s="2" t="s">
        <v>157</v>
      </c>
      <c r="F22" s="30" t="n">
        <v>480</v>
      </c>
      <c r="G22" s="6" t="n">
        <f aca="false">IF(F22&lt;&gt;0,F22*G$2/(100+G$2)," ")</f>
        <v>80</v>
      </c>
      <c r="H22" s="6" t="n">
        <f aca="false">IF((F22&lt;&gt;0),F22-G22," ")</f>
        <v>400</v>
      </c>
      <c r="I22" s="5"/>
      <c r="L22" s="7" t="n">
        <f aca="false">IF(F22&lt;&gt;0,F22-K22," ")</f>
        <v>480</v>
      </c>
      <c r="M22" s="8" t="n">
        <f aca="false">IF((F22-K22)&lt;&gt;0,M$1-A22," ")</f>
        <v>-136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n">
        <f aca="false">IF((E22="q"),H22," ")</f>
        <v>400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158</v>
      </c>
    </row>
    <row r="23" customFormat="false" ht="12" hidden="false" customHeight="false" outlineLevel="0" collapsed="false">
      <c r="A23" s="28" t="n">
        <v>46432</v>
      </c>
      <c r="B23" s="2" t="s">
        <v>128</v>
      </c>
      <c r="D23" s="2" t="s">
        <v>129</v>
      </c>
      <c r="E23" s="2" t="s">
        <v>112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-138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46432</v>
      </c>
      <c r="B24" s="2" t="s">
        <v>130</v>
      </c>
      <c r="D24" s="2" t="s">
        <v>131</v>
      </c>
      <c r="E24" s="2" t="s">
        <v>112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-138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46433</v>
      </c>
      <c r="B25" s="2" t="s">
        <v>20</v>
      </c>
      <c r="D25" s="2" t="s">
        <v>105</v>
      </c>
      <c r="E25" s="2" t="s">
        <v>106</v>
      </c>
      <c r="F25" s="30" t="n">
        <v>150</v>
      </c>
      <c r="G25" s="6" t="n">
        <f aca="false">IF(F25&lt;&gt;0,F25*G$2/(100+G$2)," ")</f>
        <v>25</v>
      </c>
      <c r="H25" s="6" t="n">
        <f aca="false">IF((F25&lt;&gt;0),F25-G25," ")</f>
        <v>125</v>
      </c>
      <c r="I25" s="5"/>
      <c r="L25" s="7" t="n">
        <f aca="false">IF(F25&lt;&gt;0,F25-K25," ")</f>
        <v>150</v>
      </c>
      <c r="M25" s="8" t="n">
        <f aca="false">IF((F25-K25)&lt;&gt;0,M$1-A25," ")</f>
        <v>-139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125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46433</v>
      </c>
      <c r="B26" s="2" t="s">
        <v>132</v>
      </c>
      <c r="D26" s="2" t="s">
        <v>133</v>
      </c>
      <c r="E26" s="2" t="s">
        <v>80</v>
      </c>
      <c r="F26" s="30" t="n">
        <v>12</v>
      </c>
      <c r="G26" s="6" t="n">
        <f aca="false">IF(F26&lt;&gt;0,F26*G$2/(100+G$2)," ")</f>
        <v>2</v>
      </c>
      <c r="H26" s="6" t="n">
        <f aca="false">IF((F26&lt;&gt;0),F26-G26," ")</f>
        <v>10</v>
      </c>
      <c r="I26" s="5"/>
      <c r="L26" s="7" t="n">
        <f aca="false">IF(F26&lt;&gt;0,F26-K26," ")</f>
        <v>12</v>
      </c>
      <c r="M26" s="8" t="n">
        <f aca="false">IF((F26-K26)&lt;&gt;0,M$1-A26," ")</f>
        <v>-139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46433</v>
      </c>
      <c r="B27" s="2" t="s">
        <v>212</v>
      </c>
      <c r="C27" s="3" t="s">
        <v>213</v>
      </c>
      <c r="D27" s="2" t="s">
        <v>214</v>
      </c>
      <c r="E27" s="2" t="s">
        <v>168</v>
      </c>
      <c r="F27" s="30" t="n">
        <v>1200</v>
      </c>
      <c r="G27" s="6" t="n">
        <f aca="false">IF(F27&lt;&gt;0,F27*G$2/(100+G$2)," ")</f>
        <v>200</v>
      </c>
      <c r="H27" s="6" t="n">
        <f aca="false">IF((F27&lt;&gt;0),F27-G27," ")</f>
        <v>1000</v>
      </c>
      <c r="I27" s="5"/>
      <c r="L27" s="7" t="n">
        <f aca="false">IF(F27&lt;&gt;0,F27-K27," ")</f>
        <v>1200</v>
      </c>
      <c r="M27" s="8" t="n">
        <f aca="false">IF((F27-K27)&lt;&gt;0,M$1-A27," ")</f>
        <v>-139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n">
        <f aca="false">IF((E27="fa"),H27," ")</f>
        <v>1000</v>
      </c>
      <c r="AJ27" s="17" t="str">
        <f aca="false">IF((E27="e"),H27," ")</f>
        <v> </v>
      </c>
      <c r="BZ27" s="2" t="s">
        <v>169</v>
      </c>
    </row>
    <row r="28" customFormat="false" ht="12" hidden="false" customHeight="false" outlineLevel="0" collapsed="false">
      <c r="A28" s="28" t="n">
        <v>46434</v>
      </c>
      <c r="B28" s="2" t="s">
        <v>170</v>
      </c>
      <c r="D28" s="2" t="s">
        <v>171</v>
      </c>
      <c r="E28" s="2" t="s">
        <v>80</v>
      </c>
      <c r="F28" s="30" t="n">
        <v>24</v>
      </c>
      <c r="G28" s="6" t="n">
        <f aca="false">IF(F28&lt;&gt;0,F28*G$2/(100+G$2)," ")</f>
        <v>4</v>
      </c>
      <c r="H28" s="6" t="n">
        <f aca="false">IF((F28&lt;&gt;0),F28-G28," ")</f>
        <v>20</v>
      </c>
      <c r="I28" s="5"/>
      <c r="L28" s="7" t="n">
        <f aca="false">IF(F28&lt;&gt;0,F28-K28," ")</f>
        <v>24</v>
      </c>
      <c r="M28" s="8" t="n">
        <f aca="false">IF((F28-K28)&lt;&gt;0,M$1-A28," ")</f>
        <v>-140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20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46436</v>
      </c>
      <c r="B29" s="2" t="s">
        <v>134</v>
      </c>
      <c r="D29" s="2" t="s">
        <v>105</v>
      </c>
      <c r="E29" s="2" t="s">
        <v>106</v>
      </c>
      <c r="F29" s="30" t="n">
        <v>96</v>
      </c>
      <c r="G29" s="6" t="n">
        <f aca="false">IF(F29&lt;&gt;0,F29*G$2/(100+G$2)," ")</f>
        <v>16</v>
      </c>
      <c r="H29" s="6" t="n">
        <f aca="false">IF((F29&lt;&gt;0),F29-G29," ")</f>
        <v>80</v>
      </c>
      <c r="I29" s="5"/>
      <c r="L29" s="7" t="n">
        <f aca="false">IF(F29&lt;&gt;0,F29-K29," ")</f>
        <v>96</v>
      </c>
      <c r="M29" s="8" t="n">
        <f aca="false">IF((F29-K29)&lt;&gt;0,M$1-A29," ")</f>
        <v>-142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80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46438</v>
      </c>
      <c r="B30" s="2" t="s">
        <v>135</v>
      </c>
      <c r="D30" s="2" t="s">
        <v>136</v>
      </c>
      <c r="E30" s="2" t="s">
        <v>80</v>
      </c>
      <c r="F30" s="30" t="n">
        <v>60</v>
      </c>
      <c r="G30" s="6" t="n">
        <f aca="false">IF(F30&lt;&gt;0,F30*G$2/(100+G$2)," ")</f>
        <v>10</v>
      </c>
      <c r="H30" s="6" t="n">
        <f aca="false">IF((F30&lt;&gt;0),F30-G30," ")</f>
        <v>50</v>
      </c>
      <c r="I30" s="5"/>
      <c r="L30" s="7" t="n">
        <f aca="false">IF(F30&lt;&gt;0,F30-K30," ")</f>
        <v>60</v>
      </c>
      <c r="M30" s="8" t="n">
        <f aca="false">IF((F30-K30)&lt;&gt;0,M$1-A30," ")</f>
        <v>-144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50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81</v>
      </c>
    </row>
    <row r="31" customFormat="false" ht="12" hidden="false" customHeight="false" outlineLevel="0" collapsed="false">
      <c r="A31" s="28" t="n">
        <v>46438</v>
      </c>
      <c r="B31" s="2" t="s">
        <v>215</v>
      </c>
      <c r="D31" s="2" t="s">
        <v>216</v>
      </c>
      <c r="E31" s="2" t="s">
        <v>174</v>
      </c>
      <c r="F31" s="30" t="n">
        <v>120</v>
      </c>
      <c r="G31" s="6" t="n">
        <f aca="false">IF(F31&lt;&gt;0,F31*G$2/(100+G$2)," ")</f>
        <v>20</v>
      </c>
      <c r="H31" s="6" t="n">
        <f aca="false">IF((F31&lt;&gt;0),F31-G31," ")</f>
        <v>100</v>
      </c>
      <c r="I31" s="5"/>
      <c r="L31" s="7" t="n">
        <f aca="false">IF(F31&lt;&gt;0,F31-K31," ")</f>
        <v>120</v>
      </c>
      <c r="M31" s="8" t="n">
        <f aca="false">IF((F31-K31)&lt;&gt;0,M$1-A31," ")</f>
        <v>-144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n">
        <f aca="false">IF((E31="t"),H31," ")</f>
        <v>100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175</v>
      </c>
    </row>
    <row r="32" customFormat="false" ht="12" hidden="false" customHeight="false" outlineLevel="0" collapsed="false">
      <c r="A32" s="28" t="n">
        <v>46438</v>
      </c>
      <c r="B32" s="2" t="s">
        <v>137</v>
      </c>
      <c r="D32" s="2" t="s">
        <v>138</v>
      </c>
      <c r="E32" s="2" t="s">
        <v>139</v>
      </c>
      <c r="F32" s="30" t="n">
        <v>180</v>
      </c>
      <c r="G32" s="6" t="n">
        <f aca="false">IF(F32&lt;&gt;0,F32*G$2/(100+G$2)," ")</f>
        <v>30</v>
      </c>
      <c r="H32" s="6" t="n">
        <f aca="false">IF((F32&lt;&gt;0),F32-G32," ")</f>
        <v>150</v>
      </c>
      <c r="I32" s="5"/>
      <c r="L32" s="7" t="n">
        <f aca="false">IF(F32&lt;&gt;0,F32-K32," ")</f>
        <v>180</v>
      </c>
      <c r="M32" s="8" t="n">
        <f aca="false">IF((F32-K32)&lt;&gt;0,M$1-A32," ")</f>
        <v>-144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150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140</v>
      </c>
    </row>
    <row r="33" customFormat="false" ht="12" hidden="false" customHeight="false" outlineLevel="0" collapsed="false">
      <c r="A33" s="28" t="n">
        <v>46439</v>
      </c>
      <c r="B33" s="2" t="s">
        <v>141</v>
      </c>
      <c r="D33" s="2" t="s">
        <v>142</v>
      </c>
      <c r="E33" s="2" t="s">
        <v>112</v>
      </c>
      <c r="F33" s="30" t="n">
        <v>8</v>
      </c>
      <c r="G33" s="6" t="n">
        <f aca="false">IF(F33&lt;&gt;0,F33*G$2/(100+G$2)," ")</f>
        <v>1.33333333333333</v>
      </c>
      <c r="H33" s="6" t="n">
        <f aca="false">IF((F33&lt;&gt;0),F33-G33," ")</f>
        <v>6.66666666666667</v>
      </c>
      <c r="I33" s="5"/>
      <c r="L33" s="7" t="n">
        <f aca="false">IF(F33&lt;&gt;0,F33-K33," ")</f>
        <v>8</v>
      </c>
      <c r="M33" s="8" t="n">
        <f aca="false">IF((F33-K33)&lt;&gt;0,M$1-A33," ")</f>
        <v>-145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6.66666666666667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113</v>
      </c>
    </row>
    <row r="34" customFormat="false" ht="12" hidden="false" customHeight="false" outlineLevel="0" collapsed="false">
      <c r="A34" s="28" t="n">
        <v>46440</v>
      </c>
      <c r="B34" s="2" t="s">
        <v>143</v>
      </c>
      <c r="D34" s="2" t="s">
        <v>144</v>
      </c>
      <c r="E34" s="2" t="s">
        <v>100</v>
      </c>
      <c r="F34" s="30" t="n">
        <v>18</v>
      </c>
      <c r="G34" s="6" t="n">
        <f aca="false">IF(F34&lt;&gt;0,F34*G$2/(100+G$2)," ")</f>
        <v>3</v>
      </c>
      <c r="H34" s="6" t="n">
        <f aca="false">IF((F34&lt;&gt;0),F34-G34," ")</f>
        <v>15</v>
      </c>
      <c r="I34" s="5"/>
      <c r="L34" s="7" t="n">
        <f aca="false">IF(F34&lt;&gt;0,F34-K34," ")</f>
        <v>18</v>
      </c>
      <c r="M34" s="8" t="n">
        <f aca="false">IF((F34-K34)&lt;&gt;0,M$1-A34," ")</f>
        <v>-146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46443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-149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46443</v>
      </c>
      <c r="B36" s="2" t="s">
        <v>147</v>
      </c>
      <c r="D36" s="2" t="s">
        <v>217</v>
      </c>
      <c r="E36" s="2" t="s">
        <v>106</v>
      </c>
      <c r="F36" s="30" t="n">
        <v>20.25</v>
      </c>
      <c r="G36" s="6" t="n">
        <f aca="false">IF(F36&lt;&gt;0,F36*G$2/(100+G$2)," ")</f>
        <v>3.375</v>
      </c>
      <c r="H36" s="6" t="n">
        <f aca="false">IF((F36&lt;&gt;0),F36-G36," ")</f>
        <v>16.875</v>
      </c>
      <c r="I36" s="5"/>
      <c r="L36" s="7" t="n">
        <f aca="false">IF(F36&lt;&gt;0,F36-K36," ")</f>
        <v>20.25</v>
      </c>
      <c r="M36" s="8" t="n">
        <f aca="false">IF((F36-K36)&lt;&gt;0,M$1-A36," ")</f>
        <v>-149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16.875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46446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-152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 t="n">
        <v>46446</v>
      </c>
      <c r="B38" s="2" t="s">
        <v>16</v>
      </c>
      <c r="D38" s="2" t="s">
        <v>150</v>
      </c>
      <c r="E38" s="2" t="s">
        <v>151</v>
      </c>
      <c r="F38" s="30" t="n">
        <v>300</v>
      </c>
      <c r="G38" s="6" t="n">
        <f aca="false">IF(F38&lt;&gt;0,F38*G$2/(100+G$2)," ")</f>
        <v>50</v>
      </c>
      <c r="H38" s="6" t="n">
        <f aca="false">IF((F38&lt;&gt;0),F38-G38," ")</f>
        <v>250</v>
      </c>
      <c r="I38" s="5"/>
      <c r="L38" s="7" t="n">
        <f aca="false">IF(F38&lt;&gt;0,F38-K38," ")</f>
        <v>300</v>
      </c>
      <c r="M38" s="8" t="n">
        <f aca="false">IF((F38-K38)&lt;&gt;0,M$1-A38," ")</f>
        <v>-152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n">
        <f aca="false">IF((E38="l"),H38," ")</f>
        <v>250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152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4755.25</v>
      </c>
      <c r="G1" s="12" t="n">
        <f aca="false">SUM(G5:G300)</f>
        <v>792.541666666667</v>
      </c>
      <c r="H1" s="12" t="n">
        <f aca="false">SUM(H5:H300)</f>
        <v>3962.70833333333</v>
      </c>
      <c r="I1" s="13"/>
      <c r="J1" s="14" t="s">
        <v>2</v>
      </c>
      <c r="K1" s="15" t="n">
        <f aca="false">SUM(K5:K300)</f>
        <v>0</v>
      </c>
      <c r="L1" s="15" t="n">
        <f aca="false">SUM(L5:L300)</f>
        <v>4755.25</v>
      </c>
      <c r="M1" s="16" t="n">
        <f aca="true">TODAY()</f>
        <v>46294</v>
      </c>
      <c r="N1" s="13"/>
      <c r="O1" s="12" t="n">
        <f aca="false">SUM(O5:O300)</f>
        <v>450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666.666666666667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200</v>
      </c>
      <c r="Y1" s="12" t="n">
        <f aca="false">SUM(Y5:Y300)</f>
        <v>135.833333333333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116.666666666667</v>
      </c>
      <c r="AC1" s="12" t="n">
        <f aca="false">SUM(AC5:AC300)</f>
        <v>501.875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291.666666666667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IF([2]Mar!$G$4&gt;0,0,[2]Mar!$G$2)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46447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-153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46447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-153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46447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-153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46447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-153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46447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-153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46447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-153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46449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-155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46449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-155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46451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-157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46451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-157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46451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-157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46452</v>
      </c>
      <c r="B16" s="2" t="s">
        <v>153</v>
      </c>
      <c r="D16" s="2" t="s">
        <v>154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-158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46454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-160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46456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-162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46458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-164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46460</v>
      </c>
      <c r="B20" s="2" t="s">
        <v>126</v>
      </c>
      <c r="D20" s="2" t="s">
        <v>127</v>
      </c>
      <c r="E20" s="2" t="s">
        <v>100</v>
      </c>
      <c r="F20" s="30" t="n">
        <v>48</v>
      </c>
      <c r="G20" s="6" t="n">
        <f aca="false">IF(F20&lt;&gt;0,F20*G$2/(100+G$2)," ")</f>
        <v>8</v>
      </c>
      <c r="H20" s="6" t="n">
        <f aca="false">IF((F20&lt;&gt;0),F20-G20," ")</f>
        <v>40</v>
      </c>
      <c r="I20" s="5"/>
      <c r="L20" s="7" t="n">
        <f aca="false">IF(F20&lt;&gt;0,F20-K20," ")</f>
        <v>48</v>
      </c>
      <c r="M20" s="8" t="n">
        <f aca="false">IF((F20-K20)&lt;&gt;0,M$1-A20," ")</f>
        <v>-166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40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46460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-166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46460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-166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46461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-167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46461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-167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46461</v>
      </c>
      <c r="B25" s="2" t="s">
        <v>163</v>
      </c>
      <c r="D25" s="2" t="s">
        <v>164</v>
      </c>
      <c r="E25" s="2" t="s">
        <v>122</v>
      </c>
      <c r="F25" s="30" t="n">
        <v>360</v>
      </c>
      <c r="G25" s="6" t="n">
        <f aca="false">IF(F25&lt;&gt;0,F25*G$2/(100+G$2)," ")</f>
        <v>60</v>
      </c>
      <c r="H25" s="6" t="n">
        <f aca="false">IF((F25&lt;&gt;0),F25-G25," ")</f>
        <v>300</v>
      </c>
      <c r="I25" s="5"/>
      <c r="L25" s="7" t="n">
        <f aca="false">IF(F25&lt;&gt;0,F25-K25," ")</f>
        <v>360</v>
      </c>
      <c r="M25" s="8" t="n">
        <f aca="false">IF((F25-K25)&lt;&gt;0,M$1-A25," ")</f>
        <v>-167</v>
      </c>
      <c r="N25" s="5"/>
      <c r="O25" s="17" t="n">
        <f aca="false">IF((E25="s"),H25," ")</f>
        <v>300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123</v>
      </c>
    </row>
    <row r="26" customFormat="false" ht="12" hidden="false" customHeight="false" outlineLevel="0" collapsed="false">
      <c r="A26" s="28" t="n">
        <v>46464</v>
      </c>
      <c r="B26" s="2" t="s">
        <v>218</v>
      </c>
      <c r="D26" s="2" t="s">
        <v>219</v>
      </c>
      <c r="E26" s="2" t="s">
        <v>139</v>
      </c>
      <c r="F26" s="30" t="n">
        <v>240</v>
      </c>
      <c r="G26" s="6" t="n">
        <f aca="false">IF(F26&lt;&gt;0,F26*G$2/(100+G$2)," ")</f>
        <v>40</v>
      </c>
      <c r="H26" s="6" t="n">
        <f aca="false">IF((F26&lt;&gt;0),F26-G26," ")</f>
        <v>200</v>
      </c>
      <c r="I26" s="5"/>
      <c r="L26" s="7" t="n">
        <f aca="false">IF(F26&lt;&gt;0,F26-K26," ")</f>
        <v>240</v>
      </c>
      <c r="M26" s="8" t="n">
        <f aca="false">IF((F26-K26)&lt;&gt;0,M$1-A26," ")</f>
        <v>-170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n">
        <f aca="false">IF((E26="m"),H26," ")</f>
        <v>200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140</v>
      </c>
    </row>
    <row r="27" customFormat="false" ht="12" hidden="false" customHeight="false" outlineLevel="0" collapsed="false">
      <c r="A27" s="28" t="n">
        <v>46464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-170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46466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-172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46466</v>
      </c>
      <c r="B29" s="2" t="s">
        <v>220</v>
      </c>
      <c r="D29" s="2" t="s">
        <v>221</v>
      </c>
      <c r="E29" s="2" t="s">
        <v>222</v>
      </c>
      <c r="F29" s="30" t="n">
        <v>800</v>
      </c>
      <c r="G29" s="6" t="n">
        <f aca="false">IF(F29&lt;&gt;0,F29*G$2/(100+G$2)," ")</f>
        <v>133.333333333333</v>
      </c>
      <c r="H29" s="6" t="n">
        <f aca="false">IF((F29&lt;&gt;0),F29-G29," ")</f>
        <v>666.666666666667</v>
      </c>
      <c r="I29" s="5"/>
      <c r="L29" s="7" t="n">
        <f aca="false">IF(F29&lt;&gt;0,F29-K29," ")</f>
        <v>800</v>
      </c>
      <c r="M29" s="8" t="n">
        <f aca="false">IF((F29-K29)&lt;&gt;0,M$1-A29," ")</f>
        <v>-172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n">
        <f aca="false">IF((E29="w"),H29," ")</f>
        <v>666.666666666667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223</v>
      </c>
    </row>
    <row r="30" customFormat="false" ht="12" hidden="false" customHeight="false" outlineLevel="0" collapsed="false">
      <c r="A30" s="28" t="n">
        <v>46466</v>
      </c>
      <c r="B30" s="2" t="s">
        <v>176</v>
      </c>
      <c r="D30" s="2" t="s">
        <v>177</v>
      </c>
      <c r="E30" s="2" t="s">
        <v>122</v>
      </c>
      <c r="F30" s="30" t="n">
        <v>180</v>
      </c>
      <c r="G30" s="6" t="n">
        <f aca="false">IF(F30&lt;&gt;0,F30*G$2/(100+G$2)," ")</f>
        <v>30</v>
      </c>
      <c r="H30" s="6" t="n">
        <f aca="false">IF((F30&lt;&gt;0),F30-G30," ")</f>
        <v>150</v>
      </c>
      <c r="I30" s="5"/>
      <c r="L30" s="7" t="n">
        <f aca="false">IF(F30&lt;&gt;0,F30-K30," ")</f>
        <v>180</v>
      </c>
      <c r="M30" s="8" t="n">
        <f aca="false">IF((F30-K30)&lt;&gt;0,M$1-A30," ")</f>
        <v>-172</v>
      </c>
      <c r="N30" s="5"/>
      <c r="O30" s="17" t="n">
        <f aca="false">IF((E30="s"),H30," ")</f>
        <v>150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123</v>
      </c>
    </row>
    <row r="31" customFormat="false" ht="12" hidden="false" customHeight="false" outlineLevel="0" collapsed="false">
      <c r="A31" s="28" t="n">
        <v>46467</v>
      </c>
      <c r="B31" s="2" t="s">
        <v>141</v>
      </c>
      <c r="D31" s="2" t="s">
        <v>142</v>
      </c>
      <c r="E31" s="2" t="s">
        <v>112</v>
      </c>
      <c r="F31" s="30" t="n">
        <v>8</v>
      </c>
      <c r="G31" s="6" t="n">
        <f aca="false">IF(F31&lt;&gt;0,F31*G$2/(100+G$2)," ")</f>
        <v>1.33333333333333</v>
      </c>
      <c r="H31" s="6" t="n">
        <f aca="false">IF((F31&lt;&gt;0),F31-G31," ")</f>
        <v>6.66666666666667</v>
      </c>
      <c r="I31" s="5"/>
      <c r="L31" s="7" t="n">
        <f aca="false">IF(F31&lt;&gt;0,F31-K31," ")</f>
        <v>8</v>
      </c>
      <c r="M31" s="8" t="n">
        <f aca="false">IF((F31-K31)&lt;&gt;0,M$1-A31," ")</f>
        <v>-173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n">
        <f aca="false">IF((E31="h"),H31," ")</f>
        <v>6.66666666666667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113</v>
      </c>
    </row>
    <row r="32" customFormat="false" ht="12" hidden="false" customHeight="false" outlineLevel="0" collapsed="false">
      <c r="A32" s="28" t="n">
        <v>46468</v>
      </c>
      <c r="B32" s="2" t="s">
        <v>143</v>
      </c>
      <c r="D32" s="2" t="s">
        <v>144</v>
      </c>
      <c r="E32" s="2" t="s">
        <v>100</v>
      </c>
      <c r="F32" s="30" t="n">
        <v>18</v>
      </c>
      <c r="G32" s="6" t="n">
        <f aca="false">IF(F32&lt;&gt;0,F32*G$2/(100+G$2)," ")</f>
        <v>3</v>
      </c>
      <c r="H32" s="6" t="n">
        <f aca="false">IF((F32&lt;&gt;0),F32-G32," ")</f>
        <v>15</v>
      </c>
      <c r="I32" s="5"/>
      <c r="L32" s="7" t="n">
        <f aca="false">IF(F32&lt;&gt;0,F32-K32," ")</f>
        <v>18</v>
      </c>
      <c r="M32" s="8" t="n">
        <f aca="false">IF((F32-K32)&lt;&gt;0,M$1-A32," ")</f>
        <v>-174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46471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-177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46471</v>
      </c>
      <c r="B34" s="2" t="s">
        <v>147</v>
      </c>
      <c r="D34" s="2" t="s">
        <v>148</v>
      </c>
      <c r="E34" s="2" t="s">
        <v>106</v>
      </c>
      <c r="F34" s="30" t="n">
        <v>38.25</v>
      </c>
      <c r="G34" s="6" t="n">
        <f aca="false">IF(F34&lt;&gt;0,F34*G$2/(100+G$2)," ")</f>
        <v>6.375</v>
      </c>
      <c r="H34" s="6" t="n">
        <f aca="false">IF((F34&lt;&gt;0),F34-G34," ")</f>
        <v>31.875</v>
      </c>
      <c r="I34" s="5"/>
      <c r="L34" s="7" t="n">
        <f aca="false">IF(F34&lt;&gt;0,F34-K34," ")</f>
        <v>38.25</v>
      </c>
      <c r="M34" s="8" t="n">
        <f aca="false">IF((F34-K34)&lt;&gt;0,M$1-A34," ")</f>
        <v>-177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31.875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46474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-180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46477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-183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46458</v>
      </c>
      <c r="B37" s="2" t="s">
        <v>224</v>
      </c>
      <c r="D37" s="2" t="s">
        <v>225</v>
      </c>
      <c r="E37" s="2" t="s">
        <v>226</v>
      </c>
      <c r="F37" s="30" t="n">
        <v>350</v>
      </c>
      <c r="G37" s="6" t="n">
        <f aca="false">IF(F37&lt;&gt;0,F37*G$2/(100+G$2)," ")</f>
        <v>58.3333333333333</v>
      </c>
      <c r="H37" s="6" t="n">
        <f aca="false">IF((F37&lt;&gt;0),F37-G37," ")</f>
        <v>291.666666666667</v>
      </c>
      <c r="I37" s="5"/>
      <c r="L37" s="7" t="n">
        <f aca="false">IF(F37&lt;&gt;0,F37-K37," ")</f>
        <v>350</v>
      </c>
      <c r="M37" s="8" t="n">
        <f aca="false">IF((F37-K37)&lt;&gt;0,M$1-A37," ")</f>
        <v>-164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n">
        <f aca="false">IF((E37="e"),H37," ")</f>
        <v>291.666666666667</v>
      </c>
      <c r="BZ37" s="2" t="s">
        <v>227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13375</v>
      </c>
      <c r="G1" s="12" t="n">
        <f aca="false">SUM(G5:G300)</f>
        <v>2229.16666666667</v>
      </c>
      <c r="H1" s="12" t="n">
        <f aca="false">SUM(H5:H300)</f>
        <v>11145.8333333333</v>
      </c>
      <c r="I1" s="13"/>
      <c r="J1" s="14" t="s">
        <v>2</v>
      </c>
      <c r="K1" s="15" t="n">
        <f aca="false">SUM(K5:K300)</f>
        <v>0</v>
      </c>
      <c r="L1" s="15" t="n">
        <f aca="false">SUM(L5:L300)</f>
        <v>13375</v>
      </c>
      <c r="M1" s="16" t="n">
        <f aca="true">TODAY()</f>
        <v>46294</v>
      </c>
      <c r="N1" s="13"/>
      <c r="O1" s="12" t="n">
        <f aca="false">SUM(O5:O300)</f>
        <v>200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250</v>
      </c>
      <c r="V1" s="12" t="n">
        <f aca="false">SUM(V5:V300)</f>
        <v>80</v>
      </c>
      <c r="W1" s="12" t="n">
        <f aca="false">SUM(W5:W300)</f>
        <v>300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122.5</v>
      </c>
      <c r="AB1" s="12" t="n">
        <f aca="false">SUM(AB5:AB300)</f>
        <v>76.6666666666667</v>
      </c>
      <c r="AC1" s="12" t="n">
        <f aca="false">SUM(AC5:AC300)</f>
        <v>590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1223.33333333333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7000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IF([2]Apr!$G$4&gt;0,0,[2]Apr!$G$2)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46478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-184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46478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-184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46478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-184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46478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-184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46478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-184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46478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-184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46480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-186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46480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-186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46482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-188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46482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-188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46485</v>
      </c>
      <c r="B15" s="2" t="s">
        <v>110</v>
      </c>
      <c r="D15" s="2" t="s">
        <v>111</v>
      </c>
      <c r="E15" s="2" t="s">
        <v>112</v>
      </c>
      <c r="F15" s="30" t="n">
        <v>48</v>
      </c>
      <c r="G15" s="6" t="n">
        <f aca="false">IF(F15&lt;&gt;0,F15*G$2/(100+G$2)," ")</f>
        <v>8</v>
      </c>
      <c r="H15" s="6" t="n">
        <f aca="false">IF((F15&lt;&gt;0),F15-G15," ")</f>
        <v>40</v>
      </c>
      <c r="I15" s="5"/>
      <c r="L15" s="7" t="n">
        <f aca="false">IF(F15&lt;&gt;0,F15-K15," ")</f>
        <v>48</v>
      </c>
      <c r="M15" s="8" t="n">
        <f aca="false">IF((F15-K15)&lt;&gt;0,M$1-A15," ")</f>
        <v>-191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46485</v>
      </c>
      <c r="B16" s="2" t="s">
        <v>155</v>
      </c>
      <c r="D16" s="2" t="s">
        <v>156</v>
      </c>
      <c r="E16" s="2" t="s">
        <v>157</v>
      </c>
      <c r="F16" s="30" t="n">
        <v>360</v>
      </c>
      <c r="G16" s="6" t="n">
        <f aca="false">IF(F16&lt;&gt;0,F16*G$2/(100+G$2)," ")</f>
        <v>60</v>
      </c>
      <c r="H16" s="6" t="n">
        <f aca="false">IF((F16&lt;&gt;0),F16-G16," ")</f>
        <v>300</v>
      </c>
      <c r="I16" s="5"/>
      <c r="L16" s="7" t="n">
        <f aca="false">IF(F16&lt;&gt;0,F16-K16," ")</f>
        <v>360</v>
      </c>
      <c r="M16" s="8" t="n">
        <f aca="false">IF((F16-K16)&lt;&gt;0,M$1-A16," ")</f>
        <v>-191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n">
        <f aca="false">IF((E16="q"),H16," ")</f>
        <v>300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158</v>
      </c>
    </row>
    <row r="17" customFormat="false" ht="12" hidden="false" customHeight="false" outlineLevel="0" collapsed="false">
      <c r="A17" s="28" t="n">
        <v>46487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-193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46487</v>
      </c>
      <c r="B18" s="2" t="s">
        <v>132</v>
      </c>
      <c r="D18" s="2" t="s">
        <v>228</v>
      </c>
      <c r="E18" s="2" t="s">
        <v>174</v>
      </c>
      <c r="F18" s="30" t="n">
        <v>96</v>
      </c>
      <c r="G18" s="6" t="n">
        <f aca="false">IF(F18&lt;&gt;0,F18*G$2/(100+G$2)," ")</f>
        <v>16</v>
      </c>
      <c r="H18" s="6" t="n">
        <f aca="false">IF((F18&lt;&gt;0),F18-G18," ")</f>
        <v>80</v>
      </c>
      <c r="I18" s="5"/>
      <c r="L18" s="7" t="n">
        <f aca="false">IF(F18&lt;&gt;0,F18-K18," ")</f>
        <v>96</v>
      </c>
      <c r="M18" s="8" t="n">
        <f aca="false">IF((F18-K18)&lt;&gt;0,M$1-A18," ")</f>
        <v>-193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n">
        <f aca="false">IF((E18="t"),H18," ")</f>
        <v>80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175</v>
      </c>
    </row>
    <row r="19" customFormat="false" ht="12" hidden="false" customHeight="false" outlineLevel="0" collapsed="false">
      <c r="A19" s="28" t="n">
        <v>46489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-195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46491</v>
      </c>
      <c r="B20" s="2" t="s">
        <v>128</v>
      </c>
      <c r="D20" s="2" t="s">
        <v>129</v>
      </c>
      <c r="E20" s="2" t="s">
        <v>112</v>
      </c>
      <c r="F20" s="30" t="n">
        <v>24</v>
      </c>
      <c r="G20" s="6" t="n">
        <f aca="false">IF(F20&lt;&gt;0,F20*G$2/(100+G$2)," ")</f>
        <v>4</v>
      </c>
      <c r="H20" s="6" t="n">
        <f aca="false">IF((F20&lt;&gt;0),F20-G20," ")</f>
        <v>20</v>
      </c>
      <c r="I20" s="5"/>
      <c r="L20" s="7" t="n">
        <f aca="false">IF(F20&lt;&gt;0,F20-K20," ")</f>
        <v>24</v>
      </c>
      <c r="M20" s="8" t="n">
        <f aca="false">IF((F20-K20)&lt;&gt;0,M$1-A20," ")</f>
        <v>-197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20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46491</v>
      </c>
      <c r="B21" s="2" t="s">
        <v>130</v>
      </c>
      <c r="D21" s="2" t="s">
        <v>131</v>
      </c>
      <c r="E21" s="2" t="s">
        <v>112</v>
      </c>
      <c r="F21" s="30" t="n">
        <v>12</v>
      </c>
      <c r="G21" s="6" t="n">
        <f aca="false">IF(F21&lt;&gt;0,F21*G$2/(100+G$2)," ")</f>
        <v>2</v>
      </c>
      <c r="H21" s="6" t="n">
        <f aca="false">IF((F21&lt;&gt;0),F21-G21," ")</f>
        <v>10</v>
      </c>
      <c r="I21" s="5"/>
      <c r="L21" s="7" t="n">
        <f aca="false">IF(F21&lt;&gt;0,F21-K21," ")</f>
        <v>12</v>
      </c>
      <c r="M21" s="8" t="n">
        <f aca="false">IF((F21-K21)&lt;&gt;0,M$1-A21," ")</f>
        <v>-197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10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46492</v>
      </c>
      <c r="B22" s="2" t="s">
        <v>20</v>
      </c>
      <c r="D22" s="2" t="s">
        <v>105</v>
      </c>
      <c r="E22" s="2" t="s">
        <v>106</v>
      </c>
      <c r="F22" s="30" t="n">
        <v>150</v>
      </c>
      <c r="G22" s="6" t="n">
        <f aca="false">IF(F22&lt;&gt;0,F22*G$2/(100+G$2)," ")</f>
        <v>25</v>
      </c>
      <c r="H22" s="6" t="n">
        <f aca="false">IF((F22&lt;&gt;0),F22-G22," ")</f>
        <v>125</v>
      </c>
      <c r="I22" s="5"/>
      <c r="L22" s="7" t="n">
        <f aca="false">IF(F22&lt;&gt;0,F22-K22," ")</f>
        <v>150</v>
      </c>
      <c r="M22" s="8" t="n">
        <f aca="false">IF((F22-K22)&lt;&gt;0,M$1-A22," ")</f>
        <v>-198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n">
        <f aca="false">IF((E22="v"),H22," ")</f>
        <v>125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107</v>
      </c>
    </row>
    <row r="23" customFormat="false" ht="12" hidden="false" customHeight="false" outlineLevel="0" collapsed="false">
      <c r="A23" s="28" t="n">
        <v>46492</v>
      </c>
      <c r="B23" s="2" t="s">
        <v>132</v>
      </c>
      <c r="D23" s="2" t="s">
        <v>133</v>
      </c>
      <c r="E23" s="2" t="s">
        <v>80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-198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10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81</v>
      </c>
    </row>
    <row r="24" customFormat="false" ht="12" hidden="false" customHeight="false" outlineLevel="0" collapsed="false">
      <c r="A24" s="28" t="n">
        <v>46492</v>
      </c>
      <c r="B24" s="2" t="s">
        <v>229</v>
      </c>
      <c r="D24" s="2" t="s">
        <v>230</v>
      </c>
      <c r="E24" s="2" t="s">
        <v>151</v>
      </c>
      <c r="F24" s="30" t="n">
        <v>960</v>
      </c>
      <c r="G24" s="6" t="n">
        <f aca="false">IF(F24&lt;&gt;0,F24*G$2/(100+G$2)," ")</f>
        <v>160</v>
      </c>
      <c r="H24" s="6" t="n">
        <f aca="false">IF((F24&lt;&gt;0),F24-G24," ")</f>
        <v>800</v>
      </c>
      <c r="I24" s="5"/>
      <c r="L24" s="7" t="n">
        <f aca="false">IF(F24&lt;&gt;0,F24-K24," ")</f>
        <v>960</v>
      </c>
      <c r="M24" s="8" t="n">
        <f aca="false">IF((F24-K24)&lt;&gt;0,M$1-A24," ")</f>
        <v>-198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n">
        <f aca="false">IF((E24="l"),H24," ")</f>
        <v>800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152</v>
      </c>
    </row>
    <row r="25" customFormat="false" ht="12" hidden="false" customHeight="false" outlineLevel="0" collapsed="false">
      <c r="A25" s="28" t="n">
        <v>46493</v>
      </c>
      <c r="B25" s="2" t="s">
        <v>170</v>
      </c>
      <c r="D25" s="2" t="s">
        <v>171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-199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46495</v>
      </c>
      <c r="B26" s="2" t="s">
        <v>190</v>
      </c>
      <c r="D26" s="2" t="s">
        <v>191</v>
      </c>
      <c r="E26" s="2" t="s">
        <v>122</v>
      </c>
      <c r="F26" s="30" t="n">
        <v>240</v>
      </c>
      <c r="G26" s="6" t="n">
        <f aca="false">IF(F26&lt;&gt;0,F26*G$2/(100+G$2)," ")</f>
        <v>40</v>
      </c>
      <c r="H26" s="6" t="n">
        <f aca="false">IF((F26&lt;&gt;0),F26-G26," ")</f>
        <v>200</v>
      </c>
      <c r="I26" s="5"/>
      <c r="L26" s="7" t="n">
        <f aca="false">IF(F26&lt;&gt;0,F26-K26," ")</f>
        <v>240</v>
      </c>
      <c r="M26" s="8" t="n">
        <f aca="false">IF((F26-K26)&lt;&gt;0,M$1-A26," ")</f>
        <v>-201</v>
      </c>
      <c r="N26" s="5"/>
      <c r="O26" s="17" t="n">
        <f aca="false">IF((E26="s"),H26," ")</f>
        <v>200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46495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-201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46497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-203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46498</v>
      </c>
      <c r="B29" s="2" t="s">
        <v>141</v>
      </c>
      <c r="D29" s="2" t="s">
        <v>142</v>
      </c>
      <c r="E29" s="2" t="s">
        <v>112</v>
      </c>
      <c r="F29" s="30" t="n">
        <v>8</v>
      </c>
      <c r="G29" s="6" t="n">
        <f aca="false">IF(F29&lt;&gt;0,F29*G$2/(100+G$2)," ")</f>
        <v>1.33333333333333</v>
      </c>
      <c r="H29" s="6" t="n">
        <f aca="false">IF((F29&lt;&gt;0),F29-G29," ")</f>
        <v>6.66666666666667</v>
      </c>
      <c r="I29" s="5"/>
      <c r="L29" s="7" t="n">
        <f aca="false">IF(F29&lt;&gt;0,F29-K29," ")</f>
        <v>8</v>
      </c>
      <c r="M29" s="8" t="n">
        <f aca="false">IF((F29-K29)&lt;&gt;0,M$1-A29," ")</f>
        <v>-204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6.66666666666667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46499</v>
      </c>
      <c r="B30" s="2" t="s">
        <v>143</v>
      </c>
      <c r="D30" s="2" t="s">
        <v>144</v>
      </c>
      <c r="E30" s="2" t="s">
        <v>100</v>
      </c>
      <c r="F30" s="30" t="n">
        <v>18</v>
      </c>
      <c r="G30" s="6" t="n">
        <f aca="false">IF(F30&lt;&gt;0,F30*G$2/(100+G$2)," ")</f>
        <v>3</v>
      </c>
      <c r="H30" s="6" t="n">
        <f aca="false">IF((F30&lt;&gt;0),F30-G30," ")</f>
        <v>15</v>
      </c>
      <c r="I30" s="5"/>
      <c r="L30" s="7" t="n">
        <f aca="false">IF(F30&lt;&gt;0,F30-K30," ")</f>
        <v>18</v>
      </c>
      <c r="M30" s="8" t="n">
        <f aca="false">IF((F30-K30)&lt;&gt;0,M$1-A30," ")</f>
        <v>-205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15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101</v>
      </c>
    </row>
    <row r="31" customFormat="false" ht="12" hidden="false" customHeight="false" outlineLevel="0" collapsed="false">
      <c r="A31" s="28" t="n">
        <v>46499</v>
      </c>
      <c r="B31" s="2" t="s">
        <v>178</v>
      </c>
      <c r="D31" s="2" t="s">
        <v>179</v>
      </c>
      <c r="E31" s="2" t="s">
        <v>106</v>
      </c>
      <c r="F31" s="30" t="n">
        <v>72</v>
      </c>
      <c r="G31" s="6" t="n">
        <f aca="false">IF(F31&lt;&gt;0,F31*G$2/(100+G$2)," ")</f>
        <v>12</v>
      </c>
      <c r="H31" s="6" t="n">
        <f aca="false">IF((F31&lt;&gt;0),F31-G31," ")</f>
        <v>60</v>
      </c>
      <c r="I31" s="5"/>
      <c r="L31" s="7" t="n">
        <f aca="false">IF(F31&lt;&gt;0,F31-K31," ")</f>
        <v>72</v>
      </c>
      <c r="M31" s="8" t="n">
        <f aca="false">IF((F31-K31)&lt;&gt;0,M$1-A31," ")</f>
        <v>-205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n">
        <f aca="false">IF((E31="v"),H31," ")</f>
        <v>60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107</v>
      </c>
    </row>
    <row r="32" customFormat="false" ht="12" hidden="false" customHeight="false" outlineLevel="0" collapsed="false">
      <c r="A32" s="28" t="n">
        <v>46502</v>
      </c>
      <c r="B32" s="2" t="s">
        <v>192</v>
      </c>
      <c r="D32" s="2" t="s">
        <v>193</v>
      </c>
      <c r="E32" s="2" t="s">
        <v>194</v>
      </c>
      <c r="F32" s="30" t="n">
        <v>300</v>
      </c>
      <c r="G32" s="6" t="n">
        <f aca="false">IF(F32&lt;&gt;0,F32*G$2/(100+G$2)," ")</f>
        <v>50</v>
      </c>
      <c r="H32" s="6" t="n">
        <f aca="false">IF((F32&lt;&gt;0),F32-G32," ")</f>
        <v>250</v>
      </c>
      <c r="I32" s="5"/>
      <c r="L32" s="7" t="n">
        <f aca="false">IF(F32&lt;&gt;0,F32-K32," ")</f>
        <v>300</v>
      </c>
      <c r="M32" s="8" t="n">
        <f aca="false">IF((F32-K32)&lt;&gt;0,M$1-A32," ")</f>
        <v>-208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250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195</v>
      </c>
    </row>
    <row r="33" customFormat="false" ht="12" hidden="false" customHeight="false" outlineLevel="0" collapsed="false">
      <c r="A33" s="28" t="n">
        <v>46502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-208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46502</v>
      </c>
      <c r="B34" s="2" t="s">
        <v>147</v>
      </c>
      <c r="D34" s="2" t="s">
        <v>231</v>
      </c>
      <c r="E34" s="2" t="s">
        <v>106</v>
      </c>
      <c r="F34" s="30" t="n">
        <v>72</v>
      </c>
      <c r="G34" s="6" t="n">
        <f aca="false">IF(F34&lt;&gt;0,F34*G$2/(100+G$2)," ")</f>
        <v>12</v>
      </c>
      <c r="H34" s="6" t="n">
        <f aca="false">IF((F34&lt;&gt;0),F34-G34," ")</f>
        <v>60</v>
      </c>
      <c r="I34" s="5"/>
      <c r="L34" s="7" t="n">
        <f aca="false">IF(F34&lt;&gt;0,F34-K34," ")</f>
        <v>72</v>
      </c>
      <c r="M34" s="8" t="n">
        <f aca="false">IF((F34-K34)&lt;&gt;0,M$1-A34," ")</f>
        <v>-208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60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46505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-211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46507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-213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46507</v>
      </c>
      <c r="B37" s="2" t="s">
        <v>197</v>
      </c>
      <c r="C37" s="3" t="s">
        <v>232</v>
      </c>
      <c r="D37" s="2" t="s">
        <v>199</v>
      </c>
      <c r="E37" s="2" t="s">
        <v>151</v>
      </c>
      <c r="F37" s="30" t="n">
        <v>208</v>
      </c>
      <c r="G37" s="6" t="n">
        <f aca="false">IF(F37&lt;&gt;0,F37*G$2/(100+G$2)," ")</f>
        <v>34.6666666666667</v>
      </c>
      <c r="H37" s="6" t="n">
        <f aca="false">IF((F37&lt;&gt;0),F37-G37," ")</f>
        <v>173.333333333333</v>
      </c>
      <c r="I37" s="5"/>
      <c r="L37" s="7" t="n">
        <f aca="false">IF(F37&lt;&gt;0,F37-K37," ")</f>
        <v>208</v>
      </c>
      <c r="M37" s="8" t="n">
        <f aca="false">IF((F37-K37)&lt;&gt;0,M$1-A37," ")</f>
        <v>-213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173.333333333333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 t="n">
        <v>46478</v>
      </c>
      <c r="B38" s="2" t="s">
        <v>201</v>
      </c>
      <c r="C38" s="3" t="s">
        <v>233</v>
      </c>
      <c r="D38" s="2" t="s">
        <v>234</v>
      </c>
      <c r="E38" s="2" t="s">
        <v>168</v>
      </c>
      <c r="F38" s="30" t="n">
        <v>8400</v>
      </c>
      <c r="G38" s="6" t="n">
        <f aca="false">IF(F38&lt;&gt;0,F38*G$2/(100+G$2)," ")</f>
        <v>1400</v>
      </c>
      <c r="H38" s="6" t="n">
        <f aca="false">IF((F38&lt;&gt;0),F38-G38," ")</f>
        <v>7000</v>
      </c>
      <c r="I38" s="5"/>
      <c r="L38" s="7" t="n">
        <f aca="false">IF(F38&lt;&gt;0,F38-K38," ")</f>
        <v>8400</v>
      </c>
      <c r="M38" s="8" t="n">
        <f aca="false">IF((F38-K38)&lt;&gt;0,M$1-A38," ")</f>
        <v>-184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n">
        <f aca="false">IF((E38="fa"),H38," ")</f>
        <v>7000</v>
      </c>
      <c r="AJ38" s="17" t="str">
        <f aca="false">IF((E38="e"),H38," ")</f>
        <v> </v>
      </c>
      <c r="BZ38" s="2" t="s">
        <v>169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82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43005.75</v>
      </c>
      <c r="G1" s="12" t="n">
        <f aca="false">SUM(G5:G300)</f>
        <v>7167.625</v>
      </c>
      <c r="H1" s="12" t="n">
        <f aca="false">SUM(H5:H300)</f>
        <v>35838.125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43005.75</v>
      </c>
      <c r="M1" s="16" t="n">
        <f aca="true">TODAY()</f>
        <v>46294</v>
      </c>
      <c r="N1" s="13"/>
      <c r="O1" s="12" t="n">
        <f aca="false">SUM(O5:O300)</f>
        <v>400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80</v>
      </c>
      <c r="Y1" s="12" t="n">
        <f aca="false">SUM(Y5:Y300)</f>
        <v>125.833333333333</v>
      </c>
      <c r="Z1" s="12" t="n">
        <f aca="false">SUM(Z5:Z300)</f>
        <v>2500</v>
      </c>
      <c r="AA1" s="12" t="n">
        <f aca="false">SUM(AA5:AA300)</f>
        <v>112.5</v>
      </c>
      <c r="AB1" s="12" t="n">
        <f aca="false">SUM(AB5:AB300)</f>
        <v>176.666666666667</v>
      </c>
      <c r="AC1" s="12" t="n">
        <f aca="false">SUM(AC5:AC300)</f>
        <v>505.625</v>
      </c>
      <c r="AD1" s="12" t="n">
        <f aca="false">SUM(AD5:AD300)</f>
        <v>300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30000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IF([2]May!$G$4&gt;0,0,[2]May!$G$2)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46508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-214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46508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-214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46508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-214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46508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-214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46508</v>
      </c>
      <c r="B9" s="2" t="s">
        <v>235</v>
      </c>
      <c r="D9" s="2" t="s">
        <v>236</v>
      </c>
      <c r="E9" s="2" t="s">
        <v>90</v>
      </c>
      <c r="F9" s="30" t="n">
        <v>360</v>
      </c>
      <c r="G9" s="6" t="n">
        <f aca="false">IF(F9&lt;&gt;0,F9*G$2/(100+G$2)," ")</f>
        <v>60</v>
      </c>
      <c r="H9" s="6" t="n">
        <f aca="false">IF((F9&lt;&gt;0),F9-G9," ")</f>
        <v>300</v>
      </c>
      <c r="I9" s="5"/>
      <c r="L9" s="7" t="n">
        <f aca="false">IF(F9&lt;&gt;0,F9-K9," ")</f>
        <v>360</v>
      </c>
      <c r="M9" s="8" t="n">
        <f aca="false">IF((F9-K9)&lt;&gt;0,M$1-A9," ")</f>
        <v>-214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n">
        <f aca="false">IF((E9="n"),H9," ")</f>
        <v>300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91</v>
      </c>
    </row>
    <row r="10" customFormat="false" ht="12" hidden="false" customHeight="false" outlineLevel="0" collapsed="false">
      <c r="A10" s="28" t="n">
        <v>46508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-214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46508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-214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46510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-216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46510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-216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46512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-218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46512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-218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46512</v>
      </c>
      <c r="B16" s="2" t="s">
        <v>108</v>
      </c>
      <c r="D16" s="2" t="s">
        <v>109</v>
      </c>
      <c r="E16" s="2" t="s">
        <v>86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-218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30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87</v>
      </c>
    </row>
    <row r="17" customFormat="false" ht="12" hidden="false" customHeight="false" outlineLevel="0" collapsed="false">
      <c r="A17" s="28" t="n">
        <v>46515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-221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46517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-223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46517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-223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46517</v>
      </c>
      <c r="B20" s="2" t="s">
        <v>120</v>
      </c>
      <c r="D20" s="2" t="s">
        <v>121</v>
      </c>
      <c r="E20" s="2" t="s">
        <v>122</v>
      </c>
      <c r="F20" s="30" t="n">
        <v>480</v>
      </c>
      <c r="G20" s="6" t="n">
        <f aca="false">IF(F20&lt;&gt;0,F20*G$2/(100+G$2)," ")</f>
        <v>80</v>
      </c>
      <c r="H20" s="6" t="n">
        <f aca="false">IF((F20&lt;&gt;0),F20-G20," ")</f>
        <v>400</v>
      </c>
      <c r="I20" s="5"/>
      <c r="L20" s="7" t="n">
        <f aca="false">IF(F20&lt;&gt;0,F20-K20," ")</f>
        <v>480</v>
      </c>
      <c r="M20" s="8" t="n">
        <f aca="false">IF((F20-K20)&lt;&gt;0,M$1-A20," ")</f>
        <v>-223</v>
      </c>
      <c r="N20" s="5"/>
      <c r="O20" s="17" t="n">
        <f aca="false">IF((E20="s"),H20," ")</f>
        <v>400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46517</v>
      </c>
      <c r="B21" s="2" t="s">
        <v>159</v>
      </c>
      <c r="D21" s="2" t="s">
        <v>237</v>
      </c>
      <c r="E21" s="2" t="s">
        <v>161</v>
      </c>
      <c r="F21" s="30" t="n">
        <v>1800</v>
      </c>
      <c r="G21" s="6" t="n">
        <f aca="false">IF(F21&lt;&gt;0,F21*G$2/(100+G$2)," ")</f>
        <v>300</v>
      </c>
      <c r="H21" s="6" t="n">
        <f aca="false">IF((F21&lt;&gt;0),F21-G21," ")</f>
        <v>1500</v>
      </c>
      <c r="I21" s="5"/>
      <c r="L21" s="7" t="n">
        <f aca="false">IF(F21&lt;&gt;0,F21-K21," ")</f>
        <v>1800</v>
      </c>
      <c r="M21" s="8" t="n">
        <f aca="false">IF((F21-K21)&lt;&gt;0,M$1-A21," ")</f>
        <v>-223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n">
        <f aca="false">IF((E21="a"),H21," ")</f>
        <v>1500</v>
      </c>
      <c r="AA21" s="17" t="str">
        <f aca="false">IF((E21="g"),H21," ")</f>
        <v> </v>
      </c>
      <c r="AB21" s="17" t="str">
        <f aca="false">IF((E21="h"),H21," ")</f>
        <v> 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162</v>
      </c>
    </row>
    <row r="22" customFormat="false" ht="12" hidden="false" customHeight="false" outlineLevel="0" collapsed="false">
      <c r="A22" s="28" t="n">
        <v>46519</v>
      </c>
      <c r="B22" s="2" t="s">
        <v>124</v>
      </c>
      <c r="D22" s="2" t="s">
        <v>125</v>
      </c>
      <c r="E22" s="2" t="s">
        <v>106</v>
      </c>
      <c r="F22" s="30" t="n">
        <v>18</v>
      </c>
      <c r="G22" s="6" t="n">
        <f aca="false">IF(F22&lt;&gt;0,F22*G$2/(100+G$2)," ")</f>
        <v>3</v>
      </c>
      <c r="H22" s="6" t="n">
        <f aca="false">IF((F22&lt;&gt;0),F22-G22," ")</f>
        <v>15</v>
      </c>
      <c r="I22" s="5"/>
      <c r="L22" s="7" t="n">
        <f aca="false">IF(F22&lt;&gt;0,F22-K22," ")</f>
        <v>18</v>
      </c>
      <c r="M22" s="8" t="n">
        <f aca="false">IF((F22-K22)&lt;&gt;0,M$1-A22," ")</f>
        <v>-225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n">
        <f aca="false">IF((E22="v"),H22," ")</f>
        <v>15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107</v>
      </c>
    </row>
    <row r="23" customFormat="false" ht="12" hidden="false" customHeight="false" outlineLevel="0" collapsed="false">
      <c r="A23" s="28" t="n">
        <v>46521</v>
      </c>
      <c r="B23" s="2" t="s">
        <v>126</v>
      </c>
      <c r="D23" s="2" t="s">
        <v>127</v>
      </c>
      <c r="E23" s="2" t="s">
        <v>100</v>
      </c>
      <c r="F23" s="30" t="n">
        <v>36</v>
      </c>
      <c r="G23" s="6" t="n">
        <f aca="false">IF(F23&lt;&gt;0,F23*G$2/(100+G$2)," ")</f>
        <v>6</v>
      </c>
      <c r="H23" s="6" t="n">
        <f aca="false">IF((F23&lt;&gt;0),F23-G23," ")</f>
        <v>30</v>
      </c>
      <c r="I23" s="5"/>
      <c r="L23" s="7" t="n">
        <f aca="false">IF(F23&lt;&gt;0,F23-K23," ")</f>
        <v>36</v>
      </c>
      <c r="M23" s="8" t="n">
        <f aca="false">IF((F23-K23)&lt;&gt;0,M$1-A23," ")</f>
        <v>-227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n">
        <f aca="false">IF((E23="u"),H23," ")</f>
        <v>30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101</v>
      </c>
    </row>
    <row r="24" customFormat="false" ht="12" hidden="false" customHeight="false" outlineLevel="0" collapsed="false">
      <c r="A24" s="28" t="n">
        <v>46521</v>
      </c>
      <c r="B24" s="2" t="s">
        <v>128</v>
      </c>
      <c r="D24" s="2" t="s">
        <v>129</v>
      </c>
      <c r="E24" s="2" t="s">
        <v>112</v>
      </c>
      <c r="F24" s="30" t="n">
        <v>24</v>
      </c>
      <c r="G24" s="6" t="n">
        <f aca="false">IF(F24&lt;&gt;0,F24*G$2/(100+G$2)," ")</f>
        <v>4</v>
      </c>
      <c r="H24" s="6" t="n">
        <f aca="false">IF((F24&lt;&gt;0),F24-G24," ")</f>
        <v>20</v>
      </c>
      <c r="I24" s="5"/>
      <c r="L24" s="7" t="n">
        <f aca="false">IF(F24&lt;&gt;0,F24-K24," ")</f>
        <v>24</v>
      </c>
      <c r="M24" s="8" t="n">
        <f aca="false">IF((F24-K24)&lt;&gt;0,M$1-A24," ")</f>
        <v>-227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20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46521</v>
      </c>
      <c r="B25" s="2" t="s">
        <v>130</v>
      </c>
      <c r="D25" s="2" t="s">
        <v>131</v>
      </c>
      <c r="E25" s="2" t="s">
        <v>112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-227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n">
        <f aca="false">IF((E25="h"),H25," ")</f>
        <v>10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113</v>
      </c>
    </row>
    <row r="26" customFormat="false" ht="12" hidden="false" customHeight="false" outlineLevel="0" collapsed="false">
      <c r="A26" s="28" t="n">
        <v>46522</v>
      </c>
      <c r="B26" s="2" t="s">
        <v>20</v>
      </c>
      <c r="D26" s="2" t="s">
        <v>105</v>
      </c>
      <c r="E26" s="2" t="s">
        <v>106</v>
      </c>
      <c r="F26" s="30" t="n">
        <v>150</v>
      </c>
      <c r="G26" s="6" t="n">
        <f aca="false">IF(F26&lt;&gt;0,F26*G$2/(100+G$2)," ")</f>
        <v>25</v>
      </c>
      <c r="H26" s="6" t="n">
        <f aca="false">IF((F26&lt;&gt;0),F26-G26," ")</f>
        <v>125</v>
      </c>
      <c r="I26" s="5"/>
      <c r="L26" s="7" t="n">
        <f aca="false">IF(F26&lt;&gt;0,F26-K26," ")</f>
        <v>150</v>
      </c>
      <c r="M26" s="8" t="n">
        <f aca="false">IF((F26-K26)&lt;&gt;0,M$1-A26," ")</f>
        <v>-228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n">
        <f aca="false">IF((E26="v"),H26," ")</f>
        <v>125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107</v>
      </c>
    </row>
    <row r="27" customFormat="false" ht="12" hidden="false" customHeight="false" outlineLevel="0" collapsed="false">
      <c r="A27" s="28" t="n">
        <v>46522</v>
      </c>
      <c r="B27" s="2" t="s">
        <v>132</v>
      </c>
      <c r="D27" s="2" t="s">
        <v>133</v>
      </c>
      <c r="E27" s="2" t="s">
        <v>80</v>
      </c>
      <c r="F27" s="30" t="n">
        <v>12</v>
      </c>
      <c r="G27" s="6" t="n">
        <f aca="false">IF(F27&lt;&gt;0,F27*G$2/(100+G$2)," ")</f>
        <v>2</v>
      </c>
      <c r="H27" s="6" t="n">
        <f aca="false">IF((F27&lt;&gt;0),F27-G27," ")</f>
        <v>10</v>
      </c>
      <c r="I27" s="5"/>
      <c r="L27" s="7" t="n">
        <f aca="false">IF(F27&lt;&gt;0,F27-K27," ")</f>
        <v>12</v>
      </c>
      <c r="M27" s="8" t="n">
        <f aca="false">IF((F27-K27)&lt;&gt;0,M$1-A27," ")</f>
        <v>-228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10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46522</v>
      </c>
      <c r="B28" s="2" t="s">
        <v>238</v>
      </c>
      <c r="D28" s="2" t="s">
        <v>239</v>
      </c>
      <c r="E28" s="2" t="s">
        <v>161</v>
      </c>
      <c r="F28" s="30" t="n">
        <v>1200</v>
      </c>
      <c r="G28" s="6" t="n">
        <f aca="false">IF(F28&lt;&gt;0,F28*G$2/(100+G$2)," ")</f>
        <v>200</v>
      </c>
      <c r="H28" s="6" t="n">
        <f aca="false">IF((F28&lt;&gt;0),F28-G28," ")</f>
        <v>1000</v>
      </c>
      <c r="I28" s="5"/>
      <c r="L28" s="7" t="n">
        <f aca="false">IF(F28&lt;&gt;0,F28-K28," ")</f>
        <v>1200</v>
      </c>
      <c r="M28" s="8" t="n">
        <f aca="false">IF((F28-K28)&lt;&gt;0,M$1-A28," ")</f>
        <v>-228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n">
        <f aca="false">IF((E28="a"),H28," ")</f>
        <v>1000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162</v>
      </c>
    </row>
    <row r="29" customFormat="false" ht="12" hidden="false" customHeight="false" outlineLevel="0" collapsed="false">
      <c r="A29" s="28" t="n">
        <v>46525</v>
      </c>
      <c r="B29" s="2" t="s">
        <v>188</v>
      </c>
      <c r="D29" s="2" t="s">
        <v>240</v>
      </c>
      <c r="E29" s="2" t="s">
        <v>112</v>
      </c>
      <c r="F29" s="30" t="n">
        <v>120</v>
      </c>
      <c r="G29" s="6" t="n">
        <f aca="false">IF(F29&lt;&gt;0,F29*G$2/(100+G$2)," ")</f>
        <v>20</v>
      </c>
      <c r="H29" s="6" t="n">
        <f aca="false">IF((F29&lt;&gt;0),F29-G29," ")</f>
        <v>100</v>
      </c>
      <c r="I29" s="5"/>
      <c r="L29" s="7" t="n">
        <f aca="false">IF(F29&lt;&gt;0,F29-K29," ")</f>
        <v>120</v>
      </c>
      <c r="M29" s="8" t="n">
        <f aca="false">IF((F29-K29)&lt;&gt;0,M$1-A29," ")</f>
        <v>-231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100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46525</v>
      </c>
      <c r="B30" s="2" t="s">
        <v>134</v>
      </c>
      <c r="D30" s="2" t="s">
        <v>105</v>
      </c>
      <c r="E30" s="2" t="s">
        <v>106</v>
      </c>
      <c r="F30" s="30" t="n">
        <v>96</v>
      </c>
      <c r="G30" s="6" t="n">
        <f aca="false">IF(F30&lt;&gt;0,F30*G$2/(100+G$2)," ")</f>
        <v>16</v>
      </c>
      <c r="H30" s="6" t="n">
        <f aca="false">IF((F30&lt;&gt;0),F30-G30," ")</f>
        <v>80</v>
      </c>
      <c r="I30" s="5"/>
      <c r="L30" s="7" t="n">
        <f aca="false">IF(F30&lt;&gt;0,F30-K30," ")</f>
        <v>96</v>
      </c>
      <c r="M30" s="8" t="n">
        <f aca="false">IF((F30-K30)&lt;&gt;0,M$1-A30," ")</f>
        <v>-231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n">
        <f aca="false">IF((E30="v"),H30," ")</f>
        <v>80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107</v>
      </c>
    </row>
    <row r="31" customFormat="false" ht="12" hidden="false" customHeight="false" outlineLevel="0" collapsed="false">
      <c r="A31" s="28" t="n">
        <v>46527</v>
      </c>
      <c r="B31" s="2" t="s">
        <v>135</v>
      </c>
      <c r="D31" s="2" t="s">
        <v>136</v>
      </c>
      <c r="E31" s="2" t="s">
        <v>80</v>
      </c>
      <c r="F31" s="30" t="n">
        <v>60</v>
      </c>
      <c r="G31" s="6" t="n">
        <f aca="false">IF(F31&lt;&gt;0,F31*G$2/(100+G$2)," ")</f>
        <v>10</v>
      </c>
      <c r="H31" s="6" t="n">
        <f aca="false">IF((F31&lt;&gt;0),F31-G31," ")</f>
        <v>50</v>
      </c>
      <c r="I31" s="5"/>
      <c r="L31" s="7" t="n">
        <f aca="false">IF(F31&lt;&gt;0,F31-K31," ")</f>
        <v>60</v>
      </c>
      <c r="M31" s="8" t="n">
        <f aca="false">IF((F31-K31)&lt;&gt;0,M$1-A31," ")</f>
        <v>-233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n">
        <f aca="false">IF((E31="g"),H31," ")</f>
        <v>50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81</v>
      </c>
    </row>
    <row r="32" customFormat="false" ht="12" hidden="false" customHeight="false" outlineLevel="0" collapsed="false">
      <c r="A32" s="28" t="n">
        <v>46527</v>
      </c>
      <c r="B32" s="2" t="s">
        <v>137</v>
      </c>
      <c r="D32" s="2" t="s">
        <v>138</v>
      </c>
      <c r="E32" s="2" t="s">
        <v>139</v>
      </c>
      <c r="F32" s="30" t="n">
        <v>96</v>
      </c>
      <c r="G32" s="6" t="n">
        <f aca="false">IF(F32&lt;&gt;0,F32*G$2/(100+G$2)," ")</f>
        <v>16</v>
      </c>
      <c r="H32" s="6" t="n">
        <f aca="false">IF((F32&lt;&gt;0),F32-G32," ")</f>
        <v>80</v>
      </c>
      <c r="I32" s="5"/>
      <c r="L32" s="7" t="n">
        <f aca="false">IF(F32&lt;&gt;0,F32-K32," ")</f>
        <v>96</v>
      </c>
      <c r="M32" s="8" t="n">
        <f aca="false">IF((F32-K32)&lt;&gt;0,M$1-A32," ")</f>
        <v>-233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80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140</v>
      </c>
    </row>
    <row r="33" customFormat="false" ht="12" hidden="false" customHeight="false" outlineLevel="0" collapsed="false">
      <c r="A33" s="28" t="n">
        <v>46528</v>
      </c>
      <c r="B33" s="2" t="s">
        <v>141</v>
      </c>
      <c r="D33" s="2" t="s">
        <v>142</v>
      </c>
      <c r="E33" s="2" t="s">
        <v>112</v>
      </c>
      <c r="F33" s="30" t="n">
        <v>8</v>
      </c>
      <c r="G33" s="6" t="n">
        <f aca="false">IF(F33&lt;&gt;0,F33*G$2/(100+G$2)," ")</f>
        <v>1.33333333333333</v>
      </c>
      <c r="H33" s="6" t="n">
        <f aca="false">IF((F33&lt;&gt;0),F33-G33," ")</f>
        <v>6.66666666666667</v>
      </c>
      <c r="I33" s="5"/>
      <c r="L33" s="7" t="n">
        <f aca="false">IF(F33&lt;&gt;0,F33-K33," ")</f>
        <v>8</v>
      </c>
      <c r="M33" s="8" t="n">
        <f aca="false">IF((F33-K33)&lt;&gt;0,M$1-A33," ")</f>
        <v>-234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6.66666666666667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113</v>
      </c>
    </row>
    <row r="34" customFormat="false" ht="12" hidden="false" customHeight="false" outlineLevel="0" collapsed="false">
      <c r="A34" s="28" t="n">
        <v>46529</v>
      </c>
      <c r="B34" s="2" t="s">
        <v>143</v>
      </c>
      <c r="D34" s="2" t="s">
        <v>144</v>
      </c>
      <c r="E34" s="2" t="s">
        <v>100</v>
      </c>
      <c r="F34" s="30" t="n">
        <v>18</v>
      </c>
      <c r="G34" s="6" t="n">
        <f aca="false">IF(F34&lt;&gt;0,F34*G$2/(100+G$2)," ")</f>
        <v>3</v>
      </c>
      <c r="H34" s="6" t="n">
        <f aca="false">IF((F34&lt;&gt;0),F34-G34," ")</f>
        <v>15</v>
      </c>
      <c r="I34" s="5"/>
      <c r="L34" s="7" t="n">
        <f aca="false">IF(F34&lt;&gt;0,F34-K34," ")</f>
        <v>18</v>
      </c>
      <c r="M34" s="8" t="n">
        <f aca="false">IF((F34-K34)&lt;&gt;0,M$1-A34," ")</f>
        <v>-235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46532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-238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46532</v>
      </c>
      <c r="B36" s="2" t="s">
        <v>147</v>
      </c>
      <c r="D36" s="2" t="s">
        <v>241</v>
      </c>
      <c r="E36" s="2" t="s">
        <v>106</v>
      </c>
      <c r="F36" s="30" t="n">
        <v>42.75</v>
      </c>
      <c r="G36" s="6" t="n">
        <f aca="false">IF(F36&lt;&gt;0,F36*G$2/(100+G$2)," ")</f>
        <v>7.125</v>
      </c>
      <c r="H36" s="6" t="n">
        <f aca="false">IF((F36&lt;&gt;0),F36-G36," ")</f>
        <v>35.625</v>
      </c>
      <c r="I36" s="5"/>
      <c r="L36" s="7" t="n">
        <f aca="false">IF(F36&lt;&gt;0,F36-K36," ")</f>
        <v>42.75</v>
      </c>
      <c r="M36" s="8" t="n">
        <f aca="false">IF((F36-K36)&lt;&gt;0,M$1-A36," ")</f>
        <v>-238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35.625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46532</v>
      </c>
      <c r="B37" s="2" t="s">
        <v>242</v>
      </c>
      <c r="C37" s="3" t="s">
        <v>243</v>
      </c>
      <c r="D37" s="2" t="s">
        <v>244</v>
      </c>
      <c r="E37" s="2" t="s">
        <v>168</v>
      </c>
      <c r="F37" s="30" t="n">
        <v>36000</v>
      </c>
      <c r="G37" s="6" t="n">
        <f aca="false">IF(F37&lt;&gt;0,F37*G$2/(100+G$2)," ")</f>
        <v>6000</v>
      </c>
      <c r="H37" s="6" t="n">
        <f aca="false">IF((F37&lt;&gt;0),F37-G37," ")</f>
        <v>30000</v>
      </c>
      <c r="I37" s="5"/>
      <c r="L37" s="7" t="n">
        <f aca="false">IF(F37&lt;&gt;0,F37-K37," ")</f>
        <v>36000</v>
      </c>
      <c r="M37" s="8" t="n">
        <f aca="false">IF((F37-K37)&lt;&gt;0,M$1-A37," ")</f>
        <v>-238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n">
        <f aca="false">IF((E37="fa"),H37," ")</f>
        <v>30000</v>
      </c>
      <c r="AJ37" s="17" t="str">
        <f aca="false">IF((E37="e"),H37," ")</f>
        <v> </v>
      </c>
      <c r="BZ37" s="2" t="s">
        <v>169</v>
      </c>
    </row>
    <row r="38" customFormat="false" ht="12" hidden="false" customHeight="false" outlineLevel="0" collapsed="false">
      <c r="A38" s="28" t="n">
        <v>46535</v>
      </c>
      <c r="B38" s="2" t="s">
        <v>20</v>
      </c>
      <c r="D38" s="2" t="s">
        <v>149</v>
      </c>
      <c r="E38" s="2" t="s">
        <v>106</v>
      </c>
      <c r="F38" s="30" t="n">
        <v>120</v>
      </c>
      <c r="G38" s="6" t="n">
        <f aca="false">IF(F38&lt;&gt;0,F38*G$2/(100+G$2)," ")</f>
        <v>20</v>
      </c>
      <c r="H38" s="6" t="n">
        <f aca="false">IF((F38&lt;&gt;0),F38-G38," ")</f>
        <v>100</v>
      </c>
      <c r="I38" s="5"/>
      <c r="L38" s="7" t="n">
        <f aca="false">IF(F38&lt;&gt;0,F38-K38," ")</f>
        <v>120</v>
      </c>
      <c r="M38" s="8" t="n">
        <f aca="false">IF((F38-K38)&lt;&gt;0,M$1-A38," ")</f>
        <v>-241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n">
        <f aca="false">IF((E38="v"),H38," ")</f>
        <v>100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107</v>
      </c>
    </row>
    <row r="39" customFormat="false" ht="12" hidden="false" customHeight="false" outlineLevel="0" collapsed="false">
      <c r="A39" s="28" t="n">
        <v>46538</v>
      </c>
      <c r="B39" s="2" t="s">
        <v>16</v>
      </c>
      <c r="D39" s="2" t="s">
        <v>150</v>
      </c>
      <c r="E39" s="2" t="s">
        <v>151</v>
      </c>
      <c r="F39" s="30" t="n">
        <v>300</v>
      </c>
      <c r="G39" s="6" t="n">
        <f aca="false">IF(F39&lt;&gt;0,F39*G$2/(100+G$2)," ")</f>
        <v>50</v>
      </c>
      <c r="H39" s="6" t="n">
        <f aca="false">IF((F39&lt;&gt;0),F39-G39," ")</f>
        <v>250</v>
      </c>
      <c r="I39" s="5"/>
      <c r="L39" s="7" t="n">
        <f aca="false">IF(F39&lt;&gt;0,F39-K39," ")</f>
        <v>300</v>
      </c>
      <c r="M39" s="8" t="n">
        <f aca="false">IF((F39-K39)&lt;&gt;0,M$1-A39," ")</f>
        <v>-244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n">
        <f aca="false">IF((E39="l"),H39," ")</f>
        <v>250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  <c r="BZ39" s="2" t="s">
        <v>152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6918</v>
      </c>
      <c r="G1" s="12" t="n">
        <f aca="false">SUM(G5:G300)</f>
        <v>1153</v>
      </c>
      <c r="H1" s="12" t="n">
        <f aca="false">SUM(H5:H300)</f>
        <v>5765</v>
      </c>
      <c r="I1" s="13"/>
      <c r="J1" s="14" t="s">
        <v>2</v>
      </c>
      <c r="K1" s="15" t="n">
        <f aca="false">SUM(K5:K300)</f>
        <v>0</v>
      </c>
      <c r="L1" s="15" t="n">
        <f aca="false">SUM(L5:L300)</f>
        <v>6918</v>
      </c>
      <c r="M1" s="16" t="n">
        <f aca="true">TODAY()</f>
        <v>46294</v>
      </c>
      <c r="N1" s="13"/>
      <c r="O1" s="12" t="n">
        <f aca="false">SUM(O5:O300)</f>
        <v>700</v>
      </c>
      <c r="P1" s="12" t="n">
        <f aca="false">SUM(P5:P300)</f>
        <v>2500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200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137.5</v>
      </c>
      <c r="AB1" s="12" t="n">
        <f aca="false">SUM(AB5:AB300)</f>
        <v>136.666666666667</v>
      </c>
      <c r="AC1" s="12" t="n">
        <f aca="false">SUM(AC5:AC300)</f>
        <v>537.5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600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IF([2]Jun!$G$4&gt;0,0,[2]Jun!$G$2)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46539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-245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46539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-245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46539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-245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46539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-245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46539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-245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46539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-245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46541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-247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46541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-247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46543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-249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46543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-249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46544</v>
      </c>
      <c r="B15" s="2" t="s">
        <v>153</v>
      </c>
      <c r="D15" s="2" t="s">
        <v>154</v>
      </c>
      <c r="E15" s="2" t="s">
        <v>112</v>
      </c>
      <c r="F15" s="30" t="n">
        <v>72</v>
      </c>
      <c r="G15" s="6" t="n">
        <f aca="false">IF(F15&lt;&gt;0,F15*G$2/(100+G$2)," ")</f>
        <v>12</v>
      </c>
      <c r="H15" s="6" t="n">
        <f aca="false">IF((F15&lt;&gt;0),F15-G15," ")</f>
        <v>60</v>
      </c>
      <c r="I15" s="5"/>
      <c r="L15" s="7" t="n">
        <f aca="false">IF(F15&lt;&gt;0,F15-K15," ")</f>
        <v>72</v>
      </c>
      <c r="M15" s="8" t="n">
        <f aca="false">IF((F15-K15)&lt;&gt;0,M$1-A15," ")</f>
        <v>-250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60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46546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-252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46548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-254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46550</v>
      </c>
      <c r="B18" s="2" t="s">
        <v>124</v>
      </c>
      <c r="D18" s="2" t="s">
        <v>125</v>
      </c>
      <c r="E18" s="2" t="s">
        <v>106</v>
      </c>
      <c r="F18" s="30" t="n">
        <v>18</v>
      </c>
      <c r="G18" s="6" t="n">
        <f aca="false">IF(F18&lt;&gt;0,F18*G$2/(100+G$2)," ")</f>
        <v>3</v>
      </c>
      <c r="H18" s="6" t="n">
        <f aca="false">IF((F18&lt;&gt;0),F18-G18," ")</f>
        <v>15</v>
      </c>
      <c r="I18" s="5"/>
      <c r="L18" s="7" t="n">
        <f aca="false">IF(F18&lt;&gt;0,F18-K18," ")</f>
        <v>18</v>
      </c>
      <c r="M18" s="8" t="n">
        <f aca="false">IF((F18-K18)&lt;&gt;0,M$1-A18," ")</f>
        <v>-256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n">
        <f aca="false">IF((E18="v"),H18," ")</f>
        <v>15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107</v>
      </c>
    </row>
    <row r="19" customFormat="false" ht="12" hidden="false" customHeight="false" outlineLevel="0" collapsed="false">
      <c r="A19" s="28" t="n">
        <v>46552</v>
      </c>
      <c r="B19" s="2" t="s">
        <v>128</v>
      </c>
      <c r="D19" s="2" t="s">
        <v>129</v>
      </c>
      <c r="E19" s="2" t="s">
        <v>112</v>
      </c>
      <c r="F19" s="30" t="n">
        <v>24</v>
      </c>
      <c r="G19" s="6" t="n">
        <f aca="false">IF(F19&lt;&gt;0,F19*G$2/(100+G$2)," ")</f>
        <v>4</v>
      </c>
      <c r="H19" s="6" t="n">
        <f aca="false">IF((F19&lt;&gt;0),F19-G19," ")</f>
        <v>20</v>
      </c>
      <c r="I19" s="5"/>
      <c r="L19" s="7" t="n">
        <f aca="false">IF(F19&lt;&gt;0,F19-K19," ")</f>
        <v>24</v>
      </c>
      <c r="M19" s="8" t="n">
        <f aca="false">IF((F19-K19)&lt;&gt;0,M$1-A19," ")</f>
        <v>-258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20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113</v>
      </c>
    </row>
    <row r="20" customFormat="false" ht="12" hidden="false" customHeight="false" outlineLevel="0" collapsed="false">
      <c r="A20" s="28" t="n">
        <v>46552</v>
      </c>
      <c r="B20" s="2" t="s">
        <v>130</v>
      </c>
      <c r="D20" s="2" t="s">
        <v>131</v>
      </c>
      <c r="E20" s="2" t="s">
        <v>112</v>
      </c>
      <c r="F20" s="30" t="n">
        <v>12</v>
      </c>
      <c r="G20" s="6" t="n">
        <f aca="false">IF(F20&lt;&gt;0,F20*G$2/(100+G$2)," ")</f>
        <v>2</v>
      </c>
      <c r="H20" s="6" t="n">
        <f aca="false">IF((F20&lt;&gt;0),F20-G20," ")</f>
        <v>10</v>
      </c>
      <c r="I20" s="5"/>
      <c r="L20" s="7" t="n">
        <f aca="false">IF(F20&lt;&gt;0,F20-K20," ")</f>
        <v>12</v>
      </c>
      <c r="M20" s="8" t="n">
        <f aca="false">IF((F20-K20)&lt;&gt;0,M$1-A20," ")</f>
        <v>-258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46553</v>
      </c>
      <c r="B21" s="2" t="s">
        <v>20</v>
      </c>
      <c r="D21" s="2" t="s">
        <v>105</v>
      </c>
      <c r="E21" s="2" t="s">
        <v>106</v>
      </c>
      <c r="F21" s="30" t="n">
        <v>150</v>
      </c>
      <c r="G21" s="6" t="n">
        <f aca="false">IF(F21&lt;&gt;0,F21*G$2/(100+G$2)," ")</f>
        <v>25</v>
      </c>
      <c r="H21" s="6" t="n">
        <f aca="false">IF((F21&lt;&gt;0),F21-G21," ")</f>
        <v>125</v>
      </c>
      <c r="I21" s="5"/>
      <c r="L21" s="7" t="n">
        <f aca="false">IF(F21&lt;&gt;0,F21-K21," ")</f>
        <v>150</v>
      </c>
      <c r="M21" s="8" t="n">
        <f aca="false">IF((F21-K21)&lt;&gt;0,M$1-A21," ")</f>
        <v>-259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125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46553</v>
      </c>
      <c r="B22" s="2" t="s">
        <v>132</v>
      </c>
      <c r="D22" s="2" t="s">
        <v>133</v>
      </c>
      <c r="E22" s="2" t="s">
        <v>80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-259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10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81</v>
      </c>
    </row>
    <row r="23" customFormat="false" ht="12" hidden="false" customHeight="false" outlineLevel="0" collapsed="false">
      <c r="A23" s="28" t="n">
        <v>46553</v>
      </c>
      <c r="B23" s="2" t="s">
        <v>163</v>
      </c>
      <c r="D23" s="2" t="s">
        <v>164</v>
      </c>
      <c r="E23" s="2" t="s">
        <v>122</v>
      </c>
      <c r="F23" s="30" t="n">
        <v>540</v>
      </c>
      <c r="G23" s="6" t="n">
        <f aca="false">IF(F23&lt;&gt;0,F23*G$2/(100+G$2)," ")</f>
        <v>90</v>
      </c>
      <c r="H23" s="6" t="n">
        <f aca="false">IF((F23&lt;&gt;0),F23-G23," ")</f>
        <v>450</v>
      </c>
      <c r="I23" s="5"/>
      <c r="L23" s="7" t="n">
        <f aca="false">IF(F23&lt;&gt;0,F23-K23," ")</f>
        <v>540</v>
      </c>
      <c r="M23" s="8" t="n">
        <f aca="false">IF((F23-K23)&lt;&gt;0,M$1-A23," ")</f>
        <v>-259</v>
      </c>
      <c r="N23" s="5"/>
      <c r="O23" s="17" t="n">
        <f aca="false">IF((E23="s"),H23," ")</f>
        <v>450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123</v>
      </c>
    </row>
    <row r="24" customFormat="false" ht="12" hidden="false" customHeight="false" outlineLevel="0" collapsed="false">
      <c r="A24" s="28" t="n">
        <v>46553</v>
      </c>
      <c r="B24" s="2" t="s">
        <v>183</v>
      </c>
      <c r="C24" s="3" t="s">
        <v>245</v>
      </c>
      <c r="D24" s="2" t="s">
        <v>246</v>
      </c>
      <c r="E24" s="2" t="s">
        <v>186</v>
      </c>
      <c r="F24" s="30" t="n">
        <v>3000</v>
      </c>
      <c r="G24" s="6" t="n">
        <f aca="false">IF(F24&lt;&gt;0,F24*G$2/(100+G$2)," ")</f>
        <v>500</v>
      </c>
      <c r="H24" s="6" t="n">
        <f aca="false">IF((F24&lt;&gt;0),F24-G24," ")</f>
        <v>2500</v>
      </c>
      <c r="I24" s="5"/>
      <c r="L24" s="7" t="n">
        <f aca="false">IF(F24&lt;&gt;0,F24-K24," ")</f>
        <v>3000</v>
      </c>
      <c r="M24" s="8" t="n">
        <f aca="false">IF((F24-K24)&lt;&gt;0,M$1-A24," ")</f>
        <v>-259</v>
      </c>
      <c r="N24" s="5"/>
      <c r="O24" s="17" t="str">
        <f aca="false">IF((E24="s"),H24," ")</f>
        <v> </v>
      </c>
      <c r="P24" s="17" t="n">
        <f aca="false">IF((E24="c"),H24," ")</f>
        <v>2500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AK24" s="17" t="n">
        <v>600</v>
      </c>
      <c r="BZ24" s="2" t="s">
        <v>187</v>
      </c>
    </row>
    <row r="25" customFormat="false" ht="12" hidden="false" customHeight="false" outlineLevel="0" collapsed="false">
      <c r="A25" s="28" t="n">
        <v>46554</v>
      </c>
      <c r="B25" s="2" t="s">
        <v>170</v>
      </c>
      <c r="D25" s="2" t="s">
        <v>171</v>
      </c>
      <c r="E25" s="2" t="s">
        <v>80</v>
      </c>
      <c r="F25" s="30" t="n">
        <v>30</v>
      </c>
      <c r="G25" s="6" t="n">
        <f aca="false">IF(F25&lt;&gt;0,F25*G$2/(100+G$2)," ")</f>
        <v>5</v>
      </c>
      <c r="H25" s="6" t="n">
        <f aca="false">IF((F25&lt;&gt;0),F25-G25," ")</f>
        <v>25</v>
      </c>
      <c r="I25" s="5"/>
      <c r="L25" s="7" t="n">
        <f aca="false">IF(F25&lt;&gt;0,F25-K25," ")</f>
        <v>30</v>
      </c>
      <c r="M25" s="8" t="n">
        <f aca="false">IF((F25-K25)&lt;&gt;0,M$1-A25," ")</f>
        <v>-260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25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46556</v>
      </c>
      <c r="B26" s="2" t="s">
        <v>134</v>
      </c>
      <c r="D26" s="2" t="s">
        <v>105</v>
      </c>
      <c r="E26" s="2" t="s">
        <v>106</v>
      </c>
      <c r="F26" s="30" t="n">
        <v>96</v>
      </c>
      <c r="G26" s="6" t="n">
        <f aca="false">IF(F26&lt;&gt;0,F26*G$2/(100+G$2)," ")</f>
        <v>16</v>
      </c>
      <c r="H26" s="6" t="n">
        <f aca="false">IF((F26&lt;&gt;0),F26-G26," ")</f>
        <v>80</v>
      </c>
      <c r="I26" s="5"/>
      <c r="L26" s="7" t="n">
        <f aca="false">IF(F26&lt;&gt;0,F26-K26," ")</f>
        <v>96</v>
      </c>
      <c r="M26" s="8" t="n">
        <f aca="false">IF((F26-K26)&lt;&gt;0,M$1-A26," ")</f>
        <v>-262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n">
        <f aca="false">IF((E26="v"),H26," ")</f>
        <v>80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107</v>
      </c>
    </row>
    <row r="27" customFormat="false" ht="12" hidden="false" customHeight="false" outlineLevel="0" collapsed="false">
      <c r="A27" s="28" t="n">
        <v>46558</v>
      </c>
      <c r="B27" s="2" t="s">
        <v>135</v>
      </c>
      <c r="D27" s="2" t="s">
        <v>136</v>
      </c>
      <c r="E27" s="2" t="s">
        <v>80</v>
      </c>
      <c r="F27" s="30" t="n">
        <v>60</v>
      </c>
      <c r="G27" s="6" t="n">
        <f aca="false">IF(F27&lt;&gt;0,F27*G$2/(100+G$2)," ")</f>
        <v>10</v>
      </c>
      <c r="H27" s="6" t="n">
        <f aca="false">IF((F27&lt;&gt;0),F27-G27," ")</f>
        <v>50</v>
      </c>
      <c r="I27" s="5"/>
      <c r="L27" s="7" t="n">
        <f aca="false">IF(F27&lt;&gt;0,F27-K27," ")</f>
        <v>60</v>
      </c>
      <c r="M27" s="8" t="n">
        <f aca="false">IF((F27-K27)&lt;&gt;0,M$1-A27," ")</f>
        <v>-264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50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46558</v>
      </c>
      <c r="B28" s="2" t="s">
        <v>172</v>
      </c>
      <c r="D28" s="2" t="s">
        <v>173</v>
      </c>
      <c r="E28" s="2" t="s">
        <v>174</v>
      </c>
      <c r="F28" s="30" t="n">
        <v>240</v>
      </c>
      <c r="G28" s="6" t="n">
        <f aca="false">IF(F28&lt;&gt;0,F28*G$2/(100+G$2)," ")</f>
        <v>40</v>
      </c>
      <c r="H28" s="6" t="n">
        <f aca="false">IF((F28&lt;&gt;0),F28-G28," ")</f>
        <v>200</v>
      </c>
      <c r="I28" s="5"/>
      <c r="L28" s="7" t="n">
        <f aca="false">IF(F28&lt;&gt;0,F28-K28," ")</f>
        <v>240</v>
      </c>
      <c r="M28" s="8" t="n">
        <f aca="false">IF((F28-K28)&lt;&gt;0,M$1-A28," ")</f>
        <v>-264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n">
        <f aca="false">IF((E28="t"),H28," ")</f>
        <v>200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175</v>
      </c>
    </row>
    <row r="29" customFormat="false" ht="12" hidden="false" customHeight="false" outlineLevel="0" collapsed="false">
      <c r="A29" s="28" t="n">
        <v>46558</v>
      </c>
      <c r="B29" s="2" t="s">
        <v>176</v>
      </c>
      <c r="D29" s="2" t="s">
        <v>177</v>
      </c>
      <c r="E29" s="2" t="s">
        <v>122</v>
      </c>
      <c r="F29" s="30" t="n">
        <v>300</v>
      </c>
      <c r="G29" s="6" t="n">
        <f aca="false">IF(F29&lt;&gt;0,F29*G$2/(100+G$2)," ")</f>
        <v>50</v>
      </c>
      <c r="H29" s="6" t="n">
        <f aca="false">IF((F29&lt;&gt;0),F29-G29," ")</f>
        <v>250</v>
      </c>
      <c r="I29" s="5"/>
      <c r="L29" s="7" t="n">
        <f aca="false">IF(F29&lt;&gt;0,F29-K29," ")</f>
        <v>300</v>
      </c>
      <c r="M29" s="8" t="n">
        <f aca="false">IF((F29-K29)&lt;&gt;0,M$1-A29," ")</f>
        <v>-264</v>
      </c>
      <c r="N29" s="5"/>
      <c r="O29" s="17" t="n">
        <f aca="false">IF((E29="s"),H29," ")</f>
        <v>250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123</v>
      </c>
    </row>
    <row r="30" customFormat="false" ht="12" hidden="false" customHeight="false" outlineLevel="0" collapsed="false">
      <c r="A30" s="28" t="n">
        <v>46559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-265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46560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-266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46563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-269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46563</v>
      </c>
      <c r="B33" s="2" t="s">
        <v>147</v>
      </c>
      <c r="D33" s="2" t="s">
        <v>196</v>
      </c>
      <c r="E33" s="2" t="s">
        <v>106</v>
      </c>
      <c r="F33" s="30" t="n">
        <v>81</v>
      </c>
      <c r="G33" s="6" t="n">
        <f aca="false">IF(F33&lt;&gt;0,F33*G$2/(100+G$2)," ")</f>
        <v>13.5</v>
      </c>
      <c r="H33" s="6" t="n">
        <f aca="false">IF((F33&lt;&gt;0),F33-G33," ")</f>
        <v>67.5</v>
      </c>
      <c r="I33" s="5"/>
      <c r="L33" s="7" t="n">
        <f aca="false">IF(F33&lt;&gt;0,F33-K33," ")</f>
        <v>81</v>
      </c>
      <c r="M33" s="8" t="n">
        <f aca="false">IF((F33-K33)&lt;&gt;0,M$1-A33," ")</f>
        <v>-269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67.5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46566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-272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46568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-274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9451.5</v>
      </c>
      <c r="G1" s="12" t="n">
        <f aca="false">SUM(G5:G300)</f>
        <v>1575.25</v>
      </c>
      <c r="H1" s="12" t="n">
        <f aca="false">SUM(H5:H300)</f>
        <v>7876.25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9451.5</v>
      </c>
      <c r="M1" s="16" t="n">
        <f aca="true">TODAY()</f>
        <v>46294</v>
      </c>
      <c r="N1" s="13"/>
      <c r="O1" s="12" t="n">
        <f aca="false">SUM(O5:O300)</f>
        <v>400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4166.66666666667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350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115.833333333333</v>
      </c>
      <c r="Z1" s="12" t="n">
        <f aca="false">SUM(Z5:Z300)</f>
        <v>0</v>
      </c>
      <c r="AA1" s="12" t="n">
        <f aca="false">SUM(AA5:AA300)</f>
        <v>212.5</v>
      </c>
      <c r="AB1" s="12" t="n">
        <f aca="false">SUM(AB5:AB300)</f>
        <v>76.6666666666667</v>
      </c>
      <c r="AC1" s="12" t="n">
        <f aca="false">SUM(AC5:AC300)</f>
        <v>511.25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389.166666666667</v>
      </c>
      <c r="AG1" s="12" t="n">
        <f aca="false">SUM(AG5:AG300)</f>
        <v>416.666666666667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IF([2]Jul!$G$4&gt;0,0,[2]Jul!$G$2)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46569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-275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46569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-275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46569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-275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46569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-275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46569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-275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46569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-275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46571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-277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46571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-277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46573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-279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46573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-279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46573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-279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46576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-282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46578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-284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46578</v>
      </c>
      <c r="B18" s="2" t="s">
        <v>181</v>
      </c>
      <c r="D18" s="2" t="s">
        <v>182</v>
      </c>
      <c r="E18" s="2" t="s">
        <v>80</v>
      </c>
      <c r="F18" s="30" t="n">
        <v>120</v>
      </c>
      <c r="G18" s="6" t="n">
        <f aca="false">IF(F18&lt;&gt;0,F18*G$2/(100+G$2)," ")</f>
        <v>20</v>
      </c>
      <c r="H18" s="6" t="n">
        <f aca="false">IF((F18&lt;&gt;0),F18-G18," ")</f>
        <v>100</v>
      </c>
      <c r="I18" s="5"/>
      <c r="L18" s="7" t="n">
        <f aca="false">IF(F18&lt;&gt;0,F18-K18," ")</f>
        <v>120</v>
      </c>
      <c r="M18" s="8" t="n">
        <f aca="false">IF((F18-K18)&lt;&gt;0,M$1-A18," ")</f>
        <v>-284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100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81</v>
      </c>
    </row>
    <row r="19" customFormat="false" ht="12" hidden="false" customHeight="false" outlineLevel="0" collapsed="false">
      <c r="A19" s="28" t="n">
        <v>46580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-286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46582</v>
      </c>
      <c r="B20" s="2" t="s">
        <v>126</v>
      </c>
      <c r="D20" s="2" t="s">
        <v>127</v>
      </c>
      <c r="E20" s="2" t="s">
        <v>100</v>
      </c>
      <c r="F20" s="30" t="n">
        <v>24</v>
      </c>
      <c r="G20" s="6" t="n">
        <f aca="false">IF(F20&lt;&gt;0,F20*G$2/(100+G$2)," ")</f>
        <v>4</v>
      </c>
      <c r="H20" s="6" t="n">
        <f aca="false">IF((F20&lt;&gt;0),F20-G20," ")</f>
        <v>20</v>
      </c>
      <c r="I20" s="5"/>
      <c r="L20" s="7" t="n">
        <f aca="false">IF(F20&lt;&gt;0,F20-K20," ")</f>
        <v>24</v>
      </c>
      <c r="M20" s="8" t="n">
        <f aca="false">IF((F20-K20)&lt;&gt;0,M$1-A20," ")</f>
        <v>-288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20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46582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-288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46582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-288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46583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-289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46583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-289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46583</v>
      </c>
      <c r="B25" s="2" t="s">
        <v>247</v>
      </c>
      <c r="D25" s="2" t="s">
        <v>248</v>
      </c>
      <c r="E25" s="2" t="s">
        <v>249</v>
      </c>
      <c r="F25" s="30" t="n">
        <v>500</v>
      </c>
      <c r="G25" s="6" t="n">
        <f aca="false">IF(F25&lt;&gt;0,F25*G$2/(100+G$2)," ")</f>
        <v>83.3333333333333</v>
      </c>
      <c r="H25" s="6" t="n">
        <f aca="false">IF((F25&lt;&gt;0),F25-G25," ")</f>
        <v>416.666666666667</v>
      </c>
      <c r="I25" s="5"/>
      <c r="L25" s="7" t="n">
        <f aca="false">IF(F25&lt;&gt;0,F25-K25," ")</f>
        <v>500</v>
      </c>
      <c r="M25" s="8" t="n">
        <f aca="false">IF((F25-K25)&lt;&gt;0,M$1-A25," ")</f>
        <v>-289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n">
        <f aca="false">IF((E25="y"),H25," ")</f>
        <v>416.666666666667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250</v>
      </c>
    </row>
    <row r="26" customFormat="false" ht="12" hidden="false" customHeight="false" outlineLevel="0" collapsed="false">
      <c r="A26" s="28" t="n">
        <v>46586</v>
      </c>
      <c r="B26" s="2" t="s">
        <v>190</v>
      </c>
      <c r="D26" s="2" t="s">
        <v>191</v>
      </c>
      <c r="E26" s="2" t="s">
        <v>122</v>
      </c>
      <c r="F26" s="30" t="n">
        <v>480</v>
      </c>
      <c r="G26" s="6" t="n">
        <f aca="false">IF(F26&lt;&gt;0,F26*G$2/(100+G$2)," ")</f>
        <v>80</v>
      </c>
      <c r="H26" s="6" t="n">
        <f aca="false">IF((F26&lt;&gt;0),F26-G26," ")</f>
        <v>400</v>
      </c>
      <c r="I26" s="5"/>
      <c r="L26" s="7" t="n">
        <f aca="false">IF(F26&lt;&gt;0,F26-K26," ")</f>
        <v>480</v>
      </c>
      <c r="M26" s="8" t="n">
        <f aca="false">IF((F26-K26)&lt;&gt;0,M$1-A26," ")</f>
        <v>-292</v>
      </c>
      <c r="N26" s="5"/>
      <c r="O26" s="17" t="n">
        <f aca="false">IF((E26="s"),H26," ")</f>
        <v>400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46586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-292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46588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-294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46589</v>
      </c>
      <c r="B29" s="2" t="s">
        <v>141</v>
      </c>
      <c r="D29" s="2" t="s">
        <v>142</v>
      </c>
      <c r="E29" s="2" t="s">
        <v>112</v>
      </c>
      <c r="F29" s="30" t="n">
        <v>8</v>
      </c>
      <c r="G29" s="6" t="n">
        <f aca="false">IF(F29&lt;&gt;0,F29*G$2/(100+G$2)," ")</f>
        <v>1.33333333333333</v>
      </c>
      <c r="H29" s="6" t="n">
        <f aca="false">IF((F29&lt;&gt;0),F29-G29," ")</f>
        <v>6.66666666666667</v>
      </c>
      <c r="I29" s="5"/>
      <c r="L29" s="7" t="n">
        <f aca="false">IF(F29&lt;&gt;0,F29-K29," ")</f>
        <v>8</v>
      </c>
      <c r="M29" s="8" t="n">
        <f aca="false">IF((F29-K29)&lt;&gt;0,M$1-A29," ")</f>
        <v>-295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6.66666666666667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46590</v>
      </c>
      <c r="B30" s="2" t="s">
        <v>143</v>
      </c>
      <c r="D30" s="2" t="s">
        <v>144</v>
      </c>
      <c r="E30" s="2" t="s">
        <v>100</v>
      </c>
      <c r="F30" s="30" t="n">
        <v>18</v>
      </c>
      <c r="G30" s="6" t="n">
        <f aca="false">IF(F30&lt;&gt;0,F30*G$2/(100+G$2)," ")</f>
        <v>3</v>
      </c>
      <c r="H30" s="6" t="n">
        <f aca="false">IF((F30&lt;&gt;0),F30-G30," ")</f>
        <v>15</v>
      </c>
      <c r="I30" s="5"/>
      <c r="L30" s="7" t="n">
        <f aca="false">IF(F30&lt;&gt;0,F30-K30," ")</f>
        <v>18</v>
      </c>
      <c r="M30" s="8" t="n">
        <f aca="false">IF((F30-K30)&lt;&gt;0,M$1-A30," ")</f>
        <v>-296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15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101</v>
      </c>
    </row>
    <row r="31" customFormat="false" ht="12" hidden="false" customHeight="false" outlineLevel="0" collapsed="false">
      <c r="A31" s="28" t="n">
        <v>46593</v>
      </c>
      <c r="B31" s="2" t="s">
        <v>192</v>
      </c>
      <c r="D31" s="2" t="s">
        <v>193</v>
      </c>
      <c r="E31" s="2" t="s">
        <v>194</v>
      </c>
      <c r="F31" s="30" t="n">
        <v>420</v>
      </c>
      <c r="G31" s="6" t="n">
        <f aca="false">IF(F31&lt;&gt;0,F31*G$2/(100+G$2)," ")</f>
        <v>70</v>
      </c>
      <c r="H31" s="6" t="n">
        <f aca="false">IF((F31&lt;&gt;0),F31-G31," ")</f>
        <v>350</v>
      </c>
      <c r="I31" s="5"/>
      <c r="L31" s="7" t="n">
        <f aca="false">IF(F31&lt;&gt;0,F31-K31," ")</f>
        <v>420</v>
      </c>
      <c r="M31" s="8" t="n">
        <f aca="false">IF((F31-K31)&lt;&gt;0,M$1-A31," ")</f>
        <v>-299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n">
        <f aca="false">IF((E31="p"),H31," ")</f>
        <v>350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195</v>
      </c>
    </row>
    <row r="32" customFormat="false" ht="12" hidden="false" customHeight="false" outlineLevel="0" collapsed="false">
      <c r="A32" s="28" t="n">
        <v>46593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-299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46593</v>
      </c>
      <c r="B33" s="2" t="s">
        <v>147</v>
      </c>
      <c r="D33" s="2" t="s">
        <v>251</v>
      </c>
      <c r="E33" s="2" t="s">
        <v>106</v>
      </c>
      <c r="F33" s="30" t="n">
        <v>49.5</v>
      </c>
      <c r="G33" s="6" t="n">
        <f aca="false">IF(F33&lt;&gt;0,F33*G$2/(100+G$2)," ")</f>
        <v>8.25</v>
      </c>
      <c r="H33" s="6" t="n">
        <f aca="false">IF((F33&lt;&gt;0),F33-G33," ")</f>
        <v>41.25</v>
      </c>
      <c r="I33" s="5"/>
      <c r="L33" s="7" t="n">
        <f aca="false">IF(F33&lt;&gt;0,F33-K33," ")</f>
        <v>49.5</v>
      </c>
      <c r="M33" s="8" t="n">
        <f aca="false">IF((F33-K33)&lt;&gt;0,M$1-A33," ")</f>
        <v>-299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41.25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46596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-302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46599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-305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 t="n">
        <v>46599</v>
      </c>
      <c r="B36" s="2" t="s">
        <v>252</v>
      </c>
      <c r="D36" s="2" t="s">
        <v>253</v>
      </c>
      <c r="E36" s="2" t="s">
        <v>254</v>
      </c>
      <c r="F36" s="30" t="n">
        <v>5000</v>
      </c>
      <c r="G36" s="6" t="n">
        <f aca="false">IF(F36&lt;&gt;0,F36*G$2/(100+G$2)," ")</f>
        <v>833.333333333333</v>
      </c>
      <c r="H36" s="6" t="n">
        <f aca="false">IF((F36&lt;&gt;0),F36-G36," ")</f>
        <v>4166.66666666667</v>
      </c>
      <c r="I36" s="5"/>
      <c r="L36" s="7" t="n">
        <f aca="false">IF(F36&lt;&gt;0,F36-K36," ")</f>
        <v>5000</v>
      </c>
      <c r="M36" s="8" t="n">
        <f aca="false">IF((F36-K36)&lt;&gt;0,M$1-A36," ")</f>
        <v>-305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n">
        <f aca="false">IF((E36="d"),H36," ")</f>
        <v>4166.66666666667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255</v>
      </c>
    </row>
    <row r="37" customFormat="false" ht="12" hidden="false" customHeight="false" outlineLevel="0" collapsed="false">
      <c r="A37" s="28" t="n">
        <v>46599</v>
      </c>
      <c r="B37" s="2" t="s">
        <v>197</v>
      </c>
      <c r="C37" s="3" t="s">
        <v>256</v>
      </c>
      <c r="D37" s="2" t="s">
        <v>199</v>
      </c>
      <c r="E37" s="2" t="s">
        <v>151</v>
      </c>
      <c r="F37" s="30" t="n">
        <v>167</v>
      </c>
      <c r="G37" s="6" t="n">
        <f aca="false">IF(F37&lt;&gt;0,F37*G$2/(100+G$2)," ")</f>
        <v>27.8333333333333</v>
      </c>
      <c r="H37" s="6" t="n">
        <f aca="false">IF((F37&lt;&gt;0),F37-G37," ")</f>
        <v>139.166666666667</v>
      </c>
      <c r="I37" s="5"/>
      <c r="L37" s="7" t="n">
        <f aca="false">IF(F37&lt;&gt;0,F37-K37," ")</f>
        <v>167</v>
      </c>
      <c r="M37" s="8" t="n">
        <f aca="false">IF((F37-K37)&lt;&gt;0,M$1-A37," ")</f>
        <v>-305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139.166666666667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99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4511.25</v>
      </c>
      <c r="G1" s="12" t="n">
        <f aca="false">SUM(G5:G300)</f>
        <v>751.875</v>
      </c>
      <c r="H1" s="12" t="n">
        <f aca="false">SUM(H5:H300)</f>
        <v>3759.375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4511.25</v>
      </c>
      <c r="M1" s="16" t="n">
        <f aca="true">TODAY()</f>
        <v>46294</v>
      </c>
      <c r="N1" s="13"/>
      <c r="O1" s="12" t="n">
        <f aca="false">SUM(O5:O300)</f>
        <v>500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150</v>
      </c>
      <c r="W1" s="12" t="n">
        <f aca="false">SUM(W5:W300)</f>
        <v>150</v>
      </c>
      <c r="X1" s="12" t="n">
        <f aca="false">SUM(X5:X300)</f>
        <v>120</v>
      </c>
      <c r="Y1" s="12" t="n">
        <f aca="false">SUM(Y5:Y300)</f>
        <v>95.8333333333333</v>
      </c>
      <c r="Z1" s="12" t="n">
        <f aca="false">SUM(Z5:Z300)</f>
        <v>400</v>
      </c>
      <c r="AA1" s="12" t="n">
        <f aca="false">SUM(AA5:AA300)</f>
        <v>127.5</v>
      </c>
      <c r="AB1" s="12" t="n">
        <f aca="false">SUM(AB5:AB300)</f>
        <v>76.6666666666667</v>
      </c>
      <c r="AC1" s="12" t="n">
        <f aca="false">SUM(AC5:AC300)</f>
        <v>531.875</v>
      </c>
      <c r="AD1" s="12" t="n">
        <f aca="false">SUM(AD5:AD300)</f>
        <v>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IF([2]Aug!$G$4&gt;0,0,[2]Aug!$G$2)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46600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-306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46600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-306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46600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-306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46600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-306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46600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-306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46600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-306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46602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-308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46602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-308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46604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-310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46604</v>
      </c>
      <c r="B14" s="2" t="s">
        <v>208</v>
      </c>
      <c r="D14" s="2" t="s">
        <v>209</v>
      </c>
      <c r="E14" s="2" t="s">
        <v>161</v>
      </c>
      <c r="F14" s="30" t="n">
        <v>480</v>
      </c>
      <c r="G14" s="6" t="n">
        <f aca="false">IF(F14&lt;&gt;0,F14*G$2/(100+G$2)," ")</f>
        <v>80</v>
      </c>
      <c r="H14" s="6" t="n">
        <f aca="false">IF((F14&lt;&gt;0),F14-G14," ")</f>
        <v>400</v>
      </c>
      <c r="I14" s="5"/>
      <c r="L14" s="7" t="n">
        <f aca="false">IF(F14&lt;&gt;0,F14-K14," ")</f>
        <v>480</v>
      </c>
      <c r="M14" s="8" t="n">
        <f aca="false">IF((F14-K14)&lt;&gt;0,M$1-A14," ")</f>
        <v>-310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n">
        <f aca="false">IF((E14="a"),H14," ")</f>
        <v>400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162</v>
      </c>
    </row>
    <row r="15" customFormat="false" ht="12" hidden="false" customHeight="false" outlineLevel="0" collapsed="false">
      <c r="A15" s="28" t="n">
        <v>46604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-310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46607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-313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46607</v>
      </c>
      <c r="B17" s="2" t="s">
        <v>155</v>
      </c>
      <c r="D17" s="2" t="s">
        <v>156</v>
      </c>
      <c r="E17" s="2" t="s">
        <v>157</v>
      </c>
      <c r="F17" s="30" t="n">
        <v>180</v>
      </c>
      <c r="G17" s="6" t="n">
        <f aca="false">IF(F17&lt;&gt;0,F17*G$2/(100+G$2)," ")</f>
        <v>30</v>
      </c>
      <c r="H17" s="6" t="n">
        <f aca="false">IF((F17&lt;&gt;0),F17-G17," ")</f>
        <v>150</v>
      </c>
      <c r="I17" s="5"/>
      <c r="L17" s="7" t="n">
        <f aca="false">IF(F17&lt;&gt;0,F17-K17," ")</f>
        <v>180</v>
      </c>
      <c r="M17" s="8" t="n">
        <f aca="false">IF((F17-K17)&lt;&gt;0,M$1-A17," ")</f>
        <v>-313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n">
        <f aca="false">IF((E17="q"),H17," ")</f>
        <v>150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158</v>
      </c>
    </row>
    <row r="18" customFormat="false" ht="12" hidden="false" customHeight="false" outlineLevel="0" collapsed="false">
      <c r="A18" s="28" t="n">
        <v>46609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-315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46609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-315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46609</v>
      </c>
      <c r="B20" s="2" t="s">
        <v>120</v>
      </c>
      <c r="D20" s="2" t="s">
        <v>121</v>
      </c>
      <c r="E20" s="2" t="s">
        <v>122</v>
      </c>
      <c r="F20" s="30" t="n">
        <v>600</v>
      </c>
      <c r="G20" s="6" t="n">
        <f aca="false">IF(F20&lt;&gt;0,F20*G$2/(100+G$2)," ")</f>
        <v>100</v>
      </c>
      <c r="H20" s="6" t="n">
        <f aca="false">IF((F20&lt;&gt;0),F20-G20," ")</f>
        <v>500</v>
      </c>
      <c r="I20" s="5"/>
      <c r="L20" s="7" t="n">
        <f aca="false">IF(F20&lt;&gt;0,F20-K20," ")</f>
        <v>600</v>
      </c>
      <c r="M20" s="8" t="n">
        <f aca="false">IF((F20-K20)&lt;&gt;0,M$1-A20," ")</f>
        <v>-315</v>
      </c>
      <c r="N20" s="5"/>
      <c r="O20" s="17" t="n">
        <f aca="false">IF((E20="s"),H20," ")</f>
        <v>500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46611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-317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46613</v>
      </c>
      <c r="B22" s="2" t="s">
        <v>128</v>
      </c>
      <c r="D22" s="2" t="s">
        <v>129</v>
      </c>
      <c r="E22" s="2" t="s">
        <v>112</v>
      </c>
      <c r="F22" s="30" t="n">
        <v>24</v>
      </c>
      <c r="G22" s="6" t="n">
        <f aca="false">IF(F22&lt;&gt;0,F22*G$2/(100+G$2)," ")</f>
        <v>4</v>
      </c>
      <c r="H22" s="6" t="n">
        <f aca="false">IF((F22&lt;&gt;0),F22-G22," ")</f>
        <v>20</v>
      </c>
      <c r="I22" s="5"/>
      <c r="L22" s="7" t="n">
        <f aca="false">IF(F22&lt;&gt;0,F22-K22," ")</f>
        <v>24</v>
      </c>
      <c r="M22" s="8" t="n">
        <f aca="false">IF((F22-K22)&lt;&gt;0,M$1-A22," ")</f>
        <v>-319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46613</v>
      </c>
      <c r="B23" s="2" t="s">
        <v>130</v>
      </c>
      <c r="D23" s="2" t="s">
        <v>131</v>
      </c>
      <c r="E23" s="2" t="s">
        <v>112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-319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46614</v>
      </c>
      <c r="B24" s="2" t="s">
        <v>20</v>
      </c>
      <c r="D24" s="2" t="s">
        <v>105</v>
      </c>
      <c r="E24" s="2" t="s">
        <v>106</v>
      </c>
      <c r="F24" s="30" t="n">
        <v>150</v>
      </c>
      <c r="G24" s="6" t="n">
        <f aca="false">IF(F24&lt;&gt;0,F24*G$2/(100+G$2)," ")</f>
        <v>25</v>
      </c>
      <c r="H24" s="6" t="n">
        <f aca="false">IF((F24&lt;&gt;0),F24-G24," ")</f>
        <v>125</v>
      </c>
      <c r="I24" s="5"/>
      <c r="L24" s="7" t="n">
        <f aca="false">IF(F24&lt;&gt;0,F24-K24," ")</f>
        <v>150</v>
      </c>
      <c r="M24" s="8" t="n">
        <f aca="false">IF((F24-K24)&lt;&gt;0,M$1-A24," ")</f>
        <v>-320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n">
        <f aca="false">IF((E24="v"),H24," ")</f>
        <v>125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107</v>
      </c>
    </row>
    <row r="25" customFormat="false" ht="12" hidden="false" customHeight="false" outlineLevel="0" collapsed="false">
      <c r="A25" s="28" t="n">
        <v>46614</v>
      </c>
      <c r="B25" s="2" t="s">
        <v>132</v>
      </c>
      <c r="D25" s="2" t="s">
        <v>133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-320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46615</v>
      </c>
      <c r="B26" s="2" t="s">
        <v>170</v>
      </c>
      <c r="D26" s="2" t="s">
        <v>171</v>
      </c>
      <c r="E26" s="2" t="s">
        <v>80</v>
      </c>
      <c r="F26" s="30" t="n">
        <v>18</v>
      </c>
      <c r="G26" s="6" t="n">
        <f aca="false">IF(F26&lt;&gt;0,F26*G$2/(100+G$2)," ")</f>
        <v>3</v>
      </c>
      <c r="H26" s="6" t="n">
        <f aca="false">IF((F26&lt;&gt;0),F26-G26," ")</f>
        <v>15</v>
      </c>
      <c r="I26" s="5"/>
      <c r="L26" s="7" t="n">
        <f aca="false">IF(F26&lt;&gt;0,F26-K26," ")</f>
        <v>18</v>
      </c>
      <c r="M26" s="8" t="n">
        <f aca="false">IF((F26-K26)&lt;&gt;0,M$1-A26," ")</f>
        <v>-321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15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46617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-323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46619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-325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46619</v>
      </c>
      <c r="B29" s="2" t="s">
        <v>215</v>
      </c>
      <c r="D29" s="2" t="s">
        <v>216</v>
      </c>
      <c r="E29" s="2" t="s">
        <v>174</v>
      </c>
      <c r="F29" s="30" t="n">
        <v>180</v>
      </c>
      <c r="G29" s="6" t="n">
        <f aca="false">IF(F29&lt;&gt;0,F29*G$2/(100+G$2)," ")</f>
        <v>30</v>
      </c>
      <c r="H29" s="6" t="n">
        <f aca="false">IF((F29&lt;&gt;0),F29-G29," ")</f>
        <v>150</v>
      </c>
      <c r="I29" s="5"/>
      <c r="L29" s="7" t="n">
        <f aca="false">IF(F29&lt;&gt;0,F29-K29," ")</f>
        <v>180</v>
      </c>
      <c r="M29" s="8" t="n">
        <f aca="false">IF((F29-K29)&lt;&gt;0,M$1-A29," ")</f>
        <v>-325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n">
        <f aca="false">IF((E29="t"),H29," ")</f>
        <v>150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175</v>
      </c>
    </row>
    <row r="30" customFormat="false" ht="12" hidden="false" customHeight="false" outlineLevel="0" collapsed="false">
      <c r="A30" s="28" t="n">
        <v>46619</v>
      </c>
      <c r="B30" s="2" t="s">
        <v>137</v>
      </c>
      <c r="D30" s="2" t="s">
        <v>138</v>
      </c>
      <c r="E30" s="2" t="s">
        <v>139</v>
      </c>
      <c r="F30" s="30" t="n">
        <v>144</v>
      </c>
      <c r="G30" s="6" t="n">
        <f aca="false">IF(F30&lt;&gt;0,F30*G$2/(100+G$2)," ")</f>
        <v>24</v>
      </c>
      <c r="H30" s="6" t="n">
        <f aca="false">IF((F30&lt;&gt;0),F30-G30," ")</f>
        <v>120</v>
      </c>
      <c r="I30" s="5"/>
      <c r="L30" s="7" t="n">
        <f aca="false">IF(F30&lt;&gt;0,F30-K30," ")</f>
        <v>144</v>
      </c>
      <c r="M30" s="8" t="n">
        <f aca="false">IF((F30-K30)&lt;&gt;0,M$1-A30," ")</f>
        <v>-325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n">
        <f aca="false">IF((E30="m"),H30," ")</f>
        <v>120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140</v>
      </c>
    </row>
    <row r="31" customFormat="false" ht="12" hidden="false" customHeight="false" outlineLevel="0" collapsed="false">
      <c r="A31" s="28" t="n">
        <v>46620</v>
      </c>
      <c r="B31" s="2" t="s">
        <v>141</v>
      </c>
      <c r="D31" s="2" t="s">
        <v>142</v>
      </c>
      <c r="E31" s="2" t="s">
        <v>112</v>
      </c>
      <c r="F31" s="30" t="n">
        <v>8</v>
      </c>
      <c r="G31" s="6" t="n">
        <f aca="false">IF(F31&lt;&gt;0,F31*G$2/(100+G$2)," ")</f>
        <v>1.33333333333333</v>
      </c>
      <c r="H31" s="6" t="n">
        <f aca="false">IF((F31&lt;&gt;0),F31-G31," ")</f>
        <v>6.66666666666667</v>
      </c>
      <c r="I31" s="5"/>
      <c r="L31" s="7" t="n">
        <f aca="false">IF(F31&lt;&gt;0,F31-K31," ")</f>
        <v>8</v>
      </c>
      <c r="M31" s="8" t="n">
        <f aca="false">IF((F31-K31)&lt;&gt;0,M$1-A31," ")</f>
        <v>-326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n">
        <f aca="false">IF((E31="h"),H31," ")</f>
        <v>6.66666666666667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113</v>
      </c>
    </row>
    <row r="32" customFormat="false" ht="12" hidden="false" customHeight="false" outlineLevel="0" collapsed="false">
      <c r="A32" s="28" t="n">
        <v>46621</v>
      </c>
      <c r="B32" s="2" t="s">
        <v>143</v>
      </c>
      <c r="D32" s="2" t="s">
        <v>144</v>
      </c>
      <c r="E32" s="2" t="s">
        <v>100</v>
      </c>
      <c r="F32" s="30" t="n">
        <v>18</v>
      </c>
      <c r="G32" s="6" t="n">
        <f aca="false">IF(F32&lt;&gt;0,F32*G$2/(100+G$2)," ")</f>
        <v>3</v>
      </c>
      <c r="H32" s="6" t="n">
        <f aca="false">IF((F32&lt;&gt;0),F32-G32," ")</f>
        <v>15</v>
      </c>
      <c r="I32" s="5"/>
      <c r="L32" s="7" t="n">
        <f aca="false">IF(F32&lt;&gt;0,F32-K32," ")</f>
        <v>18</v>
      </c>
      <c r="M32" s="8" t="n">
        <f aca="false">IF((F32-K32)&lt;&gt;0,M$1-A32," ")</f>
        <v>-327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46621</v>
      </c>
      <c r="B33" s="2" t="s">
        <v>178</v>
      </c>
      <c r="D33" s="2" t="s">
        <v>179</v>
      </c>
      <c r="E33" s="2" t="s">
        <v>106</v>
      </c>
      <c r="F33" s="30" t="n">
        <v>36</v>
      </c>
      <c r="G33" s="6" t="n">
        <f aca="false">IF(F33&lt;&gt;0,F33*G$2/(100+G$2)," ")</f>
        <v>6</v>
      </c>
      <c r="H33" s="6" t="n">
        <f aca="false">IF((F33&lt;&gt;0),F33-G33," ")</f>
        <v>30</v>
      </c>
      <c r="I33" s="5"/>
      <c r="L33" s="7" t="n">
        <f aca="false">IF(F33&lt;&gt;0,F33-K33," ")</f>
        <v>36</v>
      </c>
      <c r="M33" s="8" t="n">
        <f aca="false">IF((F33-K33)&lt;&gt;0,M$1-A33," ")</f>
        <v>-327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30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46624</v>
      </c>
      <c r="B34" s="2" t="s">
        <v>145</v>
      </c>
      <c r="D34" s="2" t="s">
        <v>146</v>
      </c>
      <c r="E34" s="2" t="s">
        <v>100</v>
      </c>
      <c r="F34" s="30" t="n">
        <v>15</v>
      </c>
      <c r="G34" s="6" t="n">
        <f aca="false">IF(F34&lt;&gt;0,F34*G$2/(100+G$2)," ")</f>
        <v>2.5</v>
      </c>
      <c r="H34" s="6" t="n">
        <f aca="false">IF((F34&lt;&gt;0),F34-G34," ")</f>
        <v>12.5</v>
      </c>
      <c r="I34" s="5"/>
      <c r="L34" s="7" t="n">
        <f aca="false">IF(F34&lt;&gt;0,F34-K34," ")</f>
        <v>15</v>
      </c>
      <c r="M34" s="8" t="n">
        <f aca="false">IF((F34-K34)&lt;&gt;0,M$1-A34," ")</f>
        <v>-330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12.5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46624</v>
      </c>
      <c r="B35" s="2" t="s">
        <v>147</v>
      </c>
      <c r="D35" s="2" t="s">
        <v>148</v>
      </c>
      <c r="E35" s="2" t="s">
        <v>106</v>
      </c>
      <c r="F35" s="30" t="n">
        <v>38.25</v>
      </c>
      <c r="G35" s="6" t="n">
        <f aca="false">IF(F35&lt;&gt;0,F35*G$2/(100+G$2)," ")</f>
        <v>6.375</v>
      </c>
      <c r="H35" s="6" t="n">
        <f aca="false">IF((F35&lt;&gt;0),F35-G35," ")</f>
        <v>31.875</v>
      </c>
      <c r="I35" s="5"/>
      <c r="L35" s="7" t="n">
        <f aca="false">IF(F35&lt;&gt;0,F35-K35," ")</f>
        <v>38.25</v>
      </c>
      <c r="M35" s="8" t="n">
        <f aca="false">IF((F35-K35)&lt;&gt;0,M$1-A35," ")</f>
        <v>-330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31.875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46627</v>
      </c>
      <c r="B36" s="2" t="s">
        <v>20</v>
      </c>
      <c r="D36" s="2" t="s">
        <v>149</v>
      </c>
      <c r="E36" s="2" t="s">
        <v>106</v>
      </c>
      <c r="F36" s="30" t="n">
        <v>120</v>
      </c>
      <c r="G36" s="6" t="n">
        <f aca="false">IF(F36&lt;&gt;0,F36*G$2/(100+G$2)," ")</f>
        <v>20</v>
      </c>
      <c r="H36" s="6" t="n">
        <f aca="false">IF((F36&lt;&gt;0),F36-G36," ")</f>
        <v>100</v>
      </c>
      <c r="I36" s="5"/>
      <c r="L36" s="7" t="n">
        <f aca="false">IF(F36&lt;&gt;0,F36-K36," ")</f>
        <v>120</v>
      </c>
      <c r="M36" s="8" t="n">
        <f aca="false">IF((F36-K36)&lt;&gt;0,M$1-A36," ")</f>
        <v>-333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100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46630</v>
      </c>
      <c r="B37" s="2" t="s">
        <v>16</v>
      </c>
      <c r="D37" s="2" t="s">
        <v>150</v>
      </c>
      <c r="E37" s="2" t="s">
        <v>151</v>
      </c>
      <c r="F37" s="30" t="n">
        <v>300</v>
      </c>
      <c r="G37" s="6" t="n">
        <f aca="false">IF(F37&lt;&gt;0,F37*G$2/(100+G$2)," ")</f>
        <v>50</v>
      </c>
      <c r="H37" s="6" t="n">
        <f aca="false">IF((F37&lt;&gt;0),F37-G37," ")</f>
        <v>250</v>
      </c>
      <c r="I37" s="5"/>
      <c r="L37" s="7" t="n">
        <f aca="false">IF(F37&lt;&gt;0,F37-K37," ")</f>
        <v>300</v>
      </c>
      <c r="M37" s="8" t="n">
        <f aca="false">IF((F37-K37)&lt;&gt;0,M$1-A37," ")</f>
        <v>-336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250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152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4396.5</v>
      </c>
      <c r="G1" s="12" t="n">
        <f aca="false">SUM(G5:G300)</f>
        <v>732.75</v>
      </c>
      <c r="H1" s="12" t="n">
        <f aca="false">SUM(H5:H300)</f>
        <v>3663.75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4396.5</v>
      </c>
      <c r="M1" s="16" t="n">
        <f aca="true">TODAY()</f>
        <v>46294</v>
      </c>
      <c r="N1" s="13"/>
      <c r="O1" s="12" t="n">
        <f aca="false">SUM(O5:O300)</f>
        <v>550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300</v>
      </c>
      <c r="X1" s="12" t="n">
        <f aca="false">SUM(X5:X300)</f>
        <v>300</v>
      </c>
      <c r="Y1" s="12" t="n">
        <f aca="false">SUM(Y5:Y300)</f>
        <v>110.833333333333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306.666666666667</v>
      </c>
      <c r="AC1" s="12" t="n">
        <f aca="false">SUM(AC5:AC300)</f>
        <v>496.25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IF([2]Sep!$G$4&gt;0,0,[2]Sep!$G$2)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46631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-337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46631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-337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46631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-337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46631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-337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46631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-337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46631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-337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46633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-339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46633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-339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46635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-341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46635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-341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46635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-341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46636</v>
      </c>
      <c r="B16" s="2" t="s">
        <v>153</v>
      </c>
      <c r="D16" s="2" t="s">
        <v>154</v>
      </c>
      <c r="E16" s="2" t="s">
        <v>112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-342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30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46638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-344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46640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-346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46642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-348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46642</v>
      </c>
      <c r="B20" s="2" t="s">
        <v>210</v>
      </c>
      <c r="D20" s="2" t="s">
        <v>211</v>
      </c>
      <c r="E20" s="2" t="s">
        <v>157</v>
      </c>
      <c r="F20" s="30" t="n">
        <v>360</v>
      </c>
      <c r="G20" s="6" t="n">
        <f aca="false">IF(F20&lt;&gt;0,F20*G$2/(100+G$2)," ")</f>
        <v>60</v>
      </c>
      <c r="H20" s="6" t="n">
        <f aca="false">IF((F20&lt;&gt;0),F20-G20," ")</f>
        <v>300</v>
      </c>
      <c r="I20" s="5"/>
      <c r="L20" s="7" t="n">
        <f aca="false">IF(F20&lt;&gt;0,F20-K20," ")</f>
        <v>360</v>
      </c>
      <c r="M20" s="8" t="n">
        <f aca="false">IF((F20-K20)&lt;&gt;0,M$1-A20," ")</f>
        <v>-348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n">
        <f aca="false">IF((E20="q"),H20," ")</f>
        <v>300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158</v>
      </c>
    </row>
    <row r="21" customFormat="false" ht="12" hidden="false" customHeight="false" outlineLevel="0" collapsed="false">
      <c r="A21" s="28" t="n">
        <v>46644</v>
      </c>
      <c r="B21" s="2" t="s">
        <v>126</v>
      </c>
      <c r="D21" s="2" t="s">
        <v>127</v>
      </c>
      <c r="E21" s="2" t="s">
        <v>100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-350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n">
        <f aca="false">IF((E21="u"),H21," ")</f>
        <v>15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101</v>
      </c>
    </row>
    <row r="22" customFormat="false" ht="12" hidden="false" customHeight="false" outlineLevel="0" collapsed="false">
      <c r="A22" s="28" t="n">
        <v>46644</v>
      </c>
      <c r="B22" s="2" t="s">
        <v>128</v>
      </c>
      <c r="D22" s="2" t="s">
        <v>129</v>
      </c>
      <c r="E22" s="2" t="s">
        <v>112</v>
      </c>
      <c r="F22" s="30" t="n">
        <v>24</v>
      </c>
      <c r="G22" s="6" t="n">
        <f aca="false">IF(F22&lt;&gt;0,F22*G$2/(100+G$2)," ")</f>
        <v>4</v>
      </c>
      <c r="H22" s="6" t="n">
        <f aca="false">IF((F22&lt;&gt;0),F22-G22," ")</f>
        <v>20</v>
      </c>
      <c r="I22" s="5"/>
      <c r="L22" s="7" t="n">
        <f aca="false">IF(F22&lt;&gt;0,F22-K22," ")</f>
        <v>24</v>
      </c>
      <c r="M22" s="8" t="n">
        <f aca="false">IF((F22-K22)&lt;&gt;0,M$1-A22," ")</f>
        <v>-350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46644</v>
      </c>
      <c r="B23" s="2" t="s">
        <v>130</v>
      </c>
      <c r="D23" s="2" t="s">
        <v>131</v>
      </c>
      <c r="E23" s="2" t="s">
        <v>112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-350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46645</v>
      </c>
      <c r="B24" s="2" t="s">
        <v>20</v>
      </c>
      <c r="D24" s="2" t="s">
        <v>105</v>
      </c>
      <c r="E24" s="2" t="s">
        <v>106</v>
      </c>
      <c r="F24" s="30" t="n">
        <v>150</v>
      </c>
      <c r="G24" s="6" t="n">
        <f aca="false">IF(F24&lt;&gt;0,F24*G$2/(100+G$2)," ")</f>
        <v>25</v>
      </c>
      <c r="H24" s="6" t="n">
        <f aca="false">IF((F24&lt;&gt;0),F24-G24," ")</f>
        <v>125</v>
      </c>
      <c r="I24" s="5"/>
      <c r="L24" s="7" t="n">
        <f aca="false">IF(F24&lt;&gt;0,F24-K24," ")</f>
        <v>150</v>
      </c>
      <c r="M24" s="8" t="n">
        <f aca="false">IF((F24-K24)&lt;&gt;0,M$1-A24," ")</f>
        <v>-351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n">
        <f aca="false">IF((E24="v"),H24," ")</f>
        <v>125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107</v>
      </c>
    </row>
    <row r="25" customFormat="false" ht="12" hidden="false" customHeight="false" outlineLevel="0" collapsed="false">
      <c r="A25" s="28" t="n">
        <v>46645</v>
      </c>
      <c r="B25" s="2" t="s">
        <v>132</v>
      </c>
      <c r="D25" s="2" t="s">
        <v>133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-351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46645</v>
      </c>
      <c r="B26" s="2" t="s">
        <v>163</v>
      </c>
      <c r="D26" s="2" t="s">
        <v>164</v>
      </c>
      <c r="E26" s="2" t="s">
        <v>122</v>
      </c>
      <c r="F26" s="30" t="n">
        <v>420</v>
      </c>
      <c r="G26" s="6" t="n">
        <f aca="false">IF(F26&lt;&gt;0,F26*G$2/(100+G$2)," ")</f>
        <v>70</v>
      </c>
      <c r="H26" s="6" t="n">
        <f aca="false">IF((F26&lt;&gt;0),F26-G26," ")</f>
        <v>350</v>
      </c>
      <c r="I26" s="5"/>
      <c r="L26" s="7" t="n">
        <f aca="false">IF(F26&lt;&gt;0,F26-K26," ")</f>
        <v>420</v>
      </c>
      <c r="M26" s="8" t="n">
        <f aca="false">IF((F26-K26)&lt;&gt;0,M$1-A26," ")</f>
        <v>-351</v>
      </c>
      <c r="N26" s="5"/>
      <c r="O26" s="17" t="n">
        <f aca="false">IF((E26="s"),H26," ")</f>
        <v>350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46648</v>
      </c>
      <c r="B27" s="2" t="s">
        <v>218</v>
      </c>
      <c r="D27" s="2" t="s">
        <v>257</v>
      </c>
      <c r="E27" s="2" t="s">
        <v>139</v>
      </c>
      <c r="F27" s="30" t="n">
        <v>360</v>
      </c>
      <c r="G27" s="6" t="n">
        <f aca="false">IF(F27&lt;&gt;0,F27*G$2/(100+G$2)," ")</f>
        <v>60</v>
      </c>
      <c r="H27" s="6" t="n">
        <f aca="false">IF((F27&lt;&gt;0),F27-G27," ")</f>
        <v>300</v>
      </c>
      <c r="I27" s="5"/>
      <c r="L27" s="7" t="n">
        <f aca="false">IF(F27&lt;&gt;0,F27-K27," ")</f>
        <v>360</v>
      </c>
      <c r="M27" s="8" t="n">
        <f aca="false">IF((F27-K27)&lt;&gt;0,M$1-A27," ")</f>
        <v>-354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n">
        <f aca="false">IF((E27="m"),H27," ")</f>
        <v>300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140</v>
      </c>
    </row>
    <row r="28" customFormat="false" ht="12" hidden="false" customHeight="false" outlineLevel="0" collapsed="false">
      <c r="A28" s="28" t="n">
        <v>46648</v>
      </c>
      <c r="B28" s="2" t="s">
        <v>188</v>
      </c>
      <c r="D28" s="2" t="s">
        <v>258</v>
      </c>
      <c r="E28" s="2" t="s">
        <v>112</v>
      </c>
      <c r="F28" s="30" t="n">
        <v>240</v>
      </c>
      <c r="G28" s="6" t="n">
        <f aca="false">IF(F28&lt;&gt;0,F28*G$2/(100+G$2)," ")</f>
        <v>40</v>
      </c>
      <c r="H28" s="6" t="n">
        <f aca="false">IF((F28&lt;&gt;0),F28-G28," ")</f>
        <v>200</v>
      </c>
      <c r="I28" s="5"/>
      <c r="L28" s="7" t="n">
        <f aca="false">IF(F28&lt;&gt;0,F28-K28," ")</f>
        <v>240</v>
      </c>
      <c r="M28" s="8" t="n">
        <f aca="false">IF((F28-K28)&lt;&gt;0,M$1-A28," ")</f>
        <v>-354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n">
        <f aca="false">IF((E28="h"),H28," ")</f>
        <v>200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113</v>
      </c>
    </row>
    <row r="29" customFormat="false" ht="12" hidden="false" customHeight="false" outlineLevel="0" collapsed="false">
      <c r="A29" s="28" t="n">
        <v>46648</v>
      </c>
      <c r="B29" s="2" t="s">
        <v>134</v>
      </c>
      <c r="D29" s="2" t="s">
        <v>105</v>
      </c>
      <c r="E29" s="2" t="s">
        <v>106</v>
      </c>
      <c r="F29" s="30" t="n">
        <v>96</v>
      </c>
      <c r="G29" s="6" t="n">
        <f aca="false">IF(F29&lt;&gt;0,F29*G$2/(100+G$2)," ")</f>
        <v>16</v>
      </c>
      <c r="H29" s="6" t="n">
        <f aca="false">IF((F29&lt;&gt;0),F29-G29," ")</f>
        <v>80</v>
      </c>
      <c r="I29" s="5"/>
      <c r="L29" s="7" t="n">
        <f aca="false">IF(F29&lt;&gt;0,F29-K29," ")</f>
        <v>96</v>
      </c>
      <c r="M29" s="8" t="n">
        <f aca="false">IF((F29-K29)&lt;&gt;0,M$1-A29," ")</f>
        <v>-354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80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46650</v>
      </c>
      <c r="B30" s="2" t="s">
        <v>135</v>
      </c>
      <c r="D30" s="2" t="s">
        <v>136</v>
      </c>
      <c r="E30" s="2" t="s">
        <v>80</v>
      </c>
      <c r="F30" s="30" t="n">
        <v>60</v>
      </c>
      <c r="G30" s="6" t="n">
        <f aca="false">IF(F30&lt;&gt;0,F30*G$2/(100+G$2)," ")</f>
        <v>10</v>
      </c>
      <c r="H30" s="6" t="n">
        <f aca="false">IF((F30&lt;&gt;0),F30-G30," ")</f>
        <v>50</v>
      </c>
      <c r="I30" s="5"/>
      <c r="L30" s="7" t="n">
        <f aca="false">IF(F30&lt;&gt;0,F30-K30," ")</f>
        <v>60</v>
      </c>
      <c r="M30" s="8" t="n">
        <f aca="false">IF((F30-K30)&lt;&gt;0,M$1-A30," ")</f>
        <v>-356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50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81</v>
      </c>
    </row>
    <row r="31" customFormat="false" ht="12" hidden="false" customHeight="false" outlineLevel="0" collapsed="false">
      <c r="A31" s="28" t="n">
        <v>46650</v>
      </c>
      <c r="B31" s="2" t="s">
        <v>176</v>
      </c>
      <c r="D31" s="2" t="s">
        <v>177</v>
      </c>
      <c r="E31" s="2" t="s">
        <v>122</v>
      </c>
      <c r="F31" s="30" t="n">
        <v>240</v>
      </c>
      <c r="G31" s="6" t="n">
        <f aca="false">IF(F31&lt;&gt;0,F31*G$2/(100+G$2)," ")</f>
        <v>40</v>
      </c>
      <c r="H31" s="6" t="n">
        <f aca="false">IF((F31&lt;&gt;0),F31-G31," ")</f>
        <v>200</v>
      </c>
      <c r="I31" s="5"/>
      <c r="L31" s="7" t="n">
        <f aca="false">IF(F31&lt;&gt;0,F31-K31," ")</f>
        <v>240</v>
      </c>
      <c r="M31" s="8" t="n">
        <f aca="false">IF((F31-K31)&lt;&gt;0,M$1-A31," ")</f>
        <v>-356</v>
      </c>
      <c r="N31" s="5"/>
      <c r="O31" s="17" t="n">
        <f aca="false">IF((E31="s"),H31," ")</f>
        <v>200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123</v>
      </c>
    </row>
    <row r="32" customFormat="false" ht="12" hidden="false" customHeight="false" outlineLevel="0" collapsed="false">
      <c r="A32" s="28" t="n">
        <v>46651</v>
      </c>
      <c r="B32" s="2" t="s">
        <v>141</v>
      </c>
      <c r="D32" s="2" t="s">
        <v>142</v>
      </c>
      <c r="E32" s="2" t="s">
        <v>112</v>
      </c>
      <c r="F32" s="30" t="n">
        <v>8</v>
      </c>
      <c r="G32" s="6" t="n">
        <f aca="false">IF(F32&lt;&gt;0,F32*G$2/(100+G$2)," ")</f>
        <v>1.33333333333333</v>
      </c>
      <c r="H32" s="6" t="n">
        <f aca="false">IF((F32&lt;&gt;0),F32-G32," ")</f>
        <v>6.66666666666667</v>
      </c>
      <c r="I32" s="5"/>
      <c r="L32" s="7" t="n">
        <f aca="false">IF(F32&lt;&gt;0,F32-K32," ")</f>
        <v>8</v>
      </c>
      <c r="M32" s="8" t="n">
        <f aca="false">IF((F32-K32)&lt;&gt;0,M$1-A32," ")</f>
        <v>-357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6.66666666666667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113</v>
      </c>
    </row>
    <row r="33" customFormat="false" ht="12" hidden="false" customHeight="false" outlineLevel="0" collapsed="false">
      <c r="A33" s="28" t="n">
        <v>46652</v>
      </c>
      <c r="B33" s="2" t="s">
        <v>143</v>
      </c>
      <c r="D33" s="2" t="s">
        <v>144</v>
      </c>
      <c r="E33" s="2" t="s">
        <v>100</v>
      </c>
      <c r="F33" s="30" t="n">
        <v>18</v>
      </c>
      <c r="G33" s="6" t="n">
        <f aca="false">IF(F33&lt;&gt;0,F33*G$2/(100+G$2)," ")</f>
        <v>3</v>
      </c>
      <c r="H33" s="6" t="n">
        <f aca="false">IF((F33&lt;&gt;0),F33-G33," ")</f>
        <v>15</v>
      </c>
      <c r="I33" s="5"/>
      <c r="L33" s="7" t="n">
        <f aca="false">IF(F33&lt;&gt;0,F33-K33," ")</f>
        <v>18</v>
      </c>
      <c r="M33" s="8" t="n">
        <f aca="false">IF((F33-K33)&lt;&gt;0,M$1-A33," ")</f>
        <v>-358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46655</v>
      </c>
      <c r="B34" s="2" t="s">
        <v>145</v>
      </c>
      <c r="D34" s="2" t="s">
        <v>146</v>
      </c>
      <c r="E34" s="2" t="s">
        <v>100</v>
      </c>
      <c r="F34" s="30" t="n">
        <v>15</v>
      </c>
      <c r="G34" s="6" t="n">
        <f aca="false">IF(F34&lt;&gt;0,F34*G$2/(100+G$2)," ")</f>
        <v>2.5</v>
      </c>
      <c r="H34" s="6" t="n">
        <f aca="false">IF((F34&lt;&gt;0),F34-G34," ")</f>
        <v>12.5</v>
      </c>
      <c r="I34" s="5"/>
      <c r="L34" s="7" t="n">
        <f aca="false">IF(F34&lt;&gt;0,F34-K34," ")</f>
        <v>15</v>
      </c>
      <c r="M34" s="8" t="n">
        <f aca="false">IF((F34-K34)&lt;&gt;0,M$1-A34," ")</f>
        <v>-361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12.5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46655</v>
      </c>
      <c r="B35" s="2" t="s">
        <v>147</v>
      </c>
      <c r="D35" s="2" t="s">
        <v>259</v>
      </c>
      <c r="E35" s="2" t="s">
        <v>106</v>
      </c>
      <c r="F35" s="30" t="n">
        <v>31.5</v>
      </c>
      <c r="G35" s="6" t="n">
        <f aca="false">IF(F35&lt;&gt;0,F35*G$2/(100+G$2)," ")</f>
        <v>5.25</v>
      </c>
      <c r="H35" s="6" t="n">
        <f aca="false">IF((F35&lt;&gt;0),F35-G35," ")</f>
        <v>26.25</v>
      </c>
      <c r="I35" s="5"/>
      <c r="L35" s="7" t="n">
        <f aca="false">IF(F35&lt;&gt;0,F35-K35," ")</f>
        <v>31.5</v>
      </c>
      <c r="M35" s="8" t="n">
        <f aca="false">IF((F35-K35)&lt;&gt;0,M$1-A35," ")</f>
        <v>-361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26.25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46658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-364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46658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-364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customFormat="fals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3726.5</v>
      </c>
      <c r="G1" s="12" t="n">
        <f aca="false">SUM(G5:G300)</f>
        <v>621.083333333333</v>
      </c>
      <c r="H1" s="12" t="n">
        <f aca="false">SUM(H5:H300)</f>
        <v>3105.41666666667</v>
      </c>
      <c r="I1" s="13"/>
      <c r="J1" s="14" t="s">
        <v>2</v>
      </c>
      <c r="K1" s="15" t="n">
        <f aca="false">SUM(K5:K300)</f>
        <v>0</v>
      </c>
      <c r="L1" s="15" t="n">
        <f aca="false">SUM(L5:L300)</f>
        <v>3726.5</v>
      </c>
      <c r="M1" s="16" t="n">
        <f aca="true">TODAY()</f>
        <v>46294</v>
      </c>
      <c r="N1" s="13"/>
      <c r="O1" s="12" t="n">
        <f aca="false">SUM(O5:O300)</f>
        <v>250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300</v>
      </c>
      <c r="V1" s="12" t="n">
        <f aca="false">SUM(V5:V300)</f>
        <v>120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132.5</v>
      </c>
      <c r="AB1" s="12" t="n">
        <f aca="false">SUM(AB5:AB300)</f>
        <v>76.6666666666667</v>
      </c>
      <c r="AC1" s="12" t="n">
        <f aca="false">SUM(AC5:AC300)</f>
        <v>568.75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354.166666666667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IF([2]Oct!$G$4&gt;0,0,[2]Oct!$G$2)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49" t="n">
        <f aca="false">Nov!AI1+Dec!AI1+Jan!AI1+Feb!AI1+Mar!AI1+Apr!AI1+May!AI1+Jun!AI1+Jul!AI1+Aug!AI1+Sep!AI1+Oct!AI1</f>
        <v>52500</v>
      </c>
      <c r="AJ2" s="12" t="s">
        <v>43</v>
      </c>
      <c r="AK2" s="19" t="s">
        <v>44</v>
      </c>
      <c r="AL2" s="19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49" t="s">
        <v>42</v>
      </c>
      <c r="AJ3" s="12"/>
      <c r="AK3" s="19" t="s">
        <v>50</v>
      </c>
      <c r="AL3" s="19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 t="n">
        <v>46661</v>
      </c>
      <c r="B5" s="2" t="s">
        <v>14</v>
      </c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I5" s="5"/>
      <c r="L5" s="7" t="n">
        <f aca="false">IF(F5&lt;&gt;0,F5-K5," ")</f>
        <v>1200</v>
      </c>
      <c r="M5" s="8" t="n">
        <f aca="false">IF((F5-K5)&lt;&gt;0,M$1-A5," ")</f>
        <v>-367</v>
      </c>
      <c r="N5" s="5"/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 t="s">
        <v>77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 t="n">
        <v>46661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-367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46661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-367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46661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-367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46661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-367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46661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-367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46663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-369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46663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-369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46665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-371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46665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-371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46668</v>
      </c>
      <c r="B15" s="2" t="s">
        <v>110</v>
      </c>
      <c r="D15" s="2" t="s">
        <v>111</v>
      </c>
      <c r="E15" s="2" t="s">
        <v>112</v>
      </c>
      <c r="F15" s="30" t="n">
        <v>48</v>
      </c>
      <c r="G15" s="6" t="n">
        <f aca="false">IF(F15&lt;&gt;0,F15*G$2/(100+G$2)," ")</f>
        <v>8</v>
      </c>
      <c r="H15" s="6" t="n">
        <f aca="false">IF((F15&lt;&gt;0),F15-G15," ")</f>
        <v>40</v>
      </c>
      <c r="I15" s="5"/>
      <c r="L15" s="7" t="n">
        <f aca="false">IF(F15&lt;&gt;0,F15-K15," ")</f>
        <v>48</v>
      </c>
      <c r="M15" s="8" t="n">
        <f aca="false">IF((F15-K15)&lt;&gt;0,M$1-A15," ")</f>
        <v>-374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46670</v>
      </c>
      <c r="B16" s="2" t="s">
        <v>114</v>
      </c>
      <c r="D16" s="2" t="s">
        <v>115</v>
      </c>
      <c r="E16" s="2" t="s">
        <v>100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-376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n">
        <f aca="false">IF((E16="u"),H16," ")</f>
        <v>30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101</v>
      </c>
    </row>
    <row r="17" customFormat="false" ht="12" hidden="false" customHeight="false" outlineLevel="0" collapsed="false">
      <c r="A17" s="28" t="n">
        <v>46670</v>
      </c>
      <c r="B17" s="2" t="s">
        <v>132</v>
      </c>
      <c r="D17" s="2" t="s">
        <v>228</v>
      </c>
      <c r="E17" s="2" t="s">
        <v>174</v>
      </c>
      <c r="F17" s="30" t="n">
        <v>144</v>
      </c>
      <c r="G17" s="6" t="n">
        <f aca="false">IF(F17&lt;&gt;0,F17*G$2/(100+G$2)," ")</f>
        <v>24</v>
      </c>
      <c r="H17" s="6" t="n">
        <f aca="false">IF((F17&lt;&gt;0),F17-G17," ")</f>
        <v>120</v>
      </c>
      <c r="I17" s="5"/>
      <c r="L17" s="7" t="n">
        <f aca="false">IF(F17&lt;&gt;0,F17-K17," ")</f>
        <v>144</v>
      </c>
      <c r="M17" s="8" t="n">
        <f aca="false">IF((F17-K17)&lt;&gt;0,M$1-A17," ")</f>
        <v>-376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n">
        <f aca="false">IF((E17="t"),H17," ")</f>
        <v>120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175</v>
      </c>
    </row>
    <row r="18" customFormat="false" ht="12" hidden="false" customHeight="false" outlineLevel="0" collapsed="false">
      <c r="A18" s="28" t="n">
        <v>46672</v>
      </c>
      <c r="B18" s="2" t="s">
        <v>124</v>
      </c>
      <c r="D18" s="2" t="s">
        <v>125</v>
      </c>
      <c r="E18" s="2" t="s">
        <v>106</v>
      </c>
      <c r="F18" s="30" t="n">
        <v>18</v>
      </c>
      <c r="G18" s="6" t="n">
        <f aca="false">IF(F18&lt;&gt;0,F18*G$2/(100+G$2)," ")</f>
        <v>3</v>
      </c>
      <c r="H18" s="6" t="n">
        <f aca="false">IF((F18&lt;&gt;0),F18-G18," ")</f>
        <v>15</v>
      </c>
      <c r="I18" s="5"/>
      <c r="L18" s="7" t="n">
        <f aca="false">IF(F18&lt;&gt;0,F18-K18," ")</f>
        <v>18</v>
      </c>
      <c r="M18" s="8" t="n">
        <f aca="false">IF((F18-K18)&lt;&gt;0,M$1-A18," ")</f>
        <v>-378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n">
        <f aca="false">IF((E18="v"),H18," ")</f>
        <v>15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107</v>
      </c>
    </row>
    <row r="19" customFormat="false" ht="12" hidden="false" customHeight="false" outlineLevel="0" collapsed="false">
      <c r="A19" s="28" t="n">
        <v>46674</v>
      </c>
      <c r="B19" s="2" t="s">
        <v>128</v>
      </c>
      <c r="D19" s="2" t="s">
        <v>129</v>
      </c>
      <c r="E19" s="2" t="s">
        <v>112</v>
      </c>
      <c r="F19" s="30" t="n">
        <v>24</v>
      </c>
      <c r="G19" s="6" t="n">
        <f aca="false">IF(F19&lt;&gt;0,F19*G$2/(100+G$2)," ")</f>
        <v>4</v>
      </c>
      <c r="H19" s="6" t="n">
        <f aca="false">IF((F19&lt;&gt;0),F19-G19," ")</f>
        <v>20</v>
      </c>
      <c r="I19" s="5"/>
      <c r="L19" s="7" t="n">
        <f aca="false">IF(F19&lt;&gt;0,F19-K19," ")</f>
        <v>24</v>
      </c>
      <c r="M19" s="8" t="n">
        <f aca="false">IF((F19-K19)&lt;&gt;0,M$1-A19," ")</f>
        <v>-380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20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113</v>
      </c>
    </row>
    <row r="20" customFormat="false" ht="12" hidden="false" customHeight="false" outlineLevel="0" collapsed="false">
      <c r="A20" s="28" t="n">
        <v>46674</v>
      </c>
      <c r="B20" s="2" t="s">
        <v>130</v>
      </c>
      <c r="D20" s="2" t="s">
        <v>131</v>
      </c>
      <c r="E20" s="2" t="s">
        <v>112</v>
      </c>
      <c r="F20" s="30" t="n">
        <v>12</v>
      </c>
      <c r="G20" s="6" t="n">
        <f aca="false">IF(F20&lt;&gt;0,F20*G$2/(100+G$2)," ")</f>
        <v>2</v>
      </c>
      <c r="H20" s="6" t="n">
        <f aca="false">IF((F20&lt;&gt;0),F20-G20," ")</f>
        <v>10</v>
      </c>
      <c r="I20" s="5"/>
      <c r="L20" s="7" t="n">
        <f aca="false">IF(F20&lt;&gt;0,F20-K20," ")</f>
        <v>12</v>
      </c>
      <c r="M20" s="8" t="n">
        <f aca="false">IF((F20-K20)&lt;&gt;0,M$1-A20," ")</f>
        <v>-380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46675</v>
      </c>
      <c r="B21" s="2" t="s">
        <v>20</v>
      </c>
      <c r="D21" s="2" t="s">
        <v>105</v>
      </c>
      <c r="E21" s="2" t="s">
        <v>106</v>
      </c>
      <c r="F21" s="30" t="n">
        <v>150</v>
      </c>
      <c r="G21" s="6" t="n">
        <f aca="false">IF(F21&lt;&gt;0,F21*G$2/(100+G$2)," ")</f>
        <v>25</v>
      </c>
      <c r="H21" s="6" t="n">
        <f aca="false">IF((F21&lt;&gt;0),F21-G21," ")</f>
        <v>125</v>
      </c>
      <c r="I21" s="5"/>
      <c r="L21" s="7" t="n">
        <f aca="false">IF(F21&lt;&gt;0,F21-K21," ")</f>
        <v>150</v>
      </c>
      <c r="M21" s="8" t="n">
        <f aca="false">IF((F21-K21)&lt;&gt;0,M$1-A21," ")</f>
        <v>-381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125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46675</v>
      </c>
      <c r="B22" s="2" t="s">
        <v>132</v>
      </c>
      <c r="D22" s="2" t="s">
        <v>133</v>
      </c>
      <c r="E22" s="2" t="s">
        <v>80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-381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10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81</v>
      </c>
    </row>
    <row r="23" customFormat="false" ht="12" hidden="false" customHeight="false" outlineLevel="0" collapsed="false">
      <c r="A23" s="28" t="n">
        <v>46676</v>
      </c>
      <c r="B23" s="2" t="s">
        <v>170</v>
      </c>
      <c r="D23" s="2" t="s">
        <v>171</v>
      </c>
      <c r="E23" s="2" t="s">
        <v>80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-382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20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81</v>
      </c>
    </row>
    <row r="24" customFormat="false" ht="12" hidden="false" customHeight="false" outlineLevel="0" collapsed="false">
      <c r="A24" s="28" t="n">
        <v>46678</v>
      </c>
      <c r="B24" s="2" t="s">
        <v>190</v>
      </c>
      <c r="D24" s="2" t="s">
        <v>191</v>
      </c>
      <c r="E24" s="2" t="s">
        <v>122</v>
      </c>
      <c r="F24" s="30" t="n">
        <v>300</v>
      </c>
      <c r="G24" s="6" t="n">
        <f aca="false">IF(F24&lt;&gt;0,F24*G$2/(100+G$2)," ")</f>
        <v>50</v>
      </c>
      <c r="H24" s="6" t="n">
        <f aca="false">IF((F24&lt;&gt;0),F24-G24," ")</f>
        <v>250</v>
      </c>
      <c r="I24" s="5"/>
      <c r="L24" s="7" t="n">
        <f aca="false">IF(F24&lt;&gt;0,F24-K24," ")</f>
        <v>300</v>
      </c>
      <c r="M24" s="8" t="n">
        <f aca="false">IF((F24-K24)&lt;&gt;0,M$1-A24," ")</f>
        <v>-384</v>
      </c>
      <c r="N24" s="5"/>
      <c r="O24" s="17" t="n">
        <f aca="false">IF((E24="s"),H24," ")</f>
        <v>250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123</v>
      </c>
    </row>
    <row r="25" customFormat="false" ht="12" hidden="false" customHeight="false" outlineLevel="0" collapsed="false">
      <c r="A25" s="28" t="n">
        <v>46678</v>
      </c>
      <c r="B25" s="2" t="s">
        <v>134</v>
      </c>
      <c r="D25" s="2" t="s">
        <v>105</v>
      </c>
      <c r="E25" s="2" t="s">
        <v>106</v>
      </c>
      <c r="F25" s="30" t="n">
        <v>96</v>
      </c>
      <c r="G25" s="6" t="n">
        <f aca="false">IF(F25&lt;&gt;0,F25*G$2/(100+G$2)," ")</f>
        <v>16</v>
      </c>
      <c r="H25" s="6" t="n">
        <f aca="false">IF((F25&lt;&gt;0),F25-G25," ")</f>
        <v>80</v>
      </c>
      <c r="I25" s="5"/>
      <c r="L25" s="7" t="n">
        <f aca="false">IF(F25&lt;&gt;0,F25-K25," ")</f>
        <v>96</v>
      </c>
      <c r="M25" s="8" t="n">
        <f aca="false">IF((F25-K25)&lt;&gt;0,M$1-A25," ")</f>
        <v>-384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80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46680</v>
      </c>
      <c r="B26" s="2" t="s">
        <v>135</v>
      </c>
      <c r="D26" s="2" t="s">
        <v>136</v>
      </c>
      <c r="E26" s="2" t="s">
        <v>80</v>
      </c>
      <c r="F26" s="30" t="n">
        <v>60</v>
      </c>
      <c r="G26" s="6" t="n">
        <f aca="false">IF(F26&lt;&gt;0,F26*G$2/(100+G$2)," ")</f>
        <v>10</v>
      </c>
      <c r="H26" s="6" t="n">
        <f aca="false">IF((F26&lt;&gt;0),F26-G26," ")</f>
        <v>50</v>
      </c>
      <c r="I26" s="5"/>
      <c r="L26" s="7" t="n">
        <f aca="false">IF(F26&lt;&gt;0,F26-K26," ")</f>
        <v>60</v>
      </c>
      <c r="M26" s="8" t="n">
        <f aca="false">IF((F26-K26)&lt;&gt;0,M$1-A26," ")</f>
        <v>-386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50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46681</v>
      </c>
      <c r="B27" s="2" t="s">
        <v>141</v>
      </c>
      <c r="D27" s="2" t="s">
        <v>142</v>
      </c>
      <c r="E27" s="2" t="s">
        <v>112</v>
      </c>
      <c r="F27" s="30" t="n">
        <v>8</v>
      </c>
      <c r="G27" s="6" t="n">
        <f aca="false">IF(F27&lt;&gt;0,F27*G$2/(100+G$2)," ")</f>
        <v>1.33333333333333</v>
      </c>
      <c r="H27" s="6" t="n">
        <f aca="false">IF((F27&lt;&gt;0),F27-G27," ")</f>
        <v>6.66666666666667</v>
      </c>
      <c r="I27" s="5"/>
      <c r="L27" s="7" t="n">
        <f aca="false">IF(F27&lt;&gt;0,F27-K27," ")</f>
        <v>8</v>
      </c>
      <c r="M27" s="8" t="n">
        <f aca="false">IF((F27-K27)&lt;&gt;0,M$1-A27," ")</f>
        <v>-387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n">
        <f aca="false">IF((E27="h"),H27," ")</f>
        <v>6.66666666666667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113</v>
      </c>
    </row>
    <row r="28" customFormat="false" ht="12" hidden="false" customHeight="false" outlineLevel="0" collapsed="false">
      <c r="A28" s="28" t="n">
        <v>46682</v>
      </c>
      <c r="B28" s="2" t="s">
        <v>143</v>
      </c>
      <c r="D28" s="2" t="s">
        <v>144</v>
      </c>
      <c r="E28" s="2" t="s">
        <v>100</v>
      </c>
      <c r="F28" s="30" t="n">
        <v>18</v>
      </c>
      <c r="G28" s="6" t="n">
        <f aca="false">IF(F28&lt;&gt;0,F28*G$2/(100+G$2)," ")</f>
        <v>3</v>
      </c>
      <c r="H28" s="6" t="n">
        <f aca="false">IF((F28&lt;&gt;0),F28-G28," ")</f>
        <v>15</v>
      </c>
      <c r="I28" s="5"/>
      <c r="L28" s="7" t="n">
        <f aca="false">IF(F28&lt;&gt;0,F28-K28," ")</f>
        <v>18</v>
      </c>
      <c r="M28" s="8" t="n">
        <f aca="false">IF((F28-K28)&lt;&gt;0,M$1-A28," ")</f>
        <v>-388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n">
        <f aca="false">IF((E28="u"),H28," ")</f>
        <v>15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101</v>
      </c>
    </row>
    <row r="29" customFormat="false" ht="12" hidden="false" customHeight="false" outlineLevel="0" collapsed="false">
      <c r="A29" s="28" t="n">
        <v>46682</v>
      </c>
      <c r="B29" s="2" t="s">
        <v>178</v>
      </c>
      <c r="D29" s="2" t="s">
        <v>179</v>
      </c>
      <c r="E29" s="2" t="s">
        <v>106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-388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50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46685</v>
      </c>
      <c r="B30" s="2" t="s">
        <v>192</v>
      </c>
      <c r="D30" s="2" t="s">
        <v>193</v>
      </c>
      <c r="E30" s="2" t="s">
        <v>194</v>
      </c>
      <c r="F30" s="30" t="n">
        <v>360</v>
      </c>
      <c r="G30" s="6" t="n">
        <f aca="false">IF(F30&lt;&gt;0,F30*G$2/(100+G$2)," ")</f>
        <v>60</v>
      </c>
      <c r="H30" s="6" t="n">
        <f aca="false">IF((F30&lt;&gt;0),F30-G30," ")</f>
        <v>300</v>
      </c>
      <c r="I30" s="5"/>
      <c r="L30" s="7" t="n">
        <f aca="false">IF(F30&lt;&gt;0,F30-K30," ")</f>
        <v>360</v>
      </c>
      <c r="M30" s="8" t="n">
        <f aca="false">IF((F30-K30)&lt;&gt;0,M$1-A30," ")</f>
        <v>-391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n">
        <f aca="false">IF((E30="p"),H30," ")</f>
        <v>300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195</v>
      </c>
    </row>
    <row r="31" customFormat="false" ht="12" hidden="false" customHeight="false" outlineLevel="0" collapsed="false">
      <c r="A31" s="28" t="n">
        <v>46685</v>
      </c>
      <c r="B31" s="2" t="s">
        <v>145</v>
      </c>
      <c r="D31" s="2" t="s">
        <v>146</v>
      </c>
      <c r="E31" s="2" t="s">
        <v>100</v>
      </c>
      <c r="F31" s="30" t="n">
        <v>15</v>
      </c>
      <c r="G31" s="6" t="n">
        <f aca="false">IF(F31&lt;&gt;0,F31*G$2/(100+G$2)," ")</f>
        <v>2.5</v>
      </c>
      <c r="H31" s="6" t="n">
        <f aca="false">IF((F31&lt;&gt;0),F31-G31," ")</f>
        <v>12.5</v>
      </c>
      <c r="I31" s="5"/>
      <c r="L31" s="7" t="n">
        <f aca="false">IF(F31&lt;&gt;0,F31-K31," ")</f>
        <v>15</v>
      </c>
      <c r="M31" s="8" t="n">
        <f aca="false">IF((F31-K31)&lt;&gt;0,M$1-A31," ")</f>
        <v>-391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12.5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46685</v>
      </c>
      <c r="B32" s="2" t="s">
        <v>147</v>
      </c>
      <c r="D32" s="2" t="s">
        <v>251</v>
      </c>
      <c r="E32" s="2" t="s">
        <v>106</v>
      </c>
      <c r="F32" s="30" t="n">
        <v>58.5</v>
      </c>
      <c r="G32" s="6" t="n">
        <f aca="false">IF(F32&lt;&gt;0,F32*G$2/(100+G$2)," ")</f>
        <v>9.75</v>
      </c>
      <c r="H32" s="6" t="n">
        <f aca="false">IF((F32&lt;&gt;0),F32-G32," ")</f>
        <v>48.75</v>
      </c>
      <c r="I32" s="5"/>
      <c r="L32" s="7" t="n">
        <f aca="false">IF(F32&lt;&gt;0,F32-K32," ")</f>
        <v>58.5</v>
      </c>
      <c r="M32" s="8" t="n">
        <f aca="false">IF((F32-K32)&lt;&gt;0,M$1-A32," ")</f>
        <v>-391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n">
        <f aca="false">IF((E32="v"),H32," ")</f>
        <v>48.75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107</v>
      </c>
    </row>
    <row r="33" customFormat="false" ht="12" hidden="false" customHeight="false" outlineLevel="0" collapsed="false">
      <c r="A33" s="28" t="n">
        <v>46688</v>
      </c>
      <c r="B33" s="2" t="s">
        <v>20</v>
      </c>
      <c r="D33" s="2" t="s">
        <v>149</v>
      </c>
      <c r="E33" s="2" t="s">
        <v>106</v>
      </c>
      <c r="F33" s="30" t="n">
        <v>120</v>
      </c>
      <c r="G33" s="6" t="n">
        <f aca="false">IF(F33&lt;&gt;0,F33*G$2/(100+G$2)," ")</f>
        <v>20</v>
      </c>
      <c r="H33" s="6" t="n">
        <f aca="false">IF((F33&lt;&gt;0),F33-G33," ")</f>
        <v>100</v>
      </c>
      <c r="I33" s="5"/>
      <c r="L33" s="7" t="n">
        <f aca="false">IF(F33&lt;&gt;0,F33-K33," ")</f>
        <v>120</v>
      </c>
      <c r="M33" s="8" t="n">
        <f aca="false">IF((F33-K33)&lt;&gt;0,M$1-A33," ")</f>
        <v>-394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100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46691</v>
      </c>
      <c r="B34" s="2" t="s">
        <v>16</v>
      </c>
      <c r="D34" s="2" t="s">
        <v>150</v>
      </c>
      <c r="E34" s="2" t="s">
        <v>151</v>
      </c>
      <c r="F34" s="30" t="n">
        <v>300</v>
      </c>
      <c r="G34" s="6" t="n">
        <f aca="false">IF(F34&lt;&gt;0,F34*G$2/(100+G$2)," ")</f>
        <v>50</v>
      </c>
      <c r="H34" s="6" t="n">
        <f aca="false">IF((F34&lt;&gt;0),F34-G34," ")</f>
        <v>250</v>
      </c>
      <c r="I34" s="5"/>
      <c r="L34" s="7" t="n">
        <f aca="false">IF(F34&lt;&gt;0,F34-K34," ")</f>
        <v>300</v>
      </c>
      <c r="M34" s="8" t="n">
        <f aca="false">IF((F34-K34)&lt;&gt;0,M$1-A34," ")</f>
        <v>-397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n">
        <f aca="false">IF((E34="l"),H34," ")</f>
        <v>250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152</v>
      </c>
    </row>
    <row r="35" customFormat="false" ht="12" hidden="false" customHeight="false" outlineLevel="0" collapsed="false">
      <c r="A35" s="28" t="n">
        <v>46691</v>
      </c>
      <c r="B35" s="2" t="s">
        <v>197</v>
      </c>
      <c r="C35" s="3" t="s">
        <v>260</v>
      </c>
      <c r="D35" s="2" t="s">
        <v>199</v>
      </c>
      <c r="E35" s="2" t="s">
        <v>151</v>
      </c>
      <c r="F35" s="30" t="n">
        <v>125</v>
      </c>
      <c r="G35" s="6" t="n">
        <f aca="false">IF(F35&lt;&gt;0,F35*G$2/(100+G$2)," ")</f>
        <v>20.8333333333333</v>
      </c>
      <c r="H35" s="6" t="n">
        <f aca="false">IF((F35&lt;&gt;0),F35-G35," ")</f>
        <v>104.166666666667</v>
      </c>
      <c r="I35" s="5"/>
      <c r="L35" s="7" t="n">
        <f aca="false">IF(F35&lt;&gt;0,F35-K35," ")</f>
        <v>125</v>
      </c>
      <c r="M35" s="8" t="n">
        <f aca="false">IF((F35-K35)&lt;&gt;0,M$1-A35," ")</f>
        <v>-397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104.166666666667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200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33" t="str">
        <f aca="false">IF((F300&lt;&gt;0),"Enter Letter"," ")</f>
        <v> </v>
      </c>
      <c r="F300" s="46"/>
      <c r="G300" s="36" t="str">
        <f aca="false">IF(F300&lt;&gt;0,F300*G$2/(100+G$2)," ")</f>
        <v> </v>
      </c>
      <c r="H300" s="36" t="str">
        <f aca="false">IF((F300&lt;&gt;0),F300-G300," ")</f>
        <v> </v>
      </c>
      <c r="I300" s="47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7"/>
      <c r="O300" s="48" t="str">
        <f aca="false">IF((E300="s"),H300," ")</f>
        <v> </v>
      </c>
      <c r="P300" s="48" t="str">
        <f aca="false">IF((E300="c"),H300," ")</f>
        <v> </v>
      </c>
      <c r="Q300" s="48" t="str">
        <f aca="false">IF((E300="o"),H300," ")</f>
        <v> </v>
      </c>
      <c r="R300" s="48" t="str">
        <f aca="false">IF((E300="d"),H300," ")</f>
        <v> </v>
      </c>
      <c r="S300" s="48" t="str">
        <f aca="false">IF((E300="w"),H300," ")</f>
        <v> </v>
      </c>
      <c r="T300" s="48" t="str">
        <f aca="false">IF((E300="r"),H300," ")</f>
        <v> </v>
      </c>
      <c r="U300" s="48" t="str">
        <f aca="false">IF((E300="p"),H300," ")</f>
        <v> </v>
      </c>
      <c r="V300" s="48" t="str">
        <f aca="false">IF((E300="t"),H300," ")</f>
        <v> </v>
      </c>
      <c r="W300" s="48" t="str">
        <f aca="false">IF((E300="q"),H300," ")</f>
        <v> </v>
      </c>
      <c r="X300" s="48" t="str">
        <f aca="false">IF((E300="m"),H300," ")</f>
        <v> </v>
      </c>
      <c r="Y300" s="48" t="str">
        <f aca="false">IF((E300="u"),H300," ")</f>
        <v> </v>
      </c>
      <c r="Z300" s="48" t="str">
        <f aca="false">IF((E300="a"),H300," ")</f>
        <v> </v>
      </c>
      <c r="AA300" s="48" t="str">
        <f aca="false">IF((E300="g"),H300," ")</f>
        <v> </v>
      </c>
      <c r="AB300" s="48" t="str">
        <f aca="false">IF((E300="h"),H300," ")</f>
        <v> </v>
      </c>
      <c r="AC300" s="46" t="str">
        <f aca="false">IF((E300="v"),H300," ")</f>
        <v> </v>
      </c>
      <c r="AD300" s="46" t="str">
        <f aca="false">IF((E300="n"),H300," ")</f>
        <v> </v>
      </c>
      <c r="AE300" s="48" t="str">
        <f aca="false">IF((E300="f"),H300," ")</f>
        <v> </v>
      </c>
      <c r="AF300" s="48" t="str">
        <f aca="false">IF((E300="l"),H300," ")</f>
        <v> </v>
      </c>
      <c r="AG300" s="48" t="str">
        <f aca="false">IF((E300="y"),H300," ")</f>
        <v> </v>
      </c>
      <c r="AH300" s="48" t="str">
        <f aca="false">IF((E300="z"),H300," ")</f>
        <v> </v>
      </c>
      <c r="AI300" s="48" t="str">
        <f aca="false">IF((E300="fa"),H300," ")</f>
        <v> </v>
      </c>
      <c r="AJ300" s="48" t="str">
        <f aca="false">IF((E300="e"),H300," ")</f>
        <v> </v>
      </c>
      <c r="AK300" s="48"/>
      <c r="AL300" s="48"/>
    </row>
    <row r="301" customFormat="false" ht="12" hidden="false" customHeight="false" outlineLevel="0" collapsed="false">
      <c r="A301" s="28"/>
    </row>
  </sheetData>
  <mergeCells count="36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customFormat="false" ht="12.75" hidden="false" customHeight="true" outlineLevel="0" collapsed="false">
      <c r="A1" s="9" t="s">
        <v>261</v>
      </c>
      <c r="B1" s="9"/>
      <c r="C1" s="10" t="n">
        <f aca="false">-SUM([1]TrialBalance!$EJ$28:$EJ$31)</f>
        <v>11182.25</v>
      </c>
      <c r="D1" s="11" t="s">
        <v>1</v>
      </c>
      <c r="E1" s="11"/>
      <c r="F1" s="12" t="n">
        <f aca="false">SUM(F2:F200)</f>
        <v>0</v>
      </c>
      <c r="G1" s="12" t="n">
        <f aca="false">SUM(G5:G300)</f>
        <v>0</v>
      </c>
      <c r="H1" s="12" t="n">
        <f aca="false">SUM(H2:H200)</f>
        <v>1710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46294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</row>
    <row r="2" customFormat="fals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IF([2]Sep!$G$4&gt;0,0,[2]Sep!$G$2)</f>
        <v>20</v>
      </c>
      <c r="H2" s="19" t="s">
        <v>8</v>
      </c>
      <c r="I2" s="13"/>
      <c r="J2" s="14"/>
      <c r="K2" s="23" t="s">
        <v>9</v>
      </c>
      <c r="L2" s="23"/>
      <c r="M2" s="23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</row>
    <row r="3" customFormat="fals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</row>
    <row r="4" customFormat="fals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customFormat="false" ht="12" hidden="false" customHeight="false" outlineLevel="0" collapsed="false">
      <c r="A5" s="28"/>
      <c r="B5" s="5" t="s">
        <v>14</v>
      </c>
      <c r="C5" s="29" t="s">
        <v>262</v>
      </c>
      <c r="D5" s="5"/>
      <c r="E5" s="2"/>
      <c r="F5" s="30"/>
      <c r="G5" s="6" t="str">
        <f aca="false">IF(F5&lt;&gt;0,F5*G$2/(100+G$2)," ")</f>
        <v> </v>
      </c>
      <c r="H5" s="6" t="n">
        <v>1200</v>
      </c>
      <c r="I5" s="5"/>
      <c r="L5" s="7" t="str">
        <f aca="false">IF(F5&lt;&gt;0,F5-K5," ")</f>
        <v> </v>
      </c>
      <c r="M5" s="8" t="str">
        <f aca="false">IF((F5-K5)&lt;&gt;0,M$1-A5," ")</f>
        <v> 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" hidden="false" customHeight="false" outlineLevel="0" collapsed="false">
      <c r="A6" s="28"/>
      <c r="B6" s="2" t="s">
        <v>16</v>
      </c>
      <c r="C6" s="3" t="s">
        <v>263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135</v>
      </c>
      <c r="C7" s="3" t="s">
        <v>264</v>
      </c>
      <c r="E7" s="2"/>
      <c r="G7" s="6" t="str">
        <f aca="false">IF(F7&lt;&gt;0,F7*G$2/(100+G$2)," ")</f>
        <v> </v>
      </c>
      <c r="H7" s="6" t="n">
        <v>60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265</v>
      </c>
      <c r="E8" s="2"/>
      <c r="G8" s="6" t="str">
        <f aca="false">IF(F8&lt;&gt;0,F8*G$2/(100+G$2)," ")</f>
        <v> </v>
      </c>
      <c r="H8" s="6" t="n">
        <v>150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1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2"/>
      <c r="B200" s="33"/>
      <c r="C200" s="34"/>
      <c r="D200" s="35"/>
      <c r="E200" s="33"/>
      <c r="F200" s="36"/>
      <c r="G200" s="36" t="str">
        <f aca="false">IF(F200&lt;&gt;0,F200*G$2/(100+G$2)," ")</f>
        <v> </v>
      </c>
      <c r="H200" s="36" t="str">
        <f aca="false">IF((F200&lt;&gt;0),F200-G200," ")</f>
        <v> </v>
      </c>
      <c r="J200" s="36"/>
      <c r="K200" s="36"/>
      <c r="L200" s="37" t="str">
        <f aca="false">IF(F200&lt;&gt;0,F200-K200," ")</f>
        <v> </v>
      </c>
      <c r="M200" s="38" t="str">
        <f aca="false">IF((F200-K200)&lt;&gt;0,M$1-A200," ")</f>
        <v> 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2007-03-02T12:17:48Z</cp:lastPrinted>
  <dcterms:modified xsi:type="dcterms:W3CDTF">2025-04-03T23:05:38Z</dcterms:modified>
  <cp:revision>0</cp:revision>
  <dc:subject/>
  <dc:title>0607 Purchases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