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<sst xmlns="http://schemas.openxmlformats.org/spreadsheetml/2006/main" count="2419" uniqueCount="266">
  <si>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</si>
  <si>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</si>
  <si>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</si>
  <si>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</si>
  <si>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</si>
  <si>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</si>
  <si>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</si>
  <si>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</si>
  <si>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</si>
  <si>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</si>
  <si>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</si>
  <si>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</si>
  <si>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</si>
  <si>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</si>
  <si>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</si>
  <si>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</si>
  <si>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</si>
  <si>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</si>
  <si>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</si>
  <si>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</si>
  <si>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</si>
  <si>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</si>
  <si>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</si>
  <si>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</si>
  <si>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</si>
  <si>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</si>
  <si>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</si>
  <si>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</si>
  <si>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</si>
  <si>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</si>
  <si>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</si>
  <si>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</si>
  <si>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</si>
  <si>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</si>
  <si>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</si>
  <si>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</si>
  <si>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</si>
  <si>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</si>
  <si>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</si>
  <si>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</si>
  <si>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</si>
  <si>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</si>
  <si>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</si>
  <si>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Business Entertainment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</si>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</sst>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-11182.25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customFormat="fals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46299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/>
      <c r="B5" s="5" t="s">
        <v>14</v>
      </c>
      <c r="C5" s="29" t="s">
        <v>15</v>
      </c>
      <c r="D5" s="5"/>
      <c r="E5" s="2"/>
      <c r="F5" s="30"/>
      <c r="G5" s="6" t="str">
        <f aca="false">IF(F5&lt;&gt;0,F5*G$2/(100+G$2)," ")</f>
        <v> </v>
      </c>
      <c r="H5" s="6" t="n">
        <v>1200</v>
      </c>
      <c r="I5" s="5"/>
      <c r="L5" s="7" t="str">
        <f aca="false">IF(F5&lt;&gt;0,F5-K5," ")</f>
        <v> </v>
      </c>
      <c r="M5" s="8" t="str">
        <f aca="false">IF((F5-K5)&lt;&gt;0,M$1-A5," ")</f>
        <v> 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46299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46327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-28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46327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46327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46327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46327</v>
      </c>
      <c r="B9" s="2" t="s">
        <v>88</v>
      </c>
      <c r="D9" s="2" t="s">
        <v>89</v>
      </c>
      <c r="E9" s="2" t="s">
        <v>90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-28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91</v>
      </c>
    </row>
    <row r="10" customFormat="false" ht="12" hidden="false" customHeight="false" outlineLevel="0" collapsed="false">
      <c r="A10" s="28" t="n">
        <v>46327</v>
      </c>
      <c r="B10" s="2" t="s">
        <v>92</v>
      </c>
      <c r="D10" s="2" t="s">
        <v>93</v>
      </c>
      <c r="E10" s="2" t="s">
        <v>86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87</v>
      </c>
    </row>
    <row r="11" customFormat="false" ht="12" hidden="false" customHeight="false" outlineLevel="0" collapsed="false">
      <c r="A11" s="28" t="n">
        <v>46327</v>
      </c>
      <c r="B11" s="2" t="s">
        <v>94</v>
      </c>
      <c r="D11" s="2" t="s">
        <v>95</v>
      </c>
      <c r="E11" s="2" t="s">
        <v>80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81</v>
      </c>
    </row>
    <row r="12" customFormat="false" ht="12" hidden="false" customHeight="false" outlineLevel="0" collapsed="false">
      <c r="A12" s="28" t="n">
        <v>46329</v>
      </c>
      <c r="B12" s="2" t="s">
        <v>96</v>
      </c>
      <c r="D12" s="2" t="s">
        <v>97</v>
      </c>
      <c r="E12" s="2" t="s">
        <v>86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87</v>
      </c>
    </row>
    <row r="13" customFormat="false" ht="12" hidden="false" customHeight="false" outlineLevel="0" collapsed="false">
      <c r="A13" s="28" t="n">
        <v>46329</v>
      </c>
      <c r="B13" s="2" t="s">
        <v>98</v>
      </c>
      <c r="D13" s="2" t="s">
        <v>99</v>
      </c>
      <c r="E13" s="2" t="s">
        <v>100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46331</v>
      </c>
      <c r="B14" s="2" t="s">
        <v>102</v>
      </c>
      <c r="D14" s="2" t="s">
        <v>103</v>
      </c>
      <c r="E14" s="2" t="s">
        <v>100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-32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101</v>
      </c>
    </row>
    <row r="15" customFormat="false" ht="12" hidden="false" customHeight="false" outlineLevel="0" collapsed="false">
      <c r="A15" s="28" t="n">
        <v>46331</v>
      </c>
      <c r="B15" s="2" t="s">
        <v>104</v>
      </c>
      <c r="D15" s="2" t="s">
        <v>105</v>
      </c>
      <c r="E15" s="2" t="s">
        <v>106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107</v>
      </c>
    </row>
    <row r="16" customFormat="false" ht="12" hidden="false" customHeight="false" outlineLevel="0" collapsed="false">
      <c r="A16" s="28" t="n">
        <v>46331</v>
      </c>
      <c r="B16" s="2" t="s">
        <v>108</v>
      </c>
      <c r="D16" s="2" t="s">
        <v>109</v>
      </c>
      <c r="E16" s="2" t="s">
        <v>86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87</v>
      </c>
    </row>
    <row r="17" customFormat="false" ht="12" hidden="false" customHeight="false" outlineLevel="0" collapsed="false">
      <c r="A17" s="28" t="n">
        <v>46334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46336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46336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46336</v>
      </c>
      <c r="B20" s="2" t="s">
        <v>120</v>
      </c>
      <c r="D20" s="2" t="s">
        <v>121</v>
      </c>
      <c r="E20" s="2" t="s">
        <v>122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-37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46338</v>
      </c>
      <c r="B21" s="2" t="s">
        <v>124</v>
      </c>
      <c r="D21" s="2" t="s">
        <v>125</v>
      </c>
      <c r="E21" s="2" t="s">
        <v>106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46340</v>
      </c>
      <c r="B22" s="2" t="s">
        <v>126</v>
      </c>
      <c r="D22" s="2" t="s">
        <v>127</v>
      </c>
      <c r="E22" s="2" t="s">
        <v>100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-41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101</v>
      </c>
    </row>
    <row r="23" customFormat="false" ht="12" hidden="false" customHeight="false" outlineLevel="0" collapsed="false">
      <c r="A23" s="28" t="n">
        <v>46340</v>
      </c>
      <c r="B23" s="2" t="s">
        <v>128</v>
      </c>
      <c r="D23" s="2" t="s">
        <v>129</v>
      </c>
      <c r="E23" s="2" t="s">
        <v>112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46340</v>
      </c>
      <c r="B24" s="2" t="s">
        <v>130</v>
      </c>
      <c r="D24" s="2" t="s">
        <v>131</v>
      </c>
      <c r="E24" s="2" t="s">
        <v>112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-41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113</v>
      </c>
    </row>
    <row r="25" customFormat="false" ht="12" hidden="false" customHeight="false" outlineLevel="0" collapsed="false">
      <c r="A25" s="28" t="n">
        <v>46341</v>
      </c>
      <c r="B25" s="2" t="s">
        <v>20</v>
      </c>
      <c r="D25" s="2" t="s">
        <v>105</v>
      </c>
      <c r="E25" s="2" t="s">
        <v>106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107</v>
      </c>
    </row>
    <row r="26" customFormat="false" ht="12" hidden="false" customHeight="false" outlineLevel="0" collapsed="false">
      <c r="A26" s="28" t="n">
        <v>46341</v>
      </c>
      <c r="B26" s="2" t="s">
        <v>132</v>
      </c>
      <c r="D26" s="2" t="s">
        <v>133</v>
      </c>
      <c r="E26" s="2" t="s">
        <v>80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-42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46344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46346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-47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46346</v>
      </c>
      <c r="B29" s="2" t="s">
        <v>137</v>
      </c>
      <c r="D29" s="2" t="s">
        <v>138</v>
      </c>
      <c r="E29" s="2" t="s">
        <v>139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140</v>
      </c>
    </row>
    <row r="30" customFormat="false" ht="12" hidden="false" customHeight="false" outlineLevel="0" collapsed="false">
      <c r="A30" s="28" t="n">
        <v>46347</v>
      </c>
      <c r="B30" s="2" t="s">
        <v>141</v>
      </c>
      <c r="D30" s="2" t="s">
        <v>142</v>
      </c>
      <c r="E30" s="2" t="s">
        <v>112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113</v>
      </c>
    </row>
    <row r="31" customFormat="false" ht="12" hidden="false" customHeight="false" outlineLevel="0" collapsed="false">
      <c r="A31" s="28" t="n">
        <v>46348</v>
      </c>
      <c r="B31" s="2" t="s">
        <v>143</v>
      </c>
      <c r="D31" s="2" t="s">
        <v>144</v>
      </c>
      <c r="E31" s="2" t="s">
        <v>100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46351</v>
      </c>
      <c r="B32" s="2" t="s">
        <v>145</v>
      </c>
      <c r="D32" s="2" t="s">
        <v>146</v>
      </c>
      <c r="E32" s="2" t="s">
        <v>100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-52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46351</v>
      </c>
      <c r="B33" s="2" t="s">
        <v>147</v>
      </c>
      <c r="D33" s="2" t="s">
        <v>148</v>
      </c>
      <c r="E33" s="2" t="s">
        <v>106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-52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46354</v>
      </c>
      <c r="B34" s="2" t="s">
        <v>20</v>
      </c>
      <c r="D34" s="2" t="s">
        <v>149</v>
      </c>
      <c r="E34" s="2" t="s">
        <v>106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46356</v>
      </c>
      <c r="B35" s="2" t="s">
        <v>16</v>
      </c>
      <c r="D35" s="2" t="s">
        <v>150</v>
      </c>
      <c r="E35" s="2" t="s">
        <v>151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-57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152</v>
      </c>
    </row>
    <row r="36" customFormat="false" ht="12" hidden="false" customHeight="false" outlineLevel="0" collapsed="false">
      <c r="A36" s="28"/>
      <c r="E36" s="2" t="str">
        <f aca="false">IF((F36&lt;&gt;0),"Enter Letter"," ")</f>
        <v> </v>
      </c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</row>
    <row r="37" customFormat="false" ht="12" hidden="false" customHeight="false" outlineLevel="0" collapsed="false">
      <c r="A37" s="28"/>
      <c r="E37" s="2" t="str">
        <f aca="false">IF((F37&lt;&gt;0),"Enter Letter"," ")</f>
        <v> </v>
      </c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</row>
    <row r="38" customFormat="false" ht="12" hidden="false" customHeight="false" outlineLevel="0" collapsed="false">
      <c r="A38" s="28"/>
      <c r="E38" s="2" t="str">
        <f aca="false">IF((F38&lt;&gt;0),"Enter Letter"," ")</f>
        <v> </v>
      </c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46299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46357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-58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46357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-58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46357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-58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46357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-58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46357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-58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46357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-58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46359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46359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46361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-62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46361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-62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46362</v>
      </c>
      <c r="B15" s="2" t="s">
        <v>153</v>
      </c>
      <c r="D15" s="2" t="s">
        <v>154</v>
      </c>
      <c r="E15" s="2" t="s">
        <v>112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-63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46364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-65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46364</v>
      </c>
      <c r="B17" s="2" t="s">
        <v>155</v>
      </c>
      <c r="D17" s="2" t="s">
        <v>156</v>
      </c>
      <c r="E17" s="2" t="s">
        <v>157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-65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158</v>
      </c>
    </row>
    <row r="18" customFormat="false" ht="12" hidden="false" customHeight="false" outlineLevel="0" collapsed="false">
      <c r="A18" s="28" t="n">
        <v>46366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-67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46366</v>
      </c>
      <c r="B19" s="2" t="s">
        <v>159</v>
      </c>
      <c r="D19" s="2" t="s">
        <v>160</v>
      </c>
      <c r="E19" s="2" t="s">
        <v>161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-67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162</v>
      </c>
    </row>
    <row r="20" customFormat="false" ht="12" hidden="false" customHeight="false" outlineLevel="0" collapsed="false">
      <c r="A20" s="28" t="n">
        <v>46368</v>
      </c>
      <c r="B20" s="2" t="s">
        <v>124</v>
      </c>
      <c r="D20" s="2" t="s">
        <v>125</v>
      </c>
      <c r="E20" s="2" t="s">
        <v>106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-69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107</v>
      </c>
    </row>
    <row r="21" customFormat="false" ht="12" hidden="false" customHeight="false" outlineLevel="0" collapsed="false">
      <c r="A21" s="28" t="n">
        <v>46370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-71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46370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-71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46371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-72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46371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-72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46371</v>
      </c>
      <c r="B25" s="2" t="s">
        <v>163</v>
      </c>
      <c r="D25" s="2" t="s">
        <v>164</v>
      </c>
      <c r="E25" s="2" t="s">
        <v>122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-72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123</v>
      </c>
    </row>
    <row r="26" customFormat="false" ht="12" hidden="false" customHeight="false" outlineLevel="0" collapsed="false">
      <c r="A26" s="28" t="n">
        <v>46371</v>
      </c>
      <c r="B26" s="2" t="s">
        <v>165</v>
      </c>
      <c r="C26" s="3" t="s">
        <v>166</v>
      </c>
      <c r="D26" s="2" t="s">
        <v>167</v>
      </c>
      <c r="E26" s="2" t="s">
        <v>168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-72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AJ26" s="17" t="str">
        <f aca="false">IF((E26="e"),H26," ")</f>
        <v> </v>
      </c>
      <c r="BZ26" s="2" t="s">
        <v>169</v>
      </c>
    </row>
    <row r="27" customFormat="false" ht="12" hidden="false" customHeight="false" outlineLevel="0" collapsed="false">
      <c r="A27" s="28" t="n">
        <v>46372</v>
      </c>
      <c r="B27" s="2" t="s">
        <v>170</v>
      </c>
      <c r="D27" s="2" t="s">
        <v>171</v>
      </c>
      <c r="E27" s="2" t="s">
        <v>80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-73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81</v>
      </c>
    </row>
    <row r="28" customFormat="false" ht="12" hidden="false" customHeight="false" outlineLevel="0" collapsed="false">
      <c r="A28" s="28" t="n">
        <v>46374</v>
      </c>
      <c r="B28" s="2" t="s">
        <v>134</v>
      </c>
      <c r="D28" s="2" t="s">
        <v>105</v>
      </c>
      <c r="E28" s="2" t="s">
        <v>106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-75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107</v>
      </c>
    </row>
    <row r="29" customFormat="false" ht="12" hidden="false" customHeight="false" outlineLevel="0" collapsed="false">
      <c r="A29" s="28" t="n">
        <v>46376</v>
      </c>
      <c r="B29" s="2" t="s">
        <v>135</v>
      </c>
      <c r="D29" s="2" t="s">
        <v>136</v>
      </c>
      <c r="E29" s="2" t="s">
        <v>80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-77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81</v>
      </c>
    </row>
    <row r="30" customFormat="false" ht="12" hidden="false" customHeight="false" outlineLevel="0" collapsed="false">
      <c r="A30" s="28" t="n">
        <v>46376</v>
      </c>
      <c r="B30" s="2" t="s">
        <v>172</v>
      </c>
      <c r="D30" s="2" t="s">
        <v>173</v>
      </c>
      <c r="E30" s="2" t="s">
        <v>174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-77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175</v>
      </c>
    </row>
    <row r="31" customFormat="false" ht="12" hidden="false" customHeight="false" outlineLevel="0" collapsed="false">
      <c r="A31" s="28" t="n">
        <v>46376</v>
      </c>
      <c r="B31" s="2" t="s">
        <v>176</v>
      </c>
      <c r="D31" s="2" t="s">
        <v>177</v>
      </c>
      <c r="E31" s="2" t="s">
        <v>122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-77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123</v>
      </c>
    </row>
    <row r="32" customFormat="false" ht="12" hidden="false" customHeight="false" outlineLevel="0" collapsed="false">
      <c r="A32" s="28" t="n">
        <v>46377</v>
      </c>
      <c r="B32" s="2" t="s">
        <v>141</v>
      </c>
      <c r="D32" s="2" t="s">
        <v>142</v>
      </c>
      <c r="E32" s="2" t="s">
        <v>112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-78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113</v>
      </c>
    </row>
    <row r="33" customFormat="false" ht="12" hidden="false" customHeight="false" outlineLevel="0" collapsed="false">
      <c r="A33" s="28" t="n">
        <v>46378</v>
      </c>
      <c r="B33" s="2" t="s">
        <v>143</v>
      </c>
      <c r="D33" s="2" t="s">
        <v>144</v>
      </c>
      <c r="E33" s="2" t="s">
        <v>100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-79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46378</v>
      </c>
      <c r="B34" s="2" t="s">
        <v>178</v>
      </c>
      <c r="D34" s="2" t="s">
        <v>179</v>
      </c>
      <c r="E34" s="2" t="s">
        <v>106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-79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46381</v>
      </c>
      <c r="B35" s="2" t="s">
        <v>145</v>
      </c>
      <c r="D35" s="2" t="s">
        <v>146</v>
      </c>
      <c r="E35" s="2" t="s">
        <v>100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-82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101</v>
      </c>
    </row>
    <row r="36" customFormat="false" ht="12" hidden="false" customHeight="false" outlineLevel="0" collapsed="false">
      <c r="A36" s="28" t="n">
        <v>46381</v>
      </c>
      <c r="B36" s="2" t="s">
        <v>147</v>
      </c>
      <c r="D36" s="2" t="s">
        <v>180</v>
      </c>
      <c r="E36" s="2" t="s">
        <v>106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-82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46384</v>
      </c>
      <c r="B37" s="2" t="s">
        <v>20</v>
      </c>
      <c r="D37" s="2" t="s">
        <v>149</v>
      </c>
      <c r="E37" s="2" t="s">
        <v>106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-85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107</v>
      </c>
    </row>
    <row r="38" customFormat="false" ht="12" hidden="false" customHeight="false" outlineLevel="0" collapsed="false">
      <c r="A38" s="28" t="n">
        <v>46387</v>
      </c>
      <c r="B38" s="2" t="s">
        <v>16</v>
      </c>
      <c r="D38" s="2" t="s">
        <v>150</v>
      </c>
      <c r="E38" s="2" t="s">
        <v>151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-88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  <c r="BZ38" s="2" t="s">
        <v>152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46299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12" t="n">
        <f aca="false">SUM(AJ5:AJ300)</f>
        <v>0</v>
      </c>
      <c r="AK1" s="12" t="n">
        <f aca="false">SUM(AK5:AK300)</f>
        <v>1000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46388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-89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46388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46388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46388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46388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46388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46390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-91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46390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46392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-93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46392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-93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46392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-93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46395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-96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46397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-98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46397</v>
      </c>
      <c r="B18" s="2" t="s">
        <v>181</v>
      </c>
      <c r="D18" s="2" t="s">
        <v>182</v>
      </c>
      <c r="E18" s="2" t="s">
        <v>80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81</v>
      </c>
    </row>
    <row r="19" customFormat="false" ht="12" hidden="false" customHeight="false" outlineLevel="0" collapsed="false">
      <c r="A19" s="28" t="n">
        <v>46399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46401</v>
      </c>
      <c r="B20" s="2" t="s">
        <v>126</v>
      </c>
      <c r="D20" s="2" t="s">
        <v>127</v>
      </c>
      <c r="E20" s="2" t="s">
        <v>100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-102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101</v>
      </c>
    </row>
    <row r="21" customFormat="false" ht="12" hidden="false" customHeight="false" outlineLevel="0" collapsed="false">
      <c r="A21" s="28" t="n">
        <v>46401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46401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-102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46402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-103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46402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-103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46402</v>
      </c>
      <c r="B25" s="2" t="s">
        <v>183</v>
      </c>
      <c r="C25" s="3" t="s">
        <v>184</v>
      </c>
      <c r="D25" s="2" t="s">
        <v>185</v>
      </c>
      <c r="E25" s="2" t="s">
        <v>186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-103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AK25" s="17" t="n">
        <v>1000</v>
      </c>
      <c r="BZ25" s="2" t="s">
        <v>187</v>
      </c>
    </row>
    <row r="26" customFormat="false" ht="12" hidden="false" customHeight="false" outlineLevel="0" collapsed="false">
      <c r="A26" s="28" t="n">
        <v>46405</v>
      </c>
      <c r="B26" s="2" t="s">
        <v>188</v>
      </c>
      <c r="D26" s="2" t="s">
        <v>189</v>
      </c>
      <c r="E26" s="2" t="s">
        <v>112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-106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113</v>
      </c>
    </row>
    <row r="27" customFormat="false" ht="12" hidden="false" customHeight="false" outlineLevel="0" collapsed="false">
      <c r="A27" s="28" t="n">
        <v>46405</v>
      </c>
      <c r="B27" s="2" t="s">
        <v>190</v>
      </c>
      <c r="D27" s="2" t="s">
        <v>191</v>
      </c>
      <c r="E27" s="2" t="s">
        <v>122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-106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123</v>
      </c>
    </row>
    <row r="28" customFormat="false" ht="12" hidden="false" customHeight="false" outlineLevel="0" collapsed="false">
      <c r="A28" s="28" t="n">
        <v>46405</v>
      </c>
      <c r="B28" s="2" t="s">
        <v>134</v>
      </c>
      <c r="D28" s="2" t="s">
        <v>105</v>
      </c>
      <c r="E28" s="2" t="s">
        <v>106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-106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107</v>
      </c>
    </row>
    <row r="29" customFormat="false" ht="12" hidden="false" customHeight="false" outlineLevel="0" collapsed="false">
      <c r="A29" s="28" t="n">
        <v>46407</v>
      </c>
      <c r="B29" s="2" t="s">
        <v>135</v>
      </c>
      <c r="D29" s="2" t="s">
        <v>136</v>
      </c>
      <c r="E29" s="2" t="s">
        <v>80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-108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81</v>
      </c>
    </row>
    <row r="30" customFormat="false" ht="12" hidden="false" customHeight="false" outlineLevel="0" collapsed="false">
      <c r="A30" s="28" t="n">
        <v>46408</v>
      </c>
      <c r="B30" s="2" t="s">
        <v>141</v>
      </c>
      <c r="D30" s="2" t="s">
        <v>142</v>
      </c>
      <c r="E30" s="2" t="s">
        <v>112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-109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113</v>
      </c>
    </row>
    <row r="31" customFormat="false" ht="12" hidden="false" customHeight="false" outlineLevel="0" collapsed="false">
      <c r="A31" s="28" t="n">
        <v>46409</v>
      </c>
      <c r="B31" s="2" t="s">
        <v>143</v>
      </c>
      <c r="D31" s="2" t="s">
        <v>144</v>
      </c>
      <c r="E31" s="2" t="s">
        <v>100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-110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46412</v>
      </c>
      <c r="B32" s="2" t="s">
        <v>192</v>
      </c>
      <c r="D32" s="2" t="s">
        <v>193</v>
      </c>
      <c r="E32" s="2" t="s">
        <v>194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-113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195</v>
      </c>
    </row>
    <row r="33" customFormat="false" ht="12" hidden="false" customHeight="false" outlineLevel="0" collapsed="false">
      <c r="A33" s="28" t="n">
        <v>46412</v>
      </c>
      <c r="B33" s="2" t="s">
        <v>145</v>
      </c>
      <c r="D33" s="2" t="s">
        <v>146</v>
      </c>
      <c r="E33" s="2" t="s">
        <v>100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-113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46412</v>
      </c>
      <c r="B34" s="2" t="s">
        <v>147</v>
      </c>
      <c r="D34" s="2" t="s">
        <v>196</v>
      </c>
      <c r="E34" s="2" t="s">
        <v>106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-113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46415</v>
      </c>
      <c r="B35" s="2" t="s">
        <v>20</v>
      </c>
      <c r="D35" s="2" t="s">
        <v>149</v>
      </c>
      <c r="E35" s="2" t="s">
        <v>106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46417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-118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46417</v>
      </c>
      <c r="B37" s="2" t="s">
        <v>197</v>
      </c>
      <c r="C37" s="3" t="s">
        <v>198</v>
      </c>
      <c r="D37" s="2" t="s">
        <v>199</v>
      </c>
      <c r="E37" s="2" t="s">
        <v>151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-118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200</v>
      </c>
    </row>
    <row r="38" customFormat="false" ht="12" hidden="false" customHeight="false" outlineLevel="0" collapsed="false">
      <c r="A38" s="28" t="n">
        <v>46388</v>
      </c>
      <c r="B38" s="2" t="s">
        <v>201</v>
      </c>
      <c r="C38" s="3" t="s">
        <v>202</v>
      </c>
      <c r="D38" s="2" t="s">
        <v>203</v>
      </c>
      <c r="E38" s="2" t="s">
        <v>168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-89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AJ38" s="17" t="str">
        <f aca="false">IF((E38="e"),H38," ")</f>
        <v> </v>
      </c>
      <c r="BZ38" s="2" t="s">
        <v>169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46299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46419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-120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46419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46419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46419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46419</v>
      </c>
      <c r="B9" s="2" t="s">
        <v>204</v>
      </c>
      <c r="D9" s="2" t="s">
        <v>205</v>
      </c>
      <c r="E9" s="2" t="s">
        <v>206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-120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AJ9" s="17" t="str">
        <f aca="false">IF((E9="e"),H9," ")</f>
        <v> </v>
      </c>
      <c r="BZ9" s="2" t="s">
        <v>207</v>
      </c>
    </row>
    <row r="10" customFormat="false" ht="12" hidden="false" customHeight="false" outlineLevel="0" collapsed="false">
      <c r="A10" s="28" t="n">
        <v>46419</v>
      </c>
      <c r="B10" s="2" t="s">
        <v>92</v>
      </c>
      <c r="D10" s="2" t="s">
        <v>93</v>
      </c>
      <c r="E10" s="2" t="s">
        <v>86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-120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87</v>
      </c>
    </row>
    <row r="11" customFormat="false" ht="12" hidden="false" customHeight="false" outlineLevel="0" collapsed="false">
      <c r="A11" s="28" t="n">
        <v>46419</v>
      </c>
      <c r="B11" s="2" t="s">
        <v>94</v>
      </c>
      <c r="D11" s="2" t="s">
        <v>95</v>
      </c>
      <c r="E11" s="2" t="s">
        <v>80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-120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81</v>
      </c>
    </row>
    <row r="12" customFormat="false" ht="12" hidden="false" customHeight="false" outlineLevel="0" collapsed="false">
      <c r="A12" s="28" t="n">
        <v>46421</v>
      </c>
      <c r="B12" s="2" t="s">
        <v>96</v>
      </c>
      <c r="D12" s="2" t="s">
        <v>97</v>
      </c>
      <c r="E12" s="2" t="s">
        <v>86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-122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87</v>
      </c>
    </row>
    <row r="13" customFormat="false" ht="12" hidden="false" customHeight="false" outlineLevel="0" collapsed="false">
      <c r="A13" s="28" t="n">
        <v>46421</v>
      </c>
      <c r="B13" s="2" t="s">
        <v>98</v>
      </c>
      <c r="D13" s="2" t="s">
        <v>99</v>
      </c>
      <c r="E13" s="2" t="s">
        <v>100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-122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46423</v>
      </c>
      <c r="B14" s="2" t="s">
        <v>102</v>
      </c>
      <c r="D14" s="2" t="s">
        <v>103</v>
      </c>
      <c r="E14" s="2" t="s">
        <v>100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-124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101</v>
      </c>
    </row>
    <row r="15" customFormat="false" ht="12" hidden="false" customHeight="false" outlineLevel="0" collapsed="false">
      <c r="A15" s="28" t="n">
        <v>46423</v>
      </c>
      <c r="B15" s="2" t="s">
        <v>208</v>
      </c>
      <c r="D15" s="2" t="s">
        <v>209</v>
      </c>
      <c r="E15" s="2" t="s">
        <v>161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-124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162</v>
      </c>
    </row>
    <row r="16" customFormat="false" ht="12" hidden="false" customHeight="false" outlineLevel="0" collapsed="false">
      <c r="A16" s="28" t="n">
        <v>46423</v>
      </c>
      <c r="B16" s="2" t="s">
        <v>104</v>
      </c>
      <c r="D16" s="2" t="s">
        <v>105</v>
      </c>
      <c r="E16" s="2" t="s">
        <v>106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-124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107</v>
      </c>
    </row>
    <row r="17" customFormat="false" ht="12" hidden="false" customHeight="false" outlineLevel="0" collapsed="false">
      <c r="A17" s="28" t="n">
        <v>46426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-127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46428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-129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46428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-129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46428</v>
      </c>
      <c r="B20" s="2" t="s">
        <v>120</v>
      </c>
      <c r="D20" s="2" t="s">
        <v>121</v>
      </c>
      <c r="E20" s="2" t="s">
        <v>122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-129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46430</v>
      </c>
      <c r="B21" s="2" t="s">
        <v>124</v>
      </c>
      <c r="D21" s="2" t="s">
        <v>125</v>
      </c>
      <c r="E21" s="2" t="s">
        <v>106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-131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46430</v>
      </c>
      <c r="B22" s="2" t="s">
        <v>210</v>
      </c>
      <c r="D22" s="2" t="s">
        <v>211</v>
      </c>
      <c r="E22" s="2" t="s">
        <v>157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-131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158</v>
      </c>
    </row>
    <row r="23" customFormat="false" ht="12" hidden="false" customHeight="false" outlineLevel="0" collapsed="false">
      <c r="A23" s="28" t="n">
        <v>46432</v>
      </c>
      <c r="B23" s="2" t="s">
        <v>128</v>
      </c>
      <c r="D23" s="2" t="s">
        <v>129</v>
      </c>
      <c r="E23" s="2" t="s">
        <v>112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-133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46432</v>
      </c>
      <c r="B24" s="2" t="s">
        <v>130</v>
      </c>
      <c r="D24" s="2" t="s">
        <v>131</v>
      </c>
      <c r="E24" s="2" t="s">
        <v>112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-133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113</v>
      </c>
    </row>
    <row r="25" customFormat="false" ht="12" hidden="false" customHeight="false" outlineLevel="0" collapsed="false">
      <c r="A25" s="28" t="n">
        <v>46433</v>
      </c>
      <c r="B25" s="2" t="s">
        <v>20</v>
      </c>
      <c r="D25" s="2" t="s">
        <v>105</v>
      </c>
      <c r="E25" s="2" t="s">
        <v>106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-134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107</v>
      </c>
    </row>
    <row r="26" customFormat="false" ht="12" hidden="false" customHeight="false" outlineLevel="0" collapsed="false">
      <c r="A26" s="28" t="n">
        <v>46433</v>
      </c>
      <c r="B26" s="2" t="s">
        <v>132</v>
      </c>
      <c r="D26" s="2" t="s">
        <v>133</v>
      </c>
      <c r="E26" s="2" t="s">
        <v>80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-134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46433</v>
      </c>
      <c r="B27" s="2" t="s">
        <v>212</v>
      </c>
      <c r="C27" s="3" t="s">
        <v>213</v>
      </c>
      <c r="D27" s="2" t="s">
        <v>214</v>
      </c>
      <c r="E27" s="2" t="s">
        <v>168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-134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AJ27" s="17" t="str">
        <f aca="false">IF((E27="e"),H27," ")</f>
        <v> </v>
      </c>
      <c r="BZ27" s="2" t="s">
        <v>169</v>
      </c>
    </row>
    <row r="28" customFormat="false" ht="12" hidden="false" customHeight="false" outlineLevel="0" collapsed="false">
      <c r="A28" s="28" t="n">
        <v>46434</v>
      </c>
      <c r="B28" s="2" t="s">
        <v>170</v>
      </c>
      <c r="D28" s="2" t="s">
        <v>171</v>
      </c>
      <c r="E28" s="2" t="s">
        <v>80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-135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46436</v>
      </c>
      <c r="B29" s="2" t="s">
        <v>134</v>
      </c>
      <c r="D29" s="2" t="s">
        <v>105</v>
      </c>
      <c r="E29" s="2" t="s">
        <v>106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-137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107</v>
      </c>
    </row>
    <row r="30" customFormat="false" ht="12" hidden="false" customHeight="false" outlineLevel="0" collapsed="false">
      <c r="A30" s="28" t="n">
        <v>46438</v>
      </c>
      <c r="B30" s="2" t="s">
        <v>135</v>
      </c>
      <c r="D30" s="2" t="s">
        <v>136</v>
      </c>
      <c r="E30" s="2" t="s">
        <v>80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-139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81</v>
      </c>
    </row>
    <row r="31" customFormat="false" ht="12" hidden="false" customHeight="false" outlineLevel="0" collapsed="false">
      <c r="A31" s="28" t="n">
        <v>46438</v>
      </c>
      <c r="B31" s="2" t="s">
        <v>215</v>
      </c>
      <c r="D31" s="2" t="s">
        <v>216</v>
      </c>
      <c r="E31" s="2" t="s">
        <v>174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-139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175</v>
      </c>
    </row>
    <row r="32" customFormat="false" ht="12" hidden="false" customHeight="false" outlineLevel="0" collapsed="false">
      <c r="A32" s="28" t="n">
        <v>46438</v>
      </c>
      <c r="B32" s="2" t="s">
        <v>137</v>
      </c>
      <c r="D32" s="2" t="s">
        <v>138</v>
      </c>
      <c r="E32" s="2" t="s">
        <v>139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-139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140</v>
      </c>
    </row>
    <row r="33" customFormat="false" ht="12" hidden="false" customHeight="false" outlineLevel="0" collapsed="false">
      <c r="A33" s="28" t="n">
        <v>46439</v>
      </c>
      <c r="B33" s="2" t="s">
        <v>141</v>
      </c>
      <c r="D33" s="2" t="s">
        <v>142</v>
      </c>
      <c r="E33" s="2" t="s">
        <v>112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-140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113</v>
      </c>
    </row>
    <row r="34" customFormat="false" ht="12" hidden="false" customHeight="false" outlineLevel="0" collapsed="false">
      <c r="A34" s="28" t="n">
        <v>46440</v>
      </c>
      <c r="B34" s="2" t="s">
        <v>143</v>
      </c>
      <c r="D34" s="2" t="s">
        <v>144</v>
      </c>
      <c r="E34" s="2" t="s">
        <v>100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-141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46443</v>
      </c>
      <c r="B35" s="2" t="s">
        <v>145</v>
      </c>
      <c r="D35" s="2" t="s">
        <v>146</v>
      </c>
      <c r="E35" s="2" t="s">
        <v>100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101</v>
      </c>
    </row>
    <row r="36" customFormat="false" ht="12" hidden="false" customHeight="false" outlineLevel="0" collapsed="false">
      <c r="A36" s="28" t="n">
        <v>46443</v>
      </c>
      <c r="B36" s="2" t="s">
        <v>147</v>
      </c>
      <c r="D36" s="2" t="s">
        <v>217</v>
      </c>
      <c r="E36" s="2" t="s">
        <v>106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-144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46446</v>
      </c>
      <c r="B37" s="2" t="s">
        <v>20</v>
      </c>
      <c r="D37" s="2" t="s">
        <v>149</v>
      </c>
      <c r="E37" s="2" t="s">
        <v>106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-147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107</v>
      </c>
    </row>
    <row r="38" customFormat="false" ht="12" hidden="false" customHeight="false" outlineLevel="0" collapsed="false">
      <c r="A38" s="28" t="n">
        <v>46446</v>
      </c>
      <c r="B38" s="2" t="s">
        <v>16</v>
      </c>
      <c r="D38" s="2" t="s">
        <v>150</v>
      </c>
      <c r="E38" s="2" t="s">
        <v>151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-147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  <c r="BZ38" s="2" t="s">
        <v>152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4755.25</v>
      </c>
      <c r="G1" s="12" t="n">
        <f aca="false">SUM(G5:G300)</f>
        <v>792.541666666667</v>
      </c>
      <c r="H1" s="12" t="n">
        <f aca="false">SUM(H5:H300)</f>
        <v>3962.70833333333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4755.25</v>
      </c>
      <c r="M1" s="16" t="n">
        <f aca="true">TODAY()</f>
        <v>46299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291.666666666667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46447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-148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46447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46447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46447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46447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46447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46449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46449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-150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46451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-152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46451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46451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-152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46452</v>
      </c>
      <c r="B16" s="2" t="s">
        <v>153</v>
      </c>
      <c r="D16" s="2" t="s">
        <v>154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46454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-155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46456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-157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46458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46460</v>
      </c>
      <c r="B20" s="2" t="s">
        <v>126</v>
      </c>
      <c r="D20" s="2" t="s">
        <v>127</v>
      </c>
      <c r="E20" s="2" t="s">
        <v>100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-161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101</v>
      </c>
    </row>
    <row r="21" customFormat="false" ht="12" hidden="false" customHeight="false" outlineLevel="0" collapsed="false">
      <c r="A21" s="28" t="n">
        <v>46460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-161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46460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-161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46461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-162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46461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-162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46461</v>
      </c>
      <c r="B25" s="2" t="s">
        <v>163</v>
      </c>
      <c r="D25" s="2" t="s">
        <v>164</v>
      </c>
      <c r="E25" s="2" t="s">
        <v>122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-162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123</v>
      </c>
    </row>
    <row r="26" customFormat="false" ht="12" hidden="false" customHeight="false" outlineLevel="0" collapsed="false">
      <c r="A26" s="28" t="n">
        <v>46464</v>
      </c>
      <c r="B26" s="2" t="s">
        <v>218</v>
      </c>
      <c r="D26" s="2" t="s">
        <v>219</v>
      </c>
      <c r="E26" s="2" t="s">
        <v>139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-165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140</v>
      </c>
    </row>
    <row r="27" customFormat="false" ht="12" hidden="false" customHeight="false" outlineLevel="0" collapsed="false">
      <c r="A27" s="28" t="n">
        <v>46464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-165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46466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-167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46466</v>
      </c>
      <c r="B29" s="2" t="s">
        <v>220</v>
      </c>
      <c r="D29" s="2" t="s">
        <v>221</v>
      </c>
      <c r="E29" s="2" t="s">
        <v>222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-167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223</v>
      </c>
    </row>
    <row r="30" customFormat="false" ht="12" hidden="false" customHeight="false" outlineLevel="0" collapsed="false">
      <c r="A30" s="28" t="n">
        <v>46466</v>
      </c>
      <c r="B30" s="2" t="s">
        <v>176</v>
      </c>
      <c r="D30" s="2" t="s">
        <v>177</v>
      </c>
      <c r="E30" s="2" t="s">
        <v>122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-167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123</v>
      </c>
    </row>
    <row r="31" customFormat="false" ht="12" hidden="false" customHeight="false" outlineLevel="0" collapsed="false">
      <c r="A31" s="28" t="n">
        <v>46467</v>
      </c>
      <c r="B31" s="2" t="s">
        <v>141</v>
      </c>
      <c r="D31" s="2" t="s">
        <v>142</v>
      </c>
      <c r="E31" s="2" t="s">
        <v>112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-168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113</v>
      </c>
    </row>
    <row r="32" customFormat="false" ht="12" hidden="false" customHeight="false" outlineLevel="0" collapsed="false">
      <c r="A32" s="28" t="n">
        <v>46468</v>
      </c>
      <c r="B32" s="2" t="s">
        <v>143</v>
      </c>
      <c r="D32" s="2" t="s">
        <v>144</v>
      </c>
      <c r="E32" s="2" t="s">
        <v>100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-169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46471</v>
      </c>
      <c r="B33" s="2" t="s">
        <v>145</v>
      </c>
      <c r="D33" s="2" t="s">
        <v>146</v>
      </c>
      <c r="E33" s="2" t="s">
        <v>100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-172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46471</v>
      </c>
      <c r="B34" s="2" t="s">
        <v>147</v>
      </c>
      <c r="D34" s="2" t="s">
        <v>148</v>
      </c>
      <c r="E34" s="2" t="s">
        <v>106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-172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46474</v>
      </c>
      <c r="B35" s="2" t="s">
        <v>20</v>
      </c>
      <c r="D35" s="2" t="s">
        <v>149</v>
      </c>
      <c r="E35" s="2" t="s">
        <v>106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46477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-178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46458</v>
      </c>
      <c r="B37" s="2" t="s">
        <v>224</v>
      </c>
      <c r="D37" s="2" t="s">
        <v>225</v>
      </c>
      <c r="E37" s="2" t="s">
        <v>226</v>
      </c>
      <c r="F37" s="30" t="n">
        <v>350</v>
      </c>
      <c r="G37" s="6" t="n">
        <f aca="false">IF(F37&lt;&gt;0,F37*G$2/(100+G$2)," ")</f>
        <v>58.3333333333333</v>
      </c>
      <c r="H37" s="6" t="n">
        <f aca="false">IF((F37&lt;&gt;0),F37-G37," ")</f>
        <v>291.666666666667</v>
      </c>
      <c r="I37" s="5"/>
      <c r="L37" s="7" t="n">
        <f aca="false">IF(F37&lt;&gt;0,F37-K37," ")</f>
        <v>350</v>
      </c>
      <c r="M37" s="8" t="n">
        <f aca="false">IF((F37-K37)&lt;&gt;0,M$1-A37," ")</f>
        <v>-159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n">
        <f aca="false">IF((E37="e"),H37," ")</f>
        <v>291.666666666667</v>
      </c>
      <c r="BZ37" s="2" t="s">
        <v>227</v>
      </c>
    </row>
    <row r="38" customFormat="false" ht="12" hidden="false" customHeight="false" outlineLevel="0" collapsed="false">
      <c r="A38" s="28"/>
      <c r="E38" s="2" t="str">
        <f aca="false">IF((F38&lt;&gt;0),"Enter Letter"," ")</f>
        <v> </v>
      </c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46299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46478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-179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46478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46478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46478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46478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46478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46480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-181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46480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-181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46482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46482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-183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46485</v>
      </c>
      <c r="B15" s="2" t="s">
        <v>110</v>
      </c>
      <c r="D15" s="2" t="s">
        <v>111</v>
      </c>
      <c r="E15" s="2" t="s">
        <v>112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-186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46485</v>
      </c>
      <c r="B16" s="2" t="s">
        <v>155</v>
      </c>
      <c r="D16" s="2" t="s">
        <v>156</v>
      </c>
      <c r="E16" s="2" t="s">
        <v>157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-186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158</v>
      </c>
    </row>
    <row r="17" customFormat="false" ht="12" hidden="false" customHeight="false" outlineLevel="0" collapsed="false">
      <c r="A17" s="28" t="n">
        <v>46487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-188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46487</v>
      </c>
      <c r="B18" s="2" t="s">
        <v>132</v>
      </c>
      <c r="D18" s="2" t="s">
        <v>228</v>
      </c>
      <c r="E18" s="2" t="s">
        <v>174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-188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175</v>
      </c>
    </row>
    <row r="19" customFormat="false" ht="12" hidden="false" customHeight="false" outlineLevel="0" collapsed="false">
      <c r="A19" s="28" t="n">
        <v>46489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-190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46491</v>
      </c>
      <c r="B20" s="2" t="s">
        <v>128</v>
      </c>
      <c r="D20" s="2" t="s">
        <v>129</v>
      </c>
      <c r="E20" s="2" t="s">
        <v>112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-192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113</v>
      </c>
    </row>
    <row r="21" customFormat="false" ht="12" hidden="false" customHeight="false" outlineLevel="0" collapsed="false">
      <c r="A21" s="28" t="n">
        <v>46491</v>
      </c>
      <c r="B21" s="2" t="s">
        <v>130</v>
      </c>
      <c r="D21" s="2" t="s">
        <v>131</v>
      </c>
      <c r="E21" s="2" t="s">
        <v>112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-192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46492</v>
      </c>
      <c r="B22" s="2" t="s">
        <v>20</v>
      </c>
      <c r="D22" s="2" t="s">
        <v>105</v>
      </c>
      <c r="E22" s="2" t="s">
        <v>106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-193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107</v>
      </c>
    </row>
    <row r="23" customFormat="false" ht="12" hidden="false" customHeight="false" outlineLevel="0" collapsed="false">
      <c r="A23" s="28" t="n">
        <v>46492</v>
      </c>
      <c r="B23" s="2" t="s">
        <v>132</v>
      </c>
      <c r="D23" s="2" t="s">
        <v>133</v>
      </c>
      <c r="E23" s="2" t="s">
        <v>80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-193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81</v>
      </c>
    </row>
    <row r="24" customFormat="false" ht="12" hidden="false" customHeight="false" outlineLevel="0" collapsed="false">
      <c r="A24" s="28" t="n">
        <v>46492</v>
      </c>
      <c r="B24" s="2" t="s">
        <v>229</v>
      </c>
      <c r="D24" s="2" t="s">
        <v>230</v>
      </c>
      <c r="E24" s="2" t="s">
        <v>151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-193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152</v>
      </c>
    </row>
    <row r="25" customFormat="false" ht="12" hidden="false" customHeight="false" outlineLevel="0" collapsed="false">
      <c r="A25" s="28" t="n">
        <v>46493</v>
      </c>
      <c r="B25" s="2" t="s">
        <v>170</v>
      </c>
      <c r="D25" s="2" t="s">
        <v>171</v>
      </c>
      <c r="E25" s="2" t="s">
        <v>80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-194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46495</v>
      </c>
      <c r="B26" s="2" t="s">
        <v>190</v>
      </c>
      <c r="D26" s="2" t="s">
        <v>191</v>
      </c>
      <c r="E26" s="2" t="s">
        <v>122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-196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123</v>
      </c>
    </row>
    <row r="27" customFormat="false" ht="12" hidden="false" customHeight="false" outlineLevel="0" collapsed="false">
      <c r="A27" s="28" t="n">
        <v>46495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-196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46497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-198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46498</v>
      </c>
      <c r="B29" s="2" t="s">
        <v>141</v>
      </c>
      <c r="D29" s="2" t="s">
        <v>142</v>
      </c>
      <c r="E29" s="2" t="s">
        <v>112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-199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113</v>
      </c>
    </row>
    <row r="30" customFormat="false" ht="12" hidden="false" customHeight="false" outlineLevel="0" collapsed="false">
      <c r="A30" s="28" t="n">
        <v>46499</v>
      </c>
      <c r="B30" s="2" t="s">
        <v>143</v>
      </c>
      <c r="D30" s="2" t="s">
        <v>144</v>
      </c>
      <c r="E30" s="2" t="s">
        <v>100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-200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101</v>
      </c>
    </row>
    <row r="31" customFormat="false" ht="12" hidden="false" customHeight="false" outlineLevel="0" collapsed="false">
      <c r="A31" s="28" t="n">
        <v>46499</v>
      </c>
      <c r="B31" s="2" t="s">
        <v>178</v>
      </c>
      <c r="D31" s="2" t="s">
        <v>179</v>
      </c>
      <c r="E31" s="2" t="s">
        <v>106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-200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107</v>
      </c>
    </row>
    <row r="32" customFormat="false" ht="12" hidden="false" customHeight="false" outlineLevel="0" collapsed="false">
      <c r="A32" s="28" t="n">
        <v>46502</v>
      </c>
      <c r="B32" s="2" t="s">
        <v>192</v>
      </c>
      <c r="D32" s="2" t="s">
        <v>193</v>
      </c>
      <c r="E32" s="2" t="s">
        <v>194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-203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195</v>
      </c>
    </row>
    <row r="33" customFormat="false" ht="12" hidden="false" customHeight="false" outlineLevel="0" collapsed="false">
      <c r="A33" s="28" t="n">
        <v>46502</v>
      </c>
      <c r="B33" s="2" t="s">
        <v>145</v>
      </c>
      <c r="D33" s="2" t="s">
        <v>146</v>
      </c>
      <c r="E33" s="2" t="s">
        <v>100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-203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46502</v>
      </c>
      <c r="B34" s="2" t="s">
        <v>147</v>
      </c>
      <c r="D34" s="2" t="s">
        <v>231</v>
      </c>
      <c r="E34" s="2" t="s">
        <v>106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-203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46505</v>
      </c>
      <c r="B35" s="2" t="s">
        <v>20</v>
      </c>
      <c r="D35" s="2" t="s">
        <v>149</v>
      </c>
      <c r="E35" s="2" t="s">
        <v>106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-206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46507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-208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46507</v>
      </c>
      <c r="B37" s="2" t="s">
        <v>197</v>
      </c>
      <c r="C37" s="3" t="s">
        <v>232</v>
      </c>
      <c r="D37" s="2" t="s">
        <v>199</v>
      </c>
      <c r="E37" s="2" t="s">
        <v>151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-208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200</v>
      </c>
    </row>
    <row r="38" customFormat="false" ht="12" hidden="false" customHeight="false" outlineLevel="0" collapsed="false">
      <c r="A38" s="28" t="n">
        <v>46478</v>
      </c>
      <c r="B38" s="2" t="s">
        <v>201</v>
      </c>
      <c r="C38" s="3" t="s">
        <v>233</v>
      </c>
      <c r="D38" s="2" t="s">
        <v>234</v>
      </c>
      <c r="E38" s="2" t="s">
        <v>168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-179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AJ38" s="17" t="str">
        <f aca="false">IF((E38="e"),H38," ")</f>
        <v> </v>
      </c>
      <c r="BZ38" s="2" t="s">
        <v>169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46299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46508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-209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46508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46508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46508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46508</v>
      </c>
      <c r="B9" s="2" t="s">
        <v>235</v>
      </c>
      <c r="D9" s="2" t="s">
        <v>236</v>
      </c>
      <c r="E9" s="2" t="s">
        <v>90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-209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91</v>
      </c>
    </row>
    <row r="10" customFormat="false" ht="12" hidden="false" customHeight="false" outlineLevel="0" collapsed="false">
      <c r="A10" s="28" t="n">
        <v>46508</v>
      </c>
      <c r="B10" s="2" t="s">
        <v>92</v>
      </c>
      <c r="D10" s="2" t="s">
        <v>93</v>
      </c>
      <c r="E10" s="2" t="s">
        <v>86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-209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87</v>
      </c>
    </row>
    <row r="11" customFormat="false" ht="12" hidden="false" customHeight="false" outlineLevel="0" collapsed="false">
      <c r="A11" s="28" t="n">
        <v>46508</v>
      </c>
      <c r="B11" s="2" t="s">
        <v>94</v>
      </c>
      <c r="D11" s="2" t="s">
        <v>95</v>
      </c>
      <c r="E11" s="2" t="s">
        <v>80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-209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81</v>
      </c>
    </row>
    <row r="12" customFormat="false" ht="12" hidden="false" customHeight="false" outlineLevel="0" collapsed="false">
      <c r="A12" s="28" t="n">
        <v>46510</v>
      </c>
      <c r="B12" s="2" t="s">
        <v>96</v>
      </c>
      <c r="D12" s="2" t="s">
        <v>97</v>
      </c>
      <c r="E12" s="2" t="s">
        <v>86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-211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87</v>
      </c>
    </row>
    <row r="13" customFormat="false" ht="12" hidden="false" customHeight="false" outlineLevel="0" collapsed="false">
      <c r="A13" s="28" t="n">
        <v>46510</v>
      </c>
      <c r="B13" s="2" t="s">
        <v>98</v>
      </c>
      <c r="D13" s="2" t="s">
        <v>99</v>
      </c>
      <c r="E13" s="2" t="s">
        <v>100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-211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46512</v>
      </c>
      <c r="B14" s="2" t="s">
        <v>102</v>
      </c>
      <c r="D14" s="2" t="s">
        <v>103</v>
      </c>
      <c r="E14" s="2" t="s">
        <v>100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-213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101</v>
      </c>
    </row>
    <row r="15" customFormat="false" ht="12" hidden="false" customHeight="false" outlineLevel="0" collapsed="false">
      <c r="A15" s="28" t="n">
        <v>46512</v>
      </c>
      <c r="B15" s="2" t="s">
        <v>104</v>
      </c>
      <c r="D15" s="2" t="s">
        <v>105</v>
      </c>
      <c r="E15" s="2" t="s">
        <v>106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-213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107</v>
      </c>
    </row>
    <row r="16" customFormat="false" ht="12" hidden="false" customHeight="false" outlineLevel="0" collapsed="false">
      <c r="A16" s="28" t="n">
        <v>46512</v>
      </c>
      <c r="B16" s="2" t="s">
        <v>108</v>
      </c>
      <c r="D16" s="2" t="s">
        <v>109</v>
      </c>
      <c r="E16" s="2" t="s">
        <v>86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-213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87</v>
      </c>
    </row>
    <row r="17" customFormat="false" ht="12" hidden="false" customHeight="false" outlineLevel="0" collapsed="false">
      <c r="A17" s="28" t="n">
        <v>46515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-216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46517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-218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46517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-218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46517</v>
      </c>
      <c r="B20" s="2" t="s">
        <v>120</v>
      </c>
      <c r="D20" s="2" t="s">
        <v>121</v>
      </c>
      <c r="E20" s="2" t="s">
        <v>122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-218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46517</v>
      </c>
      <c r="B21" s="2" t="s">
        <v>159</v>
      </c>
      <c r="D21" s="2" t="s">
        <v>237</v>
      </c>
      <c r="E21" s="2" t="s">
        <v>161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-218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162</v>
      </c>
    </row>
    <row r="22" customFormat="false" ht="12" hidden="false" customHeight="false" outlineLevel="0" collapsed="false">
      <c r="A22" s="28" t="n">
        <v>46519</v>
      </c>
      <c r="B22" s="2" t="s">
        <v>124</v>
      </c>
      <c r="D22" s="2" t="s">
        <v>125</v>
      </c>
      <c r="E22" s="2" t="s">
        <v>106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-220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107</v>
      </c>
    </row>
    <row r="23" customFormat="false" ht="12" hidden="false" customHeight="false" outlineLevel="0" collapsed="false">
      <c r="A23" s="28" t="n">
        <v>46521</v>
      </c>
      <c r="B23" s="2" t="s">
        <v>126</v>
      </c>
      <c r="D23" s="2" t="s">
        <v>127</v>
      </c>
      <c r="E23" s="2" t="s">
        <v>100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-222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101</v>
      </c>
    </row>
    <row r="24" customFormat="false" ht="12" hidden="false" customHeight="false" outlineLevel="0" collapsed="false">
      <c r="A24" s="28" t="n">
        <v>46521</v>
      </c>
      <c r="B24" s="2" t="s">
        <v>128</v>
      </c>
      <c r="D24" s="2" t="s">
        <v>129</v>
      </c>
      <c r="E24" s="2" t="s">
        <v>112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-222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113</v>
      </c>
    </row>
    <row r="25" customFormat="false" ht="12" hidden="false" customHeight="false" outlineLevel="0" collapsed="false">
      <c r="A25" s="28" t="n">
        <v>46521</v>
      </c>
      <c r="B25" s="2" t="s">
        <v>130</v>
      </c>
      <c r="D25" s="2" t="s">
        <v>131</v>
      </c>
      <c r="E25" s="2" t="s">
        <v>112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113</v>
      </c>
    </row>
    <row r="26" customFormat="false" ht="12" hidden="false" customHeight="false" outlineLevel="0" collapsed="false">
      <c r="A26" s="28" t="n">
        <v>46522</v>
      </c>
      <c r="B26" s="2" t="s">
        <v>20</v>
      </c>
      <c r="D26" s="2" t="s">
        <v>105</v>
      </c>
      <c r="E26" s="2" t="s">
        <v>106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-223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107</v>
      </c>
    </row>
    <row r="27" customFormat="false" ht="12" hidden="false" customHeight="false" outlineLevel="0" collapsed="false">
      <c r="A27" s="28" t="n">
        <v>46522</v>
      </c>
      <c r="B27" s="2" t="s">
        <v>132</v>
      </c>
      <c r="D27" s="2" t="s">
        <v>133</v>
      </c>
      <c r="E27" s="2" t="s">
        <v>80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-223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81</v>
      </c>
    </row>
    <row r="28" customFormat="false" ht="12" hidden="false" customHeight="false" outlineLevel="0" collapsed="false">
      <c r="A28" s="28" t="n">
        <v>46522</v>
      </c>
      <c r="B28" s="2" t="s">
        <v>238</v>
      </c>
      <c r="D28" s="2" t="s">
        <v>239</v>
      </c>
      <c r="E28" s="2" t="s">
        <v>161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-223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162</v>
      </c>
    </row>
    <row r="29" customFormat="false" ht="12" hidden="false" customHeight="false" outlineLevel="0" collapsed="false">
      <c r="A29" s="28" t="n">
        <v>46525</v>
      </c>
      <c r="B29" s="2" t="s">
        <v>188</v>
      </c>
      <c r="D29" s="2" t="s">
        <v>240</v>
      </c>
      <c r="E29" s="2" t="s">
        <v>112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-226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113</v>
      </c>
    </row>
    <row r="30" customFormat="false" ht="12" hidden="false" customHeight="false" outlineLevel="0" collapsed="false">
      <c r="A30" s="28" t="n">
        <v>46525</v>
      </c>
      <c r="B30" s="2" t="s">
        <v>134</v>
      </c>
      <c r="D30" s="2" t="s">
        <v>105</v>
      </c>
      <c r="E30" s="2" t="s">
        <v>106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-226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107</v>
      </c>
    </row>
    <row r="31" customFormat="false" ht="12" hidden="false" customHeight="false" outlineLevel="0" collapsed="false">
      <c r="A31" s="28" t="n">
        <v>46527</v>
      </c>
      <c r="B31" s="2" t="s">
        <v>135</v>
      </c>
      <c r="D31" s="2" t="s">
        <v>136</v>
      </c>
      <c r="E31" s="2" t="s">
        <v>80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-228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81</v>
      </c>
    </row>
    <row r="32" customFormat="false" ht="12" hidden="false" customHeight="false" outlineLevel="0" collapsed="false">
      <c r="A32" s="28" t="n">
        <v>46527</v>
      </c>
      <c r="B32" s="2" t="s">
        <v>137</v>
      </c>
      <c r="D32" s="2" t="s">
        <v>138</v>
      </c>
      <c r="E32" s="2" t="s">
        <v>139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-228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140</v>
      </c>
    </row>
    <row r="33" customFormat="false" ht="12" hidden="false" customHeight="false" outlineLevel="0" collapsed="false">
      <c r="A33" s="28" t="n">
        <v>46528</v>
      </c>
      <c r="B33" s="2" t="s">
        <v>141</v>
      </c>
      <c r="D33" s="2" t="s">
        <v>142</v>
      </c>
      <c r="E33" s="2" t="s">
        <v>112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-229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113</v>
      </c>
    </row>
    <row r="34" customFormat="false" ht="12" hidden="false" customHeight="false" outlineLevel="0" collapsed="false">
      <c r="A34" s="28" t="n">
        <v>46529</v>
      </c>
      <c r="B34" s="2" t="s">
        <v>143</v>
      </c>
      <c r="D34" s="2" t="s">
        <v>144</v>
      </c>
      <c r="E34" s="2" t="s">
        <v>100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-230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46532</v>
      </c>
      <c r="B35" s="2" t="s">
        <v>145</v>
      </c>
      <c r="D35" s="2" t="s">
        <v>146</v>
      </c>
      <c r="E35" s="2" t="s">
        <v>100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-233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101</v>
      </c>
    </row>
    <row r="36" customFormat="false" ht="12" hidden="false" customHeight="false" outlineLevel="0" collapsed="false">
      <c r="A36" s="28" t="n">
        <v>46532</v>
      </c>
      <c r="B36" s="2" t="s">
        <v>147</v>
      </c>
      <c r="D36" s="2" t="s">
        <v>241</v>
      </c>
      <c r="E36" s="2" t="s">
        <v>106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-233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46532</v>
      </c>
      <c r="B37" s="2" t="s">
        <v>242</v>
      </c>
      <c r="C37" s="3" t="s">
        <v>243</v>
      </c>
      <c r="D37" s="2" t="s">
        <v>244</v>
      </c>
      <c r="E37" s="2" t="s">
        <v>168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-233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AJ37" s="17" t="str">
        <f aca="false">IF((E37="e"),H37," ")</f>
        <v> </v>
      </c>
      <c r="BZ37" s="2" t="s">
        <v>169</v>
      </c>
    </row>
    <row r="38" customFormat="false" ht="12" hidden="false" customHeight="false" outlineLevel="0" collapsed="false">
      <c r="A38" s="28" t="n">
        <v>46535</v>
      </c>
      <c r="B38" s="2" t="s">
        <v>20</v>
      </c>
      <c r="D38" s="2" t="s">
        <v>149</v>
      </c>
      <c r="E38" s="2" t="s">
        <v>106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-236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  <c r="BZ38" s="2" t="s">
        <v>107</v>
      </c>
    </row>
    <row r="39" customFormat="false" ht="12" hidden="false" customHeight="false" outlineLevel="0" collapsed="false">
      <c r="A39" s="28" t="n">
        <v>46538</v>
      </c>
      <c r="B39" s="2" t="s">
        <v>16</v>
      </c>
      <c r="D39" s="2" t="s">
        <v>150</v>
      </c>
      <c r="E39" s="2" t="s">
        <v>151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-239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  <c r="BZ39" s="2" t="s">
        <v>152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46299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600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46539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-240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46539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46539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46539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46539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46539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46541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46541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-242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46543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46543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46544</v>
      </c>
      <c r="B15" s="2" t="s">
        <v>153</v>
      </c>
      <c r="D15" s="2" t="s">
        <v>154</v>
      </c>
      <c r="E15" s="2" t="s">
        <v>112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-245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46546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46548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-249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46550</v>
      </c>
      <c r="B18" s="2" t="s">
        <v>124</v>
      </c>
      <c r="D18" s="2" t="s">
        <v>125</v>
      </c>
      <c r="E18" s="2" t="s">
        <v>106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-251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107</v>
      </c>
    </row>
    <row r="19" customFormat="false" ht="12" hidden="false" customHeight="false" outlineLevel="0" collapsed="false">
      <c r="A19" s="28" t="n">
        <v>46552</v>
      </c>
      <c r="B19" s="2" t="s">
        <v>128</v>
      </c>
      <c r="D19" s="2" t="s">
        <v>129</v>
      </c>
      <c r="E19" s="2" t="s">
        <v>112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-253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113</v>
      </c>
    </row>
    <row r="20" customFormat="false" ht="12" hidden="false" customHeight="false" outlineLevel="0" collapsed="false">
      <c r="A20" s="28" t="n">
        <v>46552</v>
      </c>
      <c r="B20" s="2" t="s">
        <v>130</v>
      </c>
      <c r="D20" s="2" t="s">
        <v>131</v>
      </c>
      <c r="E20" s="2" t="s">
        <v>112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-253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113</v>
      </c>
    </row>
    <row r="21" customFormat="false" ht="12" hidden="false" customHeight="false" outlineLevel="0" collapsed="false">
      <c r="A21" s="28" t="n">
        <v>46553</v>
      </c>
      <c r="B21" s="2" t="s">
        <v>20</v>
      </c>
      <c r="D21" s="2" t="s">
        <v>105</v>
      </c>
      <c r="E21" s="2" t="s">
        <v>106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-254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46553</v>
      </c>
      <c r="B22" s="2" t="s">
        <v>132</v>
      </c>
      <c r="D22" s="2" t="s">
        <v>133</v>
      </c>
      <c r="E22" s="2" t="s">
        <v>80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-254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81</v>
      </c>
    </row>
    <row r="23" customFormat="false" ht="12" hidden="false" customHeight="false" outlineLevel="0" collapsed="false">
      <c r="A23" s="28" t="n">
        <v>46553</v>
      </c>
      <c r="B23" s="2" t="s">
        <v>163</v>
      </c>
      <c r="D23" s="2" t="s">
        <v>164</v>
      </c>
      <c r="E23" s="2" t="s">
        <v>122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-254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123</v>
      </c>
    </row>
    <row r="24" customFormat="false" ht="12" hidden="false" customHeight="false" outlineLevel="0" collapsed="false">
      <c r="A24" s="28" t="n">
        <v>46553</v>
      </c>
      <c r="B24" s="2" t="s">
        <v>183</v>
      </c>
      <c r="C24" s="3" t="s">
        <v>245</v>
      </c>
      <c r="D24" s="2" t="s">
        <v>246</v>
      </c>
      <c r="E24" s="2" t="s">
        <v>186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-254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AK24" s="17" t="n">
        <v>600</v>
      </c>
      <c r="BZ24" s="2" t="s">
        <v>187</v>
      </c>
    </row>
    <row r="25" customFormat="false" ht="12" hidden="false" customHeight="false" outlineLevel="0" collapsed="false">
      <c r="A25" s="28" t="n">
        <v>46554</v>
      </c>
      <c r="B25" s="2" t="s">
        <v>170</v>
      </c>
      <c r="D25" s="2" t="s">
        <v>171</v>
      </c>
      <c r="E25" s="2" t="s">
        <v>80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-255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46556</v>
      </c>
      <c r="B26" s="2" t="s">
        <v>134</v>
      </c>
      <c r="D26" s="2" t="s">
        <v>105</v>
      </c>
      <c r="E26" s="2" t="s">
        <v>106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-257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107</v>
      </c>
    </row>
    <row r="27" customFormat="false" ht="12" hidden="false" customHeight="false" outlineLevel="0" collapsed="false">
      <c r="A27" s="28" t="n">
        <v>46558</v>
      </c>
      <c r="B27" s="2" t="s">
        <v>135</v>
      </c>
      <c r="D27" s="2" t="s">
        <v>136</v>
      </c>
      <c r="E27" s="2" t="s">
        <v>80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-259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81</v>
      </c>
    </row>
    <row r="28" customFormat="false" ht="12" hidden="false" customHeight="false" outlineLevel="0" collapsed="false">
      <c r="A28" s="28" t="n">
        <v>46558</v>
      </c>
      <c r="B28" s="2" t="s">
        <v>172</v>
      </c>
      <c r="D28" s="2" t="s">
        <v>173</v>
      </c>
      <c r="E28" s="2" t="s">
        <v>174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-259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175</v>
      </c>
    </row>
    <row r="29" customFormat="false" ht="12" hidden="false" customHeight="false" outlineLevel="0" collapsed="false">
      <c r="A29" s="28" t="n">
        <v>46558</v>
      </c>
      <c r="B29" s="2" t="s">
        <v>176</v>
      </c>
      <c r="D29" s="2" t="s">
        <v>177</v>
      </c>
      <c r="E29" s="2" t="s">
        <v>122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-259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123</v>
      </c>
    </row>
    <row r="30" customFormat="false" ht="12" hidden="false" customHeight="false" outlineLevel="0" collapsed="false">
      <c r="A30" s="28" t="n">
        <v>46559</v>
      </c>
      <c r="B30" s="2" t="s">
        <v>141</v>
      </c>
      <c r="D30" s="2" t="s">
        <v>142</v>
      </c>
      <c r="E30" s="2" t="s">
        <v>112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-260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113</v>
      </c>
    </row>
    <row r="31" customFormat="false" ht="12" hidden="false" customHeight="false" outlineLevel="0" collapsed="false">
      <c r="A31" s="28" t="n">
        <v>46560</v>
      </c>
      <c r="B31" s="2" t="s">
        <v>143</v>
      </c>
      <c r="D31" s="2" t="s">
        <v>144</v>
      </c>
      <c r="E31" s="2" t="s">
        <v>100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-261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46563</v>
      </c>
      <c r="B32" s="2" t="s">
        <v>145</v>
      </c>
      <c r="D32" s="2" t="s">
        <v>146</v>
      </c>
      <c r="E32" s="2" t="s">
        <v>100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46563</v>
      </c>
      <c r="B33" s="2" t="s">
        <v>147</v>
      </c>
      <c r="D33" s="2" t="s">
        <v>196</v>
      </c>
      <c r="E33" s="2" t="s">
        <v>106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-264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46566</v>
      </c>
      <c r="B34" s="2" t="s">
        <v>20</v>
      </c>
      <c r="D34" s="2" t="s">
        <v>149</v>
      </c>
      <c r="E34" s="2" t="s">
        <v>106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-267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46568</v>
      </c>
      <c r="B35" s="2" t="s">
        <v>16</v>
      </c>
      <c r="D35" s="2" t="s">
        <v>150</v>
      </c>
      <c r="E35" s="2" t="s">
        <v>151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-269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152</v>
      </c>
    </row>
    <row r="36" customFormat="false" ht="12" hidden="false" customHeight="false" outlineLevel="0" collapsed="false">
      <c r="A36" s="28"/>
      <c r="E36" s="2" t="str">
        <f aca="false">IF((F36&lt;&gt;0),"Enter Letter"," ")</f>
        <v> </v>
      </c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</row>
    <row r="37" customFormat="false" ht="12" hidden="false" customHeight="false" outlineLevel="0" collapsed="false">
      <c r="A37" s="28"/>
      <c r="E37" s="2" t="str">
        <f aca="false">IF((F37&lt;&gt;0),"Enter Letter"," ")</f>
        <v> </v>
      </c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</row>
    <row r="38" customFormat="false" ht="12" hidden="false" customHeight="false" outlineLevel="0" collapsed="false">
      <c r="A38" s="28"/>
      <c r="E38" s="2" t="str">
        <f aca="false">IF((F38&lt;&gt;0),"Enter Letter"," ")</f>
        <v> </v>
      </c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46299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46569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-270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46569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46569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46569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46569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46569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46571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-272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46571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46573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46573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46573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-274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46576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-277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46578</v>
      </c>
      <c r="B17" s="2" t="s">
        <v>114</v>
      </c>
      <c r="D17" s="2" t="s">
        <v>115</v>
      </c>
      <c r="E17" s="2" t="s">
        <v>100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-279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101</v>
      </c>
    </row>
    <row r="18" customFormat="false" ht="12" hidden="false" customHeight="false" outlineLevel="0" collapsed="false">
      <c r="A18" s="28" t="n">
        <v>46578</v>
      </c>
      <c r="B18" s="2" t="s">
        <v>181</v>
      </c>
      <c r="D18" s="2" t="s">
        <v>182</v>
      </c>
      <c r="E18" s="2" t="s">
        <v>80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-279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81</v>
      </c>
    </row>
    <row r="19" customFormat="false" ht="12" hidden="false" customHeight="false" outlineLevel="0" collapsed="false">
      <c r="A19" s="28" t="n">
        <v>46580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-281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46582</v>
      </c>
      <c r="B20" s="2" t="s">
        <v>126</v>
      </c>
      <c r="D20" s="2" t="s">
        <v>127</v>
      </c>
      <c r="E20" s="2" t="s">
        <v>100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-283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101</v>
      </c>
    </row>
    <row r="21" customFormat="false" ht="12" hidden="false" customHeight="false" outlineLevel="0" collapsed="false">
      <c r="A21" s="28" t="n">
        <v>46582</v>
      </c>
      <c r="B21" s="2" t="s">
        <v>128</v>
      </c>
      <c r="D21" s="2" t="s">
        <v>129</v>
      </c>
      <c r="E21" s="2" t="s">
        <v>112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-283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113</v>
      </c>
    </row>
    <row r="22" customFormat="false" ht="12" hidden="false" customHeight="false" outlineLevel="0" collapsed="false">
      <c r="A22" s="28" t="n">
        <v>46582</v>
      </c>
      <c r="B22" s="2" t="s">
        <v>130</v>
      </c>
      <c r="D22" s="2" t="s">
        <v>131</v>
      </c>
      <c r="E22" s="2" t="s">
        <v>112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46583</v>
      </c>
      <c r="B23" s="2" t="s">
        <v>20</v>
      </c>
      <c r="D23" s="2" t="s">
        <v>105</v>
      </c>
      <c r="E23" s="2" t="s">
        <v>106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-284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107</v>
      </c>
    </row>
    <row r="24" customFormat="false" ht="12" hidden="false" customHeight="false" outlineLevel="0" collapsed="false">
      <c r="A24" s="28" t="n">
        <v>46583</v>
      </c>
      <c r="B24" s="2" t="s">
        <v>132</v>
      </c>
      <c r="D24" s="2" t="s">
        <v>133</v>
      </c>
      <c r="E24" s="2" t="s">
        <v>80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-284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81</v>
      </c>
    </row>
    <row r="25" customFormat="false" ht="12" hidden="false" customHeight="false" outlineLevel="0" collapsed="false">
      <c r="A25" s="28" t="n">
        <v>46583</v>
      </c>
      <c r="B25" s="2" t="s">
        <v>247</v>
      </c>
      <c r="D25" s="2" t="s">
        <v>248</v>
      </c>
      <c r="E25" s="2" t="s">
        <v>249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-284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250</v>
      </c>
    </row>
    <row r="26" customFormat="false" ht="12" hidden="false" customHeight="false" outlineLevel="0" collapsed="false">
      <c r="A26" s="28" t="n">
        <v>46586</v>
      </c>
      <c r="B26" s="2" t="s">
        <v>190</v>
      </c>
      <c r="D26" s="2" t="s">
        <v>191</v>
      </c>
      <c r="E26" s="2" t="s">
        <v>122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-287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123</v>
      </c>
    </row>
    <row r="27" customFormat="false" ht="12" hidden="false" customHeight="false" outlineLevel="0" collapsed="false">
      <c r="A27" s="28" t="n">
        <v>46586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46588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-289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46589</v>
      </c>
      <c r="B29" s="2" t="s">
        <v>141</v>
      </c>
      <c r="D29" s="2" t="s">
        <v>142</v>
      </c>
      <c r="E29" s="2" t="s">
        <v>112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-290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113</v>
      </c>
    </row>
    <row r="30" customFormat="false" ht="12" hidden="false" customHeight="false" outlineLevel="0" collapsed="false">
      <c r="A30" s="28" t="n">
        <v>46590</v>
      </c>
      <c r="B30" s="2" t="s">
        <v>143</v>
      </c>
      <c r="D30" s="2" t="s">
        <v>144</v>
      </c>
      <c r="E30" s="2" t="s">
        <v>100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-291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101</v>
      </c>
    </row>
    <row r="31" customFormat="false" ht="12" hidden="false" customHeight="false" outlineLevel="0" collapsed="false">
      <c r="A31" s="28" t="n">
        <v>46593</v>
      </c>
      <c r="B31" s="2" t="s">
        <v>192</v>
      </c>
      <c r="D31" s="2" t="s">
        <v>193</v>
      </c>
      <c r="E31" s="2" t="s">
        <v>194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-294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195</v>
      </c>
    </row>
    <row r="32" customFormat="false" ht="12" hidden="false" customHeight="false" outlineLevel="0" collapsed="false">
      <c r="A32" s="28" t="n">
        <v>46593</v>
      </c>
      <c r="B32" s="2" t="s">
        <v>145</v>
      </c>
      <c r="D32" s="2" t="s">
        <v>146</v>
      </c>
      <c r="E32" s="2" t="s">
        <v>100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46593</v>
      </c>
      <c r="B33" s="2" t="s">
        <v>147</v>
      </c>
      <c r="D33" s="2" t="s">
        <v>251</v>
      </c>
      <c r="E33" s="2" t="s">
        <v>106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-294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46596</v>
      </c>
      <c r="B34" s="2" t="s">
        <v>20</v>
      </c>
      <c r="D34" s="2" t="s">
        <v>149</v>
      </c>
      <c r="E34" s="2" t="s">
        <v>106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-297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107</v>
      </c>
    </row>
    <row r="35" customFormat="false" ht="12" hidden="false" customHeight="false" outlineLevel="0" collapsed="false">
      <c r="A35" s="28" t="n">
        <v>46599</v>
      </c>
      <c r="B35" s="2" t="s">
        <v>16</v>
      </c>
      <c r="D35" s="2" t="s">
        <v>150</v>
      </c>
      <c r="E35" s="2" t="s">
        <v>151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-300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152</v>
      </c>
    </row>
    <row r="36" customFormat="false" ht="12" hidden="false" customHeight="false" outlineLevel="0" collapsed="false">
      <c r="A36" s="28" t="n">
        <v>46599</v>
      </c>
      <c r="B36" s="2" t="s">
        <v>252</v>
      </c>
      <c r="D36" s="2" t="s">
        <v>253</v>
      </c>
      <c r="E36" s="2" t="s">
        <v>254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-300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255</v>
      </c>
    </row>
    <row r="37" customFormat="false" ht="12" hidden="false" customHeight="false" outlineLevel="0" collapsed="false">
      <c r="A37" s="28" t="n">
        <v>46599</v>
      </c>
      <c r="B37" s="2" t="s">
        <v>197</v>
      </c>
      <c r="C37" s="3" t="s">
        <v>256</v>
      </c>
      <c r="D37" s="2" t="s">
        <v>199</v>
      </c>
      <c r="E37" s="2" t="s">
        <v>151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-300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200</v>
      </c>
    </row>
    <row r="38" customFormat="false" ht="12" hidden="false" customHeight="false" outlineLevel="0" collapsed="false">
      <c r="A38" s="28"/>
      <c r="E38" s="2" t="str">
        <f aca="false">IF((F38&lt;&gt;0),"Enter Letter"," ")</f>
        <v> </v>
      </c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46299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46600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-301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46600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46600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46600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46600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46600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46602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-303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46602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46604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46604</v>
      </c>
      <c r="B14" s="2" t="s">
        <v>208</v>
      </c>
      <c r="D14" s="2" t="s">
        <v>209</v>
      </c>
      <c r="E14" s="2" t="s">
        <v>161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-305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162</v>
      </c>
    </row>
    <row r="15" customFormat="false" ht="12" hidden="false" customHeight="false" outlineLevel="0" collapsed="false">
      <c r="A15" s="28" t="n">
        <v>46604</v>
      </c>
      <c r="B15" s="2" t="s">
        <v>104</v>
      </c>
      <c r="D15" s="2" t="s">
        <v>105</v>
      </c>
      <c r="E15" s="2" t="s">
        <v>106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107</v>
      </c>
    </row>
    <row r="16" customFormat="false" ht="12" hidden="false" customHeight="false" outlineLevel="0" collapsed="false">
      <c r="A16" s="28" t="n">
        <v>46607</v>
      </c>
      <c r="B16" s="2" t="s">
        <v>110</v>
      </c>
      <c r="D16" s="2" t="s">
        <v>111</v>
      </c>
      <c r="E16" s="2" t="s">
        <v>112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46607</v>
      </c>
      <c r="B17" s="2" t="s">
        <v>155</v>
      </c>
      <c r="D17" s="2" t="s">
        <v>156</v>
      </c>
      <c r="E17" s="2" t="s">
        <v>157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-308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158</v>
      </c>
    </row>
    <row r="18" customFormat="false" ht="12" hidden="false" customHeight="false" outlineLevel="0" collapsed="false">
      <c r="A18" s="28" t="n">
        <v>46609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-310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46609</v>
      </c>
      <c r="B19" s="2" t="s">
        <v>116</v>
      </c>
      <c r="D19" s="2" t="s">
        <v>117</v>
      </c>
      <c r="E19" s="2" t="s">
        <v>118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-310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119</v>
      </c>
    </row>
    <row r="20" customFormat="false" ht="12" hidden="false" customHeight="false" outlineLevel="0" collapsed="false">
      <c r="A20" s="28" t="n">
        <v>46609</v>
      </c>
      <c r="B20" s="2" t="s">
        <v>120</v>
      </c>
      <c r="D20" s="2" t="s">
        <v>121</v>
      </c>
      <c r="E20" s="2" t="s">
        <v>122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-310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123</v>
      </c>
    </row>
    <row r="21" customFormat="false" ht="12" hidden="false" customHeight="false" outlineLevel="0" collapsed="false">
      <c r="A21" s="28" t="n">
        <v>46611</v>
      </c>
      <c r="B21" s="2" t="s">
        <v>124</v>
      </c>
      <c r="D21" s="2" t="s">
        <v>125</v>
      </c>
      <c r="E21" s="2" t="s">
        <v>106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-312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46613</v>
      </c>
      <c r="B22" s="2" t="s">
        <v>128</v>
      </c>
      <c r="D22" s="2" t="s">
        <v>129</v>
      </c>
      <c r="E22" s="2" t="s">
        <v>112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46613</v>
      </c>
      <c r="B23" s="2" t="s">
        <v>130</v>
      </c>
      <c r="D23" s="2" t="s">
        <v>131</v>
      </c>
      <c r="E23" s="2" t="s">
        <v>112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46614</v>
      </c>
      <c r="B24" s="2" t="s">
        <v>20</v>
      </c>
      <c r="D24" s="2" t="s">
        <v>105</v>
      </c>
      <c r="E24" s="2" t="s">
        <v>106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107</v>
      </c>
    </row>
    <row r="25" customFormat="false" ht="12" hidden="false" customHeight="false" outlineLevel="0" collapsed="false">
      <c r="A25" s="28" t="n">
        <v>46614</v>
      </c>
      <c r="B25" s="2" t="s">
        <v>132</v>
      </c>
      <c r="D25" s="2" t="s">
        <v>133</v>
      </c>
      <c r="E25" s="2" t="s">
        <v>80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-315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46615</v>
      </c>
      <c r="B26" s="2" t="s">
        <v>170</v>
      </c>
      <c r="D26" s="2" t="s">
        <v>171</v>
      </c>
      <c r="E26" s="2" t="s">
        <v>80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-316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46617</v>
      </c>
      <c r="B27" s="2" t="s">
        <v>134</v>
      </c>
      <c r="D27" s="2" t="s">
        <v>105</v>
      </c>
      <c r="E27" s="2" t="s">
        <v>106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-318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107</v>
      </c>
    </row>
    <row r="28" customFormat="false" ht="12" hidden="false" customHeight="false" outlineLevel="0" collapsed="false">
      <c r="A28" s="28" t="n">
        <v>46619</v>
      </c>
      <c r="B28" s="2" t="s">
        <v>135</v>
      </c>
      <c r="D28" s="2" t="s">
        <v>136</v>
      </c>
      <c r="E28" s="2" t="s">
        <v>80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81</v>
      </c>
    </row>
    <row r="29" customFormat="false" ht="12" hidden="false" customHeight="false" outlineLevel="0" collapsed="false">
      <c r="A29" s="28" t="n">
        <v>46619</v>
      </c>
      <c r="B29" s="2" t="s">
        <v>215</v>
      </c>
      <c r="D29" s="2" t="s">
        <v>216</v>
      </c>
      <c r="E29" s="2" t="s">
        <v>174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-320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175</v>
      </c>
    </row>
    <row r="30" customFormat="false" ht="12" hidden="false" customHeight="false" outlineLevel="0" collapsed="false">
      <c r="A30" s="28" t="n">
        <v>46619</v>
      </c>
      <c r="B30" s="2" t="s">
        <v>137</v>
      </c>
      <c r="D30" s="2" t="s">
        <v>138</v>
      </c>
      <c r="E30" s="2" t="s">
        <v>139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-320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140</v>
      </c>
    </row>
    <row r="31" customFormat="false" ht="12" hidden="false" customHeight="false" outlineLevel="0" collapsed="false">
      <c r="A31" s="28" t="n">
        <v>46620</v>
      </c>
      <c r="B31" s="2" t="s">
        <v>141</v>
      </c>
      <c r="D31" s="2" t="s">
        <v>142</v>
      </c>
      <c r="E31" s="2" t="s">
        <v>112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-321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113</v>
      </c>
    </row>
    <row r="32" customFormat="false" ht="12" hidden="false" customHeight="false" outlineLevel="0" collapsed="false">
      <c r="A32" s="28" t="n">
        <v>46621</v>
      </c>
      <c r="B32" s="2" t="s">
        <v>143</v>
      </c>
      <c r="D32" s="2" t="s">
        <v>144</v>
      </c>
      <c r="E32" s="2" t="s">
        <v>100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-322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101</v>
      </c>
    </row>
    <row r="33" customFormat="false" ht="12" hidden="false" customHeight="false" outlineLevel="0" collapsed="false">
      <c r="A33" s="28" t="n">
        <v>46621</v>
      </c>
      <c r="B33" s="2" t="s">
        <v>178</v>
      </c>
      <c r="D33" s="2" t="s">
        <v>179</v>
      </c>
      <c r="E33" s="2" t="s">
        <v>106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-322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46624</v>
      </c>
      <c r="B34" s="2" t="s">
        <v>145</v>
      </c>
      <c r="D34" s="2" t="s">
        <v>146</v>
      </c>
      <c r="E34" s="2" t="s">
        <v>100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46624</v>
      </c>
      <c r="B35" s="2" t="s">
        <v>147</v>
      </c>
      <c r="D35" s="2" t="s">
        <v>148</v>
      </c>
      <c r="E35" s="2" t="s">
        <v>106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-325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46627</v>
      </c>
      <c r="B36" s="2" t="s">
        <v>20</v>
      </c>
      <c r="D36" s="2" t="s">
        <v>149</v>
      </c>
      <c r="E36" s="2" t="s">
        <v>106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-328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107</v>
      </c>
    </row>
    <row r="37" customFormat="false" ht="12" hidden="false" customHeight="false" outlineLevel="0" collapsed="false">
      <c r="A37" s="28" t="n">
        <v>46630</v>
      </c>
      <c r="B37" s="2" t="s">
        <v>16</v>
      </c>
      <c r="D37" s="2" t="s">
        <v>150</v>
      </c>
      <c r="E37" s="2" t="s">
        <v>151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-331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152</v>
      </c>
    </row>
    <row r="38" customFormat="false" ht="12" hidden="false" customHeight="false" outlineLevel="0" collapsed="false">
      <c r="A38" s="28"/>
      <c r="E38" s="2" t="str">
        <f aca="false">IF((F38&lt;&gt;0),"Enter Letter"," ")</f>
        <v> </v>
      </c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46299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46631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-332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46631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46631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46631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46631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46631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46633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46633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46635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46635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46635</v>
      </c>
      <c r="B15" s="2" t="s">
        <v>108</v>
      </c>
      <c r="D15" s="2" t="s">
        <v>109</v>
      </c>
      <c r="E15" s="2" t="s">
        <v>86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87</v>
      </c>
    </row>
    <row r="16" customFormat="false" ht="12" hidden="false" customHeight="false" outlineLevel="0" collapsed="false">
      <c r="A16" s="28" t="n">
        <v>46636</v>
      </c>
      <c r="B16" s="2" t="s">
        <v>153</v>
      </c>
      <c r="D16" s="2" t="s">
        <v>154</v>
      </c>
      <c r="E16" s="2" t="s">
        <v>112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113</v>
      </c>
    </row>
    <row r="17" customFormat="false" ht="12" hidden="false" customHeight="false" outlineLevel="0" collapsed="false">
      <c r="A17" s="28" t="n">
        <v>46638</v>
      </c>
      <c r="B17" s="2" t="s">
        <v>110</v>
      </c>
      <c r="D17" s="2" t="s">
        <v>111</v>
      </c>
      <c r="E17" s="2" t="s">
        <v>112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113</v>
      </c>
    </row>
    <row r="18" customFormat="false" ht="12" hidden="false" customHeight="false" outlineLevel="0" collapsed="false">
      <c r="A18" s="28" t="n">
        <v>46640</v>
      </c>
      <c r="B18" s="2" t="s">
        <v>114</v>
      </c>
      <c r="D18" s="2" t="s">
        <v>115</v>
      </c>
      <c r="E18" s="2" t="s">
        <v>100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101</v>
      </c>
    </row>
    <row r="19" customFormat="false" ht="12" hidden="false" customHeight="false" outlineLevel="0" collapsed="false">
      <c r="A19" s="28" t="n">
        <v>46642</v>
      </c>
      <c r="B19" s="2" t="s">
        <v>124</v>
      </c>
      <c r="D19" s="2" t="s">
        <v>125</v>
      </c>
      <c r="E19" s="2" t="s">
        <v>106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107</v>
      </c>
    </row>
    <row r="20" customFormat="false" ht="12" hidden="false" customHeight="false" outlineLevel="0" collapsed="false">
      <c r="A20" s="28" t="n">
        <v>46642</v>
      </c>
      <c r="B20" s="2" t="s">
        <v>210</v>
      </c>
      <c r="D20" s="2" t="s">
        <v>211</v>
      </c>
      <c r="E20" s="2" t="s">
        <v>157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-343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158</v>
      </c>
    </row>
    <row r="21" customFormat="false" ht="12" hidden="false" customHeight="false" outlineLevel="0" collapsed="false">
      <c r="A21" s="28" t="n">
        <v>46644</v>
      </c>
      <c r="B21" s="2" t="s">
        <v>126</v>
      </c>
      <c r="D21" s="2" t="s">
        <v>127</v>
      </c>
      <c r="E21" s="2" t="s">
        <v>100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-345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101</v>
      </c>
    </row>
    <row r="22" customFormat="false" ht="12" hidden="false" customHeight="false" outlineLevel="0" collapsed="false">
      <c r="A22" s="28" t="n">
        <v>46644</v>
      </c>
      <c r="B22" s="2" t="s">
        <v>128</v>
      </c>
      <c r="D22" s="2" t="s">
        <v>129</v>
      </c>
      <c r="E22" s="2" t="s">
        <v>112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113</v>
      </c>
    </row>
    <row r="23" customFormat="false" ht="12" hidden="false" customHeight="false" outlineLevel="0" collapsed="false">
      <c r="A23" s="28" t="n">
        <v>46644</v>
      </c>
      <c r="B23" s="2" t="s">
        <v>130</v>
      </c>
      <c r="D23" s="2" t="s">
        <v>131</v>
      </c>
      <c r="E23" s="2" t="s">
        <v>112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113</v>
      </c>
    </row>
    <row r="24" customFormat="false" ht="12" hidden="false" customHeight="false" outlineLevel="0" collapsed="false">
      <c r="A24" s="28" t="n">
        <v>46645</v>
      </c>
      <c r="B24" s="2" t="s">
        <v>20</v>
      </c>
      <c r="D24" s="2" t="s">
        <v>105</v>
      </c>
      <c r="E24" s="2" t="s">
        <v>106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107</v>
      </c>
    </row>
    <row r="25" customFormat="false" ht="12" hidden="false" customHeight="false" outlineLevel="0" collapsed="false">
      <c r="A25" s="28" t="n">
        <v>46645</v>
      </c>
      <c r="B25" s="2" t="s">
        <v>132</v>
      </c>
      <c r="D25" s="2" t="s">
        <v>133</v>
      </c>
      <c r="E25" s="2" t="s">
        <v>80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81</v>
      </c>
    </row>
    <row r="26" customFormat="false" ht="12" hidden="false" customHeight="false" outlineLevel="0" collapsed="false">
      <c r="A26" s="28" t="n">
        <v>46645</v>
      </c>
      <c r="B26" s="2" t="s">
        <v>163</v>
      </c>
      <c r="D26" s="2" t="s">
        <v>164</v>
      </c>
      <c r="E26" s="2" t="s">
        <v>122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-346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123</v>
      </c>
    </row>
    <row r="27" customFormat="false" ht="12" hidden="false" customHeight="false" outlineLevel="0" collapsed="false">
      <c r="A27" s="28" t="n">
        <v>46648</v>
      </c>
      <c r="B27" s="2" t="s">
        <v>218</v>
      </c>
      <c r="D27" s="2" t="s">
        <v>257</v>
      </c>
      <c r="E27" s="2" t="s">
        <v>139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-349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140</v>
      </c>
    </row>
    <row r="28" customFormat="false" ht="12" hidden="false" customHeight="false" outlineLevel="0" collapsed="false">
      <c r="A28" s="28" t="n">
        <v>46648</v>
      </c>
      <c r="B28" s="2" t="s">
        <v>188</v>
      </c>
      <c r="D28" s="2" t="s">
        <v>258</v>
      </c>
      <c r="E28" s="2" t="s">
        <v>112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-349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113</v>
      </c>
    </row>
    <row r="29" customFormat="false" ht="12" hidden="false" customHeight="false" outlineLevel="0" collapsed="false">
      <c r="A29" s="28" t="n">
        <v>46648</v>
      </c>
      <c r="B29" s="2" t="s">
        <v>134</v>
      </c>
      <c r="D29" s="2" t="s">
        <v>105</v>
      </c>
      <c r="E29" s="2" t="s">
        <v>106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-349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107</v>
      </c>
    </row>
    <row r="30" customFormat="false" ht="12" hidden="false" customHeight="false" outlineLevel="0" collapsed="false">
      <c r="A30" s="28" t="n">
        <v>46650</v>
      </c>
      <c r="B30" s="2" t="s">
        <v>135</v>
      </c>
      <c r="D30" s="2" t="s">
        <v>136</v>
      </c>
      <c r="E30" s="2" t="s">
        <v>80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-351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81</v>
      </c>
    </row>
    <row r="31" customFormat="false" ht="12" hidden="false" customHeight="false" outlineLevel="0" collapsed="false">
      <c r="A31" s="28" t="n">
        <v>46650</v>
      </c>
      <c r="B31" s="2" t="s">
        <v>176</v>
      </c>
      <c r="D31" s="2" t="s">
        <v>177</v>
      </c>
      <c r="E31" s="2" t="s">
        <v>122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-351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123</v>
      </c>
    </row>
    <row r="32" customFormat="false" ht="12" hidden="false" customHeight="false" outlineLevel="0" collapsed="false">
      <c r="A32" s="28" t="n">
        <v>46651</v>
      </c>
      <c r="B32" s="2" t="s">
        <v>141</v>
      </c>
      <c r="D32" s="2" t="s">
        <v>142</v>
      </c>
      <c r="E32" s="2" t="s">
        <v>112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-352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113</v>
      </c>
    </row>
    <row r="33" customFormat="false" ht="12" hidden="false" customHeight="false" outlineLevel="0" collapsed="false">
      <c r="A33" s="28" t="n">
        <v>46652</v>
      </c>
      <c r="B33" s="2" t="s">
        <v>143</v>
      </c>
      <c r="D33" s="2" t="s">
        <v>144</v>
      </c>
      <c r="E33" s="2" t="s">
        <v>100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-353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101</v>
      </c>
    </row>
    <row r="34" customFormat="false" ht="12" hidden="false" customHeight="false" outlineLevel="0" collapsed="false">
      <c r="A34" s="28" t="n">
        <v>46655</v>
      </c>
      <c r="B34" s="2" t="s">
        <v>145</v>
      </c>
      <c r="D34" s="2" t="s">
        <v>146</v>
      </c>
      <c r="E34" s="2" t="s">
        <v>100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101</v>
      </c>
    </row>
    <row r="35" customFormat="false" ht="12" hidden="false" customHeight="false" outlineLevel="0" collapsed="false">
      <c r="A35" s="28" t="n">
        <v>46655</v>
      </c>
      <c r="B35" s="2" t="s">
        <v>147</v>
      </c>
      <c r="D35" s="2" t="s">
        <v>259</v>
      </c>
      <c r="E35" s="2" t="s">
        <v>106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-356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107</v>
      </c>
    </row>
    <row r="36" customFormat="false" ht="12" hidden="false" customHeight="false" outlineLevel="0" collapsed="false">
      <c r="A36" s="28" t="n">
        <v>46658</v>
      </c>
      <c r="B36" s="2" t="s">
        <v>16</v>
      </c>
      <c r="D36" s="2" t="s">
        <v>150</v>
      </c>
      <c r="E36" s="2" t="s">
        <v>151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-359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  <c r="BZ36" s="2" t="s">
        <v>152</v>
      </c>
    </row>
    <row r="37" customFormat="false" ht="12" hidden="false" customHeight="false" outlineLevel="0" collapsed="false">
      <c r="A37" s="28" t="n">
        <v>46658</v>
      </c>
      <c r="B37" s="2" t="s">
        <v>20</v>
      </c>
      <c r="D37" s="2" t="s">
        <v>149</v>
      </c>
      <c r="E37" s="2" t="s">
        <v>106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-359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  <c r="BZ37" s="2" t="s">
        <v>107</v>
      </c>
    </row>
    <row r="38" customFormat="false" ht="12" hidden="false" customHeight="false" outlineLevel="0" collapsed="false">
      <c r="A38" s="28"/>
      <c r="E38" s="2" t="str">
        <f aca="false">IF((F38&lt;&gt;0),"Enter Letter"," ")</f>
        <v> </v>
      </c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6" min="31" style="17" width="10.5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customFormat="false" ht="12.75" hidden="false" customHeight="true" outlineLevel="0" collapsed="false">
      <c r="A1" s="40" t="n">
        <f aca="false">F1-G1-SUM(O1:AJ1)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46299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12" t="n">
        <f aca="false">SUM(AJ5:AJ300)</f>
        <v>0</v>
      </c>
      <c r="AK1" s="12" t="n">
        <f aca="false">SUM(AK5:AK300)</f>
        <v>0</v>
      </c>
      <c r="AL1" s="43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49" t="n">
        <f aca="false">Nov!AI1+Dec!AI1+Jan!AI1+Feb!AI1+Mar!AI1+Apr!AI1+May!AI1+Jun!AI1+Jul!AI1+Aug!AI1+Sep!AI1+Oct!AI1</f>
        <v>52500</v>
      </c>
      <c r="AJ2" s="12" t="s">
        <v>43</v>
      </c>
      <c r="AK2" s="19" t="s">
        <v>44</v>
      </c>
      <c r="AL2" s="19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45</v>
      </c>
      <c r="P3" s="21" t="s">
        <v>46</v>
      </c>
      <c r="Q3" s="21" t="s">
        <v>47</v>
      </c>
      <c r="R3" s="19"/>
      <c r="S3" s="19"/>
      <c r="T3" s="21" t="s">
        <v>48</v>
      </c>
      <c r="U3" s="21" t="s">
        <v>49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49" t="s">
        <v>42</v>
      </c>
      <c r="AJ3" s="12"/>
      <c r="AK3" s="19" t="s">
        <v>50</v>
      </c>
      <c r="AL3" s="19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51</v>
      </c>
      <c r="P4" s="44" t="s">
        <v>52</v>
      </c>
      <c r="Q4" s="44" t="s">
        <v>53</v>
      </c>
      <c r="R4" s="44" t="s">
        <v>54</v>
      </c>
      <c r="S4" s="44" t="s">
        <v>55</v>
      </c>
      <c r="T4" s="44" t="s">
        <v>56</v>
      </c>
      <c r="U4" s="44" t="s">
        <v>57</v>
      </c>
      <c r="V4" s="44" t="s">
        <v>58</v>
      </c>
      <c r="W4" s="44" t="s">
        <v>59</v>
      </c>
      <c r="X4" s="44" t="s">
        <v>60</v>
      </c>
      <c r="Y4" s="44" t="s">
        <v>61</v>
      </c>
      <c r="Z4" s="44" t="s">
        <v>62</v>
      </c>
      <c r="AA4" s="44" t="s">
        <v>63</v>
      </c>
      <c r="AB4" s="44" t="s">
        <v>64</v>
      </c>
      <c r="AC4" s="45" t="s">
        <v>65</v>
      </c>
      <c r="AD4" s="45" t="s">
        <v>66</v>
      </c>
      <c r="AE4" s="44" t="s">
        <v>67</v>
      </c>
      <c r="AF4" s="44" t="s">
        <v>68</v>
      </c>
      <c r="AG4" s="44" t="s">
        <v>69</v>
      </c>
      <c r="AH4" s="44" t="s">
        <v>70</v>
      </c>
      <c r="AI4" s="44" t="s">
        <v>71</v>
      </c>
      <c r="AJ4" s="12" t="s">
        <v>72</v>
      </c>
      <c r="AK4" s="19" t="s">
        <v>73</v>
      </c>
      <c r="AL4" s="19" t="s">
        <v>74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 t="n">
        <v>46661</v>
      </c>
      <c r="B5" s="2" t="s">
        <v>14</v>
      </c>
      <c r="D5" s="2" t="s">
        <v>75</v>
      </c>
      <c r="E5" s="2" t="s">
        <v>76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I5" s="5"/>
      <c r="L5" s="7" t="n">
        <f aca="false">IF(F5&lt;&gt;0,F5-K5," ")</f>
        <v>1200</v>
      </c>
      <c r="M5" s="8" t="n">
        <f aca="false">IF((F5-K5)&lt;&gt;0,M$1-A5," ")</f>
        <v>-362</v>
      </c>
      <c r="N5" s="5"/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 t="str">
        <f aca="false">IF((E5="e"),H5," ")</f>
        <v> 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77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 t="n">
        <v>46661</v>
      </c>
      <c r="B6" s="2" t="s">
        <v>78</v>
      </c>
      <c r="D6" s="2" t="s">
        <v>79</v>
      </c>
      <c r="E6" s="2" t="s">
        <v>80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AJ6" s="17" t="str">
        <f aca="false">IF((E6="e"),H6," ")</f>
        <v> </v>
      </c>
      <c r="BZ6" s="2" t="s">
        <v>81</v>
      </c>
    </row>
    <row r="7" customFormat="false" ht="12" hidden="false" customHeight="false" outlineLevel="0" collapsed="false">
      <c r="A7" s="28" t="n">
        <v>46661</v>
      </c>
      <c r="B7" s="2" t="s">
        <v>82</v>
      </c>
      <c r="D7" s="2" t="s">
        <v>83</v>
      </c>
      <c r="E7" s="2" t="s">
        <v>80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AJ7" s="17" t="str">
        <f aca="false">IF((E7="e"),H7," ")</f>
        <v> </v>
      </c>
      <c r="BZ7" s="2" t="s">
        <v>81</v>
      </c>
    </row>
    <row r="8" customFormat="false" ht="12" hidden="false" customHeight="false" outlineLevel="0" collapsed="false">
      <c r="A8" s="28" t="n">
        <v>46661</v>
      </c>
      <c r="B8" s="2" t="s">
        <v>84</v>
      </c>
      <c r="D8" s="2" t="s">
        <v>85</v>
      </c>
      <c r="E8" s="2" t="s">
        <v>86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AJ8" s="17" t="str">
        <f aca="false">IF((E8="e"),H8," ")</f>
        <v> </v>
      </c>
      <c r="BZ8" s="2" t="s">
        <v>87</v>
      </c>
    </row>
    <row r="9" customFormat="false" ht="12" hidden="false" customHeight="false" outlineLevel="0" collapsed="false">
      <c r="A9" s="28" t="n">
        <v>46661</v>
      </c>
      <c r="B9" s="2" t="s">
        <v>92</v>
      </c>
      <c r="D9" s="2" t="s">
        <v>93</v>
      </c>
      <c r="E9" s="2" t="s">
        <v>86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AJ9" s="17" t="str">
        <f aca="false">IF((E9="e"),H9," ")</f>
        <v> </v>
      </c>
      <c r="BZ9" s="2" t="s">
        <v>87</v>
      </c>
    </row>
    <row r="10" customFormat="false" ht="12" hidden="false" customHeight="false" outlineLevel="0" collapsed="false">
      <c r="A10" s="28" t="n">
        <v>46661</v>
      </c>
      <c r="B10" s="2" t="s">
        <v>94</v>
      </c>
      <c r="D10" s="2" t="s">
        <v>95</v>
      </c>
      <c r="E10" s="2" t="s">
        <v>80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AJ10" s="17" t="str">
        <f aca="false">IF((E10="e"),H10," ")</f>
        <v> </v>
      </c>
      <c r="BZ10" s="2" t="s">
        <v>81</v>
      </c>
    </row>
    <row r="11" customFormat="false" ht="12" hidden="false" customHeight="false" outlineLevel="0" collapsed="false">
      <c r="A11" s="28" t="n">
        <v>46663</v>
      </c>
      <c r="B11" s="2" t="s">
        <v>96</v>
      </c>
      <c r="D11" s="2" t="s">
        <v>97</v>
      </c>
      <c r="E11" s="2" t="s">
        <v>86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-364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AJ11" s="17" t="str">
        <f aca="false">IF((E11="e"),H11," ")</f>
        <v> </v>
      </c>
      <c r="BZ11" s="2" t="s">
        <v>87</v>
      </c>
    </row>
    <row r="12" customFormat="false" ht="12" hidden="false" customHeight="false" outlineLevel="0" collapsed="false">
      <c r="A12" s="28" t="n">
        <v>46663</v>
      </c>
      <c r="B12" s="2" t="s">
        <v>98</v>
      </c>
      <c r="D12" s="2" t="s">
        <v>99</v>
      </c>
      <c r="E12" s="2" t="s">
        <v>100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AJ12" s="17" t="str">
        <f aca="false">IF((E12="e"),H12," ")</f>
        <v> </v>
      </c>
      <c r="BZ12" s="2" t="s">
        <v>101</v>
      </c>
    </row>
    <row r="13" customFormat="false" ht="12" hidden="false" customHeight="false" outlineLevel="0" collapsed="false">
      <c r="A13" s="28" t="n">
        <v>46665</v>
      </c>
      <c r="B13" s="2" t="s">
        <v>102</v>
      </c>
      <c r="D13" s="2" t="s">
        <v>103</v>
      </c>
      <c r="E13" s="2" t="s">
        <v>100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AJ13" s="17" t="str">
        <f aca="false">IF((E13="e"),H13," ")</f>
        <v> </v>
      </c>
      <c r="BZ13" s="2" t="s">
        <v>101</v>
      </c>
    </row>
    <row r="14" customFormat="false" ht="12" hidden="false" customHeight="false" outlineLevel="0" collapsed="false">
      <c r="A14" s="28" t="n">
        <v>46665</v>
      </c>
      <c r="B14" s="2" t="s">
        <v>104</v>
      </c>
      <c r="D14" s="2" t="s">
        <v>105</v>
      </c>
      <c r="E14" s="2" t="s">
        <v>106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AJ14" s="17" t="str">
        <f aca="false">IF((E14="e"),H14," ")</f>
        <v> </v>
      </c>
      <c r="BZ14" s="2" t="s">
        <v>107</v>
      </c>
    </row>
    <row r="15" customFormat="false" ht="12" hidden="false" customHeight="false" outlineLevel="0" collapsed="false">
      <c r="A15" s="28" t="n">
        <v>46668</v>
      </c>
      <c r="B15" s="2" t="s">
        <v>110</v>
      </c>
      <c r="D15" s="2" t="s">
        <v>111</v>
      </c>
      <c r="E15" s="2" t="s">
        <v>112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-369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AJ15" s="17" t="str">
        <f aca="false">IF((E15="e"),H15," ")</f>
        <v> </v>
      </c>
      <c r="BZ15" s="2" t="s">
        <v>113</v>
      </c>
    </row>
    <row r="16" customFormat="false" ht="12" hidden="false" customHeight="false" outlineLevel="0" collapsed="false">
      <c r="A16" s="28" t="n">
        <v>46670</v>
      </c>
      <c r="B16" s="2" t="s">
        <v>114</v>
      </c>
      <c r="D16" s="2" t="s">
        <v>115</v>
      </c>
      <c r="E16" s="2" t="s">
        <v>100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-371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AJ16" s="17" t="str">
        <f aca="false">IF((E16="e"),H16," ")</f>
        <v> </v>
      </c>
      <c r="BZ16" s="2" t="s">
        <v>101</v>
      </c>
    </row>
    <row r="17" customFormat="false" ht="12" hidden="false" customHeight="false" outlineLevel="0" collapsed="false">
      <c r="A17" s="28" t="n">
        <v>46670</v>
      </c>
      <c r="B17" s="2" t="s">
        <v>132</v>
      </c>
      <c r="D17" s="2" t="s">
        <v>228</v>
      </c>
      <c r="E17" s="2" t="s">
        <v>174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AJ17" s="17" t="str">
        <f aca="false">IF((E17="e"),H17," ")</f>
        <v> </v>
      </c>
      <c r="BZ17" s="2" t="s">
        <v>175</v>
      </c>
    </row>
    <row r="18" customFormat="false" ht="12" hidden="false" customHeight="false" outlineLevel="0" collapsed="false">
      <c r="A18" s="28" t="n">
        <v>46672</v>
      </c>
      <c r="B18" s="2" t="s">
        <v>124</v>
      </c>
      <c r="D18" s="2" t="s">
        <v>125</v>
      </c>
      <c r="E18" s="2" t="s">
        <v>106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-373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AJ18" s="17" t="str">
        <f aca="false">IF((E18="e"),H18," ")</f>
        <v> </v>
      </c>
      <c r="BZ18" s="2" t="s">
        <v>107</v>
      </c>
    </row>
    <row r="19" customFormat="false" ht="12" hidden="false" customHeight="false" outlineLevel="0" collapsed="false">
      <c r="A19" s="28" t="n">
        <v>46674</v>
      </c>
      <c r="B19" s="2" t="s">
        <v>128</v>
      </c>
      <c r="D19" s="2" t="s">
        <v>129</v>
      </c>
      <c r="E19" s="2" t="s">
        <v>112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-375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AJ19" s="17" t="str">
        <f aca="false">IF((E19="e"),H19," ")</f>
        <v> </v>
      </c>
      <c r="BZ19" s="2" t="s">
        <v>113</v>
      </c>
    </row>
    <row r="20" customFormat="false" ht="12" hidden="false" customHeight="false" outlineLevel="0" collapsed="false">
      <c r="A20" s="28" t="n">
        <v>46674</v>
      </c>
      <c r="B20" s="2" t="s">
        <v>130</v>
      </c>
      <c r="D20" s="2" t="s">
        <v>131</v>
      </c>
      <c r="E20" s="2" t="s">
        <v>112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-375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AJ20" s="17" t="str">
        <f aca="false">IF((E20="e"),H20," ")</f>
        <v> </v>
      </c>
      <c r="BZ20" s="2" t="s">
        <v>113</v>
      </c>
    </row>
    <row r="21" customFormat="false" ht="12" hidden="false" customHeight="false" outlineLevel="0" collapsed="false">
      <c r="A21" s="28" t="n">
        <v>46675</v>
      </c>
      <c r="B21" s="2" t="s">
        <v>20</v>
      </c>
      <c r="D21" s="2" t="s">
        <v>105</v>
      </c>
      <c r="E21" s="2" t="s">
        <v>106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-376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AJ21" s="17" t="str">
        <f aca="false">IF((E21="e"),H21," ")</f>
        <v> </v>
      </c>
      <c r="BZ21" s="2" t="s">
        <v>107</v>
      </c>
    </row>
    <row r="22" customFormat="false" ht="12" hidden="false" customHeight="false" outlineLevel="0" collapsed="false">
      <c r="A22" s="28" t="n">
        <v>46675</v>
      </c>
      <c r="B22" s="2" t="s">
        <v>132</v>
      </c>
      <c r="D22" s="2" t="s">
        <v>133</v>
      </c>
      <c r="E22" s="2" t="s">
        <v>80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AJ22" s="17" t="str">
        <f aca="false">IF((E22="e"),H22," ")</f>
        <v> </v>
      </c>
      <c r="BZ22" s="2" t="s">
        <v>81</v>
      </c>
    </row>
    <row r="23" customFormat="false" ht="12" hidden="false" customHeight="false" outlineLevel="0" collapsed="false">
      <c r="A23" s="28" t="n">
        <v>46676</v>
      </c>
      <c r="B23" s="2" t="s">
        <v>170</v>
      </c>
      <c r="D23" s="2" t="s">
        <v>171</v>
      </c>
      <c r="E23" s="2" t="s">
        <v>80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-377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AJ23" s="17" t="str">
        <f aca="false">IF((E23="e"),H23," ")</f>
        <v> </v>
      </c>
      <c r="BZ23" s="2" t="s">
        <v>81</v>
      </c>
    </row>
    <row r="24" customFormat="false" ht="12" hidden="false" customHeight="false" outlineLevel="0" collapsed="false">
      <c r="A24" s="28" t="n">
        <v>46678</v>
      </c>
      <c r="B24" s="2" t="s">
        <v>190</v>
      </c>
      <c r="D24" s="2" t="s">
        <v>191</v>
      </c>
      <c r="E24" s="2" t="s">
        <v>122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-379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J24" s="17" t="str">
        <f aca="false">IF((E24="e"),H24," ")</f>
        <v> </v>
      </c>
      <c r="BZ24" s="2" t="s">
        <v>123</v>
      </c>
    </row>
    <row r="25" customFormat="false" ht="12" hidden="false" customHeight="false" outlineLevel="0" collapsed="false">
      <c r="A25" s="28" t="n">
        <v>46678</v>
      </c>
      <c r="B25" s="2" t="s">
        <v>134</v>
      </c>
      <c r="D25" s="2" t="s">
        <v>105</v>
      </c>
      <c r="E25" s="2" t="s">
        <v>106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-379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J25" s="17" t="str">
        <f aca="false">IF((E25="e"),H25," ")</f>
        <v> </v>
      </c>
      <c r="BZ25" s="2" t="s">
        <v>107</v>
      </c>
    </row>
    <row r="26" customFormat="false" ht="12" hidden="false" customHeight="false" outlineLevel="0" collapsed="false">
      <c r="A26" s="28" t="n">
        <v>46680</v>
      </c>
      <c r="B26" s="2" t="s">
        <v>135</v>
      </c>
      <c r="D26" s="2" t="s">
        <v>136</v>
      </c>
      <c r="E26" s="2" t="s">
        <v>80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-381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AJ26" s="17" t="str">
        <f aca="false">IF((E26="e"),H26," ")</f>
        <v> </v>
      </c>
      <c r="BZ26" s="2" t="s">
        <v>81</v>
      </c>
    </row>
    <row r="27" customFormat="false" ht="12" hidden="false" customHeight="false" outlineLevel="0" collapsed="false">
      <c r="A27" s="28" t="n">
        <v>46681</v>
      </c>
      <c r="B27" s="2" t="s">
        <v>141</v>
      </c>
      <c r="D27" s="2" t="s">
        <v>142</v>
      </c>
      <c r="E27" s="2" t="s">
        <v>112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-382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AJ27" s="17" t="str">
        <f aca="false">IF((E27="e"),H27," ")</f>
        <v> </v>
      </c>
      <c r="BZ27" s="2" t="s">
        <v>113</v>
      </c>
    </row>
    <row r="28" customFormat="false" ht="12" hidden="false" customHeight="false" outlineLevel="0" collapsed="false">
      <c r="A28" s="28" t="n">
        <v>46682</v>
      </c>
      <c r="B28" s="2" t="s">
        <v>143</v>
      </c>
      <c r="D28" s="2" t="s">
        <v>144</v>
      </c>
      <c r="E28" s="2" t="s">
        <v>100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-383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AJ28" s="17" t="str">
        <f aca="false">IF((E28="e"),H28," ")</f>
        <v> </v>
      </c>
      <c r="BZ28" s="2" t="s">
        <v>101</v>
      </c>
    </row>
    <row r="29" customFormat="false" ht="12" hidden="false" customHeight="false" outlineLevel="0" collapsed="false">
      <c r="A29" s="28" t="n">
        <v>46682</v>
      </c>
      <c r="B29" s="2" t="s">
        <v>178</v>
      </c>
      <c r="D29" s="2" t="s">
        <v>179</v>
      </c>
      <c r="E29" s="2" t="s">
        <v>106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-383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AJ29" s="17" t="str">
        <f aca="false">IF((E29="e"),H29," ")</f>
        <v> </v>
      </c>
      <c r="BZ29" s="2" t="s">
        <v>107</v>
      </c>
    </row>
    <row r="30" customFormat="false" ht="12" hidden="false" customHeight="false" outlineLevel="0" collapsed="false">
      <c r="A30" s="28" t="n">
        <v>46685</v>
      </c>
      <c r="B30" s="2" t="s">
        <v>192</v>
      </c>
      <c r="D30" s="2" t="s">
        <v>193</v>
      </c>
      <c r="E30" s="2" t="s">
        <v>194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-386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AJ30" s="17" t="str">
        <f aca="false">IF((E30="e"),H30," ")</f>
        <v> </v>
      </c>
      <c r="BZ30" s="2" t="s">
        <v>195</v>
      </c>
    </row>
    <row r="31" customFormat="false" ht="12" hidden="false" customHeight="false" outlineLevel="0" collapsed="false">
      <c r="A31" s="28" t="n">
        <v>46685</v>
      </c>
      <c r="B31" s="2" t="s">
        <v>145</v>
      </c>
      <c r="D31" s="2" t="s">
        <v>146</v>
      </c>
      <c r="E31" s="2" t="s">
        <v>100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-386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AJ31" s="17" t="str">
        <f aca="false">IF((E31="e"),H31," ")</f>
        <v> </v>
      </c>
      <c r="BZ31" s="2" t="s">
        <v>101</v>
      </c>
    </row>
    <row r="32" customFormat="false" ht="12" hidden="false" customHeight="false" outlineLevel="0" collapsed="false">
      <c r="A32" s="28" t="n">
        <v>46685</v>
      </c>
      <c r="B32" s="2" t="s">
        <v>147</v>
      </c>
      <c r="D32" s="2" t="s">
        <v>251</v>
      </c>
      <c r="E32" s="2" t="s">
        <v>106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-386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AJ32" s="17" t="str">
        <f aca="false">IF((E32="e"),H32," ")</f>
        <v> </v>
      </c>
      <c r="BZ32" s="2" t="s">
        <v>107</v>
      </c>
    </row>
    <row r="33" customFormat="false" ht="12" hidden="false" customHeight="false" outlineLevel="0" collapsed="false">
      <c r="A33" s="28" t="n">
        <v>46688</v>
      </c>
      <c r="B33" s="2" t="s">
        <v>20</v>
      </c>
      <c r="D33" s="2" t="s">
        <v>149</v>
      </c>
      <c r="E33" s="2" t="s">
        <v>106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-389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AJ33" s="17" t="str">
        <f aca="false">IF((E33="e"),H33," ")</f>
        <v> </v>
      </c>
      <c r="BZ33" s="2" t="s">
        <v>107</v>
      </c>
    </row>
    <row r="34" customFormat="false" ht="12" hidden="false" customHeight="false" outlineLevel="0" collapsed="false">
      <c r="A34" s="28" t="n">
        <v>46691</v>
      </c>
      <c r="B34" s="2" t="s">
        <v>16</v>
      </c>
      <c r="D34" s="2" t="s">
        <v>150</v>
      </c>
      <c r="E34" s="2" t="s">
        <v>151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AJ34" s="17" t="str">
        <f aca="false">IF((E34="e"),H34," ")</f>
        <v> </v>
      </c>
      <c r="BZ34" s="2" t="s">
        <v>152</v>
      </c>
    </row>
    <row r="35" customFormat="false" ht="12" hidden="false" customHeight="false" outlineLevel="0" collapsed="false">
      <c r="A35" s="28" t="n">
        <v>46691</v>
      </c>
      <c r="B35" s="2" t="s">
        <v>197</v>
      </c>
      <c r="C35" s="3" t="s">
        <v>260</v>
      </c>
      <c r="D35" s="2" t="s">
        <v>199</v>
      </c>
      <c r="E35" s="2" t="s">
        <v>151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-392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AJ35" s="17" t="str">
        <f aca="false">IF((E35="e"),H35," ")</f>
        <v> </v>
      </c>
      <c r="BZ35" s="2" t="s">
        <v>200</v>
      </c>
    </row>
    <row r="36" customFormat="false" ht="12" hidden="false" customHeight="false" outlineLevel="0" collapsed="false">
      <c r="A36" s="28"/>
      <c r="E36" s="2" t="str">
        <f aca="false">IF((F36&lt;&gt;0),"Enter Letter"," ")</f>
        <v> </v>
      </c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AJ36" s="17" t="str">
        <f aca="false">IF((E36="e"),H36," ")</f>
        <v> </v>
      </c>
    </row>
    <row r="37" customFormat="false" ht="12" hidden="false" customHeight="false" outlineLevel="0" collapsed="false">
      <c r="A37" s="28"/>
      <c r="E37" s="2" t="str">
        <f aca="false">IF((F37&lt;&gt;0),"Enter Letter"," ")</f>
        <v> </v>
      </c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AJ37" s="17" t="str">
        <f aca="false">IF((E37="e"),H37," ")</f>
        <v> </v>
      </c>
    </row>
    <row r="38" customFormat="false" ht="12" hidden="false" customHeight="false" outlineLevel="0" collapsed="false">
      <c r="A38" s="28"/>
      <c r="E38" s="2" t="str">
        <f aca="false">IF((F38&lt;&gt;0),"Enter Letter"," ")</f>
        <v> </v>
      </c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AJ38" s="17" t="str">
        <f aca="false">IF((E38="e"),H38," ")</f>
        <v> </v>
      </c>
    </row>
    <row r="39" customFormat="false" ht="12" hidden="false" customHeight="false" outlineLevel="0" collapsed="false">
      <c r="A39" s="28"/>
      <c r="E39" s="2" t="str">
        <f aca="false">IF((F39&lt;&gt;0),"Enter Letter"," ")</f>
        <v> </v>
      </c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AJ39" s="17" t="str">
        <f aca="false">IF((E39="e"),H39," ")</f>
        <v> </v>
      </c>
    </row>
    <row r="40" customFormat="false" ht="12" hidden="false" customHeight="false" outlineLevel="0" collapsed="false">
      <c r="A40" s="28"/>
      <c r="E40" s="2" t="str">
        <f aca="false">IF((F40&lt;&gt;0),"Enter Letter"," ")</f>
        <v> </v>
      </c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  <c r="AJ40" s="17" t="str">
        <f aca="false">IF((E40="e"),H40," ")</f>
        <v> </v>
      </c>
    </row>
    <row r="41" customFormat="false" ht="12" hidden="false" customHeight="false" outlineLevel="0" collapsed="false">
      <c r="A41" s="28"/>
      <c r="E41" s="2" t="str">
        <f aca="false">IF((F41&lt;&gt;0),"Enter Letter"," ")</f>
        <v> </v>
      </c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  <c r="AJ41" s="17" t="str">
        <f aca="false">IF((E41="e"),H41," ")</f>
        <v> </v>
      </c>
    </row>
    <row r="42" customFormat="false" ht="12" hidden="false" customHeight="false" outlineLevel="0" collapsed="false">
      <c r="A42" s="28"/>
      <c r="E42" s="2" t="str">
        <f aca="false">IF((F42&lt;&gt;0),"Enter Letter"," ")</f>
        <v> </v>
      </c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  <c r="AJ42" s="17" t="str">
        <f aca="false">IF((E42="e"),H42," ")</f>
        <v> </v>
      </c>
    </row>
    <row r="43" customFormat="false" ht="12" hidden="false" customHeight="false" outlineLevel="0" collapsed="false">
      <c r="A43" s="28"/>
      <c r="E43" s="2" t="str">
        <f aca="false">IF((F43&lt;&gt;0),"Enter Letter"," ")</f>
        <v> </v>
      </c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  <c r="AJ43" s="17" t="str">
        <f aca="false">IF((E43="e"),H43," ")</f>
        <v> </v>
      </c>
    </row>
    <row r="44" customFormat="false" ht="12" hidden="false" customHeight="false" outlineLevel="0" collapsed="false">
      <c r="A44" s="28"/>
      <c r="E44" s="2" t="str">
        <f aca="false">IF((F44&lt;&gt;0),"Enter Letter"," ")</f>
        <v> </v>
      </c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  <c r="AJ44" s="17" t="str">
        <f aca="false">IF((E44="e"),H44," ")</f>
        <v> </v>
      </c>
    </row>
    <row r="45" customFormat="false" ht="12" hidden="false" customHeight="false" outlineLevel="0" collapsed="false">
      <c r="A45" s="28"/>
      <c r="E45" s="2" t="str">
        <f aca="false">IF((F45&lt;&gt;0),"Enter Letter"," ")</f>
        <v> </v>
      </c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  <c r="AJ45" s="17" t="str">
        <f aca="false">IF((E45="e"),H45," ")</f>
        <v> </v>
      </c>
    </row>
    <row r="46" customFormat="false" ht="12" hidden="false" customHeight="false" outlineLevel="0" collapsed="false">
      <c r="A46" s="28"/>
      <c r="E46" s="2" t="str">
        <f aca="false">IF((F46&lt;&gt;0),"Enter Letter"," ")</f>
        <v> </v>
      </c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  <c r="AJ46" s="17" t="str">
        <f aca="false">IF((E46="e"),H46," ")</f>
        <v> </v>
      </c>
    </row>
    <row r="47" customFormat="false" ht="12" hidden="false" customHeight="false" outlineLevel="0" collapsed="false">
      <c r="A47" s="28"/>
      <c r="E47" s="2" t="str">
        <f aca="false">IF((F47&lt;&gt;0),"Enter Letter"," ")</f>
        <v> </v>
      </c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  <c r="AJ47" s="17" t="str">
        <f aca="false">IF((E47="e"),H47," ")</f>
        <v> </v>
      </c>
    </row>
    <row r="48" customFormat="false" ht="12" hidden="false" customHeight="false" outlineLevel="0" collapsed="false">
      <c r="A48" s="28"/>
      <c r="E48" s="2" t="str">
        <f aca="false">IF((F48&lt;&gt;0),"Enter Letter"," ")</f>
        <v> </v>
      </c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  <c r="AJ48" s="17" t="str">
        <f aca="false">IF((E48="e"),H48," ")</f>
        <v> </v>
      </c>
    </row>
    <row r="49" customFormat="false" ht="12" hidden="false" customHeight="false" outlineLevel="0" collapsed="false">
      <c r="A49" s="28"/>
      <c r="E49" s="2" t="str">
        <f aca="false">IF((F49&lt;&gt;0),"Enter Letter"," ")</f>
        <v> </v>
      </c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  <c r="AJ49" s="17" t="str">
        <f aca="false">IF((E49="e"),H49," ")</f>
        <v> </v>
      </c>
    </row>
    <row r="50" customFormat="false" ht="12" hidden="false" customHeight="false" outlineLevel="0" collapsed="false">
      <c r="A50" s="28"/>
      <c r="E50" s="2" t="str">
        <f aca="false">IF((F50&lt;&gt;0),"Enter Letter"," ")</f>
        <v> </v>
      </c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  <c r="AJ50" s="17" t="str">
        <f aca="false">IF((E50="e"),H50," ")</f>
        <v> </v>
      </c>
    </row>
    <row r="51" customFormat="false" ht="12" hidden="false" customHeight="false" outlineLevel="0" collapsed="false">
      <c r="A51" s="28"/>
      <c r="E51" s="2" t="str">
        <f aca="false">IF((F51&lt;&gt;0),"Enter Letter"," ")</f>
        <v> </v>
      </c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  <c r="AJ51" s="17" t="str">
        <f aca="false">IF((E51="e"),H51," ")</f>
        <v> </v>
      </c>
    </row>
    <row r="52" customFormat="false" ht="12" hidden="false" customHeight="false" outlineLevel="0" collapsed="false">
      <c r="A52" s="28"/>
      <c r="E52" s="2" t="str">
        <f aca="false">IF((F52&lt;&gt;0),"Enter Letter"," ")</f>
        <v> </v>
      </c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  <c r="AJ52" s="17" t="str">
        <f aca="false">IF((E52="e"),H52," ")</f>
        <v> </v>
      </c>
    </row>
    <row r="53" customFormat="false" ht="12" hidden="false" customHeight="false" outlineLevel="0" collapsed="false">
      <c r="A53" s="28"/>
      <c r="E53" s="2" t="str">
        <f aca="false">IF((F53&lt;&gt;0),"Enter Letter"," ")</f>
        <v> </v>
      </c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  <c r="AJ53" s="17" t="str">
        <f aca="false">IF((E53="e"),H53," ")</f>
        <v> </v>
      </c>
    </row>
    <row r="54" customFormat="false" ht="12" hidden="false" customHeight="false" outlineLevel="0" collapsed="false">
      <c r="A54" s="28"/>
      <c r="E54" s="2" t="str">
        <f aca="false">IF((F54&lt;&gt;0),"Enter Letter"," ")</f>
        <v> </v>
      </c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  <c r="AJ54" s="17" t="str">
        <f aca="false">IF((E54="e"),H54," ")</f>
        <v> </v>
      </c>
    </row>
    <row r="55" customFormat="false" ht="12" hidden="false" customHeight="false" outlineLevel="0" collapsed="false">
      <c r="A55" s="28"/>
      <c r="E55" s="2" t="str">
        <f aca="false">IF((F55&lt;&gt;0),"Enter Letter"," ")</f>
        <v> </v>
      </c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  <c r="AJ55" s="17" t="str">
        <f aca="false">IF((E55="e"),H55," ")</f>
        <v> </v>
      </c>
    </row>
    <row r="56" customFormat="false" ht="12" hidden="false" customHeight="false" outlineLevel="0" collapsed="false">
      <c r="A56" s="28"/>
      <c r="E56" s="2" t="str">
        <f aca="false">IF((F56&lt;&gt;0),"Enter Letter"," ")</f>
        <v> </v>
      </c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  <c r="AJ56" s="17" t="str">
        <f aca="false">IF((E56="e"),H56," ")</f>
        <v> </v>
      </c>
    </row>
    <row r="57" customFormat="false" ht="12" hidden="false" customHeight="false" outlineLevel="0" collapsed="false">
      <c r="A57" s="28"/>
      <c r="E57" s="2" t="str">
        <f aca="false">IF((F57&lt;&gt;0),"Enter Letter"," ")</f>
        <v> </v>
      </c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  <c r="AJ57" s="17" t="str">
        <f aca="false">IF((E57="e"),H57," ")</f>
        <v> </v>
      </c>
    </row>
    <row r="58" customFormat="false" ht="12" hidden="false" customHeight="false" outlineLevel="0" collapsed="false">
      <c r="A58" s="28"/>
      <c r="E58" s="2" t="str">
        <f aca="false">IF((F58&lt;&gt;0),"Enter Letter"," ")</f>
        <v> </v>
      </c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  <c r="AJ58" s="17" t="str">
        <f aca="false">IF((E58="e"),H58," ")</f>
        <v> </v>
      </c>
    </row>
    <row r="59" customFormat="false" ht="12" hidden="false" customHeight="false" outlineLevel="0" collapsed="false">
      <c r="A59" s="28"/>
      <c r="E59" s="2" t="str">
        <f aca="false">IF((F59&lt;&gt;0),"Enter Letter"," ")</f>
        <v> </v>
      </c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  <c r="AJ59" s="17" t="str">
        <f aca="false">IF((E59="e"),H59," ")</f>
        <v> </v>
      </c>
    </row>
    <row r="60" customFormat="false" ht="12" hidden="false" customHeight="false" outlineLevel="0" collapsed="false">
      <c r="A60" s="28"/>
      <c r="E60" s="2" t="str">
        <f aca="false">IF((F60&lt;&gt;0),"Enter Letter"," ")</f>
        <v> </v>
      </c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  <c r="AJ60" s="17" t="str">
        <f aca="false">IF((E60="e"),H60," ")</f>
        <v> </v>
      </c>
    </row>
    <row r="61" customFormat="false" ht="12" hidden="false" customHeight="false" outlineLevel="0" collapsed="false">
      <c r="A61" s="28"/>
      <c r="E61" s="2" t="str">
        <f aca="false">IF((F61&lt;&gt;0),"Enter Letter"," ")</f>
        <v> </v>
      </c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  <c r="AJ61" s="17" t="str">
        <f aca="false">IF((E61="e"),H61," ")</f>
        <v> </v>
      </c>
    </row>
    <row r="62" customFormat="false" ht="12" hidden="false" customHeight="false" outlineLevel="0" collapsed="false">
      <c r="A62" s="28"/>
      <c r="E62" s="2" t="str">
        <f aca="false">IF((F62&lt;&gt;0),"Enter Letter"," ")</f>
        <v> </v>
      </c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  <c r="AJ62" s="17" t="str">
        <f aca="false">IF((E62="e"),H62," ")</f>
        <v> </v>
      </c>
    </row>
    <row r="63" customFormat="false" ht="12" hidden="false" customHeight="false" outlineLevel="0" collapsed="false">
      <c r="A63" s="28"/>
      <c r="E63" s="2" t="str">
        <f aca="false">IF((F63&lt;&gt;0),"Enter Letter"," ")</f>
        <v> </v>
      </c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  <c r="AJ63" s="17" t="str">
        <f aca="false">IF((E63="e"),H63," ")</f>
        <v> </v>
      </c>
    </row>
    <row r="64" customFormat="false" ht="12" hidden="false" customHeight="false" outlineLevel="0" collapsed="false">
      <c r="A64" s="28"/>
      <c r="E64" s="2" t="str">
        <f aca="false">IF((F64&lt;&gt;0),"Enter Letter"," ")</f>
        <v> </v>
      </c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  <c r="AJ64" s="17" t="str">
        <f aca="false">IF((E64="e"),H64," ")</f>
        <v> </v>
      </c>
    </row>
    <row r="65" customFormat="false" ht="12" hidden="false" customHeight="false" outlineLevel="0" collapsed="false">
      <c r="A65" s="28"/>
      <c r="E65" s="2" t="str">
        <f aca="false">IF((F65&lt;&gt;0),"Enter Letter"," ")</f>
        <v> </v>
      </c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  <c r="AJ65" s="17" t="str">
        <f aca="false">IF((E65="e"),H65," ")</f>
        <v> </v>
      </c>
    </row>
    <row r="66" customFormat="false" ht="12" hidden="false" customHeight="false" outlineLevel="0" collapsed="false">
      <c r="A66" s="28"/>
      <c r="E66" s="2" t="str">
        <f aca="false">IF((F66&lt;&gt;0),"Enter Letter"," ")</f>
        <v> </v>
      </c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  <c r="AJ66" s="17" t="str">
        <f aca="false">IF((E66="e"),H66," ")</f>
        <v> </v>
      </c>
    </row>
    <row r="67" customFormat="false" ht="12" hidden="false" customHeight="false" outlineLevel="0" collapsed="false">
      <c r="A67" s="28"/>
      <c r="E67" s="2" t="str">
        <f aca="false">IF((F67&lt;&gt;0),"Enter Letter"," ")</f>
        <v> </v>
      </c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  <c r="AJ67" s="17" t="str">
        <f aca="false">IF((E67="e"),H67," ")</f>
        <v> </v>
      </c>
    </row>
    <row r="68" customFormat="false" ht="12" hidden="false" customHeight="false" outlineLevel="0" collapsed="false">
      <c r="A68" s="28"/>
      <c r="E68" s="2" t="str">
        <f aca="false">IF((F68&lt;&gt;0),"Enter Letter"," ")</f>
        <v> </v>
      </c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  <c r="AJ68" s="17" t="str">
        <f aca="false">IF((E68="e"),H68," ")</f>
        <v> </v>
      </c>
    </row>
    <row r="69" customFormat="false" ht="12" hidden="false" customHeight="false" outlineLevel="0" collapsed="false">
      <c r="A69" s="28"/>
      <c r="E69" s="2" t="str">
        <f aca="false">IF((F69&lt;&gt;0),"Enter Letter"," ")</f>
        <v> </v>
      </c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  <c r="AJ69" s="17" t="str">
        <f aca="false">IF((E69="e"),H69,"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  <c r="AJ70" s="17" t="str">
        <f aca="false">IF((E70="e"),H70,"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  <c r="AJ71" s="17" t="str">
        <f aca="false">IF((E71="e"),H71,"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  <c r="AJ72" s="17" t="str">
        <f aca="false">IF((E72="e"),H72,"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  <c r="AJ73" s="17" t="str">
        <f aca="false">IF((E73="e"),H73,"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  <c r="AJ74" s="17" t="str">
        <f aca="false">IF((E74="e"),H74,"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  <c r="AJ75" s="17" t="str">
        <f aca="false">IF((E75="e"),H75,"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  <c r="AJ76" s="17" t="str">
        <f aca="false">IF((E76="e"),H76,"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  <c r="AJ77" s="17" t="str">
        <f aca="false">IF((E77="e"),H77,"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  <c r="AJ78" s="17" t="str">
        <f aca="false">IF((E78="e"),H78,"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  <c r="AJ79" s="17" t="str">
        <f aca="false">IF((E79="e"),H79,"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  <c r="AJ80" s="17" t="str">
        <f aca="false">IF((E80="e"),H80,"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  <c r="AJ81" s="17" t="str">
        <f aca="false">IF((E81="e"),H81,"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  <c r="AJ82" s="17" t="str">
        <f aca="false">IF((E82="e"),H82,"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  <c r="AJ83" s="17" t="str">
        <f aca="false">IF((E83="e"),H83,"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  <c r="AJ84" s="17" t="str">
        <f aca="false">IF((E84="e"),H84,"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  <c r="AJ85" s="17" t="str">
        <f aca="false">IF((E85="e"),H85,"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  <c r="AJ86" s="17" t="str">
        <f aca="false">IF((E86="e"),H86,"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  <c r="AJ87" s="17" t="str">
        <f aca="false">IF((E87="e"),H87,"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  <c r="AJ88" s="17" t="str">
        <f aca="false">IF((E88="e"),H88,"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  <c r="AJ89" s="17" t="str">
        <f aca="false">IF((E89="e"),H89,"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  <c r="AJ90" s="17" t="str">
        <f aca="false">IF((E90="e"),H90,"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  <c r="AJ91" s="17" t="str">
        <f aca="false">IF((E91="e"),H91,"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  <c r="AJ92" s="17" t="str">
        <f aca="false">IF((E92="e"),H92,"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  <c r="AJ93" s="17" t="str">
        <f aca="false">IF((E93="e"),H93,"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  <c r="AJ94" s="17" t="str">
        <f aca="false">IF((E94="e"),H94,"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  <c r="AJ95" s="17" t="str">
        <f aca="false">IF((E95="e"),H95,"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  <c r="AJ96" s="17" t="str">
        <f aca="false">IF((E96="e"),H96,"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  <c r="AJ97" s="17" t="str">
        <f aca="false">IF((E97="e"),H97,"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  <c r="AJ98" s="17" t="str">
        <f aca="false">IF((E98="e"),H98,"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  <c r="AJ99" s="17" t="str">
        <f aca="false">IF((E99="e"),H99,"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  <c r="AJ100" s="17" t="str">
        <f aca="false">IF((E100="e"),H100,"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  <c r="AJ101" s="17" t="str">
        <f aca="false">IF((E101="e"),H101,"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  <c r="AJ102" s="17" t="str">
        <f aca="false">IF((E102="e"),H102,"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  <c r="AJ103" s="17" t="str">
        <f aca="false">IF((E103="e"),H103,"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  <c r="AJ104" s="17" t="str">
        <f aca="false">IF((E104="e"),H104,"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  <c r="AJ105" s="17" t="str">
        <f aca="false">IF((E105="e"),H105,"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  <c r="AJ106" s="17" t="str">
        <f aca="false">IF((E106="e"),H106,"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  <c r="AJ107" s="17" t="str">
        <f aca="false">IF((E107="e"),H107,"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  <c r="AJ108" s="17" t="str">
        <f aca="false">IF((E108="e"),H108,"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  <c r="AJ109" s="17" t="str">
        <f aca="false">IF((E109="e"),H109,"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  <c r="AJ110" s="17" t="str">
        <f aca="false">IF((E110="e"),H110,"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  <c r="AJ111" s="17" t="str">
        <f aca="false">IF((E111="e"),H111,"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  <c r="AJ112" s="17" t="str">
        <f aca="false">IF((E112="e"),H112,"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  <c r="AJ113" s="17" t="str">
        <f aca="false">IF((E113="e"),H113,"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  <c r="AJ114" s="17" t="str">
        <f aca="false">IF((E114="e"),H114,"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  <c r="AJ115" s="17" t="str">
        <f aca="false">IF((E115="e"),H115,"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  <c r="AJ116" s="17" t="str">
        <f aca="false">IF((E116="e"),H116,"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  <c r="AJ117" s="17" t="str">
        <f aca="false">IF((E117="e"),H117,"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  <c r="AJ118" s="17" t="str">
        <f aca="false">IF((E118="e"),H118,"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  <c r="AJ119" s="17" t="str">
        <f aca="false">IF((E119="e"),H119,"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  <c r="AJ120" s="17" t="str">
        <f aca="false">IF((E120="e"),H120,"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  <c r="AJ121" s="17" t="str">
        <f aca="false">IF((E121="e"),H121,"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  <c r="AJ122" s="17" t="str">
        <f aca="false">IF((E122="e"),H122,"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  <c r="AJ123" s="17" t="str">
        <f aca="false">IF((E123="e"),H123,"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  <c r="AJ124" s="17" t="str">
        <f aca="false">IF((E124="e"),H124,"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  <c r="AJ125" s="17" t="str">
        <f aca="false">IF((E125="e"),H125,"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  <c r="AJ126" s="17" t="str">
        <f aca="false">IF((E126="e"),H126,"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  <c r="AJ127" s="17" t="str">
        <f aca="false">IF((E127="e"),H127,"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  <c r="AJ128" s="17" t="str">
        <f aca="false">IF((E128="e"),H128,"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  <c r="AJ129" s="17" t="str">
        <f aca="false">IF((E129="e"),H129,"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  <c r="AJ130" s="17" t="str">
        <f aca="false">IF((E130="e"),H130,"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  <c r="AJ131" s="17" t="str">
        <f aca="false">IF((E131="e"),H131,"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  <c r="AJ132" s="17" t="str">
        <f aca="false">IF((E132="e"),H132,"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  <c r="AJ133" s="17" t="str">
        <f aca="false">IF((E133="e"),H133,"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  <c r="AJ134" s="17" t="str">
        <f aca="false">IF((E134="e"),H134,"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  <c r="AJ135" s="17" t="str">
        <f aca="false">IF((E135="e"),H135,"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  <c r="AJ136" s="17" t="str">
        <f aca="false">IF((E136="e"),H136,"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  <c r="AJ137" s="17" t="str">
        <f aca="false">IF((E137="e"),H137,"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  <c r="AJ138" s="17" t="str">
        <f aca="false">IF((E138="e"),H138,"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  <c r="AJ139" s="17" t="str">
        <f aca="false">IF((E139="e"),H139,"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  <c r="AJ140" s="17" t="str">
        <f aca="false">IF((E140="e"),H140,"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  <c r="AJ141" s="17" t="str">
        <f aca="false">IF((E141="e"),H141,"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  <c r="AJ142" s="17" t="str">
        <f aca="false">IF((E142="e"),H142,"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  <c r="AJ143" s="17" t="str">
        <f aca="false">IF((E143="e"),H143,"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  <c r="AJ144" s="17" t="str">
        <f aca="false">IF((E144="e"),H144,"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  <c r="AJ145" s="17" t="str">
        <f aca="false">IF((E145="e"),H145,"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  <c r="AJ146" s="17" t="str">
        <f aca="false">IF((E146="e"),H146,"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  <c r="AJ147" s="17" t="str">
        <f aca="false">IF((E147="e"),H147,"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  <c r="AJ148" s="17" t="str">
        <f aca="false">IF((E148="e"),H148,"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  <c r="AJ149" s="17" t="str">
        <f aca="false">IF((E149="e"),H149,"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  <c r="AJ150" s="17" t="str">
        <f aca="false">IF((E150="e"),H150,"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  <c r="AJ151" s="17" t="str">
        <f aca="false">IF((E151="e"),H151,"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  <c r="AJ152" s="17" t="str">
        <f aca="false">IF((E152="e"),H152,"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  <c r="AJ153" s="17" t="str">
        <f aca="false">IF((E153="e"),H153,"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  <c r="AJ154" s="17" t="str">
        <f aca="false">IF((E154="e"),H154,"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  <c r="AJ155" s="17" t="str">
        <f aca="false">IF((E155="e"),H155,"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  <c r="AJ156" s="17" t="str">
        <f aca="false">IF((E156="e"),H156,"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  <c r="AJ157" s="17" t="str">
        <f aca="false">IF((E157="e"),H157,"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  <c r="AJ158" s="17" t="str">
        <f aca="false">IF((E158="e"),H158,"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  <c r="AJ159" s="17" t="str">
        <f aca="false">IF((E159="e"),H159,"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  <c r="AJ160" s="17" t="str">
        <f aca="false">IF((E160="e"),H160,"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  <c r="AJ161" s="17" t="str">
        <f aca="false">IF((E161="e"),H161,"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  <c r="AJ162" s="17" t="str">
        <f aca="false">IF((E162="e"),H162,"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  <c r="AJ163" s="17" t="str">
        <f aca="false">IF((E163="e"),H163,"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  <c r="AJ164" s="17" t="str">
        <f aca="false">IF((E164="e"),H164,"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  <c r="AJ165" s="17" t="str">
        <f aca="false">IF((E165="e"),H165,"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  <c r="AJ166" s="17" t="str">
        <f aca="false">IF((E166="e"),H166,"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  <c r="AJ167" s="17" t="str">
        <f aca="false">IF((E167="e"),H167,"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  <c r="AJ168" s="17" t="str">
        <f aca="false">IF((E168="e"),H168,"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  <c r="AJ169" s="17" t="str">
        <f aca="false">IF((E169="e"),H169,"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  <c r="AJ170" s="17" t="str">
        <f aca="false">IF((E170="e"),H170,"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  <c r="AJ171" s="17" t="str">
        <f aca="false">IF((E171="e"),H171,"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  <c r="AJ172" s="17" t="str">
        <f aca="false">IF((E172="e"),H172,"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  <c r="AJ173" s="17" t="str">
        <f aca="false">IF((E173="e"),H173,"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  <c r="AJ174" s="17" t="str">
        <f aca="false">IF((E174="e"),H174,"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  <c r="AJ175" s="17" t="str">
        <f aca="false">IF((E175="e"),H175,"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  <c r="AJ176" s="17" t="str">
        <f aca="false">IF((E176="e"),H176,"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  <c r="AJ177" s="17" t="str">
        <f aca="false">IF((E177="e"),H177,"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  <c r="AJ178" s="17" t="str">
        <f aca="false">IF((E178="e"),H178,"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  <c r="AJ179" s="17" t="str">
        <f aca="false">IF((E179="e"),H179,"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  <c r="AJ180" s="17" t="str">
        <f aca="false">IF((E180="e"),H180,"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  <c r="AJ181" s="17" t="str">
        <f aca="false">IF((E181="e"),H181,"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  <c r="AJ182" s="17" t="str">
        <f aca="false">IF((E182="e"),H182,"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  <c r="AJ183" s="17" t="str">
        <f aca="false">IF((E183="e"),H183,"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  <c r="AJ184" s="17" t="str">
        <f aca="false">IF((E184="e"),H184,"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  <c r="AJ185" s="17" t="str">
        <f aca="false">IF((E185="e"),H185,"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  <c r="AJ186" s="17" t="str">
        <f aca="false">IF((E186="e"),H186,"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  <c r="AJ187" s="17" t="str">
        <f aca="false">IF((E187="e"),H187,"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  <c r="AJ188" s="17" t="str">
        <f aca="false">IF((E188="e"),H188,"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  <c r="AJ189" s="17" t="str">
        <f aca="false">IF((E189="e"),H189,"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  <c r="AJ190" s="17" t="str">
        <f aca="false">IF((E190="e"),H190,"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  <c r="AJ191" s="17" t="str">
        <f aca="false">IF((E191="e"),H191,"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  <c r="AJ192" s="17" t="str">
        <f aca="false">IF((E192="e"),H192,"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  <c r="AJ193" s="17" t="str">
        <f aca="false">IF((E193="e"),H193,"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  <c r="AJ194" s="17" t="str">
        <f aca="false">IF((E194="e"),H194,"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  <c r="AJ195" s="17" t="str">
        <f aca="false">IF((E195="e"),H195,"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  <c r="AJ196" s="17" t="str">
        <f aca="false">IF((E196="e"),H196,"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  <c r="AJ197" s="17" t="str">
        <f aca="false">IF((E197="e"),H197,"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  <c r="AJ198" s="17" t="str">
        <f aca="false">IF((E198="e"),H198,"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  <c r="AJ199" s="17" t="str">
        <f aca="false">IF((E199="e"),H199,"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  <c r="AJ200" s="17" t="str">
        <f aca="false">IF((E200="e"),H200,"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  <c r="AJ201" s="17" t="str">
        <f aca="false">IF((E201="e"),H201,"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  <c r="AJ202" s="17" t="str">
        <f aca="false">IF((E202="e"),H202,"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  <c r="AJ203" s="17" t="str">
        <f aca="false">IF((E203="e"),H203,"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  <c r="AJ204" s="17" t="str">
        <f aca="false">IF((E204="e"),H204,"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  <c r="AJ205" s="17" t="str">
        <f aca="false">IF((E205="e"),H205,"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  <c r="AJ206" s="17" t="str">
        <f aca="false">IF((E206="e"),H206,"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  <c r="AJ207" s="17" t="str">
        <f aca="false">IF((E207="e"),H207,"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  <c r="AJ208" s="17" t="str">
        <f aca="false">IF((E208="e"),H208,"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  <c r="AJ209" s="17" t="str">
        <f aca="false">IF((E209="e"),H209,"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  <c r="AJ210" s="17" t="str">
        <f aca="false">IF((E210="e"),H210,"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  <c r="AJ211" s="17" t="str">
        <f aca="false">IF((E211="e"),H211,"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  <c r="AJ212" s="17" t="str">
        <f aca="false">IF((E212="e"),H212,"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  <c r="AJ213" s="17" t="str">
        <f aca="false">IF((E213="e"),H213,"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  <c r="AJ214" s="17" t="str">
        <f aca="false">IF((E214="e"),H214,"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  <c r="AJ215" s="17" t="str">
        <f aca="false">IF((E215="e"),H215,"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  <c r="AJ216" s="17" t="str">
        <f aca="false">IF((E216="e"),H216,"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  <c r="AJ217" s="17" t="str">
        <f aca="false">IF((E217="e"),H217,"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  <c r="AJ218" s="17" t="str">
        <f aca="false">IF((E218="e"),H218,"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  <c r="AJ219" s="17" t="str">
        <f aca="false">IF((E219="e"),H219,"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  <c r="AJ220" s="17" t="str">
        <f aca="false">IF((E220="e"),H220,"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  <c r="AJ221" s="17" t="str">
        <f aca="false">IF((E221="e"),H221,"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  <c r="AJ222" s="17" t="str">
        <f aca="false">IF((E222="e"),H222,"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  <c r="AJ223" s="17" t="str">
        <f aca="false">IF((E223="e"),H223,"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  <c r="AJ224" s="17" t="str">
        <f aca="false">IF((E224="e"),H224,"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  <c r="AJ225" s="17" t="str">
        <f aca="false">IF((E225="e"),H225,"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  <c r="AJ226" s="17" t="str">
        <f aca="false">IF((E226="e"),H226,"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  <c r="AJ227" s="17" t="str">
        <f aca="false">IF((E227="e"),H227,"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  <c r="AJ228" s="17" t="str">
        <f aca="false">IF((E228="e"),H228,"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  <c r="AJ229" s="17" t="str">
        <f aca="false">IF((E229="e"),H229,"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  <c r="AJ230" s="17" t="str">
        <f aca="false">IF((E230="e"),H230,"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  <c r="AJ231" s="17" t="str">
        <f aca="false">IF((E231="e"),H231,"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  <c r="AJ232" s="17" t="str">
        <f aca="false">IF((E232="e"),H232,"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  <c r="AJ233" s="17" t="str">
        <f aca="false">IF((E233="e"),H233,"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  <c r="AJ234" s="17" t="str">
        <f aca="false">IF((E234="e"),H234,"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  <c r="AJ235" s="17" t="str">
        <f aca="false">IF((E235="e"),H235,"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  <c r="AJ236" s="17" t="str">
        <f aca="false">IF((E236="e"),H236,"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  <c r="AJ237" s="17" t="str">
        <f aca="false">IF((E237="e"),H237,"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  <c r="AJ238" s="17" t="str">
        <f aca="false">IF((E238="e"),H238,"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  <c r="AJ239" s="17" t="str">
        <f aca="false">IF((E239="e"),H239,"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  <c r="AJ240" s="17" t="str">
        <f aca="false">IF((E240="e"),H240,"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  <c r="AJ241" s="17" t="str">
        <f aca="false">IF((E241="e"),H241,"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  <c r="AJ242" s="17" t="str">
        <f aca="false">IF((E242="e"),H242,"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  <c r="AJ243" s="17" t="str">
        <f aca="false">IF((E243="e"),H243,"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  <c r="AJ244" s="17" t="str">
        <f aca="false">IF((E244="e"),H244,"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  <c r="AJ245" s="17" t="str">
        <f aca="false">IF((E245="e"),H245,"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  <c r="AJ246" s="17" t="str">
        <f aca="false">IF((E246="e"),H246,"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  <c r="AJ247" s="17" t="str">
        <f aca="false">IF((E247="e"),H247,"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  <c r="AJ248" s="17" t="str">
        <f aca="false">IF((E248="e"),H248,"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  <c r="AJ249" s="17" t="str">
        <f aca="false">IF((E249="e"),H249,"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  <c r="AJ250" s="17" t="str">
        <f aca="false">IF((E250="e"),H250,"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  <c r="AJ251" s="17" t="str">
        <f aca="false">IF((E251="e"),H251,"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  <c r="AJ252" s="17" t="str">
        <f aca="false">IF((E252="e"),H252,"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  <c r="AJ253" s="17" t="str">
        <f aca="false">IF((E253="e"),H253,"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  <c r="AJ254" s="17" t="str">
        <f aca="false">IF((E254="e"),H254,"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  <c r="AJ255" s="17" t="str">
        <f aca="false">IF((E255="e"),H255,"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  <c r="AJ256" s="17" t="str">
        <f aca="false">IF((E256="e"),H256,"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  <c r="AJ257" s="17" t="str">
        <f aca="false">IF((E257="e"),H257,"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  <c r="AJ258" s="17" t="str">
        <f aca="false">IF((E258="e"),H258,"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  <c r="AJ259" s="17" t="str">
        <f aca="false">IF((E259="e"),H259,"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  <c r="AJ260" s="17" t="str">
        <f aca="false">IF((E260="e"),H260,"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  <c r="AJ261" s="17" t="str">
        <f aca="false">IF((E261="e"),H261,"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  <c r="AJ262" s="17" t="str">
        <f aca="false">IF((E262="e"),H262,"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  <c r="AJ263" s="17" t="str">
        <f aca="false">IF((E263="e"),H263,"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  <c r="AJ264" s="17" t="str">
        <f aca="false">IF((E264="e"),H264,"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  <c r="AJ265" s="17" t="str">
        <f aca="false">IF((E265="e"),H265,"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  <c r="AJ266" s="17" t="str">
        <f aca="false">IF((E266="e"),H266,"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  <c r="AJ267" s="17" t="str">
        <f aca="false">IF((E267="e"),H267,"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  <c r="AJ268" s="17" t="str">
        <f aca="false">IF((E268="e"),H268,"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  <c r="AJ269" s="17" t="str">
        <f aca="false">IF((E269="e"),H269,"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  <c r="AJ270" s="17" t="str">
        <f aca="false">IF((E270="e"),H270,"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  <c r="AJ271" s="17" t="str">
        <f aca="false">IF((E271="e"),H271,"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  <c r="AJ272" s="17" t="str">
        <f aca="false">IF((E272="e"),H272,"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  <c r="AJ273" s="17" t="str">
        <f aca="false">IF((E273="e"),H273,"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  <c r="AJ274" s="17" t="str">
        <f aca="false">IF((E274="e"),H274,"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  <c r="AJ275" s="17" t="str">
        <f aca="false">IF((E275="e"),H275,"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  <c r="AJ276" s="17" t="str">
        <f aca="false">IF((E276="e"),H276,"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  <c r="AJ277" s="17" t="str">
        <f aca="false">IF((E277="e"),H277,"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  <c r="AJ278" s="17" t="str">
        <f aca="false">IF((E278="e"),H278,"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  <c r="AJ279" s="17" t="str">
        <f aca="false">IF((E279="e"),H279,"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  <c r="AJ280" s="17" t="str">
        <f aca="false">IF((E280="e"),H280,"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  <c r="AJ281" s="17" t="str">
        <f aca="false">IF((E281="e"),H281,"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  <c r="AJ282" s="17" t="str">
        <f aca="false">IF((E282="e"),H282,"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  <c r="AJ283" s="17" t="str">
        <f aca="false">IF((E283="e"),H283,"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  <c r="AJ284" s="17" t="str">
        <f aca="false">IF((E284="e"),H284,"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  <c r="AJ285" s="17" t="str">
        <f aca="false">IF((E285="e"),H285,"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  <c r="AJ286" s="17" t="str">
        <f aca="false">IF((E286="e"),H286,"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  <c r="AJ287" s="17" t="str">
        <f aca="false">IF((E287="e"),H287,"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  <c r="AJ288" s="17" t="str">
        <f aca="false">IF((E288="e"),H288,"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  <c r="AJ289" s="17" t="str">
        <f aca="false">IF((E289="e"),H289,"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  <c r="AJ290" s="17" t="str">
        <f aca="false">IF((E290="e"),H290,"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  <c r="AJ291" s="17" t="str">
        <f aca="false">IF((E291="e"),H291,"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  <c r="AJ292" s="17" t="str">
        <f aca="false">IF((E292="e"),H292,"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  <c r="AJ293" s="17" t="str">
        <f aca="false">IF((E293="e"),H293,"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  <c r="AJ294" s="17" t="str">
        <f aca="false">IF((E294="e"),H294,"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  <c r="AJ295" s="17" t="str">
        <f aca="false">IF((E295="e"),H295,"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  <c r="AJ296" s="17" t="str">
        <f aca="false">IF((E296="e"),H296,"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  <c r="AJ297" s="17" t="str">
        <f aca="false">IF((E297="e"),H297,"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  <c r="AJ298" s="17" t="str">
        <f aca="false">IF((E298="e"),H298,"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  <c r="AJ299" s="17" t="str">
        <f aca="false">IF((E299="e"),H299,"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33" t="str">
        <f aca="false">IF((F300&lt;&gt;0),"Enter Letter"," ")</f>
        <v> </v>
      </c>
      <c r="F300" s="46"/>
      <c r="G300" s="36" t="str">
        <f aca="false">IF(F300&lt;&gt;0,F300*G$2/(100+G$2)," ")</f>
        <v> </v>
      </c>
      <c r="H300" s="36" t="str">
        <f aca="false">IF((F300&lt;&gt;0),F300-G300," ")</f>
        <v> </v>
      </c>
      <c r="I300" s="47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7"/>
      <c r="O300" s="48" t="str">
        <f aca="false">IF((E300="s"),H300," ")</f>
        <v> </v>
      </c>
      <c r="P300" s="48" t="str">
        <f aca="false">IF((E300="c"),H300," ")</f>
        <v> </v>
      </c>
      <c r="Q300" s="48" t="str">
        <f aca="false">IF((E300="o"),H300," ")</f>
        <v> </v>
      </c>
      <c r="R300" s="48" t="str">
        <f aca="false">IF((E300="d"),H300," ")</f>
        <v> </v>
      </c>
      <c r="S300" s="48" t="str">
        <f aca="false">IF((E300="w"),H300," ")</f>
        <v> </v>
      </c>
      <c r="T300" s="48" t="str">
        <f aca="false">IF((E300="r"),H300," ")</f>
        <v> </v>
      </c>
      <c r="U300" s="48" t="str">
        <f aca="false">IF((E300="p"),H300," ")</f>
        <v> </v>
      </c>
      <c r="V300" s="48" t="str">
        <f aca="false">IF((E300="t"),H300," ")</f>
        <v> </v>
      </c>
      <c r="W300" s="48" t="str">
        <f aca="false">IF((E300="q"),H300," ")</f>
        <v> </v>
      </c>
      <c r="X300" s="48" t="str">
        <f aca="false">IF((E300="m"),H300," ")</f>
        <v> </v>
      </c>
      <c r="Y300" s="48" t="str">
        <f aca="false">IF((E300="u"),H300," ")</f>
        <v> </v>
      </c>
      <c r="Z300" s="48" t="str">
        <f aca="false">IF((E300="a"),H300," ")</f>
        <v> </v>
      </c>
      <c r="AA300" s="48" t="str">
        <f aca="false">IF((E300="g"),H300," ")</f>
        <v> </v>
      </c>
      <c r="AB300" s="48" t="str">
        <f aca="false">IF((E300="h"),H300," ")</f>
        <v> </v>
      </c>
      <c r="AC300" s="46" t="str">
        <f aca="false">IF((E300="v"),H300," ")</f>
        <v> </v>
      </c>
      <c r="AD300" s="46" t="str">
        <f aca="false">IF((E300="n"),H300," ")</f>
        <v> </v>
      </c>
      <c r="AE300" s="48" t="str">
        <f aca="false">IF((E300="f"),H300," ")</f>
        <v> </v>
      </c>
      <c r="AF300" s="48" t="str">
        <f aca="false">IF((E300="l"),H300," ")</f>
        <v> </v>
      </c>
      <c r="AG300" s="48" t="str">
        <f aca="false">IF((E300="y"),H300," ")</f>
        <v> </v>
      </c>
      <c r="AH300" s="48" t="str">
        <f aca="false">IF((E300="z"),H300," ")</f>
        <v> </v>
      </c>
      <c r="AI300" s="48" t="str">
        <f aca="false">IF((E300="fa"),H300," ")</f>
        <v> </v>
      </c>
      <c r="AJ300" s="48" t="str">
        <f aca="false">IF((E300="e"),H300," ")</f>
        <v> </v>
      </c>
      <c r="AK300" s="48"/>
      <c r="AL300" s="48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customFormat="false" ht="12.75" hidden="false" customHeight="true" outlineLevel="0" collapsed="false">
      <c r="A1" s="9" t="s">
        <v>261</v>
      </c>
      <c r="B1" s="9"/>
      <c r="C1" s="10" t="n">
        <f aca="false">-SUM([1]TrialBalance!$EJ$28:$EJ$31)</f>
        <v>11182.25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46299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</row>
    <row r="2" customFormat="fals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</row>
    <row r="3" customFormat="fals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customFormat="false" ht="12" hidden="false" customHeight="false" outlineLevel="0" collapsed="false">
      <c r="A5" s="28"/>
      <c r="B5" s="5" t="s">
        <v>14</v>
      </c>
      <c r="C5" s="29" t="s">
        <v>262</v>
      </c>
      <c r="D5" s="5"/>
      <c r="E5" s="2"/>
      <c r="F5" s="30"/>
      <c r="G5" s="6" t="str">
        <f aca="false">IF(F5&lt;&gt;0,F5*G$2/(100+G$2)," ")</f>
        <v> </v>
      </c>
      <c r="H5" s="6" t="n">
        <v>1200</v>
      </c>
      <c r="I5" s="5"/>
      <c r="L5" s="7" t="str">
        <f aca="false">IF(F5&lt;&gt;0,F5-K5," ")</f>
        <v> </v>
      </c>
      <c r="M5" s="8" t="str">
        <f aca="false">IF((F5-K5)&lt;&gt;0,M$1-A5," ")</f>
        <v> 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8"/>
      <c r="B6" s="2" t="s">
        <v>16</v>
      </c>
      <c r="C6" s="3" t="s">
        <v>263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135</v>
      </c>
      <c r="C7" s="3" t="s">
        <v>264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265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