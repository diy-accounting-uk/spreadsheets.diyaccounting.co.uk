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<sst xmlns="http://schemas.openxmlformats.org/spreadsheetml/2006/main" count="2391" uniqueCount="260">
  <si>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</si>
  <si>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</si>
  <si>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</si>
  <si>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</si>
  <si>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</si>
  <si>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</si>
  <si>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</si>
  <si>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</si>
  <si>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</si>
  <si>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</si>
  <si>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</si>
  <si>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</si>
  <si>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</si>
  <si>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</si>
  <si>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</si>
  <si>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</si>
  <si>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</si>
  <si>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</si>
  <si>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</si>
  <si>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</si>
  <si>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</si>
  <si>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</si>
  <si>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</si>
  <si>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</si>
  <si>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</si>
  <si>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</si>
  <si>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</si>
  <si>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</si>
  <si>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</si>
  <si>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</si>
  <si>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</si>
  <si>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</si>
  <si>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</si>
  <si>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</si>
  <si>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</si>
  <si>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</si>
  <si>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</si>
  <si>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</si>
  <si>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</si>
  <si>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</si>
  <si>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</si>
  <si>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</si>
  <si>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</si>
  <si>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</si>
  <si>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</si>
  <si>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</si>
  <si>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</si>
  <si>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</si>
  <si>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</si>
  <si>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</si>
  <si>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</si>
  <si>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</si>
  <si>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</si>
  <si>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</si>
  <si>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</si>
  <si>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</si>
  <si>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</si>
  <si>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</si>
  <si>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</si>
  <si>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</si>
  <si>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</si>
  <si>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</si>
  <si>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</si>
  <si>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</si>
  <si>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</si>
  <si>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</si>
  <si>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</si>
  <si>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</si>
  <si>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</si>
  <si>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</si>
  <si>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</si>
  <si>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</si>
  <si>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</si>
  <si>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Monthly office rent</t>
  </si>
  <si>
    <t xml:space="preserve">r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</si>
  <si>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</si>
  <si>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</si>
  <si>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</si>
  <si>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</si>
  <si>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</si>
  <si>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</si>
  <si>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</si>
  <si>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</si>
  <si>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</si>
  <si>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</si>
  <si>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</si>
  <si>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</si>
  <si>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</si>
  <si>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n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</si>
  <si>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</si>
  <si>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</si>
  <si>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</si>
  <si>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</si>
  <si>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</si>
  <si>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</si>
  <si>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</si>
  <si>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</si>
  <si>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</si>
  <si>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u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</si>
  <si>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</si>
  <si>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</si>
  <si>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</si>
  <si>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</si>
  <si>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</si>
  <si>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v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</si>
  <si>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</si>
  <si>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</si>
  <si>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</si>
  <si>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</si>
  <si>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</si>
  <si>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</si>
  <si>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</si>
  <si>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</si>
  <si>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</si>
  <si>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</si>
  <si>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</si>
  <si>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f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</si>
  <si>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</si>
  <si>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</si>
  <si>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</si>
  <si>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</si>
  <si>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</si>
  <si>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</si>
  <si>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</si>
  <si>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</si>
  <si>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</si>
  <si>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</si>
  <si>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</si>
  <si>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</si>
  <si>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</si>
  <si>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</si>
  <si>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</si>
  <si>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</si>
  <si>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</si>
  <si>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</si>
  <si>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</si>
  <si>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</si>
  <si>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</si>
  <si>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</si>
  <si>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</si>
  <si>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</si>
  <si>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</si>
  <si>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</si>
  <si>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</si>
  <si>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</si>
  <si>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</si>
  <si>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</si>
  <si>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</si>
  <si>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</si>
  <si>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</si>
  <si>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</si>
  <si>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</si>
  <si>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</si>
  <si>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</si>
  <si>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</si>
  <si>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q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</si>
  <si>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</si>
  <si>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</si>
  <si>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</si>
  <si>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</si>
  <si>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</si>
  <si>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</si>
  <si>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</si>
  <si>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</si>
  <si>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</si>
  <si>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</si>
  <si>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</si>
  <si>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</si>
  <si>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</si>
  <si>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</si>
  <si>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</si>
  <si>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</si>
  <si>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t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</si>
  <si>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</si>
  <si>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</si>
  <si>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</si>
  <si>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</si>
  <si>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</si>
  <si>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</si>
  <si>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</si>
  <si>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</si>
  <si>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</si>
  <si>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</si>
  <si>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</si>
  <si>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</si>
  <si>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</si>
  <si>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</si>
  <si>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</si>
  <si>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</si>
  <si>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</si>
  <si>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</si>
  <si>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</si>
  <si>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p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</si>
  <si>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</si>
  <si>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</si>
  <si>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</si>
  <si>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</si>
  <si>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</si>
  <si>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</si>
  <si>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</si>
  <si>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</si>
  <si>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</si>
  <si>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</si>
  <si>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</si>
  <si>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z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</si>
  <si>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</si>
  <si>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</si>
  <si>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</si>
  <si>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</si>
  <si>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</si>
  <si>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</si>
  <si>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</si>
  <si>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</si>
  <si>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</si>
  <si>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</si>
  <si>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</si>
  <si>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</si>
  <si>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</si>
  <si>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</si>
  <si>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</si>
  <si>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</si>
  <si>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</si>
  <si>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</si>
  <si>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</si>
  <si>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</si>
  <si>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</si>
  <si>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</si>
  <si>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</si>
  <si>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</si>
  <si>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</si>
  <si>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</si>
  <si>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</si>
  <si>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</si>
  <si>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</si>
  <si>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</si>
  <si>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</si>
  <si>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</si>
  <si>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</si>
  <si>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</si>
  <si>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</si>
  <si>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</si>
  <si>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</si>
  <si>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</si>
  <si>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y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</si>
  <si>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</si>
  <si>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</si>
  <si>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</si>
  <si>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</si>
  <si>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d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</si>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</sst>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-2400</v>
          </cell>
        </row>
        <row r="28">
          <cell r="EJ28">
            <v>-10832.25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2400</v>
      </c>
      <c r="D1" s="11" t="s">
        <v>1</v>
      </c>
      <c r="E1" s="11"/>
      <c r="F1" s="12" t="n">
        <f aca="false">SUM(F2:F200)</f>
        <v>0</v>
      </c>
      <c r="G1" s="12" t="n">
        <f aca="false">SUM(G5:G300)</f>
        <v>0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46266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5111.25</v>
      </c>
      <c r="G1" s="12" t="n">
        <f aca="false">SUM(G5:G300)</f>
        <v>851.875</v>
      </c>
      <c r="H1" s="12" t="n">
        <f aca="false">SUM(H5:H300)</f>
        <v>4259.375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46266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100</v>
      </c>
      <c r="Y1" s="12" t="n">
        <f aca="false">SUM(Y5:Y300)</f>
        <v>130.833333333333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76.6666666666667</v>
      </c>
      <c r="AC1" s="12" t="n">
        <f aca="false">SUM(AC5:AC300)</f>
        <v>501.875</v>
      </c>
      <c r="AD1" s="12" t="n">
        <f aca="false">SUM(AD5:AD300)</f>
        <v>1200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45962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304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45962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304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45962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304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45962</v>
      </c>
      <c r="B9" s="2" t="s">
        <v>86</v>
      </c>
      <c r="D9" s="2" t="s">
        <v>87</v>
      </c>
      <c r="E9" s="2" t="s">
        <v>88</v>
      </c>
      <c r="F9" s="30" t="n">
        <v>1440</v>
      </c>
      <c r="G9" s="6" t="n">
        <f aca="false">IF(F9&lt;&gt;0,F9*G$2/(100+G$2)," ")</f>
        <v>240</v>
      </c>
      <c r="H9" s="6" t="n">
        <f aca="false">IF((F9&lt;&gt;0),F9-G9," ")</f>
        <v>1200</v>
      </c>
      <c r="I9" s="5"/>
      <c r="L9" s="7" t="n">
        <f aca="false">IF(F9&lt;&gt;0,F9-K9," ")</f>
        <v>1440</v>
      </c>
      <c r="M9" s="8" t="n">
        <f aca="false">IF((F9-K9)&lt;&gt;0,M$1-A9," ")</f>
        <v>304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1200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89</v>
      </c>
    </row>
    <row r="10" customFormat="false" ht="12" hidden="false" customHeight="false" outlineLevel="0" collapsed="false">
      <c r="A10" s="28" t="n">
        <v>45962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304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45962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304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45964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302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45964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302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45966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300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45966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300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45966</v>
      </c>
      <c r="B16" s="2" t="s">
        <v>106</v>
      </c>
      <c r="D16" s="2" t="s">
        <v>107</v>
      </c>
      <c r="E16" s="2" t="s">
        <v>84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300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85</v>
      </c>
    </row>
    <row r="17" customFormat="false" ht="12" hidden="false" customHeight="false" outlineLevel="0" collapsed="false">
      <c r="A17" s="28" t="n">
        <v>45969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297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45971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295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45971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295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45971</v>
      </c>
      <c r="B20" s="2" t="s">
        <v>118</v>
      </c>
      <c r="D20" s="2" t="s">
        <v>119</v>
      </c>
      <c r="E20" s="2" t="s">
        <v>120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295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45973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293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45975</v>
      </c>
      <c r="B22" s="2" t="s">
        <v>124</v>
      </c>
      <c r="D22" s="2" t="s">
        <v>125</v>
      </c>
      <c r="E22" s="2" t="s">
        <v>98</v>
      </c>
      <c r="F22" s="30" t="n">
        <v>42</v>
      </c>
      <c r="G22" s="6" t="n">
        <f aca="false">IF(F22&lt;&gt;0,F22*G$2/(100+G$2)," ")</f>
        <v>7</v>
      </c>
      <c r="H22" s="6" t="n">
        <f aca="false">IF((F22&lt;&gt;0),F22-G22," ")</f>
        <v>35</v>
      </c>
      <c r="I22" s="5"/>
      <c r="L22" s="7" t="n">
        <f aca="false">IF(F22&lt;&gt;0,F22-K22," ")</f>
        <v>42</v>
      </c>
      <c r="M22" s="8" t="n">
        <f aca="false">IF((F22-K22)&lt;&gt;0,M$1-A22," ")</f>
        <v>291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35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99</v>
      </c>
    </row>
    <row r="23" customFormat="false" ht="12" hidden="false" customHeight="false" outlineLevel="0" collapsed="false">
      <c r="A23" s="28" t="n">
        <v>45975</v>
      </c>
      <c r="B23" s="2" t="s">
        <v>126</v>
      </c>
      <c r="D23" s="2" t="s">
        <v>127</v>
      </c>
      <c r="E23" s="2" t="s">
        <v>110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291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45975</v>
      </c>
      <c r="B24" s="2" t="s">
        <v>128</v>
      </c>
      <c r="D24" s="2" t="s">
        <v>129</v>
      </c>
      <c r="E24" s="2" t="s">
        <v>110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291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45976</v>
      </c>
      <c r="B25" s="2" t="s">
        <v>20</v>
      </c>
      <c r="D25" s="2" t="s">
        <v>103</v>
      </c>
      <c r="E25" s="2" t="s">
        <v>104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290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45976</v>
      </c>
      <c r="B26" s="2" t="s">
        <v>130</v>
      </c>
      <c r="D26" s="2" t="s">
        <v>131</v>
      </c>
      <c r="E26" s="2" t="s">
        <v>78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290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45979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287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45981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285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45981</v>
      </c>
      <c r="B29" s="2" t="s">
        <v>135</v>
      </c>
      <c r="D29" s="2" t="s">
        <v>136</v>
      </c>
      <c r="E29" s="2" t="s">
        <v>137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285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100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138</v>
      </c>
    </row>
    <row r="30" customFormat="false" ht="12" hidden="false" customHeight="false" outlineLevel="0" collapsed="false">
      <c r="A30" s="28" t="n">
        <v>45982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284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45983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283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45986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280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45986</v>
      </c>
      <c r="B33" s="2" t="s">
        <v>145</v>
      </c>
      <c r="D33" s="2" t="s">
        <v>146</v>
      </c>
      <c r="E33" s="2" t="s">
        <v>104</v>
      </c>
      <c r="F33" s="30" t="n">
        <v>38.25</v>
      </c>
      <c r="G33" s="6" t="n">
        <f aca="false">IF(F33&lt;&gt;0,F33*G$2/(100+G$2)," ")</f>
        <v>6.375</v>
      </c>
      <c r="H33" s="6" t="n">
        <f aca="false">IF((F33&lt;&gt;0),F33-G33," ")</f>
        <v>31.875</v>
      </c>
      <c r="I33" s="5"/>
      <c r="L33" s="7" t="n">
        <f aca="false">IF(F33&lt;&gt;0,F33-K33," ")</f>
        <v>38.25</v>
      </c>
      <c r="M33" s="8" t="n">
        <f aca="false">IF((F33-K33)&lt;&gt;0,M$1-A33," ")</f>
        <v>280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31.875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45989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277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45991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275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6375</v>
      </c>
      <c r="G1" s="12" t="n">
        <f aca="false">SUM(G5:G300)</f>
        <v>1062.5</v>
      </c>
      <c r="H1" s="12" t="n">
        <f aca="false">SUM(H5:H300)</f>
        <v>5312.5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46266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200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500</v>
      </c>
      <c r="AA1" s="12" t="n">
        <f aca="false">SUM(AA5:AA300)</f>
        <v>127.5</v>
      </c>
      <c r="AB1" s="12" t="n">
        <f aca="false">SUM(AB5:AB300)</f>
        <v>126.666666666667</v>
      </c>
      <c r="AC1" s="12" t="n">
        <f aca="false">SUM(AC5:AC300)</f>
        <v>555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1500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45992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274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45992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274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45992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274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45992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274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45992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274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45994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272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45994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272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45996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270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45996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270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45997</v>
      </c>
      <c r="B15" s="2" t="s">
        <v>151</v>
      </c>
      <c r="D15" s="2" t="s">
        <v>152</v>
      </c>
      <c r="E15" s="2" t="s">
        <v>110</v>
      </c>
      <c r="F15" s="30" t="n">
        <v>60</v>
      </c>
      <c r="G15" s="6" t="n">
        <f aca="false">IF(F15&lt;&gt;0,F15*G$2/(100+G$2)," ")</f>
        <v>10</v>
      </c>
      <c r="H15" s="6" t="n">
        <f aca="false">IF((F15&lt;&gt;0),F15-G15," ")</f>
        <v>50</v>
      </c>
      <c r="I15" s="5"/>
      <c r="L15" s="7" t="n">
        <f aca="false">IF(F15&lt;&gt;0,F15-K15," ")</f>
        <v>60</v>
      </c>
      <c r="M15" s="8" t="n">
        <f aca="false">IF((F15-K15)&lt;&gt;0,M$1-A15," ")</f>
        <v>269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50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45999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267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45999</v>
      </c>
      <c r="B17" s="2" t="s">
        <v>153</v>
      </c>
      <c r="D17" s="2" t="s">
        <v>154</v>
      </c>
      <c r="E17" s="2" t="s">
        <v>155</v>
      </c>
      <c r="F17" s="30" t="n">
        <v>240</v>
      </c>
      <c r="G17" s="6" t="n">
        <f aca="false">IF(F17&lt;&gt;0,F17*G$2/(100+G$2)," ")</f>
        <v>40</v>
      </c>
      <c r="H17" s="6" t="n">
        <f aca="false">IF((F17&lt;&gt;0),F17-G17," ")</f>
        <v>200</v>
      </c>
      <c r="I17" s="5"/>
      <c r="L17" s="7" t="n">
        <f aca="false">IF(F17&lt;&gt;0,F17-K17," ")</f>
        <v>240</v>
      </c>
      <c r="M17" s="8" t="n">
        <f aca="false">IF((F17-K17)&lt;&gt;0,M$1-A17," ")</f>
        <v>267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200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156</v>
      </c>
    </row>
    <row r="18" customFormat="false" ht="12" hidden="false" customHeight="false" outlineLevel="0" collapsed="false">
      <c r="A18" s="28" t="n">
        <v>46001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265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46001</v>
      </c>
      <c r="B19" s="2" t="s">
        <v>157</v>
      </c>
      <c r="D19" s="2" t="s">
        <v>158</v>
      </c>
      <c r="E19" s="2" t="s">
        <v>159</v>
      </c>
      <c r="F19" s="30" t="n">
        <v>600</v>
      </c>
      <c r="G19" s="6" t="n">
        <f aca="false">IF(F19&lt;&gt;0,F19*G$2/(100+G$2)," ")</f>
        <v>100</v>
      </c>
      <c r="H19" s="6" t="n">
        <f aca="false">IF((F19&lt;&gt;0),F19-G19," ")</f>
        <v>500</v>
      </c>
      <c r="I19" s="5"/>
      <c r="L19" s="7" t="n">
        <f aca="false">IF(F19&lt;&gt;0,F19-K19," ")</f>
        <v>600</v>
      </c>
      <c r="M19" s="8" t="n">
        <f aca="false">IF((F19-K19)&lt;&gt;0,M$1-A19," ")</f>
        <v>265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500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160</v>
      </c>
    </row>
    <row r="20" customFormat="false" ht="12" hidden="false" customHeight="false" outlineLevel="0" collapsed="false">
      <c r="A20" s="28" t="n">
        <v>46003</v>
      </c>
      <c r="B20" s="2" t="s">
        <v>122</v>
      </c>
      <c r="D20" s="2" t="s">
        <v>123</v>
      </c>
      <c r="E20" s="2" t="s">
        <v>104</v>
      </c>
      <c r="F20" s="30" t="n">
        <v>18</v>
      </c>
      <c r="G20" s="6" t="n">
        <f aca="false">IF(F20&lt;&gt;0,F20*G$2/(100+G$2)," ")</f>
        <v>3</v>
      </c>
      <c r="H20" s="6" t="n">
        <f aca="false">IF((F20&lt;&gt;0),F20-G20," ")</f>
        <v>15</v>
      </c>
      <c r="I20" s="5"/>
      <c r="L20" s="7" t="n">
        <f aca="false">IF(F20&lt;&gt;0,F20-K20," ")</f>
        <v>18</v>
      </c>
      <c r="M20" s="8" t="n">
        <f aca="false">IF((F20-K20)&lt;&gt;0,M$1-A20," ")</f>
        <v>263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n">
        <f aca="false">IF((E20="v"),H20," ")</f>
        <v>15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105</v>
      </c>
    </row>
    <row r="21" customFormat="false" ht="12" hidden="false" customHeight="false" outlineLevel="0" collapsed="false">
      <c r="A21" s="28" t="n">
        <v>46005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261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46005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261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46006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260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46006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260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46006</v>
      </c>
      <c r="B25" s="2" t="s">
        <v>161</v>
      </c>
      <c r="D25" s="2" t="s">
        <v>162</v>
      </c>
      <c r="E25" s="2" t="s">
        <v>120</v>
      </c>
      <c r="F25" s="30" t="n">
        <v>480</v>
      </c>
      <c r="G25" s="6" t="n">
        <f aca="false">IF(F25&lt;&gt;0,F25*G$2/(100+G$2)," ")</f>
        <v>80</v>
      </c>
      <c r="H25" s="6" t="n">
        <f aca="false">IF((F25&lt;&gt;0),F25-G25," ")</f>
        <v>400</v>
      </c>
      <c r="I25" s="5"/>
      <c r="L25" s="7" t="n">
        <f aca="false">IF(F25&lt;&gt;0,F25-K25," ")</f>
        <v>480</v>
      </c>
      <c r="M25" s="8" t="n">
        <f aca="false">IF((F25-K25)&lt;&gt;0,M$1-A25," ")</f>
        <v>260</v>
      </c>
      <c r="N25" s="5"/>
      <c r="O25" s="17" t="n">
        <f aca="false">IF((E25="s"),H25," ")</f>
        <v>400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121</v>
      </c>
    </row>
    <row r="26" customFormat="false" ht="12" hidden="false" customHeight="false" outlineLevel="0" collapsed="false">
      <c r="A26" s="28" t="n">
        <v>46006</v>
      </c>
      <c r="B26" s="2" t="s">
        <v>163</v>
      </c>
      <c r="C26" s="3" t="s">
        <v>164</v>
      </c>
      <c r="D26" s="2" t="s">
        <v>165</v>
      </c>
      <c r="E26" s="2" t="s">
        <v>166</v>
      </c>
      <c r="F26" s="30" t="n">
        <v>1800</v>
      </c>
      <c r="G26" s="6" t="n">
        <f aca="false">IF(F26&lt;&gt;0,F26*G$2/(100+G$2)," ")</f>
        <v>300</v>
      </c>
      <c r="H26" s="6" t="n">
        <f aca="false">IF((F26&lt;&gt;0),F26-G26," ")</f>
        <v>1500</v>
      </c>
      <c r="I26" s="5"/>
      <c r="L26" s="7" t="n">
        <f aca="false">IF(F26&lt;&gt;0,F26-K26," ")</f>
        <v>1800</v>
      </c>
      <c r="M26" s="8" t="n">
        <f aca="false">IF((F26-K26)&lt;&gt;0,M$1-A26," ")</f>
        <v>260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1500</v>
      </c>
      <c r="BZ26" s="2" t="s">
        <v>167</v>
      </c>
    </row>
    <row r="27" customFormat="false" ht="12" hidden="false" customHeight="false" outlineLevel="0" collapsed="false">
      <c r="A27" s="28" t="n">
        <v>46007</v>
      </c>
      <c r="B27" s="2" t="s">
        <v>168</v>
      </c>
      <c r="D27" s="2" t="s">
        <v>169</v>
      </c>
      <c r="E27" s="2" t="s">
        <v>78</v>
      </c>
      <c r="F27" s="30" t="n">
        <v>18</v>
      </c>
      <c r="G27" s="6" t="n">
        <f aca="false">IF(F27&lt;&gt;0,F27*G$2/(100+G$2)," ")</f>
        <v>3</v>
      </c>
      <c r="H27" s="6" t="n">
        <f aca="false">IF((F27&lt;&gt;0),F27-G27," ")</f>
        <v>15</v>
      </c>
      <c r="I27" s="5"/>
      <c r="L27" s="7" t="n">
        <f aca="false">IF(F27&lt;&gt;0,F27-K27," ")</f>
        <v>18</v>
      </c>
      <c r="M27" s="8" t="n">
        <f aca="false">IF((F27-K27)&lt;&gt;0,M$1-A27," ")</f>
        <v>259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15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46009</v>
      </c>
      <c r="B28" s="2" t="s">
        <v>132</v>
      </c>
      <c r="D28" s="2" t="s">
        <v>103</v>
      </c>
      <c r="E28" s="2" t="s">
        <v>104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257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105</v>
      </c>
    </row>
    <row r="29" customFormat="false" ht="12" hidden="false" customHeight="false" outlineLevel="0" collapsed="false">
      <c r="A29" s="28" t="n">
        <v>46011</v>
      </c>
      <c r="B29" s="2" t="s">
        <v>133</v>
      </c>
      <c r="D29" s="2" t="s">
        <v>134</v>
      </c>
      <c r="E29" s="2" t="s">
        <v>78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255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79</v>
      </c>
    </row>
    <row r="30" customFormat="false" ht="12" hidden="false" customHeight="false" outlineLevel="0" collapsed="false">
      <c r="A30" s="28" t="n">
        <v>46011</v>
      </c>
      <c r="B30" s="2" t="s">
        <v>170</v>
      </c>
      <c r="D30" s="2" t="s">
        <v>171</v>
      </c>
      <c r="E30" s="2" t="s">
        <v>172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255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150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173</v>
      </c>
    </row>
    <row r="31" customFormat="false" ht="12" hidden="false" customHeight="false" outlineLevel="0" collapsed="false">
      <c r="A31" s="28" t="n">
        <v>46011</v>
      </c>
      <c r="B31" s="2" t="s">
        <v>174</v>
      </c>
      <c r="D31" s="2" t="s">
        <v>175</v>
      </c>
      <c r="E31" s="2" t="s">
        <v>120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255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121</v>
      </c>
    </row>
    <row r="32" customFormat="false" ht="12" hidden="false" customHeight="false" outlineLevel="0" collapsed="false">
      <c r="A32" s="28" t="n">
        <v>46012</v>
      </c>
      <c r="B32" s="2" t="s">
        <v>139</v>
      </c>
      <c r="D32" s="2" t="s">
        <v>140</v>
      </c>
      <c r="E32" s="2" t="s">
        <v>110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254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111</v>
      </c>
    </row>
    <row r="33" customFormat="false" ht="12" hidden="false" customHeight="false" outlineLevel="0" collapsed="false">
      <c r="A33" s="28" t="n">
        <v>46013</v>
      </c>
      <c r="B33" s="2" t="s">
        <v>141</v>
      </c>
      <c r="D33" s="2" t="s">
        <v>142</v>
      </c>
      <c r="E33" s="2" t="s">
        <v>98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253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46013</v>
      </c>
      <c r="B34" s="2" t="s">
        <v>176</v>
      </c>
      <c r="D34" s="2" t="s">
        <v>177</v>
      </c>
      <c r="E34" s="2" t="s">
        <v>104</v>
      </c>
      <c r="F34" s="30" t="n">
        <v>48</v>
      </c>
      <c r="G34" s="6" t="n">
        <f aca="false">IF(F34&lt;&gt;0,F34*G$2/(100+G$2)," ")</f>
        <v>8</v>
      </c>
      <c r="H34" s="6" t="n">
        <f aca="false">IF((F34&lt;&gt;0),F34-G34," ")</f>
        <v>40</v>
      </c>
      <c r="I34" s="5"/>
      <c r="L34" s="7" t="n">
        <f aca="false">IF(F34&lt;&gt;0,F34-K34," ")</f>
        <v>48</v>
      </c>
      <c r="M34" s="8" t="n">
        <f aca="false">IF((F34-K34)&lt;&gt;0,M$1-A34," ")</f>
        <v>253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40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46016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250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46016</v>
      </c>
      <c r="B36" s="2" t="s">
        <v>145</v>
      </c>
      <c r="D36" s="2" t="s">
        <v>178</v>
      </c>
      <c r="E36" s="2" t="s">
        <v>104</v>
      </c>
      <c r="F36" s="30" t="n">
        <v>54</v>
      </c>
      <c r="G36" s="6" t="n">
        <f aca="false">IF(F36&lt;&gt;0,F36*G$2/(100+G$2)," ")</f>
        <v>9</v>
      </c>
      <c r="H36" s="6" t="n">
        <f aca="false">IF((F36&lt;&gt;0),F36-G36," ")</f>
        <v>45</v>
      </c>
      <c r="I36" s="5"/>
      <c r="L36" s="7" t="n">
        <f aca="false">IF(F36&lt;&gt;0,F36-K36," ")</f>
        <v>54</v>
      </c>
      <c r="M36" s="8" t="n">
        <f aca="false">IF((F36-K36)&lt;&gt;0,M$1-A36," ")</f>
        <v>250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45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46019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247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 t="n">
        <v>46022</v>
      </c>
      <c r="B38" s="2" t="s">
        <v>16</v>
      </c>
      <c r="D38" s="2" t="s">
        <v>148</v>
      </c>
      <c r="E38" s="2" t="s">
        <v>149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244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150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24657</v>
      </c>
      <c r="G1" s="12" t="n">
        <f aca="false">SUM(G5:G300)</f>
        <v>4109.5</v>
      </c>
      <c r="H1" s="12" t="n">
        <f aca="false">SUM(H5:H300)</f>
        <v>20547.5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24657</v>
      </c>
      <c r="M1" s="16" t="n">
        <f aca="true">TODAY()</f>
        <v>46266</v>
      </c>
      <c r="N1" s="13"/>
      <c r="O1" s="12" t="n">
        <f aca="false">SUM(O5:O300)</f>
        <v>300</v>
      </c>
      <c r="P1" s="12" t="n">
        <f aca="false">SUM(P5:P300)</f>
        <v>4166.66666666667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120.833333333333</v>
      </c>
      <c r="Z1" s="12" t="n">
        <f aca="false">SUM(Z5:Z300)</f>
        <v>0</v>
      </c>
      <c r="AA1" s="12" t="n">
        <f aca="false">SUM(AA5:AA300)</f>
        <v>192.5</v>
      </c>
      <c r="AB1" s="12" t="n">
        <f aca="false">SUM(AB5:AB300)</f>
        <v>226.666666666667</v>
      </c>
      <c r="AC1" s="12" t="n">
        <f aca="false">SUM(AC5:AC300)</f>
        <v>545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458.333333333333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13000</v>
      </c>
      <c r="AJ1" s="43"/>
      <c r="AK1" s="12" t="n">
        <f aca="false">SUM(AK5:AK300)</f>
        <v>1000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46023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243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46023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243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46023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243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46023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243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46023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243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46025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241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46025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241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46027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239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46027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239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46027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239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46030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236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46032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234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46032</v>
      </c>
      <c r="B18" s="2" t="s">
        <v>179</v>
      </c>
      <c r="D18" s="2" t="s">
        <v>180</v>
      </c>
      <c r="E18" s="2" t="s">
        <v>78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234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80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79</v>
      </c>
    </row>
    <row r="19" customFormat="false" ht="12" hidden="false" customHeight="false" outlineLevel="0" collapsed="false">
      <c r="A19" s="28" t="n">
        <v>46034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232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46036</v>
      </c>
      <c r="B20" s="2" t="s">
        <v>124</v>
      </c>
      <c r="D20" s="2" t="s">
        <v>125</v>
      </c>
      <c r="E20" s="2" t="s">
        <v>98</v>
      </c>
      <c r="F20" s="30" t="n">
        <v>30</v>
      </c>
      <c r="G20" s="6" t="n">
        <f aca="false">IF(F20&lt;&gt;0,F20*G$2/(100+G$2)," ")</f>
        <v>5</v>
      </c>
      <c r="H20" s="6" t="n">
        <f aca="false">IF((F20&lt;&gt;0),F20-G20," ")</f>
        <v>25</v>
      </c>
      <c r="I20" s="5"/>
      <c r="L20" s="7" t="n">
        <f aca="false">IF(F20&lt;&gt;0,F20-K20," ")</f>
        <v>30</v>
      </c>
      <c r="M20" s="8" t="n">
        <f aca="false">IF((F20-K20)&lt;&gt;0,M$1-A20," ")</f>
        <v>230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25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46036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230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46036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230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46037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229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46037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229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46037</v>
      </c>
      <c r="B25" s="2" t="s">
        <v>181</v>
      </c>
      <c r="C25" s="3" t="s">
        <v>182</v>
      </c>
      <c r="D25" s="2" t="s">
        <v>183</v>
      </c>
      <c r="E25" s="2" t="s">
        <v>184</v>
      </c>
      <c r="F25" s="30" t="n">
        <v>5000</v>
      </c>
      <c r="G25" s="6" t="n">
        <f aca="false">IF(F25&lt;&gt;0,F25*G$2/(100+G$2)," ")</f>
        <v>833.333333333333</v>
      </c>
      <c r="H25" s="6" t="n">
        <f aca="false">IF((F25&lt;&gt;0),F25-G25," ")</f>
        <v>4166.66666666667</v>
      </c>
      <c r="I25" s="5"/>
      <c r="L25" s="7" t="n">
        <f aca="false">IF(F25&lt;&gt;0,F25-K25," ")</f>
        <v>5000</v>
      </c>
      <c r="M25" s="8" t="n">
        <f aca="false">IF((F25-K25)&lt;&gt;0,M$1-A25," ")</f>
        <v>229</v>
      </c>
      <c r="N25" s="5"/>
      <c r="O25" s="17" t="str">
        <f aca="false">IF((E25="s"),H25," ")</f>
        <v> </v>
      </c>
      <c r="P25" s="17" t="n">
        <f aca="false">IF((E25="c"),H25," ")</f>
        <v>4166.66666666667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K25" s="17" t="n">
        <v>1000</v>
      </c>
      <c r="BZ25" s="2" t="s">
        <v>185</v>
      </c>
    </row>
    <row r="26" customFormat="false" ht="12" hidden="false" customHeight="false" outlineLevel="0" collapsed="false">
      <c r="A26" s="28" t="n">
        <v>46040</v>
      </c>
      <c r="B26" s="2" t="s">
        <v>186</v>
      </c>
      <c r="D26" s="2" t="s">
        <v>187</v>
      </c>
      <c r="E26" s="2" t="s">
        <v>110</v>
      </c>
      <c r="F26" s="30" t="n">
        <v>180</v>
      </c>
      <c r="G26" s="6" t="n">
        <f aca="false">IF(F26&lt;&gt;0,F26*G$2/(100+G$2)," ")</f>
        <v>30</v>
      </c>
      <c r="H26" s="6" t="n">
        <f aca="false">IF((F26&lt;&gt;0),F26-G26," ")</f>
        <v>150</v>
      </c>
      <c r="I26" s="5"/>
      <c r="L26" s="7" t="n">
        <f aca="false">IF(F26&lt;&gt;0,F26-K26," ")</f>
        <v>180</v>
      </c>
      <c r="M26" s="8" t="n">
        <f aca="false">IF((F26-K26)&lt;&gt;0,M$1-A26," ")</f>
        <v>226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150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111</v>
      </c>
    </row>
    <row r="27" customFormat="false" ht="12" hidden="false" customHeight="false" outlineLevel="0" collapsed="false">
      <c r="A27" s="28" t="n">
        <v>46040</v>
      </c>
      <c r="B27" s="2" t="s">
        <v>188</v>
      </c>
      <c r="D27" s="2" t="s">
        <v>189</v>
      </c>
      <c r="E27" s="2" t="s">
        <v>120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226</v>
      </c>
      <c r="N27" s="5"/>
      <c r="O27" s="17" t="n">
        <f aca="false">IF((E27="s"),H27," ")</f>
        <v>300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121</v>
      </c>
    </row>
    <row r="28" customFormat="false" ht="12" hidden="false" customHeight="false" outlineLevel="0" collapsed="false">
      <c r="A28" s="28" t="n">
        <v>46040</v>
      </c>
      <c r="B28" s="2" t="s">
        <v>132</v>
      </c>
      <c r="D28" s="2" t="s">
        <v>103</v>
      </c>
      <c r="E28" s="2" t="s">
        <v>104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226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105</v>
      </c>
    </row>
    <row r="29" customFormat="false" ht="12" hidden="false" customHeight="false" outlineLevel="0" collapsed="false">
      <c r="A29" s="28" t="n">
        <v>46042</v>
      </c>
      <c r="B29" s="2" t="s">
        <v>133</v>
      </c>
      <c r="D29" s="2" t="s">
        <v>134</v>
      </c>
      <c r="E29" s="2" t="s">
        <v>78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224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79</v>
      </c>
    </row>
    <row r="30" customFormat="false" ht="12" hidden="false" customHeight="false" outlineLevel="0" collapsed="false">
      <c r="A30" s="28" t="n">
        <v>46043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223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46044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222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46047</v>
      </c>
      <c r="B32" s="2" t="s">
        <v>190</v>
      </c>
      <c r="D32" s="2" t="s">
        <v>191</v>
      </c>
      <c r="E32" s="2" t="s">
        <v>192</v>
      </c>
      <c r="F32" s="30" t="n">
        <v>360</v>
      </c>
      <c r="G32" s="6" t="n">
        <f aca="false">IF(F32&lt;&gt;0,F32*G$2/(100+G$2)," ")</f>
        <v>60</v>
      </c>
      <c r="H32" s="6" t="n">
        <f aca="false">IF((F32&lt;&gt;0),F32-G32," ")</f>
        <v>300</v>
      </c>
      <c r="I32" s="5"/>
      <c r="L32" s="7" t="n">
        <f aca="false">IF(F32&lt;&gt;0,F32-K32," ")</f>
        <v>360</v>
      </c>
      <c r="M32" s="8" t="n">
        <f aca="false">IF((F32-K32)&lt;&gt;0,M$1-A32," ")</f>
        <v>219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193</v>
      </c>
    </row>
    <row r="33" customFormat="false" ht="12" hidden="false" customHeight="false" outlineLevel="0" collapsed="false">
      <c r="A33" s="28" t="n">
        <v>46047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219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46047</v>
      </c>
      <c r="B34" s="2" t="s">
        <v>145</v>
      </c>
      <c r="D34" s="2" t="s">
        <v>194</v>
      </c>
      <c r="E34" s="2" t="s">
        <v>104</v>
      </c>
      <c r="F34" s="30" t="n">
        <v>90</v>
      </c>
      <c r="G34" s="6" t="n">
        <f aca="false">IF(F34&lt;&gt;0,F34*G$2/(100+G$2)," ")</f>
        <v>15</v>
      </c>
      <c r="H34" s="6" t="n">
        <f aca="false">IF((F34&lt;&gt;0),F34-G34," ")</f>
        <v>75</v>
      </c>
      <c r="I34" s="5"/>
      <c r="L34" s="7" t="n">
        <f aca="false">IF(F34&lt;&gt;0,F34-K34," ")</f>
        <v>90</v>
      </c>
      <c r="M34" s="8" t="n">
        <f aca="false">IF((F34-K34)&lt;&gt;0,M$1-A34," ")</f>
        <v>219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46050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216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46052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214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46052</v>
      </c>
      <c r="B37" s="2" t="s">
        <v>195</v>
      </c>
      <c r="C37" s="3" t="s">
        <v>196</v>
      </c>
      <c r="D37" s="2" t="s">
        <v>197</v>
      </c>
      <c r="E37" s="2" t="s">
        <v>149</v>
      </c>
      <c r="F37" s="30" t="n">
        <v>250</v>
      </c>
      <c r="G37" s="6" t="n">
        <f aca="false">IF(F37&lt;&gt;0,F37*G$2/(100+G$2)," ")</f>
        <v>41.6666666666667</v>
      </c>
      <c r="H37" s="6" t="n">
        <f aca="false">IF((F37&lt;&gt;0),F37-G37," ")</f>
        <v>208.333333333333</v>
      </c>
      <c r="I37" s="5"/>
      <c r="L37" s="7" t="n">
        <f aca="false">IF(F37&lt;&gt;0,F37-K37," ")</f>
        <v>250</v>
      </c>
      <c r="M37" s="8" t="n">
        <f aca="false">IF((F37-K37)&lt;&gt;0,M$1-A37," ")</f>
        <v>214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 t="n">
        <v>46023</v>
      </c>
      <c r="B38" s="2" t="s">
        <v>199</v>
      </c>
      <c r="C38" s="3" t="s">
        <v>200</v>
      </c>
      <c r="D38" s="2" t="s">
        <v>201</v>
      </c>
      <c r="E38" s="2" t="s">
        <v>166</v>
      </c>
      <c r="F38" s="30" t="n">
        <v>15600</v>
      </c>
      <c r="G38" s="6" t="n">
        <f aca="false">IF(F38&lt;&gt;0,F38*G$2/(100+G$2)," ")</f>
        <v>2600</v>
      </c>
      <c r="H38" s="6" t="n">
        <f aca="false">IF((F38&lt;&gt;0),F38-G38," ")</f>
        <v>13000</v>
      </c>
      <c r="I38" s="5"/>
      <c r="L38" s="7" t="n">
        <f aca="false">IF(F38&lt;&gt;0,F38-K38," ")</f>
        <v>15600</v>
      </c>
      <c r="M38" s="8" t="n">
        <f aca="false">IF((F38-K38)&lt;&gt;0,M$1-A38," ")</f>
        <v>243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13000</v>
      </c>
      <c r="BZ38" s="2" t="s">
        <v>167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9059.25</v>
      </c>
      <c r="G1" s="12" t="n">
        <f aca="false">SUM(G5:G300)</f>
        <v>1509.875</v>
      </c>
      <c r="H1" s="12" t="n">
        <f aca="false">SUM(H5:H300)</f>
        <v>7549.375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46266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100</v>
      </c>
      <c r="W1" s="12" t="n">
        <f aca="false">SUM(W5:W300)</f>
        <v>400</v>
      </c>
      <c r="X1" s="12" t="n">
        <f aca="false">SUM(X5:X300)</f>
        <v>150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486.875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2500</v>
      </c>
      <c r="AI1" s="12" t="n">
        <f aca="false">SUM(AI5:AI300)</f>
        <v>1000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212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46054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212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46054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212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46054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212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46054</v>
      </c>
      <c r="B9" s="2" t="s">
        <v>202</v>
      </c>
      <c r="D9" s="2" t="s">
        <v>203</v>
      </c>
      <c r="E9" s="2" t="s">
        <v>204</v>
      </c>
      <c r="F9" s="30" t="n">
        <v>3000</v>
      </c>
      <c r="G9" s="6" t="n">
        <f aca="false">IF(F9&lt;&gt;0,F9*G$2/(100+G$2)," ")</f>
        <v>500</v>
      </c>
      <c r="H9" s="6" t="n">
        <f aca="false">IF((F9&lt;&gt;0),F9-G9," ")</f>
        <v>2500</v>
      </c>
      <c r="I9" s="5"/>
      <c r="L9" s="7" t="n">
        <f aca="false">IF(F9&lt;&gt;0,F9-K9," ")</f>
        <v>3000</v>
      </c>
      <c r="M9" s="8" t="n">
        <f aca="false">IF((F9-K9)&lt;&gt;0,M$1-A9," ")</f>
        <v>212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2500</v>
      </c>
      <c r="AI9" s="17" t="str">
        <f aca="false">IF((E9="fa"),H9," ")</f>
        <v> </v>
      </c>
      <c r="BZ9" s="2" t="s">
        <v>205</v>
      </c>
    </row>
    <row r="10" customFormat="false" ht="12" hidden="false" customHeight="false" outlineLevel="0" collapsed="false">
      <c r="A10" s="28" t="n">
        <v>46054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212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46054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212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46056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210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46056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210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46058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208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46058</v>
      </c>
      <c r="B15" s="2" t="s">
        <v>206</v>
      </c>
      <c r="D15" s="2" t="s">
        <v>207</v>
      </c>
      <c r="E15" s="2" t="s">
        <v>159</v>
      </c>
      <c r="F15" s="30" t="n">
        <v>480</v>
      </c>
      <c r="G15" s="6" t="n">
        <f aca="false">IF(F15&lt;&gt;0,F15*G$2/(100+G$2)," ")</f>
        <v>80</v>
      </c>
      <c r="H15" s="6" t="n">
        <f aca="false">IF((F15&lt;&gt;0),F15-G15," ")</f>
        <v>400</v>
      </c>
      <c r="I15" s="5"/>
      <c r="L15" s="7" t="n">
        <f aca="false">IF(F15&lt;&gt;0,F15-K15," ")</f>
        <v>480</v>
      </c>
      <c r="M15" s="8" t="n">
        <f aca="false">IF((F15-K15)&lt;&gt;0,M$1-A15," ")</f>
        <v>208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400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160</v>
      </c>
    </row>
    <row r="16" customFormat="false" ht="12" hidden="false" customHeight="false" outlineLevel="0" collapsed="false">
      <c r="A16" s="28" t="n">
        <v>46058</v>
      </c>
      <c r="B16" s="2" t="s">
        <v>102</v>
      </c>
      <c r="D16" s="2" t="s">
        <v>103</v>
      </c>
      <c r="E16" s="2" t="s">
        <v>104</v>
      </c>
      <c r="F16" s="30" t="n">
        <v>180</v>
      </c>
      <c r="G16" s="6" t="n">
        <f aca="false">IF(F16&lt;&gt;0,F16*G$2/(100+G$2)," ")</f>
        <v>30</v>
      </c>
      <c r="H16" s="6" t="n">
        <f aca="false">IF((F16&lt;&gt;0),F16-G16," ")</f>
        <v>150</v>
      </c>
      <c r="I16" s="5"/>
      <c r="L16" s="7" t="n">
        <f aca="false">IF(F16&lt;&gt;0,F16-K16," ")</f>
        <v>180</v>
      </c>
      <c r="M16" s="8" t="n">
        <f aca="false">IF((F16-K16)&lt;&gt;0,M$1-A16," ")</f>
        <v>208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n">
        <f aca="false">IF((E16="v"),H16," ")</f>
        <v>150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105</v>
      </c>
    </row>
    <row r="17" customFormat="false" ht="12" hidden="false" customHeight="false" outlineLevel="0" collapsed="false">
      <c r="A17" s="28" t="n">
        <v>46061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205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46063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203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46063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203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46063</v>
      </c>
      <c r="B20" s="2" t="s">
        <v>118</v>
      </c>
      <c r="D20" s="2" t="s">
        <v>119</v>
      </c>
      <c r="E20" s="2" t="s">
        <v>120</v>
      </c>
      <c r="F20" s="30" t="n">
        <v>720</v>
      </c>
      <c r="G20" s="6" t="n">
        <f aca="false">IF(F20&lt;&gt;0,F20*G$2/(100+G$2)," ")</f>
        <v>120</v>
      </c>
      <c r="H20" s="6" t="n">
        <f aca="false">IF((F20&lt;&gt;0),F20-G20," ")</f>
        <v>600</v>
      </c>
      <c r="I20" s="5"/>
      <c r="L20" s="7" t="n">
        <f aca="false">IF(F20&lt;&gt;0,F20-K20," ")</f>
        <v>720</v>
      </c>
      <c r="M20" s="8" t="n">
        <f aca="false">IF((F20-K20)&lt;&gt;0,M$1-A20," ")</f>
        <v>203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46065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201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46065</v>
      </c>
      <c r="B22" s="2" t="s">
        <v>208</v>
      </c>
      <c r="D22" s="2" t="s">
        <v>209</v>
      </c>
      <c r="E22" s="2" t="s">
        <v>155</v>
      </c>
      <c r="F22" s="30" t="n">
        <v>480</v>
      </c>
      <c r="G22" s="6" t="n">
        <f aca="false">IF(F22&lt;&gt;0,F22*G$2/(100+G$2)," ")</f>
        <v>80</v>
      </c>
      <c r="H22" s="6" t="n">
        <f aca="false">IF((F22&lt;&gt;0),F22-G22," ")</f>
        <v>400</v>
      </c>
      <c r="I22" s="5"/>
      <c r="L22" s="7" t="n">
        <f aca="false">IF(F22&lt;&gt;0,F22-K22," ")</f>
        <v>480</v>
      </c>
      <c r="M22" s="8" t="n">
        <f aca="false">IF((F22-K22)&lt;&gt;0,M$1-A22," ")</f>
        <v>201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400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156</v>
      </c>
    </row>
    <row r="23" customFormat="false" ht="12" hidden="false" customHeight="false" outlineLevel="0" collapsed="false">
      <c r="A23" s="28" t="n">
        <v>46067</v>
      </c>
      <c r="B23" s="2" t="s">
        <v>126</v>
      </c>
      <c r="D23" s="2" t="s">
        <v>127</v>
      </c>
      <c r="E23" s="2" t="s">
        <v>110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199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46067</v>
      </c>
      <c r="B24" s="2" t="s">
        <v>128</v>
      </c>
      <c r="D24" s="2" t="s">
        <v>129</v>
      </c>
      <c r="E24" s="2" t="s">
        <v>110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199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46068</v>
      </c>
      <c r="B25" s="2" t="s">
        <v>20</v>
      </c>
      <c r="D25" s="2" t="s">
        <v>103</v>
      </c>
      <c r="E25" s="2" t="s">
        <v>104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198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46068</v>
      </c>
      <c r="B26" s="2" t="s">
        <v>130</v>
      </c>
      <c r="D26" s="2" t="s">
        <v>131</v>
      </c>
      <c r="E26" s="2" t="s">
        <v>78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198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46068</v>
      </c>
      <c r="B27" s="2" t="s">
        <v>210</v>
      </c>
      <c r="C27" s="3" t="s">
        <v>211</v>
      </c>
      <c r="D27" s="2" t="s">
        <v>212</v>
      </c>
      <c r="E27" s="2" t="s">
        <v>166</v>
      </c>
      <c r="F27" s="30" t="n">
        <v>1200</v>
      </c>
      <c r="G27" s="6" t="n">
        <f aca="false">IF(F27&lt;&gt;0,F27*G$2/(100+G$2)," ")</f>
        <v>200</v>
      </c>
      <c r="H27" s="6" t="n">
        <f aca="false">IF((F27&lt;&gt;0),F27-G27," ")</f>
        <v>1000</v>
      </c>
      <c r="I27" s="5"/>
      <c r="L27" s="7" t="n">
        <f aca="false">IF(F27&lt;&gt;0,F27-K27," ")</f>
        <v>1200</v>
      </c>
      <c r="M27" s="8" t="n">
        <f aca="false">IF((F27-K27)&lt;&gt;0,M$1-A27," ")</f>
        <v>198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1000</v>
      </c>
      <c r="BZ27" s="2" t="s">
        <v>167</v>
      </c>
    </row>
    <row r="28" customFormat="false" ht="12" hidden="false" customHeight="false" outlineLevel="0" collapsed="false">
      <c r="A28" s="28" t="n">
        <v>46069</v>
      </c>
      <c r="B28" s="2" t="s">
        <v>168</v>
      </c>
      <c r="D28" s="2" t="s">
        <v>169</v>
      </c>
      <c r="E28" s="2" t="s">
        <v>78</v>
      </c>
      <c r="F28" s="30" t="n">
        <v>24</v>
      </c>
      <c r="G28" s="6" t="n">
        <f aca="false">IF(F28&lt;&gt;0,F28*G$2/(100+G$2)," ")</f>
        <v>4</v>
      </c>
      <c r="H28" s="6" t="n">
        <f aca="false">IF((F28&lt;&gt;0),F28-G28," ")</f>
        <v>20</v>
      </c>
      <c r="I28" s="5"/>
      <c r="L28" s="7" t="n">
        <f aca="false">IF(F28&lt;&gt;0,F28-K28," ")</f>
        <v>24</v>
      </c>
      <c r="M28" s="8" t="n">
        <f aca="false">IF((F28-K28)&lt;&gt;0,M$1-A28," ")</f>
        <v>197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46071</v>
      </c>
      <c r="B29" s="2" t="s">
        <v>132</v>
      </c>
      <c r="D29" s="2" t="s">
        <v>103</v>
      </c>
      <c r="E29" s="2" t="s">
        <v>104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195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46073</v>
      </c>
      <c r="B30" s="2" t="s">
        <v>133</v>
      </c>
      <c r="D30" s="2" t="s">
        <v>134</v>
      </c>
      <c r="E30" s="2" t="s">
        <v>78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193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79</v>
      </c>
    </row>
    <row r="31" customFormat="false" ht="12" hidden="false" customHeight="false" outlineLevel="0" collapsed="false">
      <c r="A31" s="28" t="n">
        <v>46073</v>
      </c>
      <c r="B31" s="2" t="s">
        <v>213</v>
      </c>
      <c r="D31" s="2" t="s">
        <v>214</v>
      </c>
      <c r="E31" s="2" t="s">
        <v>172</v>
      </c>
      <c r="F31" s="30" t="n">
        <v>120</v>
      </c>
      <c r="G31" s="6" t="n">
        <f aca="false">IF(F31&lt;&gt;0,F31*G$2/(100+G$2)," ")</f>
        <v>20</v>
      </c>
      <c r="H31" s="6" t="n">
        <f aca="false">IF((F31&lt;&gt;0),F31-G31," ")</f>
        <v>100</v>
      </c>
      <c r="I31" s="5"/>
      <c r="L31" s="7" t="n">
        <f aca="false">IF(F31&lt;&gt;0,F31-K31," ")</f>
        <v>120</v>
      </c>
      <c r="M31" s="8" t="n">
        <f aca="false">IF((F31-K31)&lt;&gt;0,M$1-A31," ")</f>
        <v>193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100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173</v>
      </c>
    </row>
    <row r="32" customFormat="false" ht="12" hidden="false" customHeight="false" outlineLevel="0" collapsed="false">
      <c r="A32" s="28" t="n">
        <v>46073</v>
      </c>
      <c r="B32" s="2" t="s">
        <v>135</v>
      </c>
      <c r="D32" s="2" t="s">
        <v>136</v>
      </c>
      <c r="E32" s="2" t="s">
        <v>137</v>
      </c>
      <c r="F32" s="30" t="n">
        <v>180</v>
      </c>
      <c r="G32" s="6" t="n">
        <f aca="false">IF(F32&lt;&gt;0,F32*G$2/(100+G$2)," ")</f>
        <v>30</v>
      </c>
      <c r="H32" s="6" t="n">
        <f aca="false">IF((F32&lt;&gt;0),F32-G32," ")</f>
        <v>150</v>
      </c>
      <c r="I32" s="5"/>
      <c r="L32" s="7" t="n">
        <f aca="false">IF(F32&lt;&gt;0,F32-K32," ")</f>
        <v>180</v>
      </c>
      <c r="M32" s="8" t="n">
        <f aca="false">IF((F32-K32)&lt;&gt;0,M$1-A32," ")</f>
        <v>193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150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138</v>
      </c>
    </row>
    <row r="33" customFormat="false" ht="12" hidden="false" customHeight="false" outlineLevel="0" collapsed="false">
      <c r="A33" s="28" t="n">
        <v>46074</v>
      </c>
      <c r="B33" s="2" t="s">
        <v>139</v>
      </c>
      <c r="D33" s="2" t="s">
        <v>140</v>
      </c>
      <c r="E33" s="2" t="s">
        <v>110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192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111</v>
      </c>
    </row>
    <row r="34" customFormat="false" ht="12" hidden="false" customHeight="false" outlineLevel="0" collapsed="false">
      <c r="A34" s="28" t="n">
        <v>46075</v>
      </c>
      <c r="B34" s="2" t="s">
        <v>141</v>
      </c>
      <c r="D34" s="2" t="s">
        <v>142</v>
      </c>
      <c r="E34" s="2" t="s">
        <v>98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191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46078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188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46078</v>
      </c>
      <c r="B36" s="2" t="s">
        <v>145</v>
      </c>
      <c r="D36" s="2" t="s">
        <v>215</v>
      </c>
      <c r="E36" s="2" t="s">
        <v>104</v>
      </c>
      <c r="F36" s="30" t="n">
        <v>20.25</v>
      </c>
      <c r="G36" s="6" t="n">
        <f aca="false">IF(F36&lt;&gt;0,F36*G$2/(100+G$2)," ")</f>
        <v>3.375</v>
      </c>
      <c r="H36" s="6" t="n">
        <f aca="false">IF((F36&lt;&gt;0),F36-G36," ")</f>
        <v>16.875</v>
      </c>
      <c r="I36" s="5"/>
      <c r="L36" s="7" t="n">
        <f aca="false">IF(F36&lt;&gt;0,F36-K36," ")</f>
        <v>20.25</v>
      </c>
      <c r="M36" s="8" t="n">
        <f aca="false">IF((F36-K36)&lt;&gt;0,M$1-A36," ")</f>
        <v>188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16.875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46081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185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 t="n">
        <v>46081</v>
      </c>
      <c r="B38" s="2" t="s">
        <v>16</v>
      </c>
      <c r="D38" s="2" t="s">
        <v>148</v>
      </c>
      <c r="E38" s="2" t="s">
        <v>149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185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150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4405.25</v>
      </c>
      <c r="G1" s="12" t="n">
        <f aca="false">SUM(G5:G300)</f>
        <v>734.208333333333</v>
      </c>
      <c r="H1" s="12" t="n">
        <f aca="false">SUM(H5:H300)</f>
        <v>3671.04166666667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4405.25</v>
      </c>
      <c r="M1" s="16" t="n">
        <f aca="true">TODAY()</f>
        <v>46266</v>
      </c>
      <c r="N1" s="13"/>
      <c r="O1" s="12" t="n">
        <f aca="false">SUM(O5:O300)</f>
        <v>450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666.666666666667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200</v>
      </c>
      <c r="Y1" s="12" t="n">
        <f aca="false">SUM(Y5:Y300)</f>
        <v>135.833333333333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116.666666666667</v>
      </c>
      <c r="AC1" s="12" t="n">
        <f aca="false">SUM(AC5:AC300)</f>
        <v>501.875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46082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184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46082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184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46082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184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46082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184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46082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184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46082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184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46084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182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46084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182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46086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180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46086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180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46086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180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46087</v>
      </c>
      <c r="B16" s="2" t="s">
        <v>151</v>
      </c>
      <c r="D16" s="2" t="s">
        <v>152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179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46089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177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46091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175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46093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173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46095</v>
      </c>
      <c r="B20" s="2" t="s">
        <v>124</v>
      </c>
      <c r="D20" s="2" t="s">
        <v>125</v>
      </c>
      <c r="E20" s="2" t="s">
        <v>98</v>
      </c>
      <c r="F20" s="30" t="n">
        <v>48</v>
      </c>
      <c r="G20" s="6" t="n">
        <f aca="false">IF(F20&lt;&gt;0,F20*G$2/(100+G$2)," ")</f>
        <v>8</v>
      </c>
      <c r="H20" s="6" t="n">
        <f aca="false">IF((F20&lt;&gt;0),F20-G20," ")</f>
        <v>40</v>
      </c>
      <c r="I20" s="5"/>
      <c r="L20" s="7" t="n">
        <f aca="false">IF(F20&lt;&gt;0,F20-K20," ")</f>
        <v>48</v>
      </c>
      <c r="M20" s="8" t="n">
        <f aca="false">IF((F20-K20)&lt;&gt;0,M$1-A20," ")</f>
        <v>171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46095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171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46095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171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46096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170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46096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170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46096</v>
      </c>
      <c r="B25" s="2" t="s">
        <v>161</v>
      </c>
      <c r="D25" s="2" t="s">
        <v>162</v>
      </c>
      <c r="E25" s="2" t="s">
        <v>120</v>
      </c>
      <c r="F25" s="30" t="n">
        <v>360</v>
      </c>
      <c r="G25" s="6" t="n">
        <f aca="false">IF(F25&lt;&gt;0,F25*G$2/(100+G$2)," ")</f>
        <v>60</v>
      </c>
      <c r="H25" s="6" t="n">
        <f aca="false">IF((F25&lt;&gt;0),F25-G25," ")</f>
        <v>300</v>
      </c>
      <c r="I25" s="5"/>
      <c r="L25" s="7" t="n">
        <f aca="false">IF(F25&lt;&gt;0,F25-K25," ")</f>
        <v>360</v>
      </c>
      <c r="M25" s="8" t="n">
        <f aca="false">IF((F25-K25)&lt;&gt;0,M$1-A25," ")</f>
        <v>170</v>
      </c>
      <c r="N25" s="5"/>
      <c r="O25" s="17" t="n">
        <f aca="false">IF((E25="s"),H25," ")</f>
        <v>300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121</v>
      </c>
    </row>
    <row r="26" customFormat="false" ht="12" hidden="false" customHeight="false" outlineLevel="0" collapsed="false">
      <c r="A26" s="28" t="n">
        <v>46099</v>
      </c>
      <c r="B26" s="2" t="s">
        <v>216</v>
      </c>
      <c r="D26" s="2" t="s">
        <v>217</v>
      </c>
      <c r="E26" s="2" t="s">
        <v>137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167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200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138</v>
      </c>
    </row>
    <row r="27" customFormat="false" ht="12" hidden="false" customHeight="false" outlineLevel="0" collapsed="false">
      <c r="A27" s="28" t="n">
        <v>46099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167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46101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165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46101</v>
      </c>
      <c r="B29" s="2" t="s">
        <v>218</v>
      </c>
      <c r="D29" s="2" t="s">
        <v>219</v>
      </c>
      <c r="E29" s="2" t="s">
        <v>220</v>
      </c>
      <c r="F29" s="30" t="n">
        <v>800</v>
      </c>
      <c r="G29" s="6" t="n">
        <f aca="false">IF(F29&lt;&gt;0,F29*G$2/(100+G$2)," ")</f>
        <v>133.333333333333</v>
      </c>
      <c r="H29" s="6" t="n">
        <f aca="false">IF((F29&lt;&gt;0),F29-G29," ")</f>
        <v>666.666666666667</v>
      </c>
      <c r="I29" s="5"/>
      <c r="L29" s="7" t="n">
        <f aca="false">IF(F29&lt;&gt;0,F29-K29," ")</f>
        <v>800</v>
      </c>
      <c r="M29" s="8" t="n">
        <f aca="false">IF((F29-K29)&lt;&gt;0,M$1-A29," ")</f>
        <v>165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666.666666666667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221</v>
      </c>
    </row>
    <row r="30" customFormat="false" ht="12" hidden="false" customHeight="false" outlineLevel="0" collapsed="false">
      <c r="A30" s="28" t="n">
        <v>46101</v>
      </c>
      <c r="B30" s="2" t="s">
        <v>174</v>
      </c>
      <c r="D30" s="2" t="s">
        <v>175</v>
      </c>
      <c r="E30" s="2" t="s">
        <v>120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165</v>
      </c>
      <c r="N30" s="5"/>
      <c r="O30" s="17" t="n">
        <f aca="false">IF((E30="s"),H30," ")</f>
        <v>150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121</v>
      </c>
    </row>
    <row r="31" customFormat="false" ht="12" hidden="false" customHeight="false" outlineLevel="0" collapsed="false">
      <c r="A31" s="28" t="n">
        <v>46102</v>
      </c>
      <c r="B31" s="2" t="s">
        <v>139</v>
      </c>
      <c r="D31" s="2" t="s">
        <v>140</v>
      </c>
      <c r="E31" s="2" t="s">
        <v>110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164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111</v>
      </c>
    </row>
    <row r="32" customFormat="false" ht="12" hidden="false" customHeight="false" outlineLevel="0" collapsed="false">
      <c r="A32" s="28" t="n">
        <v>46103</v>
      </c>
      <c r="B32" s="2" t="s">
        <v>141</v>
      </c>
      <c r="D32" s="2" t="s">
        <v>142</v>
      </c>
      <c r="E32" s="2" t="s">
        <v>98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163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46106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160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46106</v>
      </c>
      <c r="B34" s="2" t="s">
        <v>145</v>
      </c>
      <c r="D34" s="2" t="s">
        <v>146</v>
      </c>
      <c r="E34" s="2" t="s">
        <v>104</v>
      </c>
      <c r="F34" s="30" t="n">
        <v>38.25</v>
      </c>
      <c r="G34" s="6" t="n">
        <f aca="false">IF(F34&lt;&gt;0,F34*G$2/(100+G$2)," ")</f>
        <v>6.375</v>
      </c>
      <c r="H34" s="6" t="n">
        <f aca="false">IF((F34&lt;&gt;0),F34-G34," ")</f>
        <v>31.875</v>
      </c>
      <c r="I34" s="5"/>
      <c r="L34" s="7" t="n">
        <f aca="false">IF(F34&lt;&gt;0,F34-K34," ")</f>
        <v>38.25</v>
      </c>
      <c r="M34" s="8" t="n">
        <f aca="false">IF((F34-K34)&lt;&gt;0,M$1-A34," ")</f>
        <v>160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31.875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46109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157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46112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154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13375</v>
      </c>
      <c r="G1" s="12" t="n">
        <f aca="false">SUM(G5:G300)</f>
        <v>2229.16666666667</v>
      </c>
      <c r="H1" s="12" t="n">
        <f aca="false">SUM(H5:H300)</f>
        <v>11145.8333333333</v>
      </c>
      <c r="I1" s="13"/>
      <c r="J1" s="14" t="s">
        <v>2</v>
      </c>
      <c r="K1" s="15" t="n">
        <f aca="false">SUM(K5:K300)</f>
        <v>0</v>
      </c>
      <c r="L1" s="15" t="n">
        <f aca="false">SUM(L5:L300)</f>
        <v>13375</v>
      </c>
      <c r="M1" s="16" t="n">
        <f aca="true">TODAY()</f>
        <v>46266</v>
      </c>
      <c r="N1" s="13"/>
      <c r="O1" s="12" t="n">
        <f aca="false">SUM(O5:O300)</f>
        <v>200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250</v>
      </c>
      <c r="V1" s="12" t="n">
        <f aca="false">SUM(V5:V300)</f>
        <v>80</v>
      </c>
      <c r="W1" s="12" t="n">
        <f aca="false">SUM(W5:W300)</f>
        <v>300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122.5</v>
      </c>
      <c r="AB1" s="12" t="n">
        <f aca="false">SUM(AB5:AB300)</f>
        <v>76.6666666666667</v>
      </c>
      <c r="AC1" s="12" t="n">
        <f aca="false">SUM(AC5:AC300)</f>
        <v>590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1223.33333333333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7000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153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46113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153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46113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153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46113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153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46113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153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46113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153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46115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151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46115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151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46117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149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46117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149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46120</v>
      </c>
      <c r="B15" s="2" t="s">
        <v>108</v>
      </c>
      <c r="D15" s="2" t="s">
        <v>109</v>
      </c>
      <c r="E15" s="2" t="s">
        <v>110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146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46120</v>
      </c>
      <c r="B16" s="2" t="s">
        <v>153</v>
      </c>
      <c r="D16" s="2" t="s">
        <v>154</v>
      </c>
      <c r="E16" s="2" t="s">
        <v>155</v>
      </c>
      <c r="F16" s="30" t="n">
        <v>360</v>
      </c>
      <c r="G16" s="6" t="n">
        <f aca="false">IF(F16&lt;&gt;0,F16*G$2/(100+G$2)," ")</f>
        <v>60</v>
      </c>
      <c r="H16" s="6" t="n">
        <f aca="false">IF((F16&lt;&gt;0),F16-G16," ")</f>
        <v>300</v>
      </c>
      <c r="I16" s="5"/>
      <c r="L16" s="7" t="n">
        <f aca="false">IF(F16&lt;&gt;0,F16-K16," ")</f>
        <v>360</v>
      </c>
      <c r="M16" s="8" t="n">
        <f aca="false">IF((F16-K16)&lt;&gt;0,M$1-A16," ")</f>
        <v>146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300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156</v>
      </c>
    </row>
    <row r="17" customFormat="false" ht="12" hidden="false" customHeight="false" outlineLevel="0" collapsed="false">
      <c r="A17" s="28" t="n">
        <v>46122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144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46122</v>
      </c>
      <c r="B18" s="2" t="s">
        <v>130</v>
      </c>
      <c r="D18" s="2" t="s">
        <v>222</v>
      </c>
      <c r="E18" s="2" t="s">
        <v>172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144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80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173</v>
      </c>
    </row>
    <row r="19" customFormat="false" ht="12" hidden="false" customHeight="false" outlineLevel="0" collapsed="false">
      <c r="A19" s="28" t="n">
        <v>46124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142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46126</v>
      </c>
      <c r="B20" s="2" t="s">
        <v>126</v>
      </c>
      <c r="D20" s="2" t="s">
        <v>127</v>
      </c>
      <c r="E20" s="2" t="s">
        <v>110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140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46126</v>
      </c>
      <c r="B21" s="2" t="s">
        <v>128</v>
      </c>
      <c r="D21" s="2" t="s">
        <v>129</v>
      </c>
      <c r="E21" s="2" t="s">
        <v>110</v>
      </c>
      <c r="F21" s="30" t="n">
        <v>12</v>
      </c>
      <c r="G21" s="6" t="n">
        <f aca="false">IF(F21&lt;&gt;0,F21*G$2/(100+G$2)," ")</f>
        <v>2</v>
      </c>
      <c r="H21" s="6" t="n">
        <f aca="false">IF((F21&lt;&gt;0),F21-G21," ")</f>
        <v>10</v>
      </c>
      <c r="I21" s="5"/>
      <c r="L21" s="7" t="n">
        <f aca="false">IF(F21&lt;&gt;0,F21-K21," ")</f>
        <v>12</v>
      </c>
      <c r="M21" s="8" t="n">
        <f aca="false">IF((F21-K21)&lt;&gt;0,M$1-A21," ")</f>
        <v>140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46127</v>
      </c>
      <c r="B22" s="2" t="s">
        <v>20</v>
      </c>
      <c r="D22" s="2" t="s">
        <v>103</v>
      </c>
      <c r="E22" s="2" t="s">
        <v>104</v>
      </c>
      <c r="F22" s="30" t="n">
        <v>150</v>
      </c>
      <c r="G22" s="6" t="n">
        <f aca="false">IF(F22&lt;&gt;0,F22*G$2/(100+G$2)," ")</f>
        <v>25</v>
      </c>
      <c r="H22" s="6" t="n">
        <f aca="false">IF((F22&lt;&gt;0),F22-G22," ")</f>
        <v>125</v>
      </c>
      <c r="I22" s="5"/>
      <c r="L22" s="7" t="n">
        <f aca="false">IF(F22&lt;&gt;0,F22-K22," ")</f>
        <v>150</v>
      </c>
      <c r="M22" s="8" t="n">
        <f aca="false">IF((F22-K22)&lt;&gt;0,M$1-A22," ")</f>
        <v>139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125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105</v>
      </c>
    </row>
    <row r="23" customFormat="false" ht="12" hidden="false" customHeight="false" outlineLevel="0" collapsed="false">
      <c r="A23" s="28" t="n">
        <v>46127</v>
      </c>
      <c r="B23" s="2" t="s">
        <v>130</v>
      </c>
      <c r="D23" s="2" t="s">
        <v>131</v>
      </c>
      <c r="E23" s="2" t="s">
        <v>78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139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79</v>
      </c>
    </row>
    <row r="24" customFormat="false" ht="12" hidden="false" customHeight="false" outlineLevel="0" collapsed="false">
      <c r="A24" s="28" t="n">
        <v>46127</v>
      </c>
      <c r="B24" s="2" t="s">
        <v>223</v>
      </c>
      <c r="D24" s="2" t="s">
        <v>224</v>
      </c>
      <c r="E24" s="2" t="s">
        <v>149</v>
      </c>
      <c r="F24" s="30" t="n">
        <v>960</v>
      </c>
      <c r="G24" s="6" t="n">
        <f aca="false">IF(F24&lt;&gt;0,F24*G$2/(100+G$2)," ")</f>
        <v>160</v>
      </c>
      <c r="H24" s="6" t="n">
        <f aca="false">IF((F24&lt;&gt;0),F24-G24," ")</f>
        <v>800</v>
      </c>
      <c r="I24" s="5"/>
      <c r="L24" s="7" t="n">
        <f aca="false">IF(F24&lt;&gt;0,F24-K24," ")</f>
        <v>960</v>
      </c>
      <c r="M24" s="8" t="n">
        <f aca="false">IF((F24-K24)&lt;&gt;0,M$1-A24," ")</f>
        <v>139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800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150</v>
      </c>
    </row>
    <row r="25" customFormat="false" ht="12" hidden="false" customHeight="false" outlineLevel="0" collapsed="false">
      <c r="A25" s="28" t="n">
        <v>46128</v>
      </c>
      <c r="B25" s="2" t="s">
        <v>168</v>
      </c>
      <c r="D25" s="2" t="s">
        <v>169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138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46130</v>
      </c>
      <c r="B26" s="2" t="s">
        <v>188</v>
      </c>
      <c r="D26" s="2" t="s">
        <v>189</v>
      </c>
      <c r="E26" s="2" t="s">
        <v>120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136</v>
      </c>
      <c r="N26" s="5"/>
      <c r="O26" s="17" t="n">
        <f aca="false">IF((E26="s"),H26," ")</f>
        <v>200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46130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136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46132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134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46133</v>
      </c>
      <c r="B29" s="2" t="s">
        <v>139</v>
      </c>
      <c r="D29" s="2" t="s">
        <v>140</v>
      </c>
      <c r="E29" s="2" t="s">
        <v>110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133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46134</v>
      </c>
      <c r="B30" s="2" t="s">
        <v>141</v>
      </c>
      <c r="D30" s="2" t="s">
        <v>142</v>
      </c>
      <c r="E30" s="2" t="s">
        <v>98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132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99</v>
      </c>
    </row>
    <row r="31" customFormat="false" ht="12" hidden="false" customHeight="false" outlineLevel="0" collapsed="false">
      <c r="A31" s="28" t="n">
        <v>46134</v>
      </c>
      <c r="B31" s="2" t="s">
        <v>176</v>
      </c>
      <c r="D31" s="2" t="s">
        <v>177</v>
      </c>
      <c r="E31" s="2" t="s">
        <v>104</v>
      </c>
      <c r="F31" s="30" t="n">
        <v>72</v>
      </c>
      <c r="G31" s="6" t="n">
        <f aca="false">IF(F31&lt;&gt;0,F31*G$2/(100+G$2)," ")</f>
        <v>12</v>
      </c>
      <c r="H31" s="6" t="n">
        <f aca="false">IF((F31&lt;&gt;0),F31-G31," ")</f>
        <v>60</v>
      </c>
      <c r="I31" s="5"/>
      <c r="L31" s="7" t="n">
        <f aca="false">IF(F31&lt;&gt;0,F31-K31," ")</f>
        <v>72</v>
      </c>
      <c r="M31" s="8" t="n">
        <f aca="false">IF((F31-K31)&lt;&gt;0,M$1-A31," ")</f>
        <v>132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n">
        <f aca="false">IF((E31="v"),H31," ")</f>
        <v>60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105</v>
      </c>
    </row>
    <row r="32" customFormat="false" ht="12" hidden="false" customHeight="false" outlineLevel="0" collapsed="false">
      <c r="A32" s="28" t="n">
        <v>46137</v>
      </c>
      <c r="B32" s="2" t="s">
        <v>190</v>
      </c>
      <c r="D32" s="2" t="s">
        <v>191</v>
      </c>
      <c r="E32" s="2" t="s">
        <v>192</v>
      </c>
      <c r="F32" s="30" t="n">
        <v>300</v>
      </c>
      <c r="G32" s="6" t="n">
        <f aca="false">IF(F32&lt;&gt;0,F32*G$2/(100+G$2)," ")</f>
        <v>50</v>
      </c>
      <c r="H32" s="6" t="n">
        <f aca="false">IF((F32&lt;&gt;0),F32-G32," ")</f>
        <v>250</v>
      </c>
      <c r="I32" s="5"/>
      <c r="L32" s="7" t="n">
        <f aca="false">IF(F32&lt;&gt;0,F32-K32," ")</f>
        <v>300</v>
      </c>
      <c r="M32" s="8" t="n">
        <f aca="false">IF((F32-K32)&lt;&gt;0,M$1-A32," ")</f>
        <v>129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250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193</v>
      </c>
    </row>
    <row r="33" customFormat="false" ht="12" hidden="false" customHeight="false" outlineLevel="0" collapsed="false">
      <c r="A33" s="28" t="n">
        <v>46137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129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46137</v>
      </c>
      <c r="B34" s="2" t="s">
        <v>145</v>
      </c>
      <c r="D34" s="2" t="s">
        <v>225</v>
      </c>
      <c r="E34" s="2" t="s">
        <v>104</v>
      </c>
      <c r="F34" s="30" t="n">
        <v>72</v>
      </c>
      <c r="G34" s="6" t="n">
        <f aca="false">IF(F34&lt;&gt;0,F34*G$2/(100+G$2)," ")</f>
        <v>12</v>
      </c>
      <c r="H34" s="6" t="n">
        <f aca="false">IF((F34&lt;&gt;0),F34-G34," ")</f>
        <v>60</v>
      </c>
      <c r="I34" s="5"/>
      <c r="L34" s="7" t="n">
        <f aca="false">IF(F34&lt;&gt;0,F34-K34," ")</f>
        <v>72</v>
      </c>
      <c r="M34" s="8" t="n">
        <f aca="false">IF((F34-K34)&lt;&gt;0,M$1-A34," ")</f>
        <v>129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60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46140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126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46142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124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46142</v>
      </c>
      <c r="B37" s="2" t="s">
        <v>195</v>
      </c>
      <c r="C37" s="3" t="s">
        <v>226</v>
      </c>
      <c r="D37" s="2" t="s">
        <v>197</v>
      </c>
      <c r="E37" s="2" t="s">
        <v>149</v>
      </c>
      <c r="F37" s="30" t="n">
        <v>208</v>
      </c>
      <c r="G37" s="6" t="n">
        <f aca="false">IF(F37&lt;&gt;0,F37*G$2/(100+G$2)," ")</f>
        <v>34.6666666666667</v>
      </c>
      <c r="H37" s="6" t="n">
        <f aca="false">IF((F37&lt;&gt;0),F37-G37," ")</f>
        <v>173.333333333333</v>
      </c>
      <c r="I37" s="5"/>
      <c r="L37" s="7" t="n">
        <f aca="false">IF(F37&lt;&gt;0,F37-K37," ")</f>
        <v>208</v>
      </c>
      <c r="M37" s="8" t="n">
        <f aca="false">IF((F37-K37)&lt;&gt;0,M$1-A37," ")</f>
        <v>124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173.333333333333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 t="n">
        <v>46113</v>
      </c>
      <c r="B38" s="2" t="s">
        <v>199</v>
      </c>
      <c r="C38" s="3" t="s">
        <v>227</v>
      </c>
      <c r="D38" s="2" t="s">
        <v>228</v>
      </c>
      <c r="E38" s="2" t="s">
        <v>166</v>
      </c>
      <c r="F38" s="30" t="n">
        <v>8400</v>
      </c>
      <c r="G38" s="6" t="n">
        <f aca="false">IF(F38&lt;&gt;0,F38*G$2/(100+G$2)," ")</f>
        <v>1400</v>
      </c>
      <c r="H38" s="6" t="n">
        <f aca="false">IF((F38&lt;&gt;0),F38-G38," ")</f>
        <v>7000</v>
      </c>
      <c r="I38" s="5"/>
      <c r="L38" s="7" t="n">
        <f aca="false">IF(F38&lt;&gt;0,F38-K38," ")</f>
        <v>8400</v>
      </c>
      <c r="M38" s="8" t="n">
        <f aca="false">IF((F38-K38)&lt;&gt;0,M$1-A38," ")</f>
        <v>153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7000</v>
      </c>
      <c r="BZ38" s="2" t="s">
        <v>167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43005.75</v>
      </c>
      <c r="G1" s="12" t="n">
        <f aca="false">SUM(G5:G300)</f>
        <v>7167.625</v>
      </c>
      <c r="H1" s="12" t="n">
        <f aca="false">SUM(H5:H300)</f>
        <v>35838.125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46266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80</v>
      </c>
      <c r="Y1" s="12" t="n">
        <f aca="false">SUM(Y5:Y300)</f>
        <v>125.833333333333</v>
      </c>
      <c r="Z1" s="12" t="n">
        <f aca="false">SUM(Z5:Z300)</f>
        <v>2500</v>
      </c>
      <c r="AA1" s="12" t="n">
        <f aca="false">SUM(AA5:AA300)</f>
        <v>112.5</v>
      </c>
      <c r="AB1" s="12" t="n">
        <f aca="false">SUM(AB5:AB300)</f>
        <v>176.666666666667</v>
      </c>
      <c r="AC1" s="12" t="n">
        <f aca="false">SUM(AC5:AC300)</f>
        <v>505.625</v>
      </c>
      <c r="AD1" s="12" t="n">
        <f aca="false">SUM(AD5:AD300)</f>
        <v>300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30000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46143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123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46143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123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46143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123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46143</v>
      </c>
      <c r="B9" s="2" t="s">
        <v>229</v>
      </c>
      <c r="D9" s="2" t="s">
        <v>230</v>
      </c>
      <c r="E9" s="2" t="s">
        <v>88</v>
      </c>
      <c r="F9" s="30" t="n">
        <v>360</v>
      </c>
      <c r="G9" s="6" t="n">
        <f aca="false">IF(F9&lt;&gt;0,F9*G$2/(100+G$2)," ")</f>
        <v>60</v>
      </c>
      <c r="H9" s="6" t="n">
        <f aca="false">IF((F9&lt;&gt;0),F9-G9," ")</f>
        <v>300</v>
      </c>
      <c r="I9" s="5"/>
      <c r="L9" s="7" t="n">
        <f aca="false">IF(F9&lt;&gt;0,F9-K9," ")</f>
        <v>360</v>
      </c>
      <c r="M9" s="8" t="n">
        <f aca="false">IF((F9-K9)&lt;&gt;0,M$1-A9," ")</f>
        <v>123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300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89</v>
      </c>
    </row>
    <row r="10" customFormat="false" ht="12" hidden="false" customHeight="false" outlineLevel="0" collapsed="false">
      <c r="A10" s="28" t="n">
        <v>46143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123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46143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123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46145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121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46145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121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46147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119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46147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119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46147</v>
      </c>
      <c r="B16" s="2" t="s">
        <v>106</v>
      </c>
      <c r="D16" s="2" t="s">
        <v>107</v>
      </c>
      <c r="E16" s="2" t="s">
        <v>84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119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85</v>
      </c>
    </row>
    <row r="17" customFormat="false" ht="12" hidden="false" customHeight="false" outlineLevel="0" collapsed="false">
      <c r="A17" s="28" t="n">
        <v>46150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116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46152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114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46152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114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46152</v>
      </c>
      <c r="B20" s="2" t="s">
        <v>118</v>
      </c>
      <c r="D20" s="2" t="s">
        <v>119</v>
      </c>
      <c r="E20" s="2" t="s">
        <v>120</v>
      </c>
      <c r="F20" s="30" t="n">
        <v>480</v>
      </c>
      <c r="G20" s="6" t="n">
        <f aca="false">IF(F20&lt;&gt;0,F20*G$2/(100+G$2)," ")</f>
        <v>80</v>
      </c>
      <c r="H20" s="6" t="n">
        <f aca="false">IF((F20&lt;&gt;0),F20-G20," ")</f>
        <v>400</v>
      </c>
      <c r="I20" s="5"/>
      <c r="L20" s="7" t="n">
        <f aca="false">IF(F20&lt;&gt;0,F20-K20," ")</f>
        <v>480</v>
      </c>
      <c r="M20" s="8" t="n">
        <f aca="false">IF((F20-K20)&lt;&gt;0,M$1-A20," ")</f>
        <v>114</v>
      </c>
      <c r="N20" s="5"/>
      <c r="O20" s="17" t="n">
        <f aca="false">IF((E20="s"),H20," ")</f>
        <v>400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46152</v>
      </c>
      <c r="B21" s="2" t="s">
        <v>157</v>
      </c>
      <c r="D21" s="2" t="s">
        <v>231</v>
      </c>
      <c r="E21" s="2" t="s">
        <v>159</v>
      </c>
      <c r="F21" s="30" t="n">
        <v>1800</v>
      </c>
      <c r="G21" s="6" t="n">
        <f aca="false">IF(F21&lt;&gt;0,F21*G$2/(100+G$2)," ")</f>
        <v>300</v>
      </c>
      <c r="H21" s="6" t="n">
        <f aca="false">IF((F21&lt;&gt;0),F21-G21," ")</f>
        <v>1500</v>
      </c>
      <c r="I21" s="5"/>
      <c r="L21" s="7" t="n">
        <f aca="false">IF(F21&lt;&gt;0,F21-K21," ")</f>
        <v>1800</v>
      </c>
      <c r="M21" s="8" t="n">
        <f aca="false">IF((F21-K21)&lt;&gt;0,M$1-A21," ")</f>
        <v>114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1500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160</v>
      </c>
    </row>
    <row r="22" customFormat="false" ht="12" hidden="false" customHeight="false" outlineLevel="0" collapsed="false">
      <c r="A22" s="28" t="n">
        <v>46154</v>
      </c>
      <c r="B22" s="2" t="s">
        <v>122</v>
      </c>
      <c r="D22" s="2" t="s">
        <v>123</v>
      </c>
      <c r="E22" s="2" t="s">
        <v>104</v>
      </c>
      <c r="F22" s="30" t="n">
        <v>18</v>
      </c>
      <c r="G22" s="6" t="n">
        <f aca="false">IF(F22&lt;&gt;0,F22*G$2/(100+G$2)," ")</f>
        <v>3</v>
      </c>
      <c r="H22" s="6" t="n">
        <f aca="false">IF((F22&lt;&gt;0),F22-G22," ")</f>
        <v>15</v>
      </c>
      <c r="I22" s="5"/>
      <c r="L22" s="7" t="n">
        <f aca="false">IF(F22&lt;&gt;0,F22-K22," ")</f>
        <v>18</v>
      </c>
      <c r="M22" s="8" t="n">
        <f aca="false">IF((F22-K22)&lt;&gt;0,M$1-A22," ")</f>
        <v>112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105</v>
      </c>
    </row>
    <row r="23" customFormat="false" ht="12" hidden="false" customHeight="false" outlineLevel="0" collapsed="false">
      <c r="A23" s="28" t="n">
        <v>46156</v>
      </c>
      <c r="B23" s="2" t="s">
        <v>124</v>
      </c>
      <c r="D23" s="2" t="s">
        <v>125</v>
      </c>
      <c r="E23" s="2" t="s">
        <v>98</v>
      </c>
      <c r="F23" s="30" t="n">
        <v>36</v>
      </c>
      <c r="G23" s="6" t="n">
        <f aca="false">IF(F23&lt;&gt;0,F23*G$2/(100+G$2)," ")</f>
        <v>6</v>
      </c>
      <c r="H23" s="6" t="n">
        <f aca="false">IF((F23&lt;&gt;0),F23-G23," ")</f>
        <v>30</v>
      </c>
      <c r="I23" s="5"/>
      <c r="L23" s="7" t="n">
        <f aca="false">IF(F23&lt;&gt;0,F23-K23," ")</f>
        <v>36</v>
      </c>
      <c r="M23" s="8" t="n">
        <f aca="false">IF((F23-K23)&lt;&gt;0,M$1-A23," ")</f>
        <v>110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30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99</v>
      </c>
    </row>
    <row r="24" customFormat="false" ht="12" hidden="false" customHeight="false" outlineLevel="0" collapsed="false">
      <c r="A24" s="28" t="n">
        <v>46156</v>
      </c>
      <c r="B24" s="2" t="s">
        <v>126</v>
      </c>
      <c r="D24" s="2" t="s">
        <v>127</v>
      </c>
      <c r="E24" s="2" t="s">
        <v>110</v>
      </c>
      <c r="F24" s="30" t="n">
        <v>24</v>
      </c>
      <c r="G24" s="6" t="n">
        <f aca="false">IF(F24&lt;&gt;0,F24*G$2/(100+G$2)," ")</f>
        <v>4</v>
      </c>
      <c r="H24" s="6" t="n">
        <f aca="false">IF((F24&lt;&gt;0),F24-G24," ")</f>
        <v>20</v>
      </c>
      <c r="I24" s="5"/>
      <c r="L24" s="7" t="n">
        <f aca="false">IF(F24&lt;&gt;0,F24-K24," ")</f>
        <v>24</v>
      </c>
      <c r="M24" s="8" t="n">
        <f aca="false">IF((F24-K24)&lt;&gt;0,M$1-A24," ")</f>
        <v>110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46156</v>
      </c>
      <c r="B25" s="2" t="s">
        <v>128</v>
      </c>
      <c r="D25" s="2" t="s">
        <v>129</v>
      </c>
      <c r="E25" s="2" t="s">
        <v>110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110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10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111</v>
      </c>
    </row>
    <row r="26" customFormat="false" ht="12" hidden="false" customHeight="false" outlineLevel="0" collapsed="false">
      <c r="A26" s="28" t="n">
        <v>46157</v>
      </c>
      <c r="B26" s="2" t="s">
        <v>20</v>
      </c>
      <c r="D26" s="2" t="s">
        <v>103</v>
      </c>
      <c r="E26" s="2" t="s">
        <v>104</v>
      </c>
      <c r="F26" s="30" t="n">
        <v>150</v>
      </c>
      <c r="G26" s="6" t="n">
        <f aca="false">IF(F26&lt;&gt;0,F26*G$2/(100+G$2)," ")</f>
        <v>25</v>
      </c>
      <c r="H26" s="6" t="n">
        <f aca="false">IF((F26&lt;&gt;0),F26-G26," ")</f>
        <v>125</v>
      </c>
      <c r="I26" s="5"/>
      <c r="L26" s="7" t="n">
        <f aca="false">IF(F26&lt;&gt;0,F26-K26," ")</f>
        <v>150</v>
      </c>
      <c r="M26" s="8" t="n">
        <f aca="false">IF((F26-K26)&lt;&gt;0,M$1-A26," ")</f>
        <v>109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125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105</v>
      </c>
    </row>
    <row r="27" customFormat="false" ht="12" hidden="false" customHeight="false" outlineLevel="0" collapsed="false">
      <c r="A27" s="28" t="n">
        <v>46157</v>
      </c>
      <c r="B27" s="2" t="s">
        <v>130</v>
      </c>
      <c r="D27" s="2" t="s">
        <v>131</v>
      </c>
      <c r="E27" s="2" t="s">
        <v>78</v>
      </c>
      <c r="F27" s="30" t="n">
        <v>12</v>
      </c>
      <c r="G27" s="6" t="n">
        <f aca="false">IF(F27&lt;&gt;0,F27*G$2/(100+G$2)," ")</f>
        <v>2</v>
      </c>
      <c r="H27" s="6" t="n">
        <f aca="false">IF((F27&lt;&gt;0),F27-G27," ")</f>
        <v>10</v>
      </c>
      <c r="I27" s="5"/>
      <c r="L27" s="7" t="n">
        <f aca="false">IF(F27&lt;&gt;0,F27-K27," ")</f>
        <v>12</v>
      </c>
      <c r="M27" s="8" t="n">
        <f aca="false">IF((F27-K27)&lt;&gt;0,M$1-A27," ")</f>
        <v>109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46157</v>
      </c>
      <c r="B28" s="2" t="s">
        <v>232</v>
      </c>
      <c r="D28" s="2" t="s">
        <v>233</v>
      </c>
      <c r="E28" s="2" t="s">
        <v>159</v>
      </c>
      <c r="F28" s="30" t="n">
        <v>1200</v>
      </c>
      <c r="G28" s="6" t="n">
        <f aca="false">IF(F28&lt;&gt;0,F28*G$2/(100+G$2)," ")</f>
        <v>200</v>
      </c>
      <c r="H28" s="6" t="n">
        <f aca="false">IF((F28&lt;&gt;0),F28-G28," ")</f>
        <v>1000</v>
      </c>
      <c r="I28" s="5"/>
      <c r="L28" s="7" t="n">
        <f aca="false">IF(F28&lt;&gt;0,F28-K28," ")</f>
        <v>1200</v>
      </c>
      <c r="M28" s="8" t="n">
        <f aca="false">IF((F28-K28)&lt;&gt;0,M$1-A28," ")</f>
        <v>109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1000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160</v>
      </c>
    </row>
    <row r="29" customFormat="false" ht="12" hidden="false" customHeight="false" outlineLevel="0" collapsed="false">
      <c r="A29" s="28" t="n">
        <v>46160</v>
      </c>
      <c r="B29" s="2" t="s">
        <v>186</v>
      </c>
      <c r="D29" s="2" t="s">
        <v>234</v>
      </c>
      <c r="E29" s="2" t="s">
        <v>110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106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100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46160</v>
      </c>
      <c r="B30" s="2" t="s">
        <v>132</v>
      </c>
      <c r="D30" s="2" t="s">
        <v>103</v>
      </c>
      <c r="E30" s="2" t="s">
        <v>104</v>
      </c>
      <c r="F30" s="30" t="n">
        <v>96</v>
      </c>
      <c r="G30" s="6" t="n">
        <f aca="false">IF(F30&lt;&gt;0,F30*G$2/(100+G$2)," ")</f>
        <v>16</v>
      </c>
      <c r="H30" s="6" t="n">
        <f aca="false">IF((F30&lt;&gt;0),F30-G30," ")</f>
        <v>80</v>
      </c>
      <c r="I30" s="5"/>
      <c r="L30" s="7" t="n">
        <f aca="false">IF(F30&lt;&gt;0,F30-K30," ")</f>
        <v>96</v>
      </c>
      <c r="M30" s="8" t="n">
        <f aca="false">IF((F30-K30)&lt;&gt;0,M$1-A30," ")</f>
        <v>106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n">
        <f aca="false">IF((E30="v"),H30," ")</f>
        <v>80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105</v>
      </c>
    </row>
    <row r="31" customFormat="false" ht="12" hidden="false" customHeight="false" outlineLevel="0" collapsed="false">
      <c r="A31" s="28" t="n">
        <v>46162</v>
      </c>
      <c r="B31" s="2" t="s">
        <v>133</v>
      </c>
      <c r="D31" s="2" t="s">
        <v>134</v>
      </c>
      <c r="E31" s="2" t="s">
        <v>78</v>
      </c>
      <c r="F31" s="30" t="n">
        <v>60</v>
      </c>
      <c r="G31" s="6" t="n">
        <f aca="false">IF(F31&lt;&gt;0,F31*G$2/(100+G$2)," ")</f>
        <v>10</v>
      </c>
      <c r="H31" s="6" t="n">
        <f aca="false">IF((F31&lt;&gt;0),F31-G31," ")</f>
        <v>50</v>
      </c>
      <c r="I31" s="5"/>
      <c r="L31" s="7" t="n">
        <f aca="false">IF(F31&lt;&gt;0,F31-K31," ")</f>
        <v>60</v>
      </c>
      <c r="M31" s="8" t="n">
        <f aca="false">IF((F31-K31)&lt;&gt;0,M$1-A31," ")</f>
        <v>104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50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79</v>
      </c>
    </row>
    <row r="32" customFormat="false" ht="12" hidden="false" customHeight="false" outlineLevel="0" collapsed="false">
      <c r="A32" s="28" t="n">
        <v>46162</v>
      </c>
      <c r="B32" s="2" t="s">
        <v>135</v>
      </c>
      <c r="D32" s="2" t="s">
        <v>136</v>
      </c>
      <c r="E32" s="2" t="s">
        <v>137</v>
      </c>
      <c r="F32" s="30" t="n">
        <v>96</v>
      </c>
      <c r="G32" s="6" t="n">
        <f aca="false">IF(F32&lt;&gt;0,F32*G$2/(100+G$2)," ")</f>
        <v>16</v>
      </c>
      <c r="H32" s="6" t="n">
        <f aca="false">IF((F32&lt;&gt;0),F32-G32," ")</f>
        <v>80</v>
      </c>
      <c r="I32" s="5"/>
      <c r="L32" s="7" t="n">
        <f aca="false">IF(F32&lt;&gt;0,F32-K32," ")</f>
        <v>96</v>
      </c>
      <c r="M32" s="8" t="n">
        <f aca="false">IF((F32-K32)&lt;&gt;0,M$1-A32," ")</f>
        <v>104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138</v>
      </c>
    </row>
    <row r="33" customFormat="false" ht="12" hidden="false" customHeight="false" outlineLevel="0" collapsed="false">
      <c r="A33" s="28" t="n">
        <v>46163</v>
      </c>
      <c r="B33" s="2" t="s">
        <v>139</v>
      </c>
      <c r="D33" s="2" t="s">
        <v>140</v>
      </c>
      <c r="E33" s="2" t="s">
        <v>110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103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111</v>
      </c>
    </row>
    <row r="34" customFormat="false" ht="12" hidden="false" customHeight="false" outlineLevel="0" collapsed="false">
      <c r="A34" s="28" t="n">
        <v>46164</v>
      </c>
      <c r="B34" s="2" t="s">
        <v>141</v>
      </c>
      <c r="D34" s="2" t="s">
        <v>142</v>
      </c>
      <c r="E34" s="2" t="s">
        <v>98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102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46167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99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46167</v>
      </c>
      <c r="B36" s="2" t="s">
        <v>145</v>
      </c>
      <c r="D36" s="2" t="s">
        <v>235</v>
      </c>
      <c r="E36" s="2" t="s">
        <v>104</v>
      </c>
      <c r="F36" s="30" t="n">
        <v>42.75</v>
      </c>
      <c r="G36" s="6" t="n">
        <f aca="false">IF(F36&lt;&gt;0,F36*G$2/(100+G$2)," ")</f>
        <v>7.125</v>
      </c>
      <c r="H36" s="6" t="n">
        <f aca="false">IF((F36&lt;&gt;0),F36-G36," ")</f>
        <v>35.625</v>
      </c>
      <c r="I36" s="5"/>
      <c r="L36" s="7" t="n">
        <f aca="false">IF(F36&lt;&gt;0,F36-K36," ")</f>
        <v>42.75</v>
      </c>
      <c r="M36" s="8" t="n">
        <f aca="false">IF((F36-K36)&lt;&gt;0,M$1-A36," ")</f>
        <v>99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35.625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46167</v>
      </c>
      <c r="B37" s="2" t="s">
        <v>236</v>
      </c>
      <c r="C37" s="3" t="s">
        <v>237</v>
      </c>
      <c r="D37" s="2" t="s">
        <v>238</v>
      </c>
      <c r="E37" s="2" t="s">
        <v>166</v>
      </c>
      <c r="F37" s="30" t="n">
        <v>36000</v>
      </c>
      <c r="G37" s="6" t="n">
        <f aca="false">IF(F37&lt;&gt;0,F37*G$2/(100+G$2)," ")</f>
        <v>6000</v>
      </c>
      <c r="H37" s="6" t="n">
        <f aca="false">IF((F37&lt;&gt;0),F37-G37," ")</f>
        <v>30000</v>
      </c>
      <c r="I37" s="5"/>
      <c r="L37" s="7" t="n">
        <f aca="false">IF(F37&lt;&gt;0,F37-K37," ")</f>
        <v>36000</v>
      </c>
      <c r="M37" s="8" t="n">
        <f aca="false">IF((F37-K37)&lt;&gt;0,M$1-A37," ")</f>
        <v>99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30000</v>
      </c>
      <c r="BZ37" s="2" t="s">
        <v>167</v>
      </c>
    </row>
    <row r="38" customFormat="false" ht="12" hidden="false" customHeight="false" outlineLevel="0" collapsed="false">
      <c r="A38" s="28" t="n">
        <v>46170</v>
      </c>
      <c r="B38" s="2" t="s">
        <v>20</v>
      </c>
      <c r="D38" s="2" t="s">
        <v>147</v>
      </c>
      <c r="E38" s="2" t="s">
        <v>104</v>
      </c>
      <c r="F38" s="30" t="n">
        <v>120</v>
      </c>
      <c r="G38" s="6" t="n">
        <f aca="false">IF(F38&lt;&gt;0,F38*G$2/(100+G$2)," ")</f>
        <v>20</v>
      </c>
      <c r="H38" s="6" t="n">
        <f aca="false">IF((F38&lt;&gt;0),F38-G38," ")</f>
        <v>100</v>
      </c>
      <c r="I38" s="5"/>
      <c r="L38" s="7" t="n">
        <f aca="false">IF(F38&lt;&gt;0,F38-K38," ")</f>
        <v>120</v>
      </c>
      <c r="M38" s="8" t="n">
        <f aca="false">IF((F38-K38)&lt;&gt;0,M$1-A38," ")</f>
        <v>96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n">
        <f aca="false">IF((E38="v"),H38," ")</f>
        <v>100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105</v>
      </c>
    </row>
    <row r="39" customFormat="false" ht="12" hidden="false" customHeight="false" outlineLevel="0" collapsed="false">
      <c r="A39" s="28" t="n">
        <v>46173</v>
      </c>
      <c r="B39" s="2" t="s">
        <v>16</v>
      </c>
      <c r="D39" s="2" t="s">
        <v>148</v>
      </c>
      <c r="E39" s="2" t="s">
        <v>149</v>
      </c>
      <c r="F39" s="30" t="n">
        <v>300</v>
      </c>
      <c r="G39" s="6" t="n">
        <f aca="false">IF(F39&lt;&gt;0,F39*G$2/(100+G$2)," ")</f>
        <v>50</v>
      </c>
      <c r="H39" s="6" t="n">
        <f aca="false">IF((F39&lt;&gt;0),F39-G39," ")</f>
        <v>250</v>
      </c>
      <c r="I39" s="5"/>
      <c r="L39" s="7" t="n">
        <f aca="false">IF(F39&lt;&gt;0,F39-K39," ")</f>
        <v>300</v>
      </c>
      <c r="M39" s="8" t="n">
        <f aca="false">IF((F39-K39)&lt;&gt;0,M$1-A39," ")</f>
        <v>93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250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BZ39" s="2" t="s">
        <v>150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6918</v>
      </c>
      <c r="G1" s="12" t="n">
        <f aca="false">SUM(G5:G300)</f>
        <v>1153</v>
      </c>
      <c r="H1" s="12" t="n">
        <f aca="false">SUM(H5:H300)</f>
        <v>5765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46266</v>
      </c>
      <c r="N1" s="13"/>
      <c r="O1" s="12" t="n">
        <f aca="false">SUM(O5:O300)</f>
        <v>700</v>
      </c>
      <c r="P1" s="12" t="n">
        <f aca="false">SUM(P5:P300)</f>
        <v>2500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200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137.5</v>
      </c>
      <c r="AB1" s="12" t="n">
        <f aca="false">SUM(AB5:AB300)</f>
        <v>136.666666666667</v>
      </c>
      <c r="AC1" s="12" t="n">
        <f aca="false">SUM(AC5:AC300)</f>
        <v>537.5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600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92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46174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92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46174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92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46174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92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46174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92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46174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92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46176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90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46176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90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46178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88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46178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88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46179</v>
      </c>
      <c r="B15" s="2" t="s">
        <v>151</v>
      </c>
      <c r="D15" s="2" t="s">
        <v>152</v>
      </c>
      <c r="E15" s="2" t="s">
        <v>110</v>
      </c>
      <c r="F15" s="30" t="n">
        <v>72</v>
      </c>
      <c r="G15" s="6" t="n">
        <f aca="false">IF(F15&lt;&gt;0,F15*G$2/(100+G$2)," ")</f>
        <v>12</v>
      </c>
      <c r="H15" s="6" t="n">
        <f aca="false">IF((F15&lt;&gt;0),F15-G15," ")</f>
        <v>60</v>
      </c>
      <c r="I15" s="5"/>
      <c r="L15" s="7" t="n">
        <f aca="false">IF(F15&lt;&gt;0,F15-K15," ")</f>
        <v>72</v>
      </c>
      <c r="M15" s="8" t="n">
        <f aca="false">IF((F15-K15)&lt;&gt;0,M$1-A15," ")</f>
        <v>87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46181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85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46183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83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46185</v>
      </c>
      <c r="B18" s="2" t="s">
        <v>122</v>
      </c>
      <c r="D18" s="2" t="s">
        <v>123</v>
      </c>
      <c r="E18" s="2" t="s">
        <v>104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81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105</v>
      </c>
    </row>
    <row r="19" customFormat="false" ht="12" hidden="false" customHeight="false" outlineLevel="0" collapsed="false">
      <c r="A19" s="28" t="n">
        <v>46187</v>
      </c>
      <c r="B19" s="2" t="s">
        <v>126</v>
      </c>
      <c r="D19" s="2" t="s">
        <v>127</v>
      </c>
      <c r="E19" s="2" t="s">
        <v>110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79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111</v>
      </c>
    </row>
    <row r="20" customFormat="false" ht="12" hidden="false" customHeight="false" outlineLevel="0" collapsed="false">
      <c r="A20" s="28" t="n">
        <v>46187</v>
      </c>
      <c r="B20" s="2" t="s">
        <v>128</v>
      </c>
      <c r="D20" s="2" t="s">
        <v>129</v>
      </c>
      <c r="E20" s="2" t="s">
        <v>110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79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46188</v>
      </c>
      <c r="B21" s="2" t="s">
        <v>20</v>
      </c>
      <c r="D21" s="2" t="s">
        <v>103</v>
      </c>
      <c r="E21" s="2" t="s">
        <v>104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78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46188</v>
      </c>
      <c r="B22" s="2" t="s">
        <v>130</v>
      </c>
      <c r="D22" s="2" t="s">
        <v>131</v>
      </c>
      <c r="E22" s="2" t="s">
        <v>78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78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79</v>
      </c>
    </row>
    <row r="23" customFormat="false" ht="12" hidden="false" customHeight="false" outlineLevel="0" collapsed="false">
      <c r="A23" s="28" t="n">
        <v>46188</v>
      </c>
      <c r="B23" s="2" t="s">
        <v>161</v>
      </c>
      <c r="D23" s="2" t="s">
        <v>162</v>
      </c>
      <c r="E23" s="2" t="s">
        <v>120</v>
      </c>
      <c r="F23" s="30" t="n">
        <v>540</v>
      </c>
      <c r="G23" s="6" t="n">
        <f aca="false">IF(F23&lt;&gt;0,F23*G$2/(100+G$2)," ")</f>
        <v>90</v>
      </c>
      <c r="H23" s="6" t="n">
        <f aca="false">IF((F23&lt;&gt;0),F23-G23," ")</f>
        <v>450</v>
      </c>
      <c r="I23" s="5"/>
      <c r="L23" s="7" t="n">
        <f aca="false">IF(F23&lt;&gt;0,F23-K23," ")</f>
        <v>540</v>
      </c>
      <c r="M23" s="8" t="n">
        <f aca="false">IF((F23-K23)&lt;&gt;0,M$1-A23," ")</f>
        <v>78</v>
      </c>
      <c r="N23" s="5"/>
      <c r="O23" s="17" t="n">
        <f aca="false">IF((E23="s"),H23," ")</f>
        <v>450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121</v>
      </c>
    </row>
    <row r="24" customFormat="false" ht="12" hidden="false" customHeight="false" outlineLevel="0" collapsed="false">
      <c r="A24" s="28" t="n">
        <v>46188</v>
      </c>
      <c r="B24" s="2" t="s">
        <v>181</v>
      </c>
      <c r="C24" s="3" t="s">
        <v>239</v>
      </c>
      <c r="D24" s="2" t="s">
        <v>240</v>
      </c>
      <c r="E24" s="2" t="s">
        <v>184</v>
      </c>
      <c r="F24" s="30" t="n">
        <v>3000</v>
      </c>
      <c r="G24" s="6" t="n">
        <f aca="false">IF(F24&lt;&gt;0,F24*G$2/(100+G$2)," ")</f>
        <v>500</v>
      </c>
      <c r="H24" s="6" t="n">
        <f aca="false">IF((F24&lt;&gt;0),F24-G24," ")</f>
        <v>2500</v>
      </c>
      <c r="I24" s="5"/>
      <c r="L24" s="7" t="n">
        <f aca="false">IF(F24&lt;&gt;0,F24-K24," ")</f>
        <v>3000</v>
      </c>
      <c r="M24" s="8" t="n">
        <f aca="false">IF((F24-K24)&lt;&gt;0,M$1-A24," ")</f>
        <v>78</v>
      </c>
      <c r="N24" s="5"/>
      <c r="O24" s="17" t="str">
        <f aca="false">IF((E24="s"),H24," ")</f>
        <v> </v>
      </c>
      <c r="P24" s="17" t="n">
        <f aca="false">IF((E24="c"),H24," ")</f>
        <v>2500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K24" s="17" t="n">
        <v>600</v>
      </c>
      <c r="BZ24" s="2" t="s">
        <v>185</v>
      </c>
    </row>
    <row r="25" customFormat="false" ht="12" hidden="false" customHeight="false" outlineLevel="0" collapsed="false">
      <c r="A25" s="28" t="n">
        <v>46189</v>
      </c>
      <c r="B25" s="2" t="s">
        <v>168</v>
      </c>
      <c r="D25" s="2" t="s">
        <v>169</v>
      </c>
      <c r="E25" s="2" t="s">
        <v>78</v>
      </c>
      <c r="F25" s="30" t="n">
        <v>30</v>
      </c>
      <c r="G25" s="6" t="n">
        <f aca="false">IF(F25&lt;&gt;0,F25*G$2/(100+G$2)," ")</f>
        <v>5</v>
      </c>
      <c r="H25" s="6" t="n">
        <f aca="false">IF((F25&lt;&gt;0),F25-G25," ")</f>
        <v>25</v>
      </c>
      <c r="I25" s="5"/>
      <c r="L25" s="7" t="n">
        <f aca="false">IF(F25&lt;&gt;0,F25-K25," ")</f>
        <v>30</v>
      </c>
      <c r="M25" s="8" t="n">
        <f aca="false">IF((F25-K25)&lt;&gt;0,M$1-A25," ")</f>
        <v>77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25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46191</v>
      </c>
      <c r="B26" s="2" t="s">
        <v>132</v>
      </c>
      <c r="D26" s="2" t="s">
        <v>103</v>
      </c>
      <c r="E26" s="2" t="s">
        <v>104</v>
      </c>
      <c r="F26" s="30" t="n">
        <v>96</v>
      </c>
      <c r="G26" s="6" t="n">
        <f aca="false">IF(F26&lt;&gt;0,F26*G$2/(100+G$2)," ")</f>
        <v>16</v>
      </c>
      <c r="H26" s="6" t="n">
        <f aca="false">IF((F26&lt;&gt;0),F26-G26," ")</f>
        <v>80</v>
      </c>
      <c r="I26" s="5"/>
      <c r="L26" s="7" t="n">
        <f aca="false">IF(F26&lt;&gt;0,F26-K26," ")</f>
        <v>96</v>
      </c>
      <c r="M26" s="8" t="n">
        <f aca="false">IF((F26-K26)&lt;&gt;0,M$1-A26," ")</f>
        <v>75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80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105</v>
      </c>
    </row>
    <row r="27" customFormat="false" ht="12" hidden="false" customHeight="false" outlineLevel="0" collapsed="false">
      <c r="A27" s="28" t="n">
        <v>46193</v>
      </c>
      <c r="B27" s="2" t="s">
        <v>133</v>
      </c>
      <c r="D27" s="2" t="s">
        <v>134</v>
      </c>
      <c r="E27" s="2" t="s">
        <v>78</v>
      </c>
      <c r="F27" s="30" t="n">
        <v>60</v>
      </c>
      <c r="G27" s="6" t="n">
        <f aca="false">IF(F27&lt;&gt;0,F27*G$2/(100+G$2)," ")</f>
        <v>10</v>
      </c>
      <c r="H27" s="6" t="n">
        <f aca="false">IF((F27&lt;&gt;0),F27-G27," ")</f>
        <v>50</v>
      </c>
      <c r="I27" s="5"/>
      <c r="L27" s="7" t="n">
        <f aca="false">IF(F27&lt;&gt;0,F27-K27," ")</f>
        <v>60</v>
      </c>
      <c r="M27" s="8" t="n">
        <f aca="false">IF((F27-K27)&lt;&gt;0,M$1-A27," ")</f>
        <v>73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50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46193</v>
      </c>
      <c r="B28" s="2" t="s">
        <v>170</v>
      </c>
      <c r="D28" s="2" t="s">
        <v>171</v>
      </c>
      <c r="E28" s="2" t="s">
        <v>172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73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200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173</v>
      </c>
    </row>
    <row r="29" customFormat="false" ht="12" hidden="false" customHeight="false" outlineLevel="0" collapsed="false">
      <c r="A29" s="28" t="n">
        <v>46193</v>
      </c>
      <c r="B29" s="2" t="s">
        <v>174</v>
      </c>
      <c r="D29" s="2" t="s">
        <v>175</v>
      </c>
      <c r="E29" s="2" t="s">
        <v>120</v>
      </c>
      <c r="F29" s="30" t="n">
        <v>300</v>
      </c>
      <c r="G29" s="6" t="n">
        <f aca="false">IF(F29&lt;&gt;0,F29*G$2/(100+G$2)," ")</f>
        <v>50</v>
      </c>
      <c r="H29" s="6" t="n">
        <f aca="false">IF((F29&lt;&gt;0),F29-G29," ")</f>
        <v>250</v>
      </c>
      <c r="I29" s="5"/>
      <c r="L29" s="7" t="n">
        <f aca="false">IF(F29&lt;&gt;0,F29-K29," ")</f>
        <v>300</v>
      </c>
      <c r="M29" s="8" t="n">
        <f aca="false">IF((F29-K29)&lt;&gt;0,M$1-A29," ")</f>
        <v>73</v>
      </c>
      <c r="N29" s="5"/>
      <c r="O29" s="17" t="n">
        <f aca="false">IF((E29="s"),H29," ")</f>
        <v>250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121</v>
      </c>
    </row>
    <row r="30" customFormat="false" ht="12" hidden="false" customHeight="false" outlineLevel="0" collapsed="false">
      <c r="A30" s="28" t="n">
        <v>46194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72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46195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71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46198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68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46198</v>
      </c>
      <c r="B33" s="2" t="s">
        <v>145</v>
      </c>
      <c r="D33" s="2" t="s">
        <v>194</v>
      </c>
      <c r="E33" s="2" t="s">
        <v>104</v>
      </c>
      <c r="F33" s="30" t="n">
        <v>81</v>
      </c>
      <c r="G33" s="6" t="n">
        <f aca="false">IF(F33&lt;&gt;0,F33*G$2/(100+G$2)," ")</f>
        <v>13.5</v>
      </c>
      <c r="H33" s="6" t="n">
        <f aca="false">IF((F33&lt;&gt;0),F33-G33," ")</f>
        <v>67.5</v>
      </c>
      <c r="I33" s="5"/>
      <c r="L33" s="7" t="n">
        <f aca="false">IF(F33&lt;&gt;0,F33-K33," ")</f>
        <v>81</v>
      </c>
      <c r="M33" s="8" t="n">
        <f aca="false">IF((F33-K33)&lt;&gt;0,M$1-A33," ")</f>
        <v>68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67.5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46201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65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46203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63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9451.5</v>
      </c>
      <c r="G1" s="12" t="n">
        <f aca="false">SUM(G5:G300)</f>
        <v>1575.25</v>
      </c>
      <c r="H1" s="12" t="n">
        <f aca="false">SUM(H5:H300)</f>
        <v>7876.25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9451.5</v>
      </c>
      <c r="M1" s="16" t="n">
        <f aca="true">TODAY()</f>
        <v>46266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4166.66666666667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350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115.833333333333</v>
      </c>
      <c r="Z1" s="12" t="n">
        <f aca="false">SUM(Z5:Z300)</f>
        <v>0</v>
      </c>
      <c r="AA1" s="12" t="n">
        <f aca="false">SUM(AA5:AA300)</f>
        <v>212.5</v>
      </c>
      <c r="AB1" s="12" t="n">
        <f aca="false">SUM(AB5:AB300)</f>
        <v>76.6666666666667</v>
      </c>
      <c r="AC1" s="12" t="n">
        <f aca="false">SUM(AC5:AC300)</f>
        <v>511.25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389.166666666667</v>
      </c>
      <c r="AG1" s="12" t="n">
        <f aca="false">SUM(AG5:AG300)</f>
        <v>416.666666666667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46204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62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46204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62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46204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62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46204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62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46204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62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46204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62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46206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60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46206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60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46208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58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46208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58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46208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58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46211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55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46213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53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46213</v>
      </c>
      <c r="B18" s="2" t="s">
        <v>179</v>
      </c>
      <c r="D18" s="2" t="s">
        <v>180</v>
      </c>
      <c r="E18" s="2" t="s">
        <v>78</v>
      </c>
      <c r="F18" s="30" t="n">
        <v>120</v>
      </c>
      <c r="G18" s="6" t="n">
        <f aca="false">IF(F18&lt;&gt;0,F18*G$2/(100+G$2)," ")</f>
        <v>20</v>
      </c>
      <c r="H18" s="6" t="n">
        <f aca="false">IF((F18&lt;&gt;0),F18-G18," ")</f>
        <v>100</v>
      </c>
      <c r="I18" s="5"/>
      <c r="L18" s="7" t="n">
        <f aca="false">IF(F18&lt;&gt;0,F18-K18," ")</f>
        <v>120</v>
      </c>
      <c r="M18" s="8" t="n">
        <f aca="false">IF((F18-K18)&lt;&gt;0,M$1-A18," ")</f>
        <v>53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100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79</v>
      </c>
    </row>
    <row r="19" customFormat="false" ht="12" hidden="false" customHeight="false" outlineLevel="0" collapsed="false">
      <c r="A19" s="28" t="n">
        <v>46215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51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46217</v>
      </c>
      <c r="B20" s="2" t="s">
        <v>124</v>
      </c>
      <c r="D20" s="2" t="s">
        <v>125</v>
      </c>
      <c r="E20" s="2" t="s">
        <v>98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49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46217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49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46217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49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46218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48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46218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48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46218</v>
      </c>
      <c r="B25" s="2" t="s">
        <v>241</v>
      </c>
      <c r="D25" s="2" t="s">
        <v>242</v>
      </c>
      <c r="E25" s="2" t="s">
        <v>243</v>
      </c>
      <c r="F25" s="30" t="n">
        <v>500</v>
      </c>
      <c r="G25" s="6" t="n">
        <f aca="false">IF(F25&lt;&gt;0,F25*G$2/(100+G$2)," ")</f>
        <v>83.3333333333333</v>
      </c>
      <c r="H25" s="6" t="n">
        <f aca="false">IF((F25&lt;&gt;0),F25-G25," ")</f>
        <v>416.666666666667</v>
      </c>
      <c r="I25" s="5"/>
      <c r="L25" s="7" t="n">
        <f aca="false">IF(F25&lt;&gt;0,F25-K25," ")</f>
        <v>500</v>
      </c>
      <c r="M25" s="8" t="n">
        <f aca="false">IF((F25-K25)&lt;&gt;0,M$1-A25," ")</f>
        <v>48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416.666666666667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244</v>
      </c>
    </row>
    <row r="26" customFormat="false" ht="12" hidden="false" customHeight="false" outlineLevel="0" collapsed="false">
      <c r="A26" s="28" t="n">
        <v>46221</v>
      </c>
      <c r="B26" s="2" t="s">
        <v>188</v>
      </c>
      <c r="D26" s="2" t="s">
        <v>189</v>
      </c>
      <c r="E26" s="2" t="s">
        <v>120</v>
      </c>
      <c r="F26" s="30" t="n">
        <v>480</v>
      </c>
      <c r="G26" s="6" t="n">
        <f aca="false">IF(F26&lt;&gt;0,F26*G$2/(100+G$2)," ")</f>
        <v>80</v>
      </c>
      <c r="H26" s="6" t="n">
        <f aca="false">IF((F26&lt;&gt;0),F26-G26," ")</f>
        <v>400</v>
      </c>
      <c r="I26" s="5"/>
      <c r="L26" s="7" t="n">
        <f aca="false">IF(F26&lt;&gt;0,F26-K26," ")</f>
        <v>480</v>
      </c>
      <c r="M26" s="8" t="n">
        <f aca="false">IF((F26-K26)&lt;&gt;0,M$1-A26," ")</f>
        <v>45</v>
      </c>
      <c r="N26" s="5"/>
      <c r="O26" s="17" t="n">
        <f aca="false">IF((E26="s"),H26," ")</f>
        <v>400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46221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45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46223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43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46224</v>
      </c>
      <c r="B29" s="2" t="s">
        <v>139</v>
      </c>
      <c r="D29" s="2" t="s">
        <v>140</v>
      </c>
      <c r="E29" s="2" t="s">
        <v>110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42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46225</v>
      </c>
      <c r="B30" s="2" t="s">
        <v>141</v>
      </c>
      <c r="D30" s="2" t="s">
        <v>142</v>
      </c>
      <c r="E30" s="2" t="s">
        <v>98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41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99</v>
      </c>
    </row>
    <row r="31" customFormat="false" ht="12" hidden="false" customHeight="false" outlineLevel="0" collapsed="false">
      <c r="A31" s="28" t="n">
        <v>46228</v>
      </c>
      <c r="B31" s="2" t="s">
        <v>190</v>
      </c>
      <c r="D31" s="2" t="s">
        <v>191</v>
      </c>
      <c r="E31" s="2" t="s">
        <v>192</v>
      </c>
      <c r="F31" s="30" t="n">
        <v>420</v>
      </c>
      <c r="G31" s="6" t="n">
        <f aca="false">IF(F31&lt;&gt;0,F31*G$2/(100+G$2)," ")</f>
        <v>70</v>
      </c>
      <c r="H31" s="6" t="n">
        <f aca="false">IF((F31&lt;&gt;0),F31-G31," ")</f>
        <v>350</v>
      </c>
      <c r="I31" s="5"/>
      <c r="L31" s="7" t="n">
        <f aca="false">IF(F31&lt;&gt;0,F31-K31," ")</f>
        <v>420</v>
      </c>
      <c r="M31" s="8" t="n">
        <f aca="false">IF((F31-K31)&lt;&gt;0,M$1-A31," ")</f>
        <v>38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350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193</v>
      </c>
    </row>
    <row r="32" customFormat="false" ht="12" hidden="false" customHeight="false" outlineLevel="0" collapsed="false">
      <c r="A32" s="28" t="n">
        <v>46228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38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46228</v>
      </c>
      <c r="B33" s="2" t="s">
        <v>145</v>
      </c>
      <c r="D33" s="2" t="s">
        <v>245</v>
      </c>
      <c r="E33" s="2" t="s">
        <v>104</v>
      </c>
      <c r="F33" s="30" t="n">
        <v>49.5</v>
      </c>
      <c r="G33" s="6" t="n">
        <f aca="false">IF(F33&lt;&gt;0,F33*G$2/(100+G$2)," ")</f>
        <v>8.25</v>
      </c>
      <c r="H33" s="6" t="n">
        <f aca="false">IF((F33&lt;&gt;0),F33-G33," ")</f>
        <v>41.25</v>
      </c>
      <c r="I33" s="5"/>
      <c r="L33" s="7" t="n">
        <f aca="false">IF(F33&lt;&gt;0,F33-K33," ")</f>
        <v>49.5</v>
      </c>
      <c r="M33" s="8" t="n">
        <f aca="false">IF((F33-K33)&lt;&gt;0,M$1-A33," ")</f>
        <v>38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41.25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46231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35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46234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32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 t="n">
        <v>46234</v>
      </c>
      <c r="B36" s="2" t="s">
        <v>246</v>
      </c>
      <c r="D36" s="2" t="s">
        <v>247</v>
      </c>
      <c r="E36" s="2" t="s">
        <v>248</v>
      </c>
      <c r="F36" s="30" t="n">
        <v>5000</v>
      </c>
      <c r="G36" s="6" t="n">
        <f aca="false">IF(F36&lt;&gt;0,F36*G$2/(100+G$2)," ")</f>
        <v>833.333333333333</v>
      </c>
      <c r="H36" s="6" t="n">
        <f aca="false">IF((F36&lt;&gt;0),F36-G36," ")</f>
        <v>4166.66666666667</v>
      </c>
      <c r="I36" s="5"/>
      <c r="L36" s="7" t="n">
        <f aca="false">IF(F36&lt;&gt;0,F36-K36," ")</f>
        <v>5000</v>
      </c>
      <c r="M36" s="8" t="n">
        <f aca="false">IF((F36-K36)&lt;&gt;0,M$1-A36," ")</f>
        <v>32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n">
        <f aca="false">IF((E36="d"),H36," ")</f>
        <v>4166.66666666667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249</v>
      </c>
    </row>
    <row r="37" customFormat="false" ht="12" hidden="false" customHeight="false" outlineLevel="0" collapsed="false">
      <c r="A37" s="28" t="n">
        <v>46234</v>
      </c>
      <c r="B37" s="2" t="s">
        <v>195</v>
      </c>
      <c r="C37" s="3" t="s">
        <v>250</v>
      </c>
      <c r="D37" s="2" t="s">
        <v>197</v>
      </c>
      <c r="E37" s="2" t="s">
        <v>149</v>
      </c>
      <c r="F37" s="30" t="n">
        <v>167</v>
      </c>
      <c r="G37" s="6" t="n">
        <f aca="false">IF(F37&lt;&gt;0,F37*G$2/(100+G$2)," ")</f>
        <v>27.8333333333333</v>
      </c>
      <c r="H37" s="6" t="n">
        <f aca="false">IF((F37&lt;&gt;0),F37-G37," ")</f>
        <v>139.166666666667</v>
      </c>
      <c r="I37" s="5"/>
      <c r="L37" s="7" t="n">
        <f aca="false">IF(F37&lt;&gt;0,F37-K37," ")</f>
        <v>167</v>
      </c>
      <c r="M37" s="8" t="n">
        <f aca="false">IF((F37-K37)&lt;&gt;0,M$1-A37," ")</f>
        <v>32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139.166666666667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4511.25</v>
      </c>
      <c r="G1" s="12" t="n">
        <f aca="false">SUM(G5:G300)</f>
        <v>751.875</v>
      </c>
      <c r="H1" s="12" t="n">
        <f aca="false">SUM(H5:H300)</f>
        <v>3759.375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4511.25</v>
      </c>
      <c r="M1" s="16" t="n">
        <f aca="true">TODAY()</f>
        <v>46266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150</v>
      </c>
      <c r="X1" s="12" t="n">
        <f aca="false">SUM(X5:X300)</f>
        <v>120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127.5</v>
      </c>
      <c r="AB1" s="12" t="n">
        <f aca="false">SUM(AB5:AB300)</f>
        <v>76.6666666666667</v>
      </c>
      <c r="AC1" s="12" t="n">
        <f aca="false">SUM(AC5:AC300)</f>
        <v>531.875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46235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46235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46235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46235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46235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31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46235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31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46237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46237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46239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46239</v>
      </c>
      <c r="B14" s="2" t="s">
        <v>206</v>
      </c>
      <c r="D14" s="2" t="s">
        <v>207</v>
      </c>
      <c r="E14" s="2" t="s">
        <v>159</v>
      </c>
      <c r="F14" s="30" t="n">
        <v>480</v>
      </c>
      <c r="G14" s="6" t="n">
        <f aca="false">IF(F14&lt;&gt;0,F14*G$2/(100+G$2)," ")</f>
        <v>80</v>
      </c>
      <c r="H14" s="6" t="n">
        <f aca="false">IF((F14&lt;&gt;0),F14-G14," ")</f>
        <v>400</v>
      </c>
      <c r="I14" s="5"/>
      <c r="L14" s="7" t="n">
        <f aca="false">IF(F14&lt;&gt;0,F14-K14," ")</f>
        <v>480</v>
      </c>
      <c r="M14" s="8" t="n">
        <f aca="false">IF((F14-K14)&lt;&gt;0,M$1-A14," ")</f>
        <v>27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400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160</v>
      </c>
    </row>
    <row r="15" customFormat="false" ht="12" hidden="false" customHeight="false" outlineLevel="0" collapsed="false">
      <c r="A15" s="28" t="n">
        <v>46239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27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46242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46242</v>
      </c>
      <c r="B17" s="2" t="s">
        <v>153</v>
      </c>
      <c r="D17" s="2" t="s">
        <v>154</v>
      </c>
      <c r="E17" s="2" t="s">
        <v>155</v>
      </c>
      <c r="F17" s="30" t="n">
        <v>180</v>
      </c>
      <c r="G17" s="6" t="n">
        <f aca="false">IF(F17&lt;&gt;0,F17*G$2/(100+G$2)," ")</f>
        <v>30</v>
      </c>
      <c r="H17" s="6" t="n">
        <f aca="false">IF((F17&lt;&gt;0),F17-G17," ")</f>
        <v>150</v>
      </c>
      <c r="I17" s="5"/>
      <c r="L17" s="7" t="n">
        <f aca="false">IF(F17&lt;&gt;0,F17-K17," ")</f>
        <v>180</v>
      </c>
      <c r="M17" s="8" t="n">
        <f aca="false">IF((F17-K17)&lt;&gt;0,M$1-A17," ")</f>
        <v>24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150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156</v>
      </c>
    </row>
    <row r="18" customFormat="false" ht="12" hidden="false" customHeight="false" outlineLevel="0" collapsed="false">
      <c r="A18" s="28" t="n">
        <v>46244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46244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22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46244</v>
      </c>
      <c r="B20" s="2" t="s">
        <v>118</v>
      </c>
      <c r="D20" s="2" t="s">
        <v>119</v>
      </c>
      <c r="E20" s="2" t="s">
        <v>120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22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46246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46248</v>
      </c>
      <c r="B22" s="2" t="s">
        <v>126</v>
      </c>
      <c r="D22" s="2" t="s">
        <v>127</v>
      </c>
      <c r="E22" s="2" t="s">
        <v>110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18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46248</v>
      </c>
      <c r="B23" s="2" t="s">
        <v>128</v>
      </c>
      <c r="D23" s="2" t="s">
        <v>129</v>
      </c>
      <c r="E23" s="2" t="s">
        <v>110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46249</v>
      </c>
      <c r="B24" s="2" t="s">
        <v>20</v>
      </c>
      <c r="D24" s="2" t="s">
        <v>103</v>
      </c>
      <c r="E24" s="2" t="s">
        <v>104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17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105</v>
      </c>
    </row>
    <row r="25" customFormat="false" ht="12" hidden="false" customHeight="false" outlineLevel="0" collapsed="false">
      <c r="A25" s="28" t="n">
        <v>46249</v>
      </c>
      <c r="B25" s="2" t="s">
        <v>130</v>
      </c>
      <c r="D25" s="2" t="s">
        <v>131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46250</v>
      </c>
      <c r="B26" s="2" t="s">
        <v>168</v>
      </c>
      <c r="D26" s="2" t="s">
        <v>169</v>
      </c>
      <c r="E26" s="2" t="s">
        <v>78</v>
      </c>
      <c r="F26" s="30" t="n">
        <v>18</v>
      </c>
      <c r="G26" s="6" t="n">
        <f aca="false">IF(F26&lt;&gt;0,F26*G$2/(100+G$2)," ")</f>
        <v>3</v>
      </c>
      <c r="H26" s="6" t="n">
        <f aca="false">IF((F26&lt;&gt;0),F26-G26," ")</f>
        <v>15</v>
      </c>
      <c r="I26" s="5"/>
      <c r="L26" s="7" t="n">
        <f aca="false">IF(F26&lt;&gt;0,F26-K26," ")</f>
        <v>18</v>
      </c>
      <c r="M26" s="8" t="n">
        <f aca="false">IF((F26-K26)&lt;&gt;0,M$1-A26," ")</f>
        <v>16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15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46252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46254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46254</v>
      </c>
      <c r="B29" s="2" t="s">
        <v>213</v>
      </c>
      <c r="D29" s="2" t="s">
        <v>214</v>
      </c>
      <c r="E29" s="2" t="s">
        <v>172</v>
      </c>
      <c r="F29" s="30" t="n">
        <v>180</v>
      </c>
      <c r="G29" s="6" t="n">
        <f aca="false">IF(F29&lt;&gt;0,F29*G$2/(100+G$2)," ")</f>
        <v>30</v>
      </c>
      <c r="H29" s="6" t="n">
        <f aca="false">IF((F29&lt;&gt;0),F29-G29," ")</f>
        <v>150</v>
      </c>
      <c r="I29" s="5"/>
      <c r="L29" s="7" t="n">
        <f aca="false">IF(F29&lt;&gt;0,F29-K29," ")</f>
        <v>180</v>
      </c>
      <c r="M29" s="8" t="n">
        <f aca="false">IF((F29-K29)&lt;&gt;0,M$1-A29," ")</f>
        <v>12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150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173</v>
      </c>
    </row>
    <row r="30" customFormat="false" ht="12" hidden="false" customHeight="false" outlineLevel="0" collapsed="false">
      <c r="A30" s="28" t="n">
        <v>46254</v>
      </c>
      <c r="B30" s="2" t="s">
        <v>135</v>
      </c>
      <c r="D30" s="2" t="s">
        <v>136</v>
      </c>
      <c r="E30" s="2" t="s">
        <v>137</v>
      </c>
      <c r="F30" s="30" t="n">
        <v>144</v>
      </c>
      <c r="G30" s="6" t="n">
        <f aca="false">IF(F30&lt;&gt;0,F30*G$2/(100+G$2)," ")</f>
        <v>24</v>
      </c>
      <c r="H30" s="6" t="n">
        <f aca="false">IF((F30&lt;&gt;0),F30-G30," ")</f>
        <v>120</v>
      </c>
      <c r="I30" s="5"/>
      <c r="L30" s="7" t="n">
        <f aca="false">IF(F30&lt;&gt;0,F30-K30," ")</f>
        <v>144</v>
      </c>
      <c r="M30" s="8" t="n">
        <f aca="false">IF((F30-K30)&lt;&gt;0,M$1-A30," ")</f>
        <v>12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120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138</v>
      </c>
    </row>
    <row r="31" customFormat="false" ht="12" hidden="false" customHeight="false" outlineLevel="0" collapsed="false">
      <c r="A31" s="28" t="n">
        <v>46255</v>
      </c>
      <c r="B31" s="2" t="s">
        <v>139</v>
      </c>
      <c r="D31" s="2" t="s">
        <v>140</v>
      </c>
      <c r="E31" s="2" t="s">
        <v>110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11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111</v>
      </c>
    </row>
    <row r="32" customFormat="false" ht="12" hidden="false" customHeight="false" outlineLevel="0" collapsed="false">
      <c r="A32" s="28" t="n">
        <v>46256</v>
      </c>
      <c r="B32" s="2" t="s">
        <v>141</v>
      </c>
      <c r="D32" s="2" t="s">
        <v>142</v>
      </c>
      <c r="E32" s="2" t="s">
        <v>98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10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46256</v>
      </c>
      <c r="B33" s="2" t="s">
        <v>176</v>
      </c>
      <c r="D33" s="2" t="s">
        <v>177</v>
      </c>
      <c r="E33" s="2" t="s">
        <v>104</v>
      </c>
      <c r="F33" s="30" t="n">
        <v>36</v>
      </c>
      <c r="G33" s="6" t="n">
        <f aca="false">IF(F33&lt;&gt;0,F33*G$2/(100+G$2)," ")</f>
        <v>6</v>
      </c>
      <c r="H33" s="6" t="n">
        <f aca="false">IF((F33&lt;&gt;0),F33-G33," ")</f>
        <v>30</v>
      </c>
      <c r="I33" s="5"/>
      <c r="L33" s="7" t="n">
        <f aca="false">IF(F33&lt;&gt;0,F33-K33," ")</f>
        <v>36</v>
      </c>
      <c r="M33" s="8" t="n">
        <f aca="false">IF((F33-K33)&lt;&gt;0,M$1-A33," ")</f>
        <v>10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46259</v>
      </c>
      <c r="B34" s="2" t="s">
        <v>143</v>
      </c>
      <c r="D34" s="2" t="s">
        <v>144</v>
      </c>
      <c r="E34" s="2" t="s">
        <v>98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46259</v>
      </c>
      <c r="B35" s="2" t="s">
        <v>145</v>
      </c>
      <c r="D35" s="2" t="s">
        <v>146</v>
      </c>
      <c r="E35" s="2" t="s">
        <v>104</v>
      </c>
      <c r="F35" s="30" t="n">
        <v>38.25</v>
      </c>
      <c r="G35" s="6" t="n">
        <f aca="false">IF(F35&lt;&gt;0,F35*G$2/(100+G$2)," ")</f>
        <v>6.375</v>
      </c>
      <c r="H35" s="6" t="n">
        <f aca="false">IF((F35&lt;&gt;0),F35-G35," ")</f>
        <v>31.875</v>
      </c>
      <c r="I35" s="5"/>
      <c r="L35" s="7" t="n">
        <f aca="false">IF(F35&lt;&gt;0,F35-K35," ")</f>
        <v>38.25</v>
      </c>
      <c r="M35" s="8" t="n">
        <f aca="false">IF((F35-K35)&lt;&gt;0,M$1-A35," ")</f>
        <v>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31.875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46262</v>
      </c>
      <c r="B36" s="2" t="s">
        <v>20</v>
      </c>
      <c r="D36" s="2" t="s">
        <v>147</v>
      </c>
      <c r="E36" s="2" t="s">
        <v>104</v>
      </c>
      <c r="F36" s="30" t="n">
        <v>120</v>
      </c>
      <c r="G36" s="6" t="n">
        <f aca="false">IF(F36&lt;&gt;0,F36*G$2/(100+G$2)," ")</f>
        <v>20</v>
      </c>
      <c r="H36" s="6" t="n">
        <f aca="false">IF((F36&lt;&gt;0),F36-G36," ")</f>
        <v>100</v>
      </c>
      <c r="I36" s="5"/>
      <c r="L36" s="7" t="n">
        <f aca="false">IF(F36&lt;&gt;0,F36-K36," ")</f>
        <v>120</v>
      </c>
      <c r="M36" s="8" t="n">
        <f aca="false">IF((F36-K36)&lt;&gt;0,M$1-A36," ")</f>
        <v>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100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46265</v>
      </c>
      <c r="B37" s="2" t="s">
        <v>16</v>
      </c>
      <c r="D37" s="2" t="s">
        <v>148</v>
      </c>
      <c r="E37" s="2" t="s">
        <v>149</v>
      </c>
      <c r="F37" s="30" t="n">
        <v>300</v>
      </c>
      <c r="G37" s="6" t="n">
        <f aca="false">IF(F37&lt;&gt;0,F37*G$2/(100+G$2)," ")</f>
        <v>50</v>
      </c>
      <c r="H37" s="6" t="n">
        <f aca="false">IF((F37&lt;&gt;0),F37-G37," ")</f>
        <v>250</v>
      </c>
      <c r="I37" s="5"/>
      <c r="L37" s="7" t="n">
        <f aca="false">IF(F37&lt;&gt;0,F37-K37," ")</f>
        <v>300</v>
      </c>
      <c r="M37" s="8" t="n">
        <f aca="false">IF((F37-K37)&lt;&gt;0,M$1-A37," ")</f>
        <v>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150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4396.5</v>
      </c>
      <c r="G1" s="12" t="n">
        <f aca="false">SUM(G5:G300)</f>
        <v>732.75</v>
      </c>
      <c r="H1" s="12" t="n">
        <f aca="false">SUM(H5:H300)</f>
        <v>3663.75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46266</v>
      </c>
      <c r="N1" s="13"/>
      <c r="O1" s="12" t="n">
        <f aca="false">SUM(O5:O300)</f>
        <v>550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300</v>
      </c>
      <c r="X1" s="12" t="n">
        <f aca="false">SUM(X5:X300)</f>
        <v>300</v>
      </c>
      <c r="Y1" s="12" t="n">
        <f aca="false">SUM(Y5:Y300)</f>
        <v>110.833333333333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306.666666666667</v>
      </c>
      <c r="AC1" s="12" t="n">
        <f aca="false">SUM(AC5:AC300)</f>
        <v>496.25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46266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46266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46266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46266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46266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46266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46268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46268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46270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46270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46270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46271</v>
      </c>
      <c r="B16" s="2" t="s">
        <v>151</v>
      </c>
      <c r="D16" s="2" t="s">
        <v>152</v>
      </c>
      <c r="E16" s="2" t="s">
        <v>110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46273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46275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46277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-11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46277</v>
      </c>
      <c r="B20" s="2" t="s">
        <v>208</v>
      </c>
      <c r="D20" s="2" t="s">
        <v>209</v>
      </c>
      <c r="E20" s="2" t="s">
        <v>155</v>
      </c>
      <c r="F20" s="30" t="n">
        <v>360</v>
      </c>
      <c r="G20" s="6" t="n">
        <f aca="false">IF(F20&lt;&gt;0,F20*G$2/(100+G$2)," ")</f>
        <v>60</v>
      </c>
      <c r="H20" s="6" t="n">
        <f aca="false">IF((F20&lt;&gt;0),F20-G20," ")</f>
        <v>300</v>
      </c>
      <c r="I20" s="5"/>
      <c r="L20" s="7" t="n">
        <f aca="false">IF(F20&lt;&gt;0,F20-K20," ")</f>
        <v>360</v>
      </c>
      <c r="M20" s="8" t="n">
        <f aca="false">IF((F20-K20)&lt;&gt;0,M$1-A20," ")</f>
        <v>-11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300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156</v>
      </c>
    </row>
    <row r="21" customFormat="false" ht="12" hidden="false" customHeight="false" outlineLevel="0" collapsed="false">
      <c r="A21" s="28" t="n">
        <v>46279</v>
      </c>
      <c r="B21" s="2" t="s">
        <v>124</v>
      </c>
      <c r="D21" s="2" t="s">
        <v>125</v>
      </c>
      <c r="E21" s="2" t="s">
        <v>98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-13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15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99</v>
      </c>
    </row>
    <row r="22" customFormat="false" ht="12" hidden="false" customHeight="false" outlineLevel="0" collapsed="false">
      <c r="A22" s="28" t="n">
        <v>46279</v>
      </c>
      <c r="B22" s="2" t="s">
        <v>126</v>
      </c>
      <c r="D22" s="2" t="s">
        <v>127</v>
      </c>
      <c r="E22" s="2" t="s">
        <v>110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-13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46279</v>
      </c>
      <c r="B23" s="2" t="s">
        <v>128</v>
      </c>
      <c r="D23" s="2" t="s">
        <v>129</v>
      </c>
      <c r="E23" s="2" t="s">
        <v>110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-13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46280</v>
      </c>
      <c r="B24" s="2" t="s">
        <v>20</v>
      </c>
      <c r="D24" s="2" t="s">
        <v>103</v>
      </c>
      <c r="E24" s="2" t="s">
        <v>104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-14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105</v>
      </c>
    </row>
    <row r="25" customFormat="false" ht="12" hidden="false" customHeight="false" outlineLevel="0" collapsed="false">
      <c r="A25" s="28" t="n">
        <v>46280</v>
      </c>
      <c r="B25" s="2" t="s">
        <v>130</v>
      </c>
      <c r="D25" s="2" t="s">
        <v>131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-14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46280</v>
      </c>
      <c r="B26" s="2" t="s">
        <v>161</v>
      </c>
      <c r="D26" s="2" t="s">
        <v>162</v>
      </c>
      <c r="E26" s="2" t="s">
        <v>120</v>
      </c>
      <c r="F26" s="30" t="n">
        <v>420</v>
      </c>
      <c r="G26" s="6" t="n">
        <f aca="false">IF(F26&lt;&gt;0,F26*G$2/(100+G$2)," ")</f>
        <v>70</v>
      </c>
      <c r="H26" s="6" t="n">
        <f aca="false">IF((F26&lt;&gt;0),F26-G26," ")</f>
        <v>350</v>
      </c>
      <c r="I26" s="5"/>
      <c r="L26" s="7" t="n">
        <f aca="false">IF(F26&lt;&gt;0,F26-K26," ")</f>
        <v>420</v>
      </c>
      <c r="M26" s="8" t="n">
        <f aca="false">IF((F26-K26)&lt;&gt;0,M$1-A26," ")</f>
        <v>-14</v>
      </c>
      <c r="N26" s="5"/>
      <c r="O26" s="17" t="n">
        <f aca="false">IF((E26="s"),H26," ")</f>
        <v>350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46283</v>
      </c>
      <c r="B27" s="2" t="s">
        <v>216</v>
      </c>
      <c r="D27" s="2" t="s">
        <v>251</v>
      </c>
      <c r="E27" s="2" t="s">
        <v>137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-17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300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138</v>
      </c>
    </row>
    <row r="28" customFormat="false" ht="12" hidden="false" customHeight="false" outlineLevel="0" collapsed="false">
      <c r="A28" s="28" t="n">
        <v>46283</v>
      </c>
      <c r="B28" s="2" t="s">
        <v>186</v>
      </c>
      <c r="D28" s="2" t="s">
        <v>252</v>
      </c>
      <c r="E28" s="2" t="s">
        <v>110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-17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200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111</v>
      </c>
    </row>
    <row r="29" customFormat="false" ht="12" hidden="false" customHeight="false" outlineLevel="0" collapsed="false">
      <c r="A29" s="28" t="n">
        <v>46283</v>
      </c>
      <c r="B29" s="2" t="s">
        <v>132</v>
      </c>
      <c r="D29" s="2" t="s">
        <v>103</v>
      </c>
      <c r="E29" s="2" t="s">
        <v>104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-17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46285</v>
      </c>
      <c r="B30" s="2" t="s">
        <v>133</v>
      </c>
      <c r="D30" s="2" t="s">
        <v>134</v>
      </c>
      <c r="E30" s="2" t="s">
        <v>78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-19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79</v>
      </c>
    </row>
    <row r="31" customFormat="false" ht="12" hidden="false" customHeight="false" outlineLevel="0" collapsed="false">
      <c r="A31" s="28" t="n">
        <v>46285</v>
      </c>
      <c r="B31" s="2" t="s">
        <v>174</v>
      </c>
      <c r="D31" s="2" t="s">
        <v>175</v>
      </c>
      <c r="E31" s="2" t="s">
        <v>120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-19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121</v>
      </c>
    </row>
    <row r="32" customFormat="false" ht="12" hidden="false" customHeight="false" outlineLevel="0" collapsed="false">
      <c r="A32" s="28" t="n">
        <v>46286</v>
      </c>
      <c r="B32" s="2" t="s">
        <v>139</v>
      </c>
      <c r="D32" s="2" t="s">
        <v>140</v>
      </c>
      <c r="E32" s="2" t="s">
        <v>110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-20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111</v>
      </c>
    </row>
    <row r="33" customFormat="false" ht="12" hidden="false" customHeight="false" outlineLevel="0" collapsed="false">
      <c r="A33" s="28" t="n">
        <v>46287</v>
      </c>
      <c r="B33" s="2" t="s">
        <v>141</v>
      </c>
      <c r="D33" s="2" t="s">
        <v>142</v>
      </c>
      <c r="E33" s="2" t="s">
        <v>98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-21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46290</v>
      </c>
      <c r="B34" s="2" t="s">
        <v>143</v>
      </c>
      <c r="D34" s="2" t="s">
        <v>144</v>
      </c>
      <c r="E34" s="2" t="s">
        <v>98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-24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46290</v>
      </c>
      <c r="B35" s="2" t="s">
        <v>145</v>
      </c>
      <c r="D35" s="2" t="s">
        <v>253</v>
      </c>
      <c r="E35" s="2" t="s">
        <v>104</v>
      </c>
      <c r="F35" s="30" t="n">
        <v>31.5</v>
      </c>
      <c r="G35" s="6" t="n">
        <f aca="false">IF(F35&lt;&gt;0,F35*G$2/(100+G$2)," ")</f>
        <v>5.25</v>
      </c>
      <c r="H35" s="6" t="n">
        <f aca="false">IF((F35&lt;&gt;0),F35-G35," ")</f>
        <v>26.25</v>
      </c>
      <c r="I35" s="5"/>
      <c r="L35" s="7" t="n">
        <f aca="false">IF(F35&lt;&gt;0,F35-K35," ")</f>
        <v>31.5</v>
      </c>
      <c r="M35" s="8" t="n">
        <f aca="false">IF((F35-K35)&lt;&gt;0,M$1-A35," ")</f>
        <v>-24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26.25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46293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-27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46293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-27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3726.5</v>
      </c>
      <c r="G1" s="12" t="n">
        <f aca="false">SUM(G5:G300)</f>
        <v>621.083333333333</v>
      </c>
      <c r="H1" s="12" t="n">
        <f aca="false">SUM(H5:H300)</f>
        <v>3105.41666666667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46266</v>
      </c>
      <c r="N1" s="13"/>
      <c r="O1" s="12" t="n">
        <f aca="false">SUM(O5:O300)</f>
        <v>250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120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568.75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354.166666666667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Nov!AI1+Dec!AI1+Jan!AI1+Feb!AI1+Mar!AI1+Apr!AI1+May!AI1+Jun!AI1+Jul!AI1+Aug!AI1+Sep!AI1+Oct!AI1</f>
        <v>52500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46296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-30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46296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-30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46296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-30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46296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-30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46296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-30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46296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-30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46298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-32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46298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-32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46300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-34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46300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-34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46303</v>
      </c>
      <c r="B15" s="2" t="s">
        <v>108</v>
      </c>
      <c r="D15" s="2" t="s">
        <v>109</v>
      </c>
      <c r="E15" s="2" t="s">
        <v>110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-37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46305</v>
      </c>
      <c r="B16" s="2" t="s">
        <v>112</v>
      </c>
      <c r="D16" s="2" t="s">
        <v>113</v>
      </c>
      <c r="E16" s="2" t="s">
        <v>98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-39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30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99</v>
      </c>
    </row>
    <row r="17" customFormat="false" ht="12" hidden="false" customHeight="false" outlineLevel="0" collapsed="false">
      <c r="A17" s="28" t="n">
        <v>46305</v>
      </c>
      <c r="B17" s="2" t="s">
        <v>130</v>
      </c>
      <c r="D17" s="2" t="s">
        <v>222</v>
      </c>
      <c r="E17" s="2" t="s">
        <v>172</v>
      </c>
      <c r="F17" s="30" t="n">
        <v>144</v>
      </c>
      <c r="G17" s="6" t="n">
        <f aca="false">IF(F17&lt;&gt;0,F17*G$2/(100+G$2)," ")</f>
        <v>24</v>
      </c>
      <c r="H17" s="6" t="n">
        <f aca="false">IF((F17&lt;&gt;0),F17-G17," ")</f>
        <v>120</v>
      </c>
      <c r="I17" s="5"/>
      <c r="L17" s="7" t="n">
        <f aca="false">IF(F17&lt;&gt;0,F17-K17," ")</f>
        <v>144</v>
      </c>
      <c r="M17" s="8" t="n">
        <f aca="false">IF((F17-K17)&lt;&gt;0,M$1-A17," ")</f>
        <v>-39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120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173</v>
      </c>
    </row>
    <row r="18" customFormat="false" ht="12" hidden="false" customHeight="false" outlineLevel="0" collapsed="false">
      <c r="A18" s="28" t="n">
        <v>46307</v>
      </c>
      <c r="B18" s="2" t="s">
        <v>122</v>
      </c>
      <c r="D18" s="2" t="s">
        <v>123</v>
      </c>
      <c r="E18" s="2" t="s">
        <v>104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-41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105</v>
      </c>
    </row>
    <row r="19" customFormat="false" ht="12" hidden="false" customHeight="false" outlineLevel="0" collapsed="false">
      <c r="A19" s="28" t="n">
        <v>46309</v>
      </c>
      <c r="B19" s="2" t="s">
        <v>126</v>
      </c>
      <c r="D19" s="2" t="s">
        <v>127</v>
      </c>
      <c r="E19" s="2" t="s">
        <v>110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-43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111</v>
      </c>
    </row>
    <row r="20" customFormat="false" ht="12" hidden="false" customHeight="false" outlineLevel="0" collapsed="false">
      <c r="A20" s="28" t="n">
        <v>46309</v>
      </c>
      <c r="B20" s="2" t="s">
        <v>128</v>
      </c>
      <c r="D20" s="2" t="s">
        <v>129</v>
      </c>
      <c r="E20" s="2" t="s">
        <v>110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-43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46310</v>
      </c>
      <c r="B21" s="2" t="s">
        <v>20</v>
      </c>
      <c r="D21" s="2" t="s">
        <v>103</v>
      </c>
      <c r="E21" s="2" t="s">
        <v>104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-44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46310</v>
      </c>
      <c r="B22" s="2" t="s">
        <v>130</v>
      </c>
      <c r="D22" s="2" t="s">
        <v>131</v>
      </c>
      <c r="E22" s="2" t="s">
        <v>78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-44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79</v>
      </c>
    </row>
    <row r="23" customFormat="false" ht="12" hidden="false" customHeight="false" outlineLevel="0" collapsed="false">
      <c r="A23" s="28" t="n">
        <v>46311</v>
      </c>
      <c r="B23" s="2" t="s">
        <v>168</v>
      </c>
      <c r="D23" s="2" t="s">
        <v>169</v>
      </c>
      <c r="E23" s="2" t="s">
        <v>78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-45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79</v>
      </c>
    </row>
    <row r="24" customFormat="false" ht="12" hidden="false" customHeight="false" outlineLevel="0" collapsed="false">
      <c r="A24" s="28" t="n">
        <v>46313</v>
      </c>
      <c r="B24" s="2" t="s">
        <v>188</v>
      </c>
      <c r="D24" s="2" t="s">
        <v>189</v>
      </c>
      <c r="E24" s="2" t="s">
        <v>120</v>
      </c>
      <c r="F24" s="30" t="n">
        <v>300</v>
      </c>
      <c r="G24" s="6" t="n">
        <f aca="false">IF(F24&lt;&gt;0,F24*G$2/(100+G$2)," ")</f>
        <v>50</v>
      </c>
      <c r="H24" s="6" t="n">
        <f aca="false">IF((F24&lt;&gt;0),F24-G24," ")</f>
        <v>250</v>
      </c>
      <c r="I24" s="5"/>
      <c r="L24" s="7" t="n">
        <f aca="false">IF(F24&lt;&gt;0,F24-K24," ")</f>
        <v>300</v>
      </c>
      <c r="M24" s="8" t="n">
        <f aca="false">IF((F24-K24)&lt;&gt;0,M$1-A24," ")</f>
        <v>-47</v>
      </c>
      <c r="N24" s="5"/>
      <c r="O24" s="17" t="n">
        <f aca="false">IF((E24="s"),H24," ")</f>
        <v>250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121</v>
      </c>
    </row>
    <row r="25" customFormat="false" ht="12" hidden="false" customHeight="false" outlineLevel="0" collapsed="false">
      <c r="A25" s="28" t="n">
        <v>46313</v>
      </c>
      <c r="B25" s="2" t="s">
        <v>132</v>
      </c>
      <c r="D25" s="2" t="s">
        <v>103</v>
      </c>
      <c r="E25" s="2" t="s">
        <v>104</v>
      </c>
      <c r="F25" s="30" t="n">
        <v>96</v>
      </c>
      <c r="G25" s="6" t="n">
        <f aca="false">IF(F25&lt;&gt;0,F25*G$2/(100+G$2)," ")</f>
        <v>16</v>
      </c>
      <c r="H25" s="6" t="n">
        <f aca="false">IF((F25&lt;&gt;0),F25-G25," ")</f>
        <v>80</v>
      </c>
      <c r="I25" s="5"/>
      <c r="L25" s="7" t="n">
        <f aca="false">IF(F25&lt;&gt;0,F25-K25," ")</f>
        <v>96</v>
      </c>
      <c r="M25" s="8" t="n">
        <f aca="false">IF((F25-K25)&lt;&gt;0,M$1-A25," ")</f>
        <v>-47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80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46315</v>
      </c>
      <c r="B26" s="2" t="s">
        <v>133</v>
      </c>
      <c r="D26" s="2" t="s">
        <v>134</v>
      </c>
      <c r="E26" s="2" t="s">
        <v>78</v>
      </c>
      <c r="F26" s="30" t="n">
        <v>60</v>
      </c>
      <c r="G26" s="6" t="n">
        <f aca="false">IF(F26&lt;&gt;0,F26*G$2/(100+G$2)," ")</f>
        <v>10</v>
      </c>
      <c r="H26" s="6" t="n">
        <f aca="false">IF((F26&lt;&gt;0),F26-G26," ")</f>
        <v>50</v>
      </c>
      <c r="I26" s="5"/>
      <c r="L26" s="7" t="n">
        <f aca="false">IF(F26&lt;&gt;0,F26-K26," ")</f>
        <v>60</v>
      </c>
      <c r="M26" s="8" t="n">
        <f aca="false">IF((F26-K26)&lt;&gt;0,M$1-A26," ")</f>
        <v>-49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50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46316</v>
      </c>
      <c r="B27" s="2" t="s">
        <v>139</v>
      </c>
      <c r="D27" s="2" t="s">
        <v>140</v>
      </c>
      <c r="E27" s="2" t="s">
        <v>110</v>
      </c>
      <c r="F27" s="30" t="n">
        <v>8</v>
      </c>
      <c r="G27" s="6" t="n">
        <f aca="false">IF(F27&lt;&gt;0,F27*G$2/(100+G$2)," ")</f>
        <v>1.33333333333333</v>
      </c>
      <c r="H27" s="6" t="n">
        <f aca="false">IF((F27&lt;&gt;0),F27-G27," ")</f>
        <v>6.66666666666667</v>
      </c>
      <c r="I27" s="5"/>
      <c r="L27" s="7" t="n">
        <f aca="false">IF(F27&lt;&gt;0,F27-K27," ")</f>
        <v>8</v>
      </c>
      <c r="M27" s="8" t="n">
        <f aca="false">IF((F27-K27)&lt;&gt;0,M$1-A27," ")</f>
        <v>-50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6.66666666666667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111</v>
      </c>
    </row>
    <row r="28" customFormat="false" ht="12" hidden="false" customHeight="false" outlineLevel="0" collapsed="false">
      <c r="A28" s="28" t="n">
        <v>46317</v>
      </c>
      <c r="B28" s="2" t="s">
        <v>141</v>
      </c>
      <c r="D28" s="2" t="s">
        <v>142</v>
      </c>
      <c r="E28" s="2" t="s">
        <v>98</v>
      </c>
      <c r="F28" s="30" t="n">
        <v>18</v>
      </c>
      <c r="G28" s="6" t="n">
        <f aca="false">IF(F28&lt;&gt;0,F28*G$2/(100+G$2)," ")</f>
        <v>3</v>
      </c>
      <c r="H28" s="6" t="n">
        <f aca="false">IF((F28&lt;&gt;0),F28-G28," ")</f>
        <v>15</v>
      </c>
      <c r="I28" s="5"/>
      <c r="L28" s="7" t="n">
        <f aca="false">IF(F28&lt;&gt;0,F28-K28," ")</f>
        <v>18</v>
      </c>
      <c r="M28" s="8" t="n">
        <f aca="false">IF((F28-K28)&lt;&gt;0,M$1-A28," ")</f>
        <v>-51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15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99</v>
      </c>
    </row>
    <row r="29" customFormat="false" ht="12" hidden="false" customHeight="false" outlineLevel="0" collapsed="false">
      <c r="A29" s="28" t="n">
        <v>46317</v>
      </c>
      <c r="B29" s="2" t="s">
        <v>176</v>
      </c>
      <c r="D29" s="2" t="s">
        <v>177</v>
      </c>
      <c r="E29" s="2" t="s">
        <v>104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-51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50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46320</v>
      </c>
      <c r="B30" s="2" t="s">
        <v>190</v>
      </c>
      <c r="D30" s="2" t="s">
        <v>191</v>
      </c>
      <c r="E30" s="2" t="s">
        <v>192</v>
      </c>
      <c r="F30" s="30" t="n">
        <v>360</v>
      </c>
      <c r="G30" s="6" t="n">
        <f aca="false">IF(F30&lt;&gt;0,F30*G$2/(100+G$2)," ")</f>
        <v>60</v>
      </c>
      <c r="H30" s="6" t="n">
        <f aca="false">IF((F30&lt;&gt;0),F30-G30," ")</f>
        <v>300</v>
      </c>
      <c r="I30" s="5"/>
      <c r="L30" s="7" t="n">
        <f aca="false">IF(F30&lt;&gt;0,F30-K30," ")</f>
        <v>360</v>
      </c>
      <c r="M30" s="8" t="n">
        <f aca="false">IF((F30-K30)&lt;&gt;0,M$1-A30," ")</f>
        <v>-54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300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193</v>
      </c>
    </row>
    <row r="31" customFormat="false" ht="12" hidden="false" customHeight="false" outlineLevel="0" collapsed="false">
      <c r="A31" s="28" t="n">
        <v>46320</v>
      </c>
      <c r="B31" s="2" t="s">
        <v>143</v>
      </c>
      <c r="D31" s="2" t="s">
        <v>144</v>
      </c>
      <c r="E31" s="2" t="s">
        <v>98</v>
      </c>
      <c r="F31" s="30" t="n">
        <v>15</v>
      </c>
      <c r="G31" s="6" t="n">
        <f aca="false">IF(F31&lt;&gt;0,F31*G$2/(100+G$2)," ")</f>
        <v>2.5</v>
      </c>
      <c r="H31" s="6" t="n">
        <f aca="false">IF((F31&lt;&gt;0),F31-G31," ")</f>
        <v>12.5</v>
      </c>
      <c r="I31" s="5"/>
      <c r="L31" s="7" t="n">
        <f aca="false">IF(F31&lt;&gt;0,F31-K31," ")</f>
        <v>15</v>
      </c>
      <c r="M31" s="8" t="n">
        <f aca="false">IF((F31-K31)&lt;&gt;0,M$1-A31," ")</f>
        <v>-54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12.5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46320</v>
      </c>
      <c r="B32" s="2" t="s">
        <v>145</v>
      </c>
      <c r="D32" s="2" t="s">
        <v>245</v>
      </c>
      <c r="E32" s="2" t="s">
        <v>104</v>
      </c>
      <c r="F32" s="30" t="n">
        <v>58.5</v>
      </c>
      <c r="G32" s="6" t="n">
        <f aca="false">IF(F32&lt;&gt;0,F32*G$2/(100+G$2)," ")</f>
        <v>9.75</v>
      </c>
      <c r="H32" s="6" t="n">
        <f aca="false">IF((F32&lt;&gt;0),F32-G32," ")</f>
        <v>48.75</v>
      </c>
      <c r="I32" s="5"/>
      <c r="L32" s="7" t="n">
        <f aca="false">IF(F32&lt;&gt;0,F32-K32," ")</f>
        <v>58.5</v>
      </c>
      <c r="M32" s="8" t="n">
        <f aca="false">IF((F32-K32)&lt;&gt;0,M$1-A32," ")</f>
        <v>-54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n">
        <f aca="false">IF((E32="v"),H32," ")</f>
        <v>48.75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105</v>
      </c>
    </row>
    <row r="33" customFormat="false" ht="12" hidden="false" customHeight="false" outlineLevel="0" collapsed="false">
      <c r="A33" s="28" t="n">
        <v>46323</v>
      </c>
      <c r="B33" s="2" t="s">
        <v>20</v>
      </c>
      <c r="D33" s="2" t="s">
        <v>147</v>
      </c>
      <c r="E33" s="2" t="s">
        <v>104</v>
      </c>
      <c r="F33" s="30" t="n">
        <v>120</v>
      </c>
      <c r="G33" s="6" t="n">
        <f aca="false">IF(F33&lt;&gt;0,F33*G$2/(100+G$2)," ")</f>
        <v>20</v>
      </c>
      <c r="H33" s="6" t="n">
        <f aca="false">IF((F33&lt;&gt;0),F33-G33," ")</f>
        <v>100</v>
      </c>
      <c r="I33" s="5"/>
      <c r="L33" s="7" t="n">
        <f aca="false">IF(F33&lt;&gt;0,F33-K33," ")</f>
        <v>120</v>
      </c>
      <c r="M33" s="8" t="n">
        <f aca="false">IF((F33-K33)&lt;&gt;0,M$1-A33," ")</f>
        <v>-57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100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46326</v>
      </c>
      <c r="B34" s="2" t="s">
        <v>16</v>
      </c>
      <c r="D34" s="2" t="s">
        <v>148</v>
      </c>
      <c r="E34" s="2" t="s">
        <v>149</v>
      </c>
      <c r="F34" s="30" t="n">
        <v>300</v>
      </c>
      <c r="G34" s="6" t="n">
        <f aca="false">IF(F34&lt;&gt;0,F34*G$2/(100+G$2)," ")</f>
        <v>50</v>
      </c>
      <c r="H34" s="6" t="n">
        <f aca="false">IF((F34&lt;&gt;0),F34-G34," ")</f>
        <v>250</v>
      </c>
      <c r="I34" s="5"/>
      <c r="L34" s="7" t="n">
        <f aca="false">IF(F34&lt;&gt;0,F34-K34," ")</f>
        <v>300</v>
      </c>
      <c r="M34" s="8" t="n">
        <f aca="false">IF((F34-K34)&lt;&gt;0,M$1-A34," ")</f>
        <v>-60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250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150</v>
      </c>
    </row>
    <row r="35" customFormat="false" ht="12" hidden="false" customHeight="false" outlineLevel="0" collapsed="false">
      <c r="A35" s="28" t="n">
        <v>46326</v>
      </c>
      <c r="B35" s="2" t="s">
        <v>195</v>
      </c>
      <c r="C35" s="3" t="s">
        <v>254</v>
      </c>
      <c r="D35" s="2" t="s">
        <v>197</v>
      </c>
      <c r="E35" s="2" t="s">
        <v>149</v>
      </c>
      <c r="F35" s="30" t="n">
        <v>125</v>
      </c>
      <c r="G35" s="6" t="n">
        <f aca="false">IF(F35&lt;&gt;0,F35*G$2/(100+G$2)," ")</f>
        <v>20.8333333333333</v>
      </c>
      <c r="H35" s="6" t="n">
        <f aca="false">IF((F35&lt;&gt;0),F35-G35," ")</f>
        <v>104.166666666667</v>
      </c>
      <c r="I35" s="5"/>
      <c r="L35" s="7" t="n">
        <f aca="false">IF(F35&lt;&gt;0,F35-K35," ")</f>
        <v>125</v>
      </c>
      <c r="M35" s="8" t="n">
        <f aca="false">IF((F35-K35)&lt;&gt;0,M$1-A35," ")</f>
        <v>-60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104.166666666667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198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255</v>
      </c>
      <c r="B1" s="9"/>
      <c r="C1" s="10" t="n">
        <f aca="false">-SUM([1]TrialBalance!$EJ$28:$EJ$31)</f>
        <v>10832.25</v>
      </c>
      <c r="D1" s="11" t="s">
        <v>1</v>
      </c>
      <c r="E1" s="11"/>
      <c r="F1" s="12" t="n">
        <f aca="false">SUM(F2:F200)</f>
        <v>0</v>
      </c>
      <c r="G1" s="12" t="n">
        <f aca="false">SUM(G5:G300)</f>
        <v>0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46266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256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257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133</v>
      </c>
      <c r="C7" s="3" t="s">
        <v>258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259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