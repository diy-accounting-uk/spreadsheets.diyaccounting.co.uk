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<sst xmlns="http://schemas.openxmlformats.org/spreadsheetml/2006/main" count="1570" uniqueCount="145">
  <si>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</si>
  <si>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</si>
  <si>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</si>
  <si>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</si>
  <si>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</si>
  <si>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</si>
  <si>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</si>
  <si>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</si>
  <si>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</si>
  <si>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</si>
  <si>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</si>
  <si>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</si>
  <si>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</si>
  <si>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</si>
  <si>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</si>
  <si>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</si>
  <si>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</si>
  <si>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</si>
  <si>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</si>
  <si>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</si>
  <si>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</si>
  <si>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</si>
  <si>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</si>
  <si>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</si>
  <si>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</si>
  <si>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</si>
  <si>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</si>
  <si>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</si>
  <si>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</si>
  <si>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</si>
  <si>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</si>
  <si>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</si>
  <si>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</si>
  <si>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</si>
  <si>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</si>
  <si>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</si>
  <si>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</si>
  <si>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</si>
  <si>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</si>
  <si>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</si>
  <si>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</si>
  <si>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</si>
  <si>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</si>
  <si>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</si>
  <si>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</si>
  <si>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</si>
  <si>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</si>
  <si>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</si>
  <si>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</si>
  <si>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</si>
  <si>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</si>
  <si>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</si>
  <si>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</si>
  <si>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</si>
  <si>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</si>
  <si>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</si>
  <si>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</si>
  <si>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</si>
  <si>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</si>
  <si>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</si>
  <si>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</si>
  <si>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</si>
  <si>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</si>
  <si>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</si>
  <si>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</si>
  <si>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WorkSpace Ltd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</si>
  <si>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</si>
  <si>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</si>
  <si>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</si>
  <si>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</si>
  <si>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</si>
  <si>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</si>
  <si>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</si>
  <si>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</si>
  <si>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</si>
  <si>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</si>
  <si>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</si>
  <si>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</si>
  <si>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</si>
  <si>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</si>
  <si>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</si>
  <si>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</si>
  <si>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</si>
  <si>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</si>
  <si>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</si>
  <si>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</si>
  <si>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</si>
  <si>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</si>
  <si>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</si>
  <si>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</si>
  <si>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</si>
  <si>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</si>
  <si>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</si>
  <si>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</si>
  <si>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Shell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</si>
  <si>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</si>
  <si>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</si>
  <si>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</si>
  <si>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</si>
  <si>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</si>
  <si>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</si>
  <si>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</si>
  <si>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</si>
  <si>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</si>
  <si>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Smith &amp; Co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</si>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</sst>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46116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C5" s="29"/>
      <c r="E5" s="2"/>
      <c r="F5" s="30"/>
      <c r="G5" s="6" t="str">
        <f aca="false">IF(F5&lt;&gt;0,F5*G$2/(100+G$2)," ")</f>
        <v> </v>
      </c>
      <c r="H5" s="6" t="str">
        <f aca="false">IF((F5&lt;&gt;0),F5-G5," ")</f>
        <v> 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E6" s="2"/>
      <c r="G6" s="6" t="str">
        <f aca="false">IF(F6&lt;&gt;0,F6*G$2/(100+G$2)," ")</f>
        <v> </v>
      </c>
      <c r="H6" s="6" t="str">
        <f aca="false">IF((F6&lt;&gt;0),F6-G6," ")</f>
        <v> 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E7" s="2"/>
      <c r="G7" s="6" t="str">
        <f aca="false">IF(F7&lt;&gt;0,F7*G$2/(100+G$2)," ")</f>
        <v> </v>
      </c>
      <c r="H7" s="6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E8" s="2"/>
      <c r="G8" s="6" t="str">
        <f aca="false">IF(F8&lt;&gt;0,F8*G$2/(100+G$2)," ")</f>
        <v> </v>
      </c>
      <c r="H8" s="6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H9" s="6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H10" s="6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H11" s="6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H12" s="6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H13" s="6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H14" s="6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H15" s="6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H16" s="6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H17" s="6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H18" s="6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H19" s="6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H20" s="6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H21" s="6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H22" s="6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H23" s="6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H24" s="6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H25" s="6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H26" s="6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H27" s="6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H28" s="6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H29" s="6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H30" s="6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H31" s="6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H32" s="6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H33" s="6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H34" s="6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H35" s="6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H36" s="6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H37" s="6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H38" s="6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H39" s="6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H40" s="6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H41" s="6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H42" s="6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H43" s="6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H44" s="6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H45" s="6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H46" s="6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H47" s="6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H48" s="6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H49" s="6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H50" s="6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H51" s="6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H52" s="6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H53" s="6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H54" s="6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H55" s="6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H56" s="6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H57" s="6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H58" s="6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H59" s="6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H60" s="6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H61" s="6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H62" s="6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H63" s="6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H64" s="6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H65" s="6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H66" s="6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H67" s="6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H68" s="6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H69" s="6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H70" s="6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5111.25</v>
      </c>
      <c r="G1" s="12" t="n">
        <f aca="false">SUM(G5:G300)</f>
        <v>0</v>
      </c>
      <c r="H1" s="12" t="n">
        <f aca="false">SUM(H5:H300)</f>
        <v>5111.25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46116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19" t="s">
        <v>34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45809</v>
      </c>
      <c r="B5" s="5" t="s">
        <v>65</v>
      </c>
      <c r="E5" s="5" t="s">
        <v>66</v>
      </c>
      <c r="F5" s="30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307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45809</v>
      </c>
      <c r="B6" s="2" t="s">
        <v>67</v>
      </c>
      <c r="E6" s="5" t="s">
        <v>68</v>
      </c>
      <c r="F6" s="30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307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45809</v>
      </c>
      <c r="B7" s="2" t="s">
        <v>69</v>
      </c>
      <c r="E7" s="5" t="s">
        <v>68</v>
      </c>
      <c r="F7" s="30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307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45809</v>
      </c>
      <c r="B8" s="2" t="s">
        <v>70</v>
      </c>
      <c r="E8" s="5" t="s">
        <v>71</v>
      </c>
      <c r="F8" s="30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307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45809</v>
      </c>
      <c r="B9" s="2" t="s">
        <v>72</v>
      </c>
      <c r="E9" s="5" t="s">
        <v>73</v>
      </c>
      <c r="F9" s="30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307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45809</v>
      </c>
      <c r="B10" s="2" t="s">
        <v>74</v>
      </c>
      <c r="E10" s="5" t="s">
        <v>71</v>
      </c>
      <c r="F10" s="30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307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45809</v>
      </c>
      <c r="B11" s="2" t="s">
        <v>75</v>
      </c>
      <c r="E11" s="5" t="s">
        <v>68</v>
      </c>
      <c r="F11" s="30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307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45811</v>
      </c>
      <c r="B12" s="2" t="s">
        <v>76</v>
      </c>
      <c r="E12" s="5" t="s">
        <v>71</v>
      </c>
      <c r="F12" s="30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305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45811</v>
      </c>
      <c r="B13" s="2" t="s">
        <v>77</v>
      </c>
      <c r="E13" s="5" t="s">
        <v>78</v>
      </c>
      <c r="F13" s="30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305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45813</v>
      </c>
      <c r="B14" s="2" t="s">
        <v>79</v>
      </c>
      <c r="E14" s="5" t="s">
        <v>78</v>
      </c>
      <c r="F14" s="30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303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45813</v>
      </c>
      <c r="B15" s="2" t="s">
        <v>80</v>
      </c>
      <c r="E15" s="5" t="s">
        <v>81</v>
      </c>
      <c r="F15" s="30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303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180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45813</v>
      </c>
      <c r="B16" s="2" t="s">
        <v>82</v>
      </c>
      <c r="E16" s="5" t="s">
        <v>71</v>
      </c>
      <c r="F16" s="30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303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45816</v>
      </c>
      <c r="B17" s="2" t="s">
        <v>83</v>
      </c>
      <c r="E17" s="5" t="s">
        <v>84</v>
      </c>
      <c r="F17" s="30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300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45818</v>
      </c>
      <c r="B18" s="2" t="s">
        <v>85</v>
      </c>
      <c r="E18" s="5" t="s">
        <v>78</v>
      </c>
      <c r="F18" s="30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298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45818</v>
      </c>
      <c r="B19" s="2" t="s">
        <v>86</v>
      </c>
      <c r="E19" s="5" t="s">
        <v>87</v>
      </c>
      <c r="F19" s="30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298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45818</v>
      </c>
      <c r="B20" s="2" t="s">
        <v>88</v>
      </c>
      <c r="E20" s="5" t="s">
        <v>89</v>
      </c>
      <c r="F20" s="30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298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45820</v>
      </c>
      <c r="B21" s="2" t="s">
        <v>90</v>
      </c>
      <c r="E21" s="5" t="s">
        <v>81</v>
      </c>
      <c r="F21" s="30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296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18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45822</v>
      </c>
      <c r="B22" s="2" t="s">
        <v>91</v>
      </c>
      <c r="E22" s="5" t="s">
        <v>78</v>
      </c>
      <c r="F22" s="30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294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45822</v>
      </c>
      <c r="B23" s="2" t="s">
        <v>92</v>
      </c>
      <c r="E23" s="5" t="s">
        <v>84</v>
      </c>
      <c r="F23" s="30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294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45822</v>
      </c>
      <c r="B24" s="2" t="s">
        <v>93</v>
      </c>
      <c r="E24" s="5" t="s">
        <v>84</v>
      </c>
      <c r="F24" s="30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294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45823</v>
      </c>
      <c r="B25" s="2" t="s">
        <v>94</v>
      </c>
      <c r="E25" s="5" t="s">
        <v>81</v>
      </c>
      <c r="F25" s="30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293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150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45823</v>
      </c>
      <c r="B26" s="2" t="s">
        <v>95</v>
      </c>
      <c r="E26" s="5" t="s">
        <v>68</v>
      </c>
      <c r="F26" s="30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293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45826</v>
      </c>
      <c r="B27" s="2" t="s">
        <v>96</v>
      </c>
      <c r="E27" s="5" t="s">
        <v>81</v>
      </c>
      <c r="F27" s="30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290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96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45828</v>
      </c>
      <c r="B28" s="2" t="s">
        <v>97</v>
      </c>
      <c r="E28" s="5" t="s">
        <v>68</v>
      </c>
      <c r="F28" s="30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288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45828</v>
      </c>
      <c r="B29" s="2" t="s">
        <v>98</v>
      </c>
      <c r="E29" s="5" t="s">
        <v>99</v>
      </c>
      <c r="F29" s="30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288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45829</v>
      </c>
      <c r="B30" s="2" t="s">
        <v>100</v>
      </c>
      <c r="E30" s="5" t="s">
        <v>84</v>
      </c>
      <c r="F30" s="30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287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45830</v>
      </c>
      <c r="B31" s="2" t="s">
        <v>101</v>
      </c>
      <c r="E31" s="5" t="s">
        <v>78</v>
      </c>
      <c r="F31" s="30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286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45833</v>
      </c>
      <c r="B32" s="2" t="s">
        <v>102</v>
      </c>
      <c r="E32" s="5" t="s">
        <v>78</v>
      </c>
      <c r="F32" s="30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283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45833</v>
      </c>
      <c r="B33" s="2" t="s">
        <v>103</v>
      </c>
      <c r="E33" s="5" t="s">
        <v>81</v>
      </c>
      <c r="F33" s="30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283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38.25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45836</v>
      </c>
      <c r="B34" s="2" t="s">
        <v>94</v>
      </c>
      <c r="E34" s="5" t="s">
        <v>81</v>
      </c>
      <c r="F34" s="30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280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120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45838</v>
      </c>
      <c r="B35" s="2" t="s">
        <v>104</v>
      </c>
      <c r="E35" s="5" t="s">
        <v>105</v>
      </c>
      <c r="F35" s="30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278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6375</v>
      </c>
      <c r="G1" s="12" t="n">
        <f aca="false">SUM(G5:G300)</f>
        <v>0</v>
      </c>
      <c r="H1" s="12" t="n">
        <f aca="false">SUM(H5:H300)</f>
        <v>6375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46116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19" t="s">
        <v>34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45839</v>
      </c>
      <c r="B5" s="5" t="s">
        <v>65</v>
      </c>
      <c r="E5" s="5" t="s">
        <v>66</v>
      </c>
      <c r="F5" s="30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277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45839</v>
      </c>
      <c r="B6" s="2" t="s">
        <v>67</v>
      </c>
      <c r="E6" s="5" t="s">
        <v>68</v>
      </c>
      <c r="F6" s="30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277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45839</v>
      </c>
      <c r="B7" s="2" t="s">
        <v>69</v>
      </c>
      <c r="E7" s="5" t="s">
        <v>68</v>
      </c>
      <c r="F7" s="30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277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45839</v>
      </c>
      <c r="B8" s="2" t="s">
        <v>70</v>
      </c>
      <c r="E8" s="5" t="s">
        <v>71</v>
      </c>
      <c r="F8" s="30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277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45839</v>
      </c>
      <c r="B9" s="2" t="s">
        <v>74</v>
      </c>
      <c r="E9" s="5" t="s">
        <v>71</v>
      </c>
      <c r="F9" s="30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277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45839</v>
      </c>
      <c r="B10" s="2" t="s">
        <v>75</v>
      </c>
      <c r="E10" s="5" t="s">
        <v>68</v>
      </c>
      <c r="F10" s="30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277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45841</v>
      </c>
      <c r="B11" s="2" t="s">
        <v>76</v>
      </c>
      <c r="E11" s="5" t="s">
        <v>71</v>
      </c>
      <c r="F11" s="30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275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45841</v>
      </c>
      <c r="B12" s="2" t="s">
        <v>77</v>
      </c>
      <c r="E12" s="5" t="s">
        <v>78</v>
      </c>
      <c r="F12" s="30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275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45843</v>
      </c>
      <c r="B13" s="2" t="s">
        <v>79</v>
      </c>
      <c r="E13" s="5" t="s">
        <v>78</v>
      </c>
      <c r="F13" s="30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273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45843</v>
      </c>
      <c r="B14" s="2" t="s">
        <v>80</v>
      </c>
      <c r="E14" s="5" t="s">
        <v>81</v>
      </c>
      <c r="F14" s="30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273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180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45844</v>
      </c>
      <c r="B15" s="2" t="s">
        <v>106</v>
      </c>
      <c r="E15" s="5" t="s">
        <v>84</v>
      </c>
      <c r="F15" s="30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272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45846</v>
      </c>
      <c r="B16" s="2" t="s">
        <v>83</v>
      </c>
      <c r="E16" s="5" t="s">
        <v>84</v>
      </c>
      <c r="F16" s="30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270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45846</v>
      </c>
      <c r="B17" s="2" t="s">
        <v>107</v>
      </c>
      <c r="E17" s="5" t="s">
        <v>108</v>
      </c>
      <c r="F17" s="30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270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45848</v>
      </c>
      <c r="B18" s="2" t="s">
        <v>85</v>
      </c>
      <c r="E18" s="5" t="s">
        <v>78</v>
      </c>
      <c r="F18" s="30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268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45848</v>
      </c>
      <c r="B19" s="2" t="s">
        <v>109</v>
      </c>
      <c r="E19" s="5" t="s">
        <v>110</v>
      </c>
      <c r="F19" s="30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268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45850</v>
      </c>
      <c r="B20" s="2" t="s">
        <v>90</v>
      </c>
      <c r="E20" s="5" t="s">
        <v>81</v>
      </c>
      <c r="F20" s="30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266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n">
        <f aca="false">IF((E20="v"),H20," ")</f>
        <v>18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45852</v>
      </c>
      <c r="B21" s="2" t="s">
        <v>92</v>
      </c>
      <c r="E21" s="5" t="s">
        <v>84</v>
      </c>
      <c r="F21" s="30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264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45852</v>
      </c>
      <c r="B22" s="2" t="s">
        <v>93</v>
      </c>
      <c r="E22" s="5" t="s">
        <v>84</v>
      </c>
      <c r="F22" s="30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264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45853</v>
      </c>
      <c r="B23" s="2" t="s">
        <v>94</v>
      </c>
      <c r="E23" s="5" t="s">
        <v>81</v>
      </c>
      <c r="F23" s="30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263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150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45853</v>
      </c>
      <c r="B24" s="2" t="s">
        <v>95</v>
      </c>
      <c r="E24" s="5" t="s">
        <v>68</v>
      </c>
      <c r="F24" s="30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263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45853</v>
      </c>
      <c r="B25" s="2" t="s">
        <v>111</v>
      </c>
      <c r="E25" s="5" t="s">
        <v>89</v>
      </c>
      <c r="F25" s="30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263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45853</v>
      </c>
      <c r="B26" s="2" t="s">
        <v>112</v>
      </c>
      <c r="E26" s="5" t="s">
        <v>113</v>
      </c>
      <c r="F26" s="30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263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45854</v>
      </c>
      <c r="B27" s="2" t="s">
        <v>114</v>
      </c>
      <c r="E27" s="5" t="s">
        <v>68</v>
      </c>
      <c r="F27" s="30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262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45856</v>
      </c>
      <c r="B28" s="2" t="s">
        <v>96</v>
      </c>
      <c r="E28" s="5" t="s">
        <v>81</v>
      </c>
      <c r="F28" s="30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260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96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45858</v>
      </c>
      <c r="B29" s="2" t="s">
        <v>97</v>
      </c>
      <c r="E29" s="5" t="s">
        <v>68</v>
      </c>
      <c r="F29" s="30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258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45858</v>
      </c>
      <c r="B30" s="2" t="s">
        <v>115</v>
      </c>
      <c r="E30" s="5" t="s">
        <v>116</v>
      </c>
      <c r="F30" s="30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258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45858</v>
      </c>
      <c r="B31" s="2" t="s">
        <v>117</v>
      </c>
      <c r="E31" s="5" t="s">
        <v>89</v>
      </c>
      <c r="F31" s="30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258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45859</v>
      </c>
      <c r="B32" s="2" t="s">
        <v>100</v>
      </c>
      <c r="E32" s="5" t="s">
        <v>84</v>
      </c>
      <c r="F32" s="30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257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45860</v>
      </c>
      <c r="B33" s="2" t="s">
        <v>101</v>
      </c>
      <c r="E33" s="5" t="s">
        <v>78</v>
      </c>
      <c r="F33" s="30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256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45860</v>
      </c>
      <c r="B34" s="2" t="s">
        <v>118</v>
      </c>
      <c r="E34" s="5" t="s">
        <v>81</v>
      </c>
      <c r="F34" s="30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256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48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45863</v>
      </c>
      <c r="B35" s="2" t="s">
        <v>102</v>
      </c>
      <c r="E35" s="5" t="s">
        <v>78</v>
      </c>
      <c r="F35" s="30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253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45863</v>
      </c>
      <c r="B36" s="2" t="s">
        <v>103</v>
      </c>
      <c r="E36" s="5" t="s">
        <v>81</v>
      </c>
      <c r="F36" s="30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253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54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45866</v>
      </c>
      <c r="B37" s="2" t="s">
        <v>94</v>
      </c>
      <c r="E37" s="5" t="s">
        <v>81</v>
      </c>
      <c r="F37" s="30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250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120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45869</v>
      </c>
      <c r="B38" s="2" t="s">
        <v>104</v>
      </c>
      <c r="E38" s="5" t="s">
        <v>105</v>
      </c>
      <c r="F38" s="30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247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9057</v>
      </c>
      <c r="G1" s="12" t="n">
        <f aca="false">SUM(G5:G300)</f>
        <v>0</v>
      </c>
      <c r="H1" s="12" t="n">
        <f aca="false">SUM(H5:H300)</f>
        <v>9057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9057</v>
      </c>
      <c r="M1" s="16" t="n">
        <f aca="true">TODAY()</f>
        <v>46116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550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19" t="s">
        <v>34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45870</v>
      </c>
      <c r="B5" s="5" t="s">
        <v>65</v>
      </c>
      <c r="E5" s="5" t="s">
        <v>66</v>
      </c>
      <c r="F5" s="30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246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45870</v>
      </c>
      <c r="B6" s="2" t="s">
        <v>67</v>
      </c>
      <c r="E6" s="5" t="s">
        <v>68</v>
      </c>
      <c r="F6" s="30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246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45870</v>
      </c>
      <c r="B7" s="2" t="s">
        <v>69</v>
      </c>
      <c r="E7" s="5" t="s">
        <v>68</v>
      </c>
      <c r="F7" s="30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246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45870</v>
      </c>
      <c r="B8" s="2" t="s">
        <v>70</v>
      </c>
      <c r="E8" s="5" t="s">
        <v>71</v>
      </c>
      <c r="F8" s="30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246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45870</v>
      </c>
      <c r="B9" s="2" t="s">
        <v>74</v>
      </c>
      <c r="E9" s="5" t="s">
        <v>71</v>
      </c>
      <c r="F9" s="30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246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45870</v>
      </c>
      <c r="B10" s="2" t="s">
        <v>75</v>
      </c>
      <c r="E10" s="5" t="s">
        <v>68</v>
      </c>
      <c r="F10" s="30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246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45872</v>
      </c>
      <c r="B11" s="2" t="s">
        <v>76</v>
      </c>
      <c r="E11" s="5" t="s">
        <v>71</v>
      </c>
      <c r="F11" s="30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244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45872</v>
      </c>
      <c r="B12" s="2" t="s">
        <v>77</v>
      </c>
      <c r="E12" s="5" t="s">
        <v>78</v>
      </c>
      <c r="F12" s="30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244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45874</v>
      </c>
      <c r="B13" s="2" t="s">
        <v>79</v>
      </c>
      <c r="E13" s="5" t="s">
        <v>78</v>
      </c>
      <c r="F13" s="30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242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45874</v>
      </c>
      <c r="B14" s="2" t="s">
        <v>80</v>
      </c>
      <c r="E14" s="5" t="s">
        <v>81</v>
      </c>
      <c r="F14" s="30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242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180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45874</v>
      </c>
      <c r="B15" s="2" t="s">
        <v>82</v>
      </c>
      <c r="E15" s="5" t="s">
        <v>71</v>
      </c>
      <c r="F15" s="30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242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45877</v>
      </c>
      <c r="B16" s="2" t="s">
        <v>83</v>
      </c>
      <c r="E16" s="5" t="s">
        <v>84</v>
      </c>
      <c r="F16" s="30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239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45879</v>
      </c>
      <c r="B17" s="2" t="s">
        <v>85</v>
      </c>
      <c r="E17" s="5" t="s">
        <v>78</v>
      </c>
      <c r="F17" s="30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237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45879</v>
      </c>
      <c r="B18" s="2" t="s">
        <v>119</v>
      </c>
      <c r="E18" s="5" t="s">
        <v>68</v>
      </c>
      <c r="F18" s="30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237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96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45881</v>
      </c>
      <c r="B19" s="2" t="s">
        <v>90</v>
      </c>
      <c r="E19" s="5" t="s">
        <v>81</v>
      </c>
      <c r="F19" s="30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235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18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45883</v>
      </c>
      <c r="B20" s="2" t="s">
        <v>91</v>
      </c>
      <c r="E20" s="5" t="s">
        <v>78</v>
      </c>
      <c r="F20" s="30" t="n">
        <v>30</v>
      </c>
      <c r="H20" s="6" t="n">
        <f aca="false">IF((F20&lt;&gt;0),F20-G20," ")</f>
        <v>30</v>
      </c>
      <c r="I20" s="5"/>
      <c r="L20" s="7" t="n">
        <f aca="false">IF(F20&lt;&gt;0,F20-K20," ")</f>
        <v>30</v>
      </c>
      <c r="M20" s="8" t="n">
        <f aca="false">IF((F20-K20)&lt;&gt;0,M$1-A20," ")</f>
        <v>233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30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45883</v>
      </c>
      <c r="B21" s="2" t="s">
        <v>92</v>
      </c>
      <c r="E21" s="5" t="s">
        <v>84</v>
      </c>
      <c r="F21" s="30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233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45883</v>
      </c>
      <c r="B22" s="2" t="s">
        <v>93</v>
      </c>
      <c r="E22" s="5" t="s">
        <v>84</v>
      </c>
      <c r="F22" s="30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233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45884</v>
      </c>
      <c r="B23" s="2" t="s">
        <v>94</v>
      </c>
      <c r="E23" s="5" t="s">
        <v>81</v>
      </c>
      <c r="F23" s="30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232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150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45884</v>
      </c>
      <c r="B24" s="2" t="s">
        <v>95</v>
      </c>
      <c r="E24" s="5" t="s">
        <v>68</v>
      </c>
      <c r="F24" s="30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232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45884</v>
      </c>
      <c r="B25" s="2" t="s">
        <v>120</v>
      </c>
      <c r="E25" s="5" t="s">
        <v>121</v>
      </c>
      <c r="F25" s="30" t="n">
        <v>5000</v>
      </c>
      <c r="H25" s="6" t="n">
        <f aca="false">IF((F25&lt;&gt;0),F25-G25," ")</f>
        <v>5000</v>
      </c>
      <c r="I25" s="5"/>
      <c r="L25" s="7" t="n">
        <f aca="false">IF(F25&lt;&gt;0,F25-K25," ")</f>
        <v>5000</v>
      </c>
      <c r="M25" s="8" t="n">
        <f aca="false">IF((F25-K25)&lt;&gt;0,M$1-A25," ")</f>
        <v>232</v>
      </c>
      <c r="N25" s="5"/>
      <c r="O25" s="17" t="str">
        <f aca="false">IF((E25="s"),H25," ")</f>
        <v> </v>
      </c>
      <c r="P25" s="17" t="n">
        <f aca="false">IF((E25="c"),H25," ")</f>
        <v>5000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45887</v>
      </c>
      <c r="B26" s="2" t="s">
        <v>122</v>
      </c>
      <c r="E26" s="5" t="s">
        <v>84</v>
      </c>
      <c r="F26" s="30" t="n">
        <v>180</v>
      </c>
      <c r="H26" s="6" t="n">
        <f aca="false">IF((F26&lt;&gt;0),F26-G26," ")</f>
        <v>180</v>
      </c>
      <c r="I26" s="5"/>
      <c r="L26" s="7" t="n">
        <f aca="false">IF(F26&lt;&gt;0,F26-K26," ")</f>
        <v>180</v>
      </c>
      <c r="M26" s="8" t="n">
        <f aca="false">IF((F26-K26)&lt;&gt;0,M$1-A26," ")</f>
        <v>229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180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45887</v>
      </c>
      <c r="B27" s="2" t="s">
        <v>123</v>
      </c>
      <c r="E27" s="5" t="s">
        <v>89</v>
      </c>
      <c r="F27" s="30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229</v>
      </c>
      <c r="N27" s="5"/>
      <c r="O27" s="17" t="n">
        <f aca="false">IF((E27="s"),H27," ")</f>
        <v>360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45887</v>
      </c>
      <c r="B28" s="2" t="s">
        <v>96</v>
      </c>
      <c r="E28" s="5" t="s">
        <v>81</v>
      </c>
      <c r="F28" s="30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229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96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45889</v>
      </c>
      <c r="B29" s="2" t="s">
        <v>97</v>
      </c>
      <c r="E29" s="5" t="s">
        <v>68</v>
      </c>
      <c r="F29" s="30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227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45890</v>
      </c>
      <c r="B30" s="2" t="s">
        <v>100</v>
      </c>
      <c r="E30" s="5" t="s">
        <v>84</v>
      </c>
      <c r="F30" s="30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226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45891</v>
      </c>
      <c r="B31" s="2" t="s">
        <v>101</v>
      </c>
      <c r="E31" s="5" t="s">
        <v>78</v>
      </c>
      <c r="F31" s="30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225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45894</v>
      </c>
      <c r="B32" s="2" t="s">
        <v>124</v>
      </c>
      <c r="E32" s="5" t="s">
        <v>125</v>
      </c>
      <c r="F32" s="30" t="n">
        <v>360</v>
      </c>
      <c r="H32" s="6" t="n">
        <f aca="false">IF((F32&lt;&gt;0),F32-G32," ")</f>
        <v>360</v>
      </c>
      <c r="I32" s="5"/>
      <c r="L32" s="7" t="n">
        <f aca="false">IF(F32&lt;&gt;0,F32-K32," ")</f>
        <v>360</v>
      </c>
      <c r="M32" s="8" t="n">
        <f aca="false">IF((F32-K32)&lt;&gt;0,M$1-A32," ")</f>
        <v>222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360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45894</v>
      </c>
      <c r="B33" s="2" t="s">
        <v>102</v>
      </c>
      <c r="E33" s="5" t="s">
        <v>78</v>
      </c>
      <c r="F33" s="30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222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45894</v>
      </c>
      <c r="B34" s="2" t="s">
        <v>103</v>
      </c>
      <c r="E34" s="5" t="s">
        <v>81</v>
      </c>
      <c r="F34" s="30" t="n">
        <v>90</v>
      </c>
      <c r="H34" s="6" t="n">
        <f aca="false">IF((F34&lt;&gt;0),F34-G34," ")</f>
        <v>90</v>
      </c>
      <c r="I34" s="5"/>
      <c r="L34" s="7" t="n">
        <f aca="false">IF(F34&lt;&gt;0,F34-K34," ")</f>
        <v>90</v>
      </c>
      <c r="M34" s="8" t="n">
        <f aca="false">IF((F34-K34)&lt;&gt;0,M$1-A34," ")</f>
        <v>222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90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45897</v>
      </c>
      <c r="B35" s="2" t="s">
        <v>94</v>
      </c>
      <c r="E35" s="5" t="s">
        <v>81</v>
      </c>
      <c r="F35" s="30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219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120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45899</v>
      </c>
      <c r="B36" s="2" t="s">
        <v>104</v>
      </c>
      <c r="E36" s="5" t="s">
        <v>105</v>
      </c>
      <c r="F36" s="30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217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45899</v>
      </c>
      <c r="B37" s="2" t="s">
        <v>126</v>
      </c>
      <c r="E37" s="5" t="s">
        <v>105</v>
      </c>
      <c r="F37" s="30" t="n">
        <v>250</v>
      </c>
      <c r="H37" s="6" t="n">
        <f aca="false">IF((F37&lt;&gt;0),F37-G37," ")</f>
        <v>250</v>
      </c>
      <c r="I37" s="5"/>
      <c r="L37" s="7" t="n">
        <f aca="false">IF(F37&lt;&gt;0,F37-K37," ")</f>
        <v>250</v>
      </c>
      <c r="M37" s="8" t="n">
        <f aca="false">IF((F37-K37)&lt;&gt;0,M$1-A37," ")</f>
        <v>217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8759.25</v>
      </c>
      <c r="G1" s="12" t="n">
        <f aca="false">SUM(G5:G300)</f>
        <v>0</v>
      </c>
      <c r="H1" s="12" t="n">
        <f aca="false">SUM(H5:H300)</f>
        <v>8759.25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8759.25</v>
      </c>
      <c r="M1" s="16" t="n">
        <f aca="true">TODAY()</f>
        <v>46116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19" t="s">
        <v>34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45901</v>
      </c>
      <c r="B5" s="5" t="s">
        <v>65</v>
      </c>
      <c r="E5" s="5" t="s">
        <v>66</v>
      </c>
      <c r="F5" s="30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215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45901</v>
      </c>
      <c r="B6" s="2" t="s">
        <v>67</v>
      </c>
      <c r="E6" s="5" t="s">
        <v>68</v>
      </c>
      <c r="F6" s="30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215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45901</v>
      </c>
      <c r="B7" s="2" t="s">
        <v>69</v>
      </c>
      <c r="E7" s="5" t="s">
        <v>68</v>
      </c>
      <c r="F7" s="30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215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45901</v>
      </c>
      <c r="B8" s="2" t="s">
        <v>70</v>
      </c>
      <c r="E8" s="5" t="s">
        <v>71</v>
      </c>
      <c r="F8" s="30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215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45901</v>
      </c>
      <c r="B9" s="2" t="s">
        <v>127</v>
      </c>
      <c r="E9" s="5" t="s">
        <v>128</v>
      </c>
      <c r="F9" s="30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215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45901</v>
      </c>
      <c r="B10" s="2" t="s">
        <v>74</v>
      </c>
      <c r="E10" s="5" t="s">
        <v>71</v>
      </c>
      <c r="F10" s="30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215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45901</v>
      </c>
      <c r="B11" s="2" t="s">
        <v>75</v>
      </c>
      <c r="E11" s="5" t="s">
        <v>68</v>
      </c>
      <c r="F11" s="30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215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45903</v>
      </c>
      <c r="B12" s="2" t="s">
        <v>76</v>
      </c>
      <c r="E12" s="5" t="s">
        <v>71</v>
      </c>
      <c r="F12" s="30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213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45903</v>
      </c>
      <c r="B13" s="2" t="s">
        <v>77</v>
      </c>
      <c r="E13" s="5" t="s">
        <v>78</v>
      </c>
      <c r="F13" s="30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213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45905</v>
      </c>
      <c r="B14" s="2" t="s">
        <v>79</v>
      </c>
      <c r="E14" s="5" t="s">
        <v>78</v>
      </c>
      <c r="F14" s="30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211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45905</v>
      </c>
      <c r="B15" s="2" t="s">
        <v>129</v>
      </c>
      <c r="E15" s="5" t="s">
        <v>110</v>
      </c>
      <c r="F15" s="30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211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45905</v>
      </c>
      <c r="B16" s="2" t="s">
        <v>80</v>
      </c>
      <c r="E16" s="5" t="s">
        <v>81</v>
      </c>
      <c r="F16" s="30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211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n">
        <f aca="false">IF((E16="v"),H16," ")</f>
        <v>180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45908</v>
      </c>
      <c r="B17" s="2" t="s">
        <v>83</v>
      </c>
      <c r="E17" s="5" t="s">
        <v>84</v>
      </c>
      <c r="F17" s="30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208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45910</v>
      </c>
      <c r="B18" s="2" t="s">
        <v>85</v>
      </c>
      <c r="E18" s="5" t="s">
        <v>78</v>
      </c>
      <c r="F18" s="30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206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45910</v>
      </c>
      <c r="B19" s="2" t="s">
        <v>86</v>
      </c>
      <c r="E19" s="5" t="s">
        <v>87</v>
      </c>
      <c r="F19" s="30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206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45910</v>
      </c>
      <c r="B20" s="2" t="s">
        <v>88</v>
      </c>
      <c r="E20" s="5" t="s">
        <v>89</v>
      </c>
      <c r="F20" s="30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206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45912</v>
      </c>
      <c r="B21" s="2" t="s">
        <v>90</v>
      </c>
      <c r="E21" s="5" t="s">
        <v>81</v>
      </c>
      <c r="F21" s="30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204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18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45912</v>
      </c>
      <c r="B22" s="2" t="s">
        <v>130</v>
      </c>
      <c r="E22" s="5" t="s">
        <v>108</v>
      </c>
      <c r="F22" s="30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204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45914</v>
      </c>
      <c r="B23" s="2" t="s">
        <v>92</v>
      </c>
      <c r="E23" s="5" t="s">
        <v>84</v>
      </c>
      <c r="F23" s="30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202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45914</v>
      </c>
      <c r="B24" s="2" t="s">
        <v>93</v>
      </c>
      <c r="E24" s="5" t="s">
        <v>84</v>
      </c>
      <c r="F24" s="30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202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45915</v>
      </c>
      <c r="B25" s="2" t="s">
        <v>94</v>
      </c>
      <c r="E25" s="5" t="s">
        <v>81</v>
      </c>
      <c r="F25" s="30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201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150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45915</v>
      </c>
      <c r="B26" s="2" t="s">
        <v>95</v>
      </c>
      <c r="E26" s="5" t="s">
        <v>68</v>
      </c>
      <c r="F26" s="30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201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45915</v>
      </c>
      <c r="B27" s="2" t="s">
        <v>131</v>
      </c>
      <c r="E27" s="5" t="s">
        <v>113</v>
      </c>
      <c r="F27" s="30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201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45916</v>
      </c>
      <c r="B28" s="2" t="s">
        <v>114</v>
      </c>
      <c r="E28" s="5" t="s">
        <v>68</v>
      </c>
      <c r="F28" s="30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200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45918</v>
      </c>
      <c r="B29" s="2" t="s">
        <v>96</v>
      </c>
      <c r="E29" s="5" t="s">
        <v>81</v>
      </c>
      <c r="F29" s="30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198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96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45920</v>
      </c>
      <c r="B30" s="2" t="s">
        <v>97</v>
      </c>
      <c r="E30" s="5" t="s">
        <v>68</v>
      </c>
      <c r="F30" s="30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196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45920</v>
      </c>
      <c r="B31" s="2" t="s">
        <v>132</v>
      </c>
      <c r="E31" s="5" t="s">
        <v>116</v>
      </c>
      <c r="F31" s="30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196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45920</v>
      </c>
      <c r="B32" s="2" t="s">
        <v>98</v>
      </c>
      <c r="E32" s="5" t="s">
        <v>99</v>
      </c>
      <c r="F32" s="30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196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45921</v>
      </c>
      <c r="B33" s="2" t="s">
        <v>100</v>
      </c>
      <c r="E33" s="5" t="s">
        <v>84</v>
      </c>
      <c r="F33" s="30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195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45922</v>
      </c>
      <c r="B34" s="2" t="s">
        <v>101</v>
      </c>
      <c r="E34" s="5" t="s">
        <v>78</v>
      </c>
      <c r="F34" s="30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194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45925</v>
      </c>
      <c r="B35" s="2" t="s">
        <v>102</v>
      </c>
      <c r="E35" s="5" t="s">
        <v>78</v>
      </c>
      <c r="F35" s="30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191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45925</v>
      </c>
      <c r="B36" s="2" t="s">
        <v>103</v>
      </c>
      <c r="E36" s="5" t="s">
        <v>81</v>
      </c>
      <c r="F36" s="30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191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20.25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45928</v>
      </c>
      <c r="B37" s="2" t="s">
        <v>94</v>
      </c>
      <c r="E37" s="5" t="s">
        <v>81</v>
      </c>
      <c r="F37" s="30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188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120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4705.25</v>
      </c>
      <c r="G1" s="12" t="n">
        <f aca="false">SUM(G5:G300)</f>
        <v>0</v>
      </c>
      <c r="H1" s="12" t="n">
        <f aca="false">SUM(H5:H300)</f>
        <v>4705.25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4705.25</v>
      </c>
      <c r="M1" s="16" t="n">
        <f aca="true">TODAY()</f>
        <v>46116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19" t="s">
        <v>34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45931</v>
      </c>
      <c r="B5" s="5" t="s">
        <v>104</v>
      </c>
      <c r="E5" s="5" t="s">
        <v>105</v>
      </c>
      <c r="F5" s="30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185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65</v>
      </c>
      <c r="E6" s="5" t="s">
        <v>66</v>
      </c>
      <c r="F6" s="30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185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67</v>
      </c>
      <c r="E7" s="5" t="s">
        <v>68</v>
      </c>
      <c r="F7" s="30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185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69</v>
      </c>
      <c r="E8" s="5" t="s">
        <v>68</v>
      </c>
      <c r="F8" s="30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185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70</v>
      </c>
      <c r="E9" s="5" t="s">
        <v>71</v>
      </c>
      <c r="F9" s="30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185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74</v>
      </c>
      <c r="E10" s="5" t="s">
        <v>71</v>
      </c>
      <c r="F10" s="30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185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75</v>
      </c>
      <c r="E11" s="5" t="s">
        <v>68</v>
      </c>
      <c r="F11" s="30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185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76</v>
      </c>
      <c r="E12" s="5" t="s">
        <v>71</v>
      </c>
      <c r="F12" s="30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183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77</v>
      </c>
      <c r="E13" s="5" t="s">
        <v>78</v>
      </c>
      <c r="F13" s="30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183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79</v>
      </c>
      <c r="E14" s="5" t="s">
        <v>78</v>
      </c>
      <c r="F14" s="30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181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80</v>
      </c>
      <c r="E15" s="5" t="s">
        <v>81</v>
      </c>
      <c r="F15" s="30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181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180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82</v>
      </c>
      <c r="E16" s="5" t="s">
        <v>71</v>
      </c>
      <c r="F16" s="30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181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45936</v>
      </c>
      <c r="B17" s="2" t="s">
        <v>106</v>
      </c>
      <c r="E17" s="5" t="s">
        <v>84</v>
      </c>
      <c r="F17" s="30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180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45938</v>
      </c>
      <c r="B18" s="2" t="s">
        <v>83</v>
      </c>
      <c r="E18" s="5" t="s">
        <v>84</v>
      </c>
      <c r="F18" s="30" t="n">
        <v>48</v>
      </c>
      <c r="H18" s="6" t="n">
        <f aca="false">IF((F18&lt;&gt;0),F18-G18," ")</f>
        <v>48</v>
      </c>
      <c r="I18" s="5"/>
      <c r="L18" s="7" t="n">
        <f aca="false">IF(F18&lt;&gt;0,F18-K18," ")</f>
        <v>48</v>
      </c>
      <c r="M18" s="8" t="n">
        <f aca="false">IF((F18-K18)&lt;&gt;0,M$1-A18," ")</f>
        <v>178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n">
        <f aca="false">IF((E18="h"),H18," ")</f>
        <v>48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85</v>
      </c>
      <c r="E19" s="5" t="s">
        <v>78</v>
      </c>
      <c r="F19" s="30" t="n">
        <v>36</v>
      </c>
      <c r="H19" s="6" t="n">
        <f aca="false">IF((F19&lt;&gt;0),F19-G19," ")</f>
        <v>36</v>
      </c>
      <c r="I19" s="5"/>
      <c r="L19" s="7" t="n">
        <f aca="false">IF(F19&lt;&gt;0,F19-K19," ")</f>
        <v>36</v>
      </c>
      <c r="M19" s="8" t="n">
        <f aca="false">IF((F19-K19)&lt;&gt;0,M$1-A19," ")</f>
        <v>176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n">
        <f aca="false">IF((E19="u"),H19," ")</f>
        <v>36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45942</v>
      </c>
      <c r="B20" s="2" t="s">
        <v>90</v>
      </c>
      <c r="E20" s="5" t="s">
        <v>81</v>
      </c>
      <c r="F20" s="30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174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n">
        <f aca="false">IF((E20="v"),H20," ")</f>
        <v>18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45944</v>
      </c>
      <c r="B21" s="2" t="s">
        <v>91</v>
      </c>
      <c r="E21" s="5" t="s">
        <v>78</v>
      </c>
      <c r="F21" s="30" t="n">
        <v>48</v>
      </c>
      <c r="H21" s="6" t="n">
        <f aca="false">IF((F21&lt;&gt;0),F21-G21," ")</f>
        <v>48</v>
      </c>
      <c r="I21" s="5"/>
      <c r="L21" s="7" t="n">
        <f aca="false">IF(F21&lt;&gt;0,F21-K21," ")</f>
        <v>48</v>
      </c>
      <c r="M21" s="8" t="n">
        <f aca="false">IF((F21-K21)&lt;&gt;0,M$1-A21," ")</f>
        <v>172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48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92</v>
      </c>
      <c r="E22" s="5" t="s">
        <v>84</v>
      </c>
      <c r="F22" s="30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172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93</v>
      </c>
      <c r="E23" s="5" t="s">
        <v>84</v>
      </c>
      <c r="F23" s="30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172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45945</v>
      </c>
      <c r="B24" s="2" t="s">
        <v>94</v>
      </c>
      <c r="E24" s="5" t="s">
        <v>81</v>
      </c>
      <c r="F24" s="30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171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150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95</v>
      </c>
      <c r="E25" s="5" t="s">
        <v>68</v>
      </c>
      <c r="F25" s="30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171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111</v>
      </c>
      <c r="E26" s="5" t="s">
        <v>89</v>
      </c>
      <c r="F26" s="30" t="n">
        <v>360</v>
      </c>
      <c r="H26" s="6" t="n">
        <f aca="false">IF((F26&lt;&gt;0),F26-G26," ")</f>
        <v>360</v>
      </c>
      <c r="I26" s="5"/>
      <c r="L26" s="7" t="n">
        <f aca="false">IF(F26&lt;&gt;0,F26-K26," ")</f>
        <v>360</v>
      </c>
      <c r="M26" s="8" t="n">
        <f aca="false">IF((F26-K26)&lt;&gt;0,M$1-A26," ")</f>
        <v>171</v>
      </c>
      <c r="N26" s="5"/>
      <c r="O26" s="17" t="n">
        <f aca="false">IF((E26="s"),H26," ")</f>
        <v>360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133</v>
      </c>
      <c r="E27" s="5" t="s">
        <v>99</v>
      </c>
      <c r="F27" s="30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168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240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45948</v>
      </c>
      <c r="B28" s="2" t="s">
        <v>96</v>
      </c>
      <c r="E28" s="5" t="s">
        <v>81</v>
      </c>
      <c r="F28" s="30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168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96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97</v>
      </c>
      <c r="E29" s="5" t="s">
        <v>68</v>
      </c>
      <c r="F29" s="30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166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45950</v>
      </c>
      <c r="B30" s="2" t="s">
        <v>134</v>
      </c>
      <c r="E30" s="5" t="s">
        <v>135</v>
      </c>
      <c r="F30" s="30" t="n">
        <v>800</v>
      </c>
      <c r="H30" s="6" t="n">
        <f aca="false">IF((F30&lt;&gt;0),F30-G30," ")</f>
        <v>800</v>
      </c>
      <c r="I30" s="5"/>
      <c r="L30" s="7" t="n">
        <f aca="false">IF(F30&lt;&gt;0,F30-K30," ")</f>
        <v>800</v>
      </c>
      <c r="M30" s="8" t="n">
        <f aca="false">IF((F30-K30)&lt;&gt;0,M$1-A30," ")</f>
        <v>166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n">
        <f aca="false">IF((E30="w"),H30," ")</f>
        <v>800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45950</v>
      </c>
      <c r="B31" s="2" t="s">
        <v>117</v>
      </c>
      <c r="E31" s="5" t="s">
        <v>89</v>
      </c>
      <c r="F31" s="30" t="n">
        <v>180</v>
      </c>
      <c r="H31" s="6" t="n">
        <f aca="false">IF((F31&lt;&gt;0),F31-G31," ")</f>
        <v>180</v>
      </c>
      <c r="I31" s="5"/>
      <c r="L31" s="7" t="n">
        <f aca="false">IF(F31&lt;&gt;0,F31-K31," ")</f>
        <v>180</v>
      </c>
      <c r="M31" s="8" t="n">
        <f aca="false">IF((F31-K31)&lt;&gt;0,M$1-A31," ")</f>
        <v>166</v>
      </c>
      <c r="N31" s="5"/>
      <c r="O31" s="17" t="n">
        <f aca="false">IF((E31="s"),H31," ")</f>
        <v>180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45951</v>
      </c>
      <c r="B32" s="2" t="s">
        <v>100</v>
      </c>
      <c r="E32" s="5" t="s">
        <v>84</v>
      </c>
      <c r="F32" s="30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165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45952</v>
      </c>
      <c r="B33" s="2" t="s">
        <v>101</v>
      </c>
      <c r="E33" s="5" t="s">
        <v>78</v>
      </c>
      <c r="F33" s="30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164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45955</v>
      </c>
      <c r="B34" s="2" t="s">
        <v>102</v>
      </c>
      <c r="E34" s="5" t="s">
        <v>78</v>
      </c>
      <c r="F34" s="30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161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45955</v>
      </c>
      <c r="B35" s="2" t="s">
        <v>103</v>
      </c>
      <c r="E35" s="5" t="s">
        <v>81</v>
      </c>
      <c r="F35" s="30" t="n">
        <v>38.25</v>
      </c>
      <c r="H35" s="6" t="n">
        <f aca="false">IF((F35&lt;&gt;0),F35-G35," ")</f>
        <v>38.25</v>
      </c>
      <c r="I35" s="5"/>
      <c r="L35" s="7" t="n">
        <f aca="false">IF(F35&lt;&gt;0,F35-K35," ")</f>
        <v>38.25</v>
      </c>
      <c r="M35" s="8" t="n">
        <f aca="false">IF((F35-K35)&lt;&gt;0,M$1-A35," ")</f>
        <v>161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38.25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45958</v>
      </c>
      <c r="B36" s="2" t="s">
        <v>94</v>
      </c>
      <c r="E36" s="5" t="s">
        <v>81</v>
      </c>
      <c r="F36" s="30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158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120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45961</v>
      </c>
      <c r="B37" s="2" t="s">
        <v>104</v>
      </c>
      <c r="E37" s="5" t="s">
        <v>105</v>
      </c>
      <c r="F37" s="30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155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4975</v>
      </c>
      <c r="G1" s="12" t="n">
        <f aca="false">SUM(G5:G300)</f>
        <v>0</v>
      </c>
      <c r="H1" s="12" t="n">
        <f aca="false">SUM(H5:H300)</f>
        <v>4975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4975</v>
      </c>
      <c r="M1" s="16" t="n">
        <f aca="true">TODAY()</f>
        <v>46116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1468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19" t="s">
        <v>34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45962</v>
      </c>
      <c r="B5" s="5" t="s">
        <v>65</v>
      </c>
      <c r="E5" s="5" t="s">
        <v>66</v>
      </c>
      <c r="F5" s="30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154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67</v>
      </c>
      <c r="E6" s="5" t="s">
        <v>68</v>
      </c>
      <c r="F6" s="30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154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69</v>
      </c>
      <c r="E7" s="5" t="s">
        <v>68</v>
      </c>
      <c r="F7" s="30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154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70</v>
      </c>
      <c r="E8" s="5" t="s">
        <v>71</v>
      </c>
      <c r="F8" s="30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154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74</v>
      </c>
      <c r="E9" s="5" t="s">
        <v>71</v>
      </c>
      <c r="F9" s="30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154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75</v>
      </c>
      <c r="E10" s="5" t="s">
        <v>68</v>
      </c>
      <c r="F10" s="30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154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76</v>
      </c>
      <c r="E11" s="5" t="s">
        <v>71</v>
      </c>
      <c r="F11" s="30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152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77</v>
      </c>
      <c r="E12" s="5" t="s">
        <v>78</v>
      </c>
      <c r="F12" s="30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152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79</v>
      </c>
      <c r="E13" s="5" t="s">
        <v>78</v>
      </c>
      <c r="F13" s="30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150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80</v>
      </c>
      <c r="E14" s="5" t="s">
        <v>81</v>
      </c>
      <c r="F14" s="30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150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180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45969</v>
      </c>
      <c r="B15" s="2" t="s">
        <v>83</v>
      </c>
      <c r="E15" s="5" t="s">
        <v>84</v>
      </c>
      <c r="F15" s="30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147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107</v>
      </c>
      <c r="E16" s="5" t="s">
        <v>108</v>
      </c>
      <c r="F16" s="30" t="n">
        <v>360</v>
      </c>
      <c r="H16" s="6" t="n">
        <f aca="false">IF((F16&lt;&gt;0),F16-G16," ")</f>
        <v>360</v>
      </c>
      <c r="I16" s="5"/>
      <c r="L16" s="7" t="n">
        <f aca="false">IF(F16&lt;&gt;0,F16-K16," ")</f>
        <v>360</v>
      </c>
      <c r="M16" s="8" t="n">
        <f aca="false">IF((F16-K16)&lt;&gt;0,M$1-A16," ")</f>
        <v>147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360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45971</v>
      </c>
      <c r="B17" s="2" t="s">
        <v>85</v>
      </c>
      <c r="E17" s="5" t="s">
        <v>78</v>
      </c>
      <c r="F17" s="30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145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95</v>
      </c>
      <c r="E18" s="5" t="s">
        <v>116</v>
      </c>
      <c r="F18" s="30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145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96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45973</v>
      </c>
      <c r="B19" s="2" t="s">
        <v>90</v>
      </c>
      <c r="E19" s="5" t="s">
        <v>81</v>
      </c>
      <c r="F19" s="30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143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18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45975</v>
      </c>
      <c r="B20" s="2" t="s">
        <v>92</v>
      </c>
      <c r="E20" s="5" t="s">
        <v>84</v>
      </c>
      <c r="F20" s="30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141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24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93</v>
      </c>
      <c r="E21" s="5" t="s">
        <v>84</v>
      </c>
      <c r="F21" s="30" t="n">
        <v>12</v>
      </c>
      <c r="H21" s="6" t="n">
        <f aca="false">IF((F21&lt;&gt;0),F21-G21," ")</f>
        <v>12</v>
      </c>
      <c r="I21" s="5"/>
      <c r="L21" s="7" t="n">
        <f aca="false">IF(F21&lt;&gt;0,F21-K21," ")</f>
        <v>12</v>
      </c>
      <c r="M21" s="8" t="n">
        <f aca="false">IF((F21-K21)&lt;&gt;0,M$1-A21," ")</f>
        <v>141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12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45976</v>
      </c>
      <c r="B22" s="2" t="s">
        <v>94</v>
      </c>
      <c r="E22" s="5" t="s">
        <v>81</v>
      </c>
      <c r="F22" s="30" t="n">
        <v>150</v>
      </c>
      <c r="H22" s="6" t="n">
        <f aca="false">IF((F22&lt;&gt;0),F22-G22," ")</f>
        <v>150</v>
      </c>
      <c r="I22" s="5"/>
      <c r="L22" s="7" t="n">
        <f aca="false">IF(F22&lt;&gt;0,F22-K22," ")</f>
        <v>150</v>
      </c>
      <c r="M22" s="8" t="n">
        <f aca="false">IF((F22-K22)&lt;&gt;0,M$1-A22," ")</f>
        <v>140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150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95</v>
      </c>
      <c r="E23" s="5" t="s">
        <v>68</v>
      </c>
      <c r="F23" s="30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140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12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136</v>
      </c>
      <c r="E24" s="5" t="s">
        <v>105</v>
      </c>
      <c r="F24" s="30" t="n">
        <v>960</v>
      </c>
      <c r="H24" s="6" t="n">
        <f aca="false">IF((F24&lt;&gt;0),F24-G24," ")</f>
        <v>960</v>
      </c>
      <c r="I24" s="5"/>
      <c r="L24" s="7" t="n">
        <f aca="false">IF(F24&lt;&gt;0,F24-K24," ")</f>
        <v>960</v>
      </c>
      <c r="M24" s="8" t="n">
        <f aca="false">IF((F24-K24)&lt;&gt;0,M$1-A24," ")</f>
        <v>140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960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45977</v>
      </c>
      <c r="B25" s="2" t="s">
        <v>114</v>
      </c>
      <c r="E25" s="5" t="s">
        <v>68</v>
      </c>
      <c r="F25" s="30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139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45979</v>
      </c>
      <c r="B26" s="2" t="s">
        <v>123</v>
      </c>
      <c r="E26" s="5" t="s">
        <v>89</v>
      </c>
      <c r="F26" s="30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137</v>
      </c>
      <c r="N26" s="5"/>
      <c r="O26" s="17" t="n">
        <f aca="false">IF((E26="s"),H26," ")</f>
        <v>240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45979</v>
      </c>
      <c r="B27" s="2" t="s">
        <v>96</v>
      </c>
      <c r="E27" s="5" t="s">
        <v>81</v>
      </c>
      <c r="F27" s="30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137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96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45981</v>
      </c>
      <c r="B28" s="2" t="s">
        <v>97</v>
      </c>
      <c r="E28" s="5" t="s">
        <v>68</v>
      </c>
      <c r="F28" s="30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135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45982</v>
      </c>
      <c r="B29" s="2" t="s">
        <v>100</v>
      </c>
      <c r="E29" s="5" t="s">
        <v>84</v>
      </c>
      <c r="F29" s="30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134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45983</v>
      </c>
      <c r="B30" s="2" t="s">
        <v>101</v>
      </c>
      <c r="E30" s="5" t="s">
        <v>78</v>
      </c>
      <c r="F30" s="30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133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45983</v>
      </c>
      <c r="B31" s="2" t="s">
        <v>118</v>
      </c>
      <c r="E31" s="5" t="s">
        <v>81</v>
      </c>
      <c r="F31" s="30" t="n">
        <v>72</v>
      </c>
      <c r="H31" s="6" t="n">
        <f aca="false">IF((F31&lt;&gt;0),F31-G31," ")</f>
        <v>72</v>
      </c>
      <c r="I31" s="5"/>
      <c r="L31" s="7" t="n">
        <f aca="false">IF(F31&lt;&gt;0,F31-K31," ")</f>
        <v>72</v>
      </c>
      <c r="M31" s="8" t="n">
        <f aca="false">IF((F31-K31)&lt;&gt;0,M$1-A31," ")</f>
        <v>133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n">
        <f aca="false">IF((E31="v"),H31," ")</f>
        <v>72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45986</v>
      </c>
      <c r="B32" s="2" t="s">
        <v>124</v>
      </c>
      <c r="E32" s="5" t="s">
        <v>125</v>
      </c>
      <c r="F32" s="30" t="n">
        <v>300</v>
      </c>
      <c r="H32" s="6" t="n">
        <f aca="false">IF((F32&lt;&gt;0),F32-G32," ")</f>
        <v>300</v>
      </c>
      <c r="I32" s="5"/>
      <c r="L32" s="7" t="n">
        <f aca="false">IF(F32&lt;&gt;0,F32-K32," ")</f>
        <v>300</v>
      </c>
      <c r="M32" s="8" t="n">
        <f aca="false">IF((F32-K32)&lt;&gt;0,M$1-A32," ")</f>
        <v>130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45986</v>
      </c>
      <c r="B33" s="2" t="s">
        <v>102</v>
      </c>
      <c r="E33" s="5" t="s">
        <v>78</v>
      </c>
      <c r="F33" s="30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130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45986</v>
      </c>
      <c r="B34" s="2" t="s">
        <v>103</v>
      </c>
      <c r="E34" s="5" t="s">
        <v>81</v>
      </c>
      <c r="F34" s="30" t="n">
        <v>72</v>
      </c>
      <c r="H34" s="6" t="n">
        <f aca="false">IF((F34&lt;&gt;0),F34-G34," ")</f>
        <v>72</v>
      </c>
      <c r="I34" s="5"/>
      <c r="L34" s="7" t="n">
        <f aca="false">IF(F34&lt;&gt;0,F34-K34," ")</f>
        <v>72</v>
      </c>
      <c r="M34" s="8" t="n">
        <f aca="false">IF((F34-K34)&lt;&gt;0,M$1-A34," ")</f>
        <v>130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72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45989</v>
      </c>
      <c r="B35" s="2" t="s">
        <v>94</v>
      </c>
      <c r="E35" s="5" t="s">
        <v>81</v>
      </c>
      <c r="F35" s="30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127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120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45991</v>
      </c>
      <c r="B36" s="2" t="s">
        <v>104</v>
      </c>
      <c r="E36" s="5" t="s">
        <v>105</v>
      </c>
      <c r="F36" s="30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125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45991</v>
      </c>
      <c r="B37" s="2" t="s">
        <v>126</v>
      </c>
      <c r="E37" s="5" t="s">
        <v>105</v>
      </c>
      <c r="F37" s="30" t="n">
        <v>208</v>
      </c>
      <c r="H37" s="6" t="n">
        <f aca="false">IF((F37&lt;&gt;0),F37-G37," ")</f>
        <v>208</v>
      </c>
      <c r="I37" s="5"/>
      <c r="L37" s="7" t="n">
        <f aca="false">IF(F37&lt;&gt;0,F37-K37," ")</f>
        <v>208</v>
      </c>
      <c r="M37" s="8" t="n">
        <f aca="false">IF((F37-K37)&lt;&gt;0,M$1-A37," ")</f>
        <v>125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43005.75</v>
      </c>
      <c r="G1" s="12" t="n">
        <f aca="false">SUM(G5:G300)</f>
        <v>0</v>
      </c>
      <c r="H1" s="12" t="n">
        <f aca="false">SUM(H5:H300)</f>
        <v>43005.75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46116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19" t="s">
        <v>34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45992</v>
      </c>
      <c r="B5" s="5" t="s">
        <v>65</v>
      </c>
      <c r="E5" s="5" t="s">
        <v>66</v>
      </c>
      <c r="F5" s="30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124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67</v>
      </c>
      <c r="E6" s="5" t="s">
        <v>68</v>
      </c>
      <c r="F6" s="30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124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69</v>
      </c>
      <c r="E7" s="5" t="s">
        <v>68</v>
      </c>
      <c r="F7" s="30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124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70</v>
      </c>
      <c r="E8" s="5" t="s">
        <v>71</v>
      </c>
      <c r="F8" s="30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124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137</v>
      </c>
      <c r="E9" s="5" t="s">
        <v>73</v>
      </c>
      <c r="F9" s="30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124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74</v>
      </c>
      <c r="E10" s="5" t="s">
        <v>71</v>
      </c>
      <c r="F10" s="30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124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75</v>
      </c>
      <c r="E11" s="5" t="s">
        <v>68</v>
      </c>
      <c r="F11" s="30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124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76</v>
      </c>
      <c r="E12" s="5" t="s">
        <v>71</v>
      </c>
      <c r="F12" s="30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122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77</v>
      </c>
      <c r="E13" s="5" t="s">
        <v>78</v>
      </c>
      <c r="F13" s="30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122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79</v>
      </c>
      <c r="E14" s="5" t="s">
        <v>78</v>
      </c>
      <c r="F14" s="30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120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80</v>
      </c>
      <c r="E15" s="5" t="s">
        <v>81</v>
      </c>
      <c r="F15" s="30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120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180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45996</v>
      </c>
      <c r="B16" s="2" t="s">
        <v>82</v>
      </c>
      <c r="E16" s="5" t="s">
        <v>71</v>
      </c>
      <c r="F16" s="30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120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83</v>
      </c>
      <c r="E17" s="5" t="s">
        <v>84</v>
      </c>
      <c r="F17" s="30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117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85</v>
      </c>
      <c r="E18" s="5" t="s">
        <v>78</v>
      </c>
      <c r="F18" s="30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115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86</v>
      </c>
      <c r="E19" s="5" t="s">
        <v>87</v>
      </c>
      <c r="F19" s="30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115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46001</v>
      </c>
      <c r="B20" s="2" t="s">
        <v>88</v>
      </c>
      <c r="E20" s="5" t="s">
        <v>89</v>
      </c>
      <c r="F20" s="30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115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46001</v>
      </c>
      <c r="B21" s="2" t="s">
        <v>109</v>
      </c>
      <c r="E21" s="5" t="s">
        <v>110</v>
      </c>
      <c r="F21" s="30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115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46003</v>
      </c>
      <c r="B22" s="2" t="s">
        <v>90</v>
      </c>
      <c r="E22" s="5" t="s">
        <v>81</v>
      </c>
      <c r="F22" s="30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113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18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46005</v>
      </c>
      <c r="B23" s="2" t="s">
        <v>91</v>
      </c>
      <c r="E23" s="5" t="s">
        <v>78</v>
      </c>
      <c r="F23" s="30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111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46005</v>
      </c>
      <c r="B24" s="2" t="s">
        <v>92</v>
      </c>
      <c r="E24" s="5" t="s">
        <v>84</v>
      </c>
      <c r="F24" s="30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111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46005</v>
      </c>
      <c r="B25" s="2" t="s">
        <v>93</v>
      </c>
      <c r="E25" s="5" t="s">
        <v>84</v>
      </c>
      <c r="F25" s="30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111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46006</v>
      </c>
      <c r="B26" s="2" t="s">
        <v>94</v>
      </c>
      <c r="E26" s="5" t="s">
        <v>81</v>
      </c>
      <c r="F26" s="30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110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150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46006</v>
      </c>
      <c r="B27" s="2" t="s">
        <v>95</v>
      </c>
      <c r="E27" s="5" t="s">
        <v>68</v>
      </c>
      <c r="F27" s="30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110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46006</v>
      </c>
      <c r="B28" s="2" t="s">
        <v>138</v>
      </c>
      <c r="E28" s="5" t="s">
        <v>110</v>
      </c>
      <c r="F28" s="30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110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46009</v>
      </c>
      <c r="B29" s="2" t="s">
        <v>122</v>
      </c>
      <c r="E29" s="5" t="s">
        <v>84</v>
      </c>
      <c r="F29" s="30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107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46009</v>
      </c>
      <c r="B30" s="2" t="s">
        <v>96</v>
      </c>
      <c r="E30" s="5" t="s">
        <v>81</v>
      </c>
      <c r="F30" s="30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107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n">
        <f aca="false">IF((E30="v"),H30," ")</f>
        <v>96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46011</v>
      </c>
      <c r="B31" s="2" t="s">
        <v>97</v>
      </c>
      <c r="E31" s="5" t="s">
        <v>68</v>
      </c>
      <c r="F31" s="30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105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46011</v>
      </c>
      <c r="B32" s="2" t="s">
        <v>98</v>
      </c>
      <c r="E32" s="5" t="s">
        <v>99</v>
      </c>
      <c r="F32" s="30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105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46012</v>
      </c>
      <c r="B33" s="2" t="s">
        <v>100</v>
      </c>
      <c r="E33" s="5" t="s">
        <v>84</v>
      </c>
      <c r="F33" s="30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104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46013</v>
      </c>
      <c r="B34" s="2" t="s">
        <v>101</v>
      </c>
      <c r="E34" s="5" t="s">
        <v>78</v>
      </c>
      <c r="F34" s="30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103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102</v>
      </c>
      <c r="E35" s="5" t="s">
        <v>78</v>
      </c>
      <c r="F35" s="30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100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46016</v>
      </c>
      <c r="B36" s="2" t="s">
        <v>103</v>
      </c>
      <c r="E36" s="5" t="s">
        <v>81</v>
      </c>
      <c r="F36" s="30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100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42.75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46016</v>
      </c>
      <c r="B37" s="2" t="s">
        <v>139</v>
      </c>
      <c r="E37" s="5" t="s">
        <v>113</v>
      </c>
      <c r="F37" s="30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100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46019</v>
      </c>
      <c r="B38" s="2" t="s">
        <v>94</v>
      </c>
      <c r="E38" s="5" t="s">
        <v>81</v>
      </c>
      <c r="F38" s="30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97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n">
        <f aca="false">IF((E38="v"),H38," ")</f>
        <v>120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46022</v>
      </c>
      <c r="B39" s="2" t="s">
        <v>104</v>
      </c>
      <c r="E39" s="5" t="s">
        <v>105</v>
      </c>
      <c r="F39" s="30" t="n">
        <v>300</v>
      </c>
      <c r="H39" s="6" t="n">
        <f aca="false">IF((F39&lt;&gt;0),F39-G39," ")</f>
        <v>300</v>
      </c>
      <c r="I39" s="5"/>
      <c r="L39" s="7" t="n">
        <f aca="false">IF(F39&lt;&gt;0,F39-K39," ")</f>
        <v>300</v>
      </c>
      <c r="M39" s="8" t="n">
        <f aca="false">IF((F39-K39)&lt;&gt;0,M$1-A39," ")</f>
        <v>94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300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6918</v>
      </c>
      <c r="G1" s="12" t="n">
        <f aca="false">SUM(G5:G300)</f>
        <v>0</v>
      </c>
      <c r="H1" s="12" t="n">
        <f aca="false">SUM(H5:H300)</f>
        <v>6918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46116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19" t="s">
        <v>34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46023</v>
      </c>
      <c r="B5" s="5" t="s">
        <v>65</v>
      </c>
      <c r="E5" s="5" t="s">
        <v>66</v>
      </c>
      <c r="F5" s="30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93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67</v>
      </c>
      <c r="E6" s="5" t="s">
        <v>68</v>
      </c>
      <c r="F6" s="30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93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69</v>
      </c>
      <c r="E7" s="5" t="s">
        <v>68</v>
      </c>
      <c r="F7" s="30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93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70</v>
      </c>
      <c r="E8" s="5" t="s">
        <v>71</v>
      </c>
      <c r="F8" s="30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93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74</v>
      </c>
      <c r="E9" s="5" t="s">
        <v>71</v>
      </c>
      <c r="F9" s="30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93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75</v>
      </c>
      <c r="E10" s="5" t="s">
        <v>68</v>
      </c>
      <c r="F10" s="30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93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46025</v>
      </c>
      <c r="B11" s="2" t="s">
        <v>76</v>
      </c>
      <c r="E11" s="5" t="s">
        <v>71</v>
      </c>
      <c r="F11" s="30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91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77</v>
      </c>
      <c r="E12" s="5" t="s">
        <v>78</v>
      </c>
      <c r="F12" s="30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91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46027</v>
      </c>
      <c r="B13" s="2" t="s">
        <v>79</v>
      </c>
      <c r="E13" s="5" t="s">
        <v>78</v>
      </c>
      <c r="F13" s="30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89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80</v>
      </c>
      <c r="E14" s="5" t="s">
        <v>81</v>
      </c>
      <c r="F14" s="30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89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180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46028</v>
      </c>
      <c r="B15" s="2" t="s">
        <v>106</v>
      </c>
      <c r="E15" s="5" t="s">
        <v>84</v>
      </c>
      <c r="F15" s="30" t="n">
        <v>72</v>
      </c>
      <c r="H15" s="6" t="n">
        <f aca="false">IF((F15&lt;&gt;0),F15-G15," ")</f>
        <v>72</v>
      </c>
      <c r="I15" s="5"/>
      <c r="L15" s="7" t="n">
        <f aca="false">IF(F15&lt;&gt;0,F15-K15," ")</f>
        <v>72</v>
      </c>
      <c r="M15" s="8" t="n">
        <f aca="false">IF((F15-K15)&lt;&gt;0,M$1-A15," ")</f>
        <v>88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72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46030</v>
      </c>
      <c r="B16" s="2" t="s">
        <v>83</v>
      </c>
      <c r="E16" s="5" t="s">
        <v>84</v>
      </c>
      <c r="F16" s="30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86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46032</v>
      </c>
      <c r="B17" s="2" t="s">
        <v>85</v>
      </c>
      <c r="E17" s="5" t="s">
        <v>78</v>
      </c>
      <c r="F17" s="30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84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46034</v>
      </c>
      <c r="B18" s="2" t="s">
        <v>90</v>
      </c>
      <c r="E18" s="5" t="s">
        <v>81</v>
      </c>
      <c r="F18" s="30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82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18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46036</v>
      </c>
      <c r="B19" s="2" t="s">
        <v>92</v>
      </c>
      <c r="E19" s="5" t="s">
        <v>84</v>
      </c>
      <c r="F19" s="30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80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46036</v>
      </c>
      <c r="B20" s="2" t="s">
        <v>93</v>
      </c>
      <c r="E20" s="5" t="s">
        <v>84</v>
      </c>
      <c r="F20" s="30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80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46037</v>
      </c>
      <c r="B21" s="2" t="s">
        <v>94</v>
      </c>
      <c r="E21" s="5" t="s">
        <v>81</v>
      </c>
      <c r="F21" s="30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79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150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46037</v>
      </c>
      <c r="B22" s="2" t="s">
        <v>95</v>
      </c>
      <c r="E22" s="5" t="s">
        <v>68</v>
      </c>
      <c r="F22" s="30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79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46037</v>
      </c>
      <c r="B23" s="2" t="s">
        <v>111</v>
      </c>
      <c r="E23" s="5" t="s">
        <v>89</v>
      </c>
      <c r="F23" s="30" t="n">
        <v>540</v>
      </c>
      <c r="H23" s="6" t="n">
        <f aca="false">IF((F23&lt;&gt;0),F23-G23," ")</f>
        <v>540</v>
      </c>
      <c r="I23" s="5"/>
      <c r="L23" s="7" t="n">
        <f aca="false">IF(F23&lt;&gt;0,F23-K23," ")</f>
        <v>540</v>
      </c>
      <c r="M23" s="8" t="n">
        <f aca="false">IF((F23-K23)&lt;&gt;0,M$1-A23," ")</f>
        <v>79</v>
      </c>
      <c r="N23" s="5"/>
      <c r="O23" s="17" t="n">
        <f aca="false">IF((E23="s"),H23," ")</f>
        <v>540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46037</v>
      </c>
      <c r="B24" s="2" t="s">
        <v>120</v>
      </c>
      <c r="E24" s="5" t="s">
        <v>121</v>
      </c>
      <c r="F24" s="30" t="n">
        <v>3000</v>
      </c>
      <c r="H24" s="6" t="n">
        <f aca="false">IF((F24&lt;&gt;0),F24-G24," ")</f>
        <v>3000</v>
      </c>
      <c r="I24" s="5"/>
      <c r="L24" s="7" t="n">
        <f aca="false">IF(F24&lt;&gt;0,F24-K24," ")</f>
        <v>3000</v>
      </c>
      <c r="M24" s="8" t="n">
        <f aca="false">IF((F24-K24)&lt;&gt;0,M$1-A24," ")</f>
        <v>79</v>
      </c>
      <c r="N24" s="5"/>
      <c r="O24" s="17" t="str">
        <f aca="false">IF((E24="s"),H24," ")</f>
        <v> </v>
      </c>
      <c r="P24" s="17" t="n">
        <f aca="false">IF((E24="c"),H24," ")</f>
        <v>3000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46038</v>
      </c>
      <c r="B25" s="2" t="s">
        <v>114</v>
      </c>
      <c r="E25" s="5" t="s">
        <v>68</v>
      </c>
      <c r="F25" s="30" t="n">
        <v>30</v>
      </c>
      <c r="H25" s="6" t="n">
        <f aca="false">IF((F25&lt;&gt;0),F25-G25," ")</f>
        <v>30</v>
      </c>
      <c r="I25" s="5"/>
      <c r="L25" s="7" t="n">
        <f aca="false">IF(F25&lt;&gt;0,F25-K25," ")</f>
        <v>30</v>
      </c>
      <c r="M25" s="8" t="n">
        <f aca="false">IF((F25-K25)&lt;&gt;0,M$1-A25," ")</f>
        <v>78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30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46040</v>
      </c>
      <c r="B26" s="2" t="s">
        <v>96</v>
      </c>
      <c r="E26" s="5" t="s">
        <v>81</v>
      </c>
      <c r="F26" s="30" t="n">
        <v>96</v>
      </c>
      <c r="H26" s="6" t="n">
        <f aca="false">IF((F26&lt;&gt;0),F26-G26," ")</f>
        <v>96</v>
      </c>
      <c r="I26" s="5"/>
      <c r="L26" s="7" t="n">
        <f aca="false">IF(F26&lt;&gt;0,F26-K26," ")</f>
        <v>96</v>
      </c>
      <c r="M26" s="8" t="n">
        <f aca="false">IF((F26-K26)&lt;&gt;0,M$1-A26," ")</f>
        <v>76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96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46042</v>
      </c>
      <c r="B27" s="2" t="s">
        <v>97</v>
      </c>
      <c r="E27" s="5" t="s">
        <v>68</v>
      </c>
      <c r="F27" s="30" t="n">
        <v>60</v>
      </c>
      <c r="H27" s="6" t="n">
        <f aca="false">IF((F27&lt;&gt;0),F27-G27," ")</f>
        <v>60</v>
      </c>
      <c r="I27" s="5"/>
      <c r="L27" s="7" t="n">
        <f aca="false">IF(F27&lt;&gt;0,F27-K27," ")</f>
        <v>60</v>
      </c>
      <c r="M27" s="8" t="n">
        <f aca="false">IF((F27-K27)&lt;&gt;0,M$1-A27," ")</f>
        <v>74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60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46042</v>
      </c>
      <c r="B28" s="2" t="s">
        <v>115</v>
      </c>
      <c r="E28" s="5" t="s">
        <v>116</v>
      </c>
      <c r="F28" s="30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74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240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46042</v>
      </c>
      <c r="B29" s="2" t="s">
        <v>117</v>
      </c>
      <c r="E29" s="5" t="s">
        <v>89</v>
      </c>
      <c r="F29" s="30" t="n">
        <v>300</v>
      </c>
      <c r="H29" s="6" t="n">
        <f aca="false">IF((F29&lt;&gt;0),F29-G29," ")</f>
        <v>300</v>
      </c>
      <c r="I29" s="5"/>
      <c r="L29" s="7" t="n">
        <f aca="false">IF(F29&lt;&gt;0,F29-K29," ")</f>
        <v>300</v>
      </c>
      <c r="M29" s="8" t="n">
        <f aca="false">IF((F29-K29)&lt;&gt;0,M$1-A29," ")</f>
        <v>74</v>
      </c>
      <c r="N29" s="5"/>
      <c r="O29" s="17" t="n">
        <f aca="false">IF((E29="s"),H29," ")</f>
        <v>300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46043</v>
      </c>
      <c r="B30" s="2" t="s">
        <v>100</v>
      </c>
      <c r="E30" s="5" t="s">
        <v>84</v>
      </c>
      <c r="F30" s="30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73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46044</v>
      </c>
      <c r="B31" s="2" t="s">
        <v>101</v>
      </c>
      <c r="E31" s="5" t="s">
        <v>78</v>
      </c>
      <c r="F31" s="30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72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46047</v>
      </c>
      <c r="B32" s="2" t="s">
        <v>102</v>
      </c>
      <c r="E32" s="5" t="s">
        <v>78</v>
      </c>
      <c r="F32" s="30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69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46047</v>
      </c>
      <c r="B33" s="2" t="s">
        <v>103</v>
      </c>
      <c r="E33" s="5" t="s">
        <v>81</v>
      </c>
      <c r="F33" s="30" t="n">
        <v>81</v>
      </c>
      <c r="H33" s="6" t="n">
        <f aca="false">IF((F33&lt;&gt;0),F33-G33," ")</f>
        <v>81</v>
      </c>
      <c r="I33" s="5"/>
      <c r="L33" s="7" t="n">
        <f aca="false">IF(F33&lt;&gt;0,F33-K33," ")</f>
        <v>81</v>
      </c>
      <c r="M33" s="8" t="n">
        <f aca="false">IF((F33-K33)&lt;&gt;0,M$1-A33," ")</f>
        <v>69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81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46050</v>
      </c>
      <c r="B34" s="2" t="s">
        <v>94</v>
      </c>
      <c r="E34" s="5" t="s">
        <v>81</v>
      </c>
      <c r="F34" s="30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66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120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46052</v>
      </c>
      <c r="B35" s="2" t="s">
        <v>104</v>
      </c>
      <c r="E35" s="5" t="s">
        <v>105</v>
      </c>
      <c r="F35" s="30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64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3984.5</v>
      </c>
      <c r="G1" s="12" t="n">
        <f aca="false">SUM(G5:G300)</f>
        <v>0</v>
      </c>
      <c r="H1" s="12" t="n">
        <f aca="false">SUM(H5:H300)</f>
        <v>3984.5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3984.5</v>
      </c>
      <c r="M1" s="16" t="n">
        <f aca="true">TODAY()</f>
        <v>46116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19" t="s">
        <v>34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46054</v>
      </c>
      <c r="B5" s="5" t="s">
        <v>65</v>
      </c>
      <c r="E5" s="5" t="s">
        <v>66</v>
      </c>
      <c r="F5" s="30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62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67</v>
      </c>
      <c r="E6" s="5" t="s">
        <v>68</v>
      </c>
      <c r="F6" s="30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62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69</v>
      </c>
      <c r="E7" s="5" t="s">
        <v>68</v>
      </c>
      <c r="F7" s="30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62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70</v>
      </c>
      <c r="E8" s="5" t="s">
        <v>71</v>
      </c>
      <c r="F8" s="30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62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74</v>
      </c>
      <c r="E9" s="5" t="s">
        <v>71</v>
      </c>
      <c r="F9" s="30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62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75</v>
      </c>
      <c r="E10" s="5" t="s">
        <v>68</v>
      </c>
      <c r="F10" s="30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62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76</v>
      </c>
      <c r="E11" s="5" t="s">
        <v>71</v>
      </c>
      <c r="F11" s="30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60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77</v>
      </c>
      <c r="E12" s="5" t="s">
        <v>78</v>
      </c>
      <c r="F12" s="30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60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79</v>
      </c>
      <c r="E13" s="5" t="s">
        <v>78</v>
      </c>
      <c r="F13" s="30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58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80</v>
      </c>
      <c r="E14" s="5" t="s">
        <v>81</v>
      </c>
      <c r="F14" s="30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58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180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82</v>
      </c>
      <c r="E15" s="5" t="s">
        <v>71</v>
      </c>
      <c r="F15" s="30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58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46061</v>
      </c>
      <c r="B16" s="2" t="s">
        <v>83</v>
      </c>
      <c r="E16" s="5" t="s">
        <v>84</v>
      </c>
      <c r="F16" s="30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55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46063</v>
      </c>
      <c r="B17" s="2" t="s">
        <v>85</v>
      </c>
      <c r="E17" s="5" t="s">
        <v>78</v>
      </c>
      <c r="F17" s="30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53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119</v>
      </c>
      <c r="E18" s="5" t="s">
        <v>68</v>
      </c>
      <c r="F18" s="30" t="n">
        <v>120</v>
      </c>
      <c r="H18" s="6" t="n">
        <f aca="false">IF((F18&lt;&gt;0),F18-G18," ")</f>
        <v>120</v>
      </c>
      <c r="I18" s="5"/>
      <c r="L18" s="7" t="n">
        <f aca="false">IF(F18&lt;&gt;0,F18-K18," ")</f>
        <v>120</v>
      </c>
      <c r="M18" s="8" t="n">
        <f aca="false">IF((F18-K18)&lt;&gt;0,M$1-A18," ")</f>
        <v>53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120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90</v>
      </c>
      <c r="E19" s="5" t="s">
        <v>81</v>
      </c>
      <c r="F19" s="30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51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18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91</v>
      </c>
      <c r="E20" s="5" t="s">
        <v>78</v>
      </c>
      <c r="F20" s="30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49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24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92</v>
      </c>
      <c r="E21" s="5" t="s">
        <v>84</v>
      </c>
      <c r="F21" s="30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49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93</v>
      </c>
      <c r="E22" s="5" t="s">
        <v>84</v>
      </c>
      <c r="F22" s="30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49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94</v>
      </c>
      <c r="E23" s="5" t="s">
        <v>81</v>
      </c>
      <c r="F23" s="30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48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150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95</v>
      </c>
      <c r="E24" s="5" t="s">
        <v>68</v>
      </c>
      <c r="F24" s="30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48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140</v>
      </c>
      <c r="E25" s="5" t="s">
        <v>141</v>
      </c>
      <c r="F25" s="30" t="n">
        <v>500</v>
      </c>
      <c r="H25" s="6" t="n">
        <f aca="false">IF((F25&lt;&gt;0),F25-G25," ")</f>
        <v>500</v>
      </c>
      <c r="I25" s="5"/>
      <c r="L25" s="7" t="n">
        <f aca="false">IF(F25&lt;&gt;0,F25-K25," ")</f>
        <v>500</v>
      </c>
      <c r="M25" s="8" t="n">
        <f aca="false">IF((F25-K25)&lt;&gt;0,M$1-A25," ")</f>
        <v>48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500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123</v>
      </c>
      <c r="E26" s="5" t="s">
        <v>89</v>
      </c>
      <c r="F26" s="30" t="n">
        <v>480</v>
      </c>
      <c r="H26" s="6" t="n">
        <f aca="false">IF((F26&lt;&gt;0),F26-G26," ")</f>
        <v>480</v>
      </c>
      <c r="I26" s="5"/>
      <c r="L26" s="7" t="n">
        <f aca="false">IF(F26&lt;&gt;0,F26-K26," ")</f>
        <v>480</v>
      </c>
      <c r="M26" s="8" t="n">
        <f aca="false">IF((F26-K26)&lt;&gt;0,M$1-A26," ")</f>
        <v>45</v>
      </c>
      <c r="N26" s="5"/>
      <c r="O26" s="17" t="n">
        <f aca="false">IF((E26="s"),H26," ")</f>
        <v>480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96</v>
      </c>
      <c r="E27" s="5" t="s">
        <v>81</v>
      </c>
      <c r="F27" s="30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45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96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97</v>
      </c>
      <c r="E28" s="5" t="s">
        <v>68</v>
      </c>
      <c r="F28" s="30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43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46074</v>
      </c>
      <c r="B29" s="2" t="s">
        <v>100</v>
      </c>
      <c r="E29" s="5" t="s">
        <v>84</v>
      </c>
      <c r="F29" s="30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42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46075</v>
      </c>
      <c r="B30" s="2" t="s">
        <v>101</v>
      </c>
      <c r="E30" s="5" t="s">
        <v>78</v>
      </c>
      <c r="F30" s="30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41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46078</v>
      </c>
      <c r="B31" s="2" t="s">
        <v>124</v>
      </c>
      <c r="E31" s="5" t="s">
        <v>125</v>
      </c>
      <c r="F31" s="30" t="n">
        <v>420</v>
      </c>
      <c r="H31" s="6" t="n">
        <f aca="false">IF((F31&lt;&gt;0),F31-G31," ")</f>
        <v>420</v>
      </c>
      <c r="I31" s="5"/>
      <c r="L31" s="7" t="n">
        <f aca="false">IF(F31&lt;&gt;0,F31-K31," ")</f>
        <v>420</v>
      </c>
      <c r="M31" s="8" t="n">
        <f aca="false">IF((F31-K31)&lt;&gt;0,M$1-A31," ")</f>
        <v>38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420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46078</v>
      </c>
      <c r="B32" s="2" t="s">
        <v>102</v>
      </c>
      <c r="E32" s="5" t="s">
        <v>78</v>
      </c>
      <c r="F32" s="30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38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103</v>
      </c>
      <c r="E33" s="5" t="s">
        <v>81</v>
      </c>
      <c r="F33" s="30" t="n">
        <v>49.5</v>
      </c>
      <c r="H33" s="6" t="n">
        <f aca="false">IF((F33&lt;&gt;0),F33-G33," ")</f>
        <v>49.5</v>
      </c>
      <c r="I33" s="5"/>
      <c r="L33" s="7" t="n">
        <f aca="false">IF(F33&lt;&gt;0,F33-K33," ")</f>
        <v>49.5</v>
      </c>
      <c r="M33" s="8" t="n">
        <f aca="false">IF((F33-K33)&lt;&gt;0,M$1-A33," ")</f>
        <v>38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49.5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46081</v>
      </c>
      <c r="B34" s="2" t="s">
        <v>94</v>
      </c>
      <c r="E34" s="5" t="s">
        <v>81</v>
      </c>
      <c r="F34" s="30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35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120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30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9978.25</v>
      </c>
      <c r="G1" s="12" t="n">
        <f aca="false">SUM(G5:G300)</f>
        <v>0</v>
      </c>
      <c r="H1" s="12" t="n">
        <f aca="false">SUM(H5:H300)</f>
        <v>9978.25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9978.25</v>
      </c>
      <c r="M1" s="16" t="n">
        <f aca="true">TODAY()</f>
        <v>46116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767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19" t="s">
        <v>34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46084</v>
      </c>
      <c r="B5" s="5" t="s">
        <v>104</v>
      </c>
      <c r="E5" s="5" t="s">
        <v>105</v>
      </c>
      <c r="F5" s="30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32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46084</v>
      </c>
      <c r="B6" s="2" t="s">
        <v>142</v>
      </c>
      <c r="E6" s="5" t="s">
        <v>143</v>
      </c>
      <c r="F6" s="30" t="n">
        <v>5000</v>
      </c>
      <c r="H6" s="6" t="n">
        <f aca="false">IF((F6&lt;&gt;0),F6-G6," ")</f>
        <v>5000</v>
      </c>
      <c r="I6" s="5"/>
      <c r="L6" s="7" t="n">
        <f aca="false">IF(F6&lt;&gt;0,F6-K6," ")</f>
        <v>5000</v>
      </c>
      <c r="M6" s="8" t="n">
        <f aca="false">IF((F6-K6)&lt;&gt;0,M$1-A6," ")</f>
        <v>32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n">
        <f aca="false">IF((E6="d"),H6," ")</f>
        <v>5000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46084</v>
      </c>
      <c r="B7" s="2" t="s">
        <v>126</v>
      </c>
      <c r="E7" s="5" t="s">
        <v>105</v>
      </c>
      <c r="F7" s="30" t="n">
        <v>167</v>
      </c>
      <c r="H7" s="6" t="n">
        <f aca="false">IF((F7&lt;&gt;0),F7-G7," ")</f>
        <v>167</v>
      </c>
      <c r="I7" s="5"/>
      <c r="L7" s="7" t="n">
        <f aca="false">IF(F7&lt;&gt;0,F7-K7," ")</f>
        <v>167</v>
      </c>
      <c r="M7" s="8" t="n">
        <f aca="false">IF((F7-K7)&lt;&gt;0,M$1-A7," ")</f>
        <v>32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n">
        <f aca="false">IF((E7="l"),H7," ")</f>
        <v>167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65</v>
      </c>
      <c r="E8" s="5" t="s">
        <v>66</v>
      </c>
      <c r="F8" s="30" t="n">
        <v>1200</v>
      </c>
      <c r="H8" s="6" t="n">
        <f aca="false">IF((F8&lt;&gt;0),F8-G8," ")</f>
        <v>1200</v>
      </c>
      <c r="I8" s="5"/>
      <c r="L8" s="7" t="n">
        <f aca="false">IF(F8&lt;&gt;0,F8-K8," ")</f>
        <v>1200</v>
      </c>
      <c r="M8" s="8" t="n">
        <f aca="false">IF((F8-K8)&lt;&gt;0,M$1-A8," ")</f>
        <v>34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n">
        <f aca="false">IF((E8="r"),H8," ")</f>
        <v>1200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67</v>
      </c>
      <c r="E9" s="5" t="s">
        <v>68</v>
      </c>
      <c r="F9" s="30" t="n">
        <v>30</v>
      </c>
      <c r="H9" s="6" t="n">
        <f aca="false">IF((F9&lt;&gt;0),F9-G9," ")</f>
        <v>30</v>
      </c>
      <c r="I9" s="5"/>
      <c r="L9" s="7" t="n">
        <f aca="false">IF(F9&lt;&gt;0,F9-K9," ")</f>
        <v>30</v>
      </c>
      <c r="M9" s="8" t="n">
        <f aca="false">IF((F9-K9)&lt;&gt;0,M$1-A9," ")</f>
        <v>34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30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69</v>
      </c>
      <c r="E10" s="5" t="s">
        <v>68</v>
      </c>
      <c r="F10" s="30" t="n">
        <v>15</v>
      </c>
      <c r="H10" s="6" t="n">
        <f aca="false">IF((F10&lt;&gt;0),F10-G10," ")</f>
        <v>15</v>
      </c>
      <c r="I10" s="5"/>
      <c r="L10" s="7" t="n">
        <f aca="false">IF(F10&lt;&gt;0,F10-K10," ")</f>
        <v>15</v>
      </c>
      <c r="M10" s="8" t="n">
        <f aca="false">IF((F10-K10)&lt;&gt;0,M$1-A10," ")</f>
        <v>34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70</v>
      </c>
      <c r="E11" s="5" t="s">
        <v>71</v>
      </c>
      <c r="F11" s="30" t="n">
        <v>45</v>
      </c>
      <c r="H11" s="6" t="n">
        <f aca="false">IF((F11&lt;&gt;0),F11-G11," ")</f>
        <v>45</v>
      </c>
      <c r="I11" s="5"/>
      <c r="L11" s="7" t="n">
        <f aca="false">IF(F11&lt;&gt;0,F11-K11," ")</f>
        <v>45</v>
      </c>
      <c r="M11" s="8" t="n">
        <f aca="false">IF((F11-K11)&lt;&gt;0,M$1-A11," ")</f>
        <v>34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45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46082</v>
      </c>
      <c r="B12" s="2" t="s">
        <v>74</v>
      </c>
      <c r="E12" s="5" t="s">
        <v>71</v>
      </c>
      <c r="F12" s="30" t="n">
        <v>24</v>
      </c>
      <c r="H12" s="6" t="n">
        <f aca="false">IF((F12&lt;&gt;0),F12-G12," ")</f>
        <v>24</v>
      </c>
      <c r="I12" s="5"/>
      <c r="L12" s="7" t="n">
        <f aca="false">IF(F12&lt;&gt;0,F12-K12," ")</f>
        <v>24</v>
      </c>
      <c r="M12" s="8" t="n">
        <f aca="false">IF((F12-K12)&lt;&gt;0,M$1-A12," ")</f>
        <v>34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24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46082</v>
      </c>
      <c r="B13" s="2" t="s">
        <v>75</v>
      </c>
      <c r="E13" s="5" t="s">
        <v>68</v>
      </c>
      <c r="F13" s="30" t="n">
        <v>18</v>
      </c>
      <c r="H13" s="6" t="n">
        <f aca="false">IF((F13&lt;&gt;0),F13-G13," ")</f>
        <v>18</v>
      </c>
      <c r="I13" s="5"/>
      <c r="L13" s="7" t="n">
        <f aca="false">IF(F13&lt;&gt;0,F13-K13," ")</f>
        <v>18</v>
      </c>
      <c r="M13" s="8" t="n">
        <f aca="false">IF((F13-K13)&lt;&gt;0,M$1-A13," ")</f>
        <v>34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n">
        <f aca="false">IF((E13="g"),H13," ")</f>
        <v>18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46084</v>
      </c>
      <c r="B14" s="2" t="s">
        <v>76</v>
      </c>
      <c r="E14" s="5" t="s">
        <v>71</v>
      </c>
      <c r="F14" s="30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32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n">
        <f aca="false">IF((E14="o"),H14," ")</f>
        <v>180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46084</v>
      </c>
      <c r="B15" s="2" t="s">
        <v>77</v>
      </c>
      <c r="E15" s="5" t="s">
        <v>78</v>
      </c>
      <c r="F15" s="30" t="n">
        <v>22</v>
      </c>
      <c r="H15" s="6" t="n">
        <f aca="false">IF((F15&lt;&gt;0),F15-G15," ")</f>
        <v>22</v>
      </c>
      <c r="I15" s="5"/>
      <c r="L15" s="7" t="n">
        <f aca="false">IF(F15&lt;&gt;0,F15-K15," ")</f>
        <v>22</v>
      </c>
      <c r="M15" s="8" t="n">
        <f aca="false">IF((F15-K15)&lt;&gt;0,M$1-A15," ")</f>
        <v>32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n">
        <f aca="false">IF((E15="u"),H15," ")</f>
        <v>22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46086</v>
      </c>
      <c r="B16" s="2" t="s">
        <v>79</v>
      </c>
      <c r="E16" s="5" t="s">
        <v>78</v>
      </c>
      <c r="F16" s="30" t="n">
        <v>24</v>
      </c>
      <c r="H16" s="6" t="n">
        <f aca="false">IF((F16&lt;&gt;0),F16-G16," ")</f>
        <v>24</v>
      </c>
      <c r="I16" s="5"/>
      <c r="L16" s="7" t="n">
        <f aca="false">IF(F16&lt;&gt;0,F16-K16," ")</f>
        <v>24</v>
      </c>
      <c r="M16" s="8" t="n">
        <f aca="false">IF((F16-K16)&lt;&gt;0,M$1-A16," ")</f>
        <v>30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24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46086</v>
      </c>
      <c r="B17" s="2" t="s">
        <v>129</v>
      </c>
      <c r="E17" s="5" t="s">
        <v>110</v>
      </c>
      <c r="F17" s="30" t="n">
        <v>480</v>
      </c>
      <c r="H17" s="6" t="n">
        <f aca="false">IF((F17&lt;&gt;0),F17-G17," ")</f>
        <v>480</v>
      </c>
      <c r="I17" s="5"/>
      <c r="L17" s="7" t="n">
        <f aca="false">IF(F17&lt;&gt;0,F17-K17," ")</f>
        <v>480</v>
      </c>
      <c r="M17" s="8" t="n">
        <f aca="false">IF((F17-K17)&lt;&gt;0,M$1-A17," ")</f>
        <v>30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n">
        <f aca="false">IF((E17="a"),H17," ")</f>
        <v>480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46086</v>
      </c>
      <c r="B18" s="2" t="s">
        <v>80</v>
      </c>
      <c r="E18" s="5" t="s">
        <v>81</v>
      </c>
      <c r="F18" s="30" t="n">
        <v>180</v>
      </c>
      <c r="H18" s="6" t="n">
        <f aca="false">IF((F18&lt;&gt;0),F18-G18," ")</f>
        <v>180</v>
      </c>
      <c r="I18" s="5"/>
      <c r="L18" s="7" t="n">
        <f aca="false">IF(F18&lt;&gt;0,F18-K18," ")</f>
        <v>180</v>
      </c>
      <c r="M18" s="8" t="n">
        <f aca="false">IF((F18-K18)&lt;&gt;0,M$1-A18," ")</f>
        <v>30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180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46089</v>
      </c>
      <c r="B19" s="2" t="s">
        <v>83</v>
      </c>
      <c r="E19" s="5" t="s">
        <v>84</v>
      </c>
      <c r="F19" s="30" t="n">
        <v>48</v>
      </c>
      <c r="H19" s="6" t="n">
        <f aca="false">IF((F19&lt;&gt;0),F19-G19," ")</f>
        <v>48</v>
      </c>
      <c r="I19" s="5"/>
      <c r="L19" s="7" t="n">
        <f aca="false">IF(F19&lt;&gt;0,F19-K19," ")</f>
        <v>48</v>
      </c>
      <c r="M19" s="8" t="n">
        <f aca="false">IF((F19-K19)&lt;&gt;0,M$1-A19," ")</f>
        <v>27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48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46089</v>
      </c>
      <c r="B20" s="2" t="s">
        <v>107</v>
      </c>
      <c r="E20" s="5" t="s">
        <v>108</v>
      </c>
      <c r="F20" s="30" t="n">
        <v>180</v>
      </c>
      <c r="H20" s="6" t="n">
        <f aca="false">IF((F20&lt;&gt;0),F20-G20," ")</f>
        <v>180</v>
      </c>
      <c r="I20" s="5"/>
      <c r="L20" s="7" t="n">
        <f aca="false">IF(F20&lt;&gt;0,F20-K20," ")</f>
        <v>180</v>
      </c>
      <c r="M20" s="8" t="n">
        <f aca="false">IF((F20-K20)&lt;&gt;0,M$1-A20," ")</f>
        <v>27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180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46091</v>
      </c>
      <c r="B21" s="2" t="s">
        <v>85</v>
      </c>
      <c r="E21" s="5" t="s">
        <v>78</v>
      </c>
      <c r="F21" s="30" t="n">
        <v>36</v>
      </c>
      <c r="H21" s="6" t="n">
        <f aca="false">IF((F21&lt;&gt;0),F21-G21," ")</f>
        <v>36</v>
      </c>
      <c r="I21" s="5"/>
      <c r="L21" s="7" t="n">
        <f aca="false">IF(F21&lt;&gt;0,F21-K21," ")</f>
        <v>36</v>
      </c>
      <c r="M21" s="8" t="n">
        <f aca="false">IF((F21-K21)&lt;&gt;0,M$1-A21," ")</f>
        <v>25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36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46091</v>
      </c>
      <c r="B22" s="2" t="s">
        <v>86</v>
      </c>
      <c r="E22" s="5" t="s">
        <v>87</v>
      </c>
      <c r="F22" s="30" t="n">
        <v>180</v>
      </c>
      <c r="H22" s="6" t="n">
        <f aca="false">IF((F22&lt;&gt;0),F22-G22," ")</f>
        <v>180</v>
      </c>
      <c r="I22" s="5"/>
      <c r="L22" s="7" t="n">
        <f aca="false">IF(F22&lt;&gt;0,F22-K22," ")</f>
        <v>180</v>
      </c>
      <c r="M22" s="8" t="n">
        <f aca="false">IF((F22-K22)&lt;&gt;0,M$1-A22," ")</f>
        <v>25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n">
        <f aca="false">IF((E22="f"),H22," ")</f>
        <v>180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46091</v>
      </c>
      <c r="B23" s="2" t="s">
        <v>88</v>
      </c>
      <c r="E23" s="5" t="s">
        <v>89</v>
      </c>
      <c r="F23" s="30" t="n">
        <v>600</v>
      </c>
      <c r="H23" s="6" t="n">
        <f aca="false">IF((F23&lt;&gt;0),F23-G23," ")</f>
        <v>600</v>
      </c>
      <c r="I23" s="5"/>
      <c r="L23" s="7" t="n">
        <f aca="false">IF(F23&lt;&gt;0,F23-K23," ")</f>
        <v>600</v>
      </c>
      <c r="M23" s="8" t="n">
        <f aca="false">IF((F23-K23)&lt;&gt;0,M$1-A23," ")</f>
        <v>25</v>
      </c>
      <c r="N23" s="5"/>
      <c r="O23" s="17" t="n">
        <f aca="false">IF((E23="s"),H23," ")</f>
        <v>600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46093</v>
      </c>
      <c r="B24" s="2" t="s">
        <v>90</v>
      </c>
      <c r="E24" s="5" t="s">
        <v>81</v>
      </c>
      <c r="F24" s="30" t="n">
        <v>18</v>
      </c>
      <c r="H24" s="6" t="n">
        <f aca="false">IF((F24&lt;&gt;0),F24-G24," ")</f>
        <v>18</v>
      </c>
      <c r="I24" s="5"/>
      <c r="L24" s="7" t="n">
        <f aca="false">IF(F24&lt;&gt;0,F24-K24," ")</f>
        <v>18</v>
      </c>
      <c r="M24" s="8" t="n">
        <f aca="false">IF((F24-K24)&lt;&gt;0,M$1-A24," ")</f>
        <v>23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18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46095</v>
      </c>
      <c r="B25" s="2" t="s">
        <v>92</v>
      </c>
      <c r="E25" s="5" t="s">
        <v>84</v>
      </c>
      <c r="F25" s="30" t="n">
        <v>24</v>
      </c>
      <c r="H25" s="6" t="n">
        <f aca="false">IF((F25&lt;&gt;0),F25-G25," ")</f>
        <v>24</v>
      </c>
      <c r="I25" s="5"/>
      <c r="L25" s="7" t="n">
        <f aca="false">IF(F25&lt;&gt;0,F25-K25," ")</f>
        <v>24</v>
      </c>
      <c r="M25" s="8" t="n">
        <f aca="false">IF((F25-K25)&lt;&gt;0,M$1-A25," ")</f>
        <v>21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24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46095</v>
      </c>
      <c r="B26" s="2" t="s">
        <v>93</v>
      </c>
      <c r="E26" s="5" t="s">
        <v>84</v>
      </c>
      <c r="F26" s="30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12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46096</v>
      </c>
      <c r="B27" s="2" t="s">
        <v>94</v>
      </c>
      <c r="E27" s="5" t="s">
        <v>81</v>
      </c>
      <c r="F27" s="30" t="n">
        <v>150</v>
      </c>
      <c r="H27" s="6" t="n">
        <f aca="false">IF((F27&lt;&gt;0),F27-G27," ")</f>
        <v>150</v>
      </c>
      <c r="I27" s="5"/>
      <c r="L27" s="7" t="n">
        <f aca="false">IF(F27&lt;&gt;0,F27-K27," ")</f>
        <v>150</v>
      </c>
      <c r="M27" s="8" t="n">
        <f aca="false">IF((F27-K27)&lt;&gt;0,M$1-A27," ")</f>
        <v>20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150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46096</v>
      </c>
      <c r="B28" s="2" t="s">
        <v>95</v>
      </c>
      <c r="E28" s="5" t="s">
        <v>68</v>
      </c>
      <c r="F28" s="30" t="n">
        <v>12</v>
      </c>
      <c r="H28" s="6" t="n">
        <f aca="false">IF((F28&lt;&gt;0),F28-G28," ")</f>
        <v>12</v>
      </c>
      <c r="I28" s="5"/>
      <c r="L28" s="7" t="n">
        <f aca="false">IF(F28&lt;&gt;0,F28-K28," ")</f>
        <v>12</v>
      </c>
      <c r="M28" s="8" t="n">
        <f aca="false">IF((F28-K28)&lt;&gt;0,M$1-A28," ")</f>
        <v>20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12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46097</v>
      </c>
      <c r="B29" s="2" t="s">
        <v>114</v>
      </c>
      <c r="E29" s="5" t="s">
        <v>68</v>
      </c>
      <c r="F29" s="30" t="n">
        <v>18</v>
      </c>
      <c r="H29" s="6" t="n">
        <f aca="false">IF((F29&lt;&gt;0),F29-G29," ")</f>
        <v>18</v>
      </c>
      <c r="I29" s="5"/>
      <c r="L29" s="7" t="n">
        <f aca="false">IF(F29&lt;&gt;0,F29-K29," ")</f>
        <v>18</v>
      </c>
      <c r="M29" s="8" t="n">
        <f aca="false">IF((F29-K29)&lt;&gt;0,M$1-A29," ")</f>
        <v>19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18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46099</v>
      </c>
      <c r="B30" s="2" t="s">
        <v>96</v>
      </c>
      <c r="E30" s="5" t="s">
        <v>81</v>
      </c>
      <c r="F30" s="30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n">
        <f aca="false">IF((E30="v"),H30," ")</f>
        <v>96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46101</v>
      </c>
      <c r="B31" s="2" t="s">
        <v>97</v>
      </c>
      <c r="E31" s="5" t="s">
        <v>68</v>
      </c>
      <c r="F31" s="30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46101</v>
      </c>
      <c r="B32" s="2" t="s">
        <v>132</v>
      </c>
      <c r="E32" s="5" t="s">
        <v>116</v>
      </c>
      <c r="F32" s="30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15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n">
        <f aca="false">IF((E32="t"),H32," ")</f>
        <v>180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46101</v>
      </c>
      <c r="B33" s="2" t="s">
        <v>98</v>
      </c>
      <c r="E33" s="5" t="s">
        <v>99</v>
      </c>
      <c r="F33" s="30" t="n">
        <v>144</v>
      </c>
      <c r="H33" s="6" t="n">
        <f aca="false">IF((F33&lt;&gt;0),F33-G33," ")</f>
        <v>144</v>
      </c>
      <c r="I33" s="5"/>
      <c r="L33" s="7" t="n">
        <f aca="false">IF(F33&lt;&gt;0,F33-K33," ")</f>
        <v>144</v>
      </c>
      <c r="M33" s="8" t="n">
        <f aca="false">IF((F33-K33)&lt;&gt;0,M$1-A33," ")</f>
        <v>15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n">
        <f aca="false">IF((E33="m"),H33," ")</f>
        <v>144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46102</v>
      </c>
      <c r="B34" s="2" t="s">
        <v>100</v>
      </c>
      <c r="E34" s="5" t="s">
        <v>84</v>
      </c>
      <c r="F34" s="30" t="n">
        <v>8</v>
      </c>
      <c r="H34" s="6" t="n">
        <f aca="false">IF((F34&lt;&gt;0),F34-G34," ")</f>
        <v>8</v>
      </c>
      <c r="I34" s="5"/>
      <c r="L34" s="7" t="n">
        <f aca="false">IF(F34&lt;&gt;0,F34-K34," ")</f>
        <v>8</v>
      </c>
      <c r="M34" s="8" t="n">
        <f aca="false">IF((F34-K34)&lt;&gt;0,M$1-A34," ")</f>
        <v>14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n">
        <f aca="false">IF((E34="h"),H34," ")</f>
        <v>8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46103</v>
      </c>
      <c r="B35" s="2" t="s">
        <v>101</v>
      </c>
      <c r="E35" s="5" t="s">
        <v>78</v>
      </c>
      <c r="F35" s="30" t="n">
        <v>18</v>
      </c>
      <c r="H35" s="6" t="n">
        <f aca="false">IF((F35&lt;&gt;0),F35-G35," ")</f>
        <v>18</v>
      </c>
      <c r="I35" s="5"/>
      <c r="L35" s="7" t="n">
        <f aca="false">IF(F35&lt;&gt;0,F35-K35," ")</f>
        <v>18</v>
      </c>
      <c r="M35" s="8" t="n">
        <f aca="false">IF((F35-K35)&lt;&gt;0,M$1-A35," ")</f>
        <v>13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18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46103</v>
      </c>
      <c r="B36" s="2" t="s">
        <v>118</v>
      </c>
      <c r="E36" s="5" t="s">
        <v>81</v>
      </c>
      <c r="F36" s="30" t="n">
        <v>36</v>
      </c>
      <c r="H36" s="6" t="n">
        <f aca="false">IF((F36&lt;&gt;0),F36-G36," ")</f>
        <v>36</v>
      </c>
      <c r="I36" s="5"/>
      <c r="L36" s="7" t="n">
        <f aca="false">IF(F36&lt;&gt;0,F36-K36," ")</f>
        <v>36</v>
      </c>
      <c r="M36" s="8" t="n">
        <f aca="false">IF((F36-K36)&lt;&gt;0,M$1-A36," ")</f>
        <v>13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36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46106</v>
      </c>
      <c r="B37" s="2" t="s">
        <v>102</v>
      </c>
      <c r="E37" s="5" t="s">
        <v>78</v>
      </c>
      <c r="F37" s="30" t="n">
        <v>15</v>
      </c>
      <c r="H37" s="6" t="n">
        <f aca="false">IF((F37&lt;&gt;0),F37-G37," ")</f>
        <v>15</v>
      </c>
      <c r="I37" s="5"/>
      <c r="L37" s="7" t="n">
        <f aca="false">IF(F37&lt;&gt;0,F37-K37," ")</f>
        <v>15</v>
      </c>
      <c r="M37" s="8" t="n">
        <f aca="false">IF((F37-K37)&lt;&gt;0,M$1-A37," ")</f>
        <v>10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n">
        <f aca="false">IF((E37="u"),H37," ")</f>
        <v>15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46106</v>
      </c>
      <c r="B38" s="2" t="s">
        <v>103</v>
      </c>
      <c r="E38" s="5" t="s">
        <v>81</v>
      </c>
      <c r="F38" s="30" t="n">
        <v>38.25</v>
      </c>
      <c r="H38" s="6" t="n">
        <f aca="false">IF((F38&lt;&gt;0),F38-G38," ")</f>
        <v>38.25</v>
      </c>
      <c r="I38" s="5"/>
      <c r="L38" s="7" t="n">
        <f aca="false">IF(F38&lt;&gt;0,F38-K38," ")</f>
        <v>38.25</v>
      </c>
      <c r="M38" s="8" t="n">
        <f aca="false">IF((F38-K38)&lt;&gt;0,M$1-A38," ")</f>
        <v>10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n">
        <f aca="false">IF((E38="v"),H38," ")</f>
        <v>38.25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46109</v>
      </c>
      <c r="B39" s="2" t="s">
        <v>94</v>
      </c>
      <c r="E39" s="5" t="s">
        <v>81</v>
      </c>
      <c r="F39" s="30" t="n">
        <v>120</v>
      </c>
      <c r="H39" s="6" t="n">
        <f aca="false">IF((F39&lt;&gt;0),F39-G39," ")</f>
        <v>120</v>
      </c>
      <c r="I39" s="5"/>
      <c r="L39" s="7" t="n">
        <f aca="false">IF(F39&lt;&gt;0,F39-K39," ")</f>
        <v>120</v>
      </c>
      <c r="M39" s="8" t="n">
        <f aca="false">IF((F39-K39)&lt;&gt;0,M$1-A39," ")</f>
        <v>7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n">
        <f aca="false">IF((E39="v"),H39," ")</f>
        <v>120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 t="n">
        <v>46112</v>
      </c>
      <c r="B40" s="2" t="s">
        <v>104</v>
      </c>
      <c r="E40" s="5" t="s">
        <v>105</v>
      </c>
      <c r="F40" s="30" t="n">
        <v>300</v>
      </c>
      <c r="H40" s="6" t="n">
        <f aca="false">IF((F40&lt;&gt;0),F40-G40," ")</f>
        <v>300</v>
      </c>
      <c r="I40" s="5"/>
      <c r="L40" s="7" t="n">
        <f aca="false">IF(F40&lt;&gt;0,F40-K40," ")</f>
        <v>300</v>
      </c>
      <c r="M40" s="8" t="n">
        <f aca="false">IF((F40-K40)&lt;&gt;0,M$1-A40," ")</f>
        <v>4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n">
        <f aca="false">IF((E40="l"),H40," ")</f>
        <v>300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4396.5</v>
      </c>
      <c r="G1" s="12" t="n">
        <f aca="false">SUM(G5:G300)</f>
        <v>0</v>
      </c>
      <c r="H1" s="12" t="n">
        <f aca="false">SUM(H5:H300)</f>
        <v>4396.5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46116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19" t="s">
        <v>34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46113</v>
      </c>
      <c r="B5" s="5" t="s">
        <v>65</v>
      </c>
      <c r="E5" s="5" t="s">
        <v>66</v>
      </c>
      <c r="F5" s="30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67</v>
      </c>
      <c r="E6" s="5" t="s">
        <v>68</v>
      </c>
      <c r="F6" s="30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69</v>
      </c>
      <c r="E7" s="5" t="s">
        <v>68</v>
      </c>
      <c r="F7" s="30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70</v>
      </c>
      <c r="E8" s="5" t="s">
        <v>71</v>
      </c>
      <c r="F8" s="30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74</v>
      </c>
      <c r="E9" s="5" t="s">
        <v>71</v>
      </c>
      <c r="F9" s="30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75</v>
      </c>
      <c r="E10" s="5" t="s">
        <v>68</v>
      </c>
      <c r="F10" s="30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46115</v>
      </c>
      <c r="B11" s="2" t="s">
        <v>76</v>
      </c>
      <c r="E11" s="5" t="s">
        <v>71</v>
      </c>
      <c r="F11" s="30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77</v>
      </c>
      <c r="E12" s="5" t="s">
        <v>78</v>
      </c>
      <c r="F12" s="30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46117</v>
      </c>
      <c r="B13" s="2" t="s">
        <v>79</v>
      </c>
      <c r="E13" s="5" t="s">
        <v>78</v>
      </c>
      <c r="F13" s="30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80</v>
      </c>
      <c r="E14" s="5" t="s">
        <v>81</v>
      </c>
      <c r="F14" s="30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180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82</v>
      </c>
      <c r="E15" s="5" t="s">
        <v>71</v>
      </c>
      <c r="F15" s="30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-1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46118</v>
      </c>
      <c r="B16" s="2" t="s">
        <v>106</v>
      </c>
      <c r="E16" s="5" t="s">
        <v>84</v>
      </c>
      <c r="F16" s="30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36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83</v>
      </c>
      <c r="E17" s="5" t="s">
        <v>84</v>
      </c>
      <c r="F17" s="30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-4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85</v>
      </c>
      <c r="E18" s="5" t="s">
        <v>78</v>
      </c>
      <c r="F18" s="30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-6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46124</v>
      </c>
      <c r="B19" s="2" t="s">
        <v>90</v>
      </c>
      <c r="E19" s="5" t="s">
        <v>81</v>
      </c>
      <c r="F19" s="30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-8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18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46124</v>
      </c>
      <c r="B20" s="2" t="s">
        <v>130</v>
      </c>
      <c r="E20" s="5" t="s">
        <v>108</v>
      </c>
      <c r="F20" s="30" t="n">
        <v>360</v>
      </c>
      <c r="H20" s="6" t="n">
        <f aca="false">IF((F20&lt;&gt;0),F20-G20," ")</f>
        <v>360</v>
      </c>
      <c r="I20" s="5"/>
      <c r="L20" s="7" t="n">
        <f aca="false">IF(F20&lt;&gt;0,F20-K20," ")</f>
        <v>360</v>
      </c>
      <c r="M20" s="8" t="n">
        <f aca="false">IF((F20-K20)&lt;&gt;0,M$1-A20," ")</f>
        <v>-8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360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46126</v>
      </c>
      <c r="B21" s="2" t="s">
        <v>91</v>
      </c>
      <c r="E21" s="5" t="s">
        <v>78</v>
      </c>
      <c r="F21" s="30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-10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46126</v>
      </c>
      <c r="B22" s="2" t="s">
        <v>92</v>
      </c>
      <c r="E22" s="5" t="s">
        <v>84</v>
      </c>
      <c r="F22" s="30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-10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93</v>
      </c>
      <c r="E23" s="5" t="s">
        <v>84</v>
      </c>
      <c r="F23" s="30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-10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46127</v>
      </c>
      <c r="B24" s="2" t="s">
        <v>94</v>
      </c>
      <c r="E24" s="5" t="s">
        <v>81</v>
      </c>
      <c r="F24" s="30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-11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150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46127</v>
      </c>
      <c r="B25" s="2" t="s">
        <v>95</v>
      </c>
      <c r="E25" s="5" t="s">
        <v>68</v>
      </c>
      <c r="F25" s="30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-11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111</v>
      </c>
      <c r="E26" s="5" t="s">
        <v>89</v>
      </c>
      <c r="F26" s="30" t="n">
        <v>420</v>
      </c>
      <c r="H26" s="6" t="n">
        <f aca="false">IF((F26&lt;&gt;0),F26-G26," ")</f>
        <v>420</v>
      </c>
      <c r="I26" s="5"/>
      <c r="L26" s="7" t="n">
        <f aca="false">IF(F26&lt;&gt;0,F26-K26," ")</f>
        <v>420</v>
      </c>
      <c r="M26" s="8" t="n">
        <f aca="false">IF((F26-K26)&lt;&gt;0,M$1-A26," ")</f>
        <v>-11</v>
      </c>
      <c r="N26" s="5"/>
      <c r="O26" s="17" t="n">
        <f aca="false">IF((E26="s"),H26," ")</f>
        <v>420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46130</v>
      </c>
      <c r="B27" s="2" t="s">
        <v>133</v>
      </c>
      <c r="E27" s="5" t="s">
        <v>99</v>
      </c>
      <c r="F27" s="30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-14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360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46130</v>
      </c>
      <c r="B28" s="2" t="s">
        <v>122</v>
      </c>
      <c r="E28" s="5" t="s">
        <v>84</v>
      </c>
      <c r="F28" s="30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-14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240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96</v>
      </c>
      <c r="E29" s="5" t="s">
        <v>81</v>
      </c>
      <c r="F29" s="30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-14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96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46132</v>
      </c>
      <c r="B30" s="2" t="s">
        <v>97</v>
      </c>
      <c r="E30" s="5" t="s">
        <v>68</v>
      </c>
      <c r="F30" s="30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-16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117</v>
      </c>
      <c r="E31" s="5" t="s">
        <v>89</v>
      </c>
      <c r="F31" s="30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-16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46133</v>
      </c>
      <c r="B32" s="2" t="s">
        <v>100</v>
      </c>
      <c r="E32" s="5" t="s">
        <v>84</v>
      </c>
      <c r="F32" s="30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-17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46134</v>
      </c>
      <c r="B33" s="2" t="s">
        <v>101</v>
      </c>
      <c r="E33" s="5" t="s">
        <v>78</v>
      </c>
      <c r="F33" s="30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-18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46137</v>
      </c>
      <c r="B34" s="2" t="s">
        <v>102</v>
      </c>
      <c r="E34" s="5" t="s">
        <v>78</v>
      </c>
      <c r="F34" s="30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-21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103</v>
      </c>
      <c r="E35" s="5" t="s">
        <v>81</v>
      </c>
      <c r="F35" s="30" t="n">
        <v>31.5</v>
      </c>
      <c r="H35" s="6" t="n">
        <f aca="false">IF((F35&lt;&gt;0),F35-G35," ")</f>
        <v>31.5</v>
      </c>
      <c r="I35" s="5"/>
      <c r="L35" s="7" t="n">
        <f aca="false">IF(F35&lt;&gt;0,F35-K35," ")</f>
        <v>31.5</v>
      </c>
      <c r="M35" s="8" t="n">
        <f aca="false">IF((F35-K35)&lt;&gt;0,M$1-A35," ")</f>
        <v>-21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31.5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46140</v>
      </c>
      <c r="B36" s="2" t="s">
        <v>104</v>
      </c>
      <c r="E36" s="5" t="s">
        <v>105</v>
      </c>
      <c r="F36" s="30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-24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46140</v>
      </c>
      <c r="B37" s="2" t="s">
        <v>94</v>
      </c>
      <c r="E37" s="5" t="s">
        <v>81</v>
      </c>
      <c r="F37" s="30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-24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120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14</v>
      </c>
      <c r="C1" s="20" t="s">
        <v>5</v>
      </c>
      <c r="D1" s="42" t="s">
        <v>15</v>
      </c>
      <c r="E1" s="42"/>
      <c r="F1" s="12" t="n">
        <f aca="false">SUM(F5:F300)</f>
        <v>3726.5</v>
      </c>
      <c r="G1" s="12" t="n">
        <f aca="false">SUM(G5:G300)</f>
        <v>0</v>
      </c>
      <c r="H1" s="12" t="n">
        <f aca="false">SUM(H5:H300)</f>
        <v>3726.5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46116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16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17</v>
      </c>
      <c r="P2" s="19"/>
      <c r="Q2" s="19"/>
      <c r="R2" s="19" t="s">
        <v>18</v>
      </c>
      <c r="S2" s="19" t="s">
        <v>19</v>
      </c>
      <c r="T2" s="19" t="s">
        <v>20</v>
      </c>
      <c r="U2" s="19"/>
      <c r="V2" s="19" t="s">
        <v>21</v>
      </c>
      <c r="W2" s="19" t="s">
        <v>22</v>
      </c>
      <c r="X2" s="19" t="s">
        <v>23</v>
      </c>
      <c r="Y2" s="19" t="s">
        <v>24</v>
      </c>
      <c r="Z2" s="19" t="s">
        <v>25</v>
      </c>
      <c r="AA2" s="19" t="s">
        <v>26</v>
      </c>
      <c r="AB2" s="19" t="s">
        <v>27</v>
      </c>
      <c r="AC2" s="19" t="s">
        <v>28</v>
      </c>
      <c r="AD2" s="19" t="s">
        <v>29</v>
      </c>
      <c r="AE2" s="19" t="s">
        <v>30</v>
      </c>
      <c r="AF2" s="19" t="s">
        <v>31</v>
      </c>
      <c r="AG2" s="19" t="s">
        <v>32</v>
      </c>
      <c r="AH2" s="19" t="s">
        <v>33</v>
      </c>
      <c r="AI2" s="51" t="n">
        <f aca="false">Jun!AI1+Jul!AI1+Aug!AI1+Sep!AI1+Oct!AI1+Nov!AI1+Dec!AI1+Jan!AI1+Feb!AI1+Mar!AI1+Apr!AI1+May!AI1</f>
        <v>39000</v>
      </c>
      <c r="AJ2" s="43"/>
      <c r="AK2" s="19" t="s">
        <v>35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36</v>
      </c>
      <c r="P3" s="21" t="s">
        <v>37</v>
      </c>
      <c r="Q3" s="21" t="s">
        <v>38</v>
      </c>
      <c r="R3" s="19"/>
      <c r="S3" s="19"/>
      <c r="T3" s="21" t="s">
        <v>39</v>
      </c>
      <c r="U3" s="21" t="s">
        <v>40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34</v>
      </c>
      <c r="AJ3" s="43"/>
      <c r="AK3" s="19" t="s">
        <v>41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42</v>
      </c>
      <c r="P4" s="45" t="s">
        <v>43</v>
      </c>
      <c r="Q4" s="45" t="s">
        <v>44</v>
      </c>
      <c r="R4" s="45" t="s">
        <v>45</v>
      </c>
      <c r="S4" s="45" t="s">
        <v>46</v>
      </c>
      <c r="T4" s="45" t="s">
        <v>47</v>
      </c>
      <c r="U4" s="45" t="s">
        <v>48</v>
      </c>
      <c r="V4" s="45" t="s">
        <v>49</v>
      </c>
      <c r="W4" s="45" t="s">
        <v>50</v>
      </c>
      <c r="X4" s="45" t="s">
        <v>51</v>
      </c>
      <c r="Y4" s="45" t="s">
        <v>52</v>
      </c>
      <c r="Z4" s="45" t="s">
        <v>53</v>
      </c>
      <c r="AA4" s="45" t="s">
        <v>54</v>
      </c>
      <c r="AB4" s="45" t="s">
        <v>55</v>
      </c>
      <c r="AC4" s="46" t="s">
        <v>56</v>
      </c>
      <c r="AD4" s="46" t="s">
        <v>57</v>
      </c>
      <c r="AE4" s="45" t="s">
        <v>58</v>
      </c>
      <c r="AF4" s="45" t="s">
        <v>59</v>
      </c>
      <c r="AG4" s="45" t="s">
        <v>60</v>
      </c>
      <c r="AH4" s="45" t="s">
        <v>61</v>
      </c>
      <c r="AI4" s="45" t="s">
        <v>62</v>
      </c>
      <c r="AJ4" s="43"/>
      <c r="AK4" s="19" t="s">
        <v>63</v>
      </c>
      <c r="AL4" s="19" t="s">
        <v>64</v>
      </c>
    </row>
    <row r="5" s="5" customFormat="true" ht="12" hidden="false" customHeight="false" outlineLevel="0" collapsed="false">
      <c r="A5" s="28" t="n">
        <v>46143</v>
      </c>
      <c r="B5" s="5" t="s">
        <v>65</v>
      </c>
      <c r="E5" s="5" t="s">
        <v>66</v>
      </c>
      <c r="F5" s="30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67</v>
      </c>
      <c r="E6" s="5" t="s">
        <v>68</v>
      </c>
      <c r="F6" s="30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-27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69</v>
      </c>
      <c r="E7" s="5" t="s">
        <v>68</v>
      </c>
      <c r="F7" s="30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-27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70</v>
      </c>
      <c r="E8" s="5" t="s">
        <v>71</v>
      </c>
      <c r="F8" s="30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-27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74</v>
      </c>
      <c r="E9" s="5" t="s">
        <v>71</v>
      </c>
      <c r="F9" s="30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-27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75</v>
      </c>
      <c r="E10" s="5" t="s">
        <v>68</v>
      </c>
      <c r="F10" s="30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-27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46145</v>
      </c>
      <c r="B11" s="2" t="s">
        <v>76</v>
      </c>
      <c r="E11" s="5" t="s">
        <v>71</v>
      </c>
      <c r="F11" s="30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-29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77</v>
      </c>
      <c r="E12" s="5" t="s">
        <v>78</v>
      </c>
      <c r="F12" s="30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-29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46147</v>
      </c>
      <c r="B13" s="2" t="s">
        <v>79</v>
      </c>
      <c r="E13" s="5" t="s">
        <v>78</v>
      </c>
      <c r="F13" s="30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-31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80</v>
      </c>
      <c r="E14" s="5" t="s">
        <v>81</v>
      </c>
      <c r="F14" s="30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-31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180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46150</v>
      </c>
      <c r="B15" s="2" t="s">
        <v>83</v>
      </c>
      <c r="E15" s="5" t="s">
        <v>84</v>
      </c>
      <c r="F15" s="30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-34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46152</v>
      </c>
      <c r="B16" s="2" t="s">
        <v>85</v>
      </c>
      <c r="E16" s="5" t="s">
        <v>78</v>
      </c>
      <c r="F16" s="30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-36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46152</v>
      </c>
      <c r="B17" s="2" t="s">
        <v>95</v>
      </c>
      <c r="E17" s="5" t="s">
        <v>116</v>
      </c>
      <c r="F17" s="30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-36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46154</v>
      </c>
      <c r="B18" s="2" t="s">
        <v>90</v>
      </c>
      <c r="E18" s="5" t="s">
        <v>81</v>
      </c>
      <c r="F18" s="30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-38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18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46156</v>
      </c>
      <c r="B19" s="2" t="s">
        <v>92</v>
      </c>
      <c r="E19" s="5" t="s">
        <v>84</v>
      </c>
      <c r="F19" s="30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-40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93</v>
      </c>
      <c r="E20" s="5" t="s">
        <v>84</v>
      </c>
      <c r="F20" s="30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-40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46157</v>
      </c>
      <c r="B21" s="2" t="s">
        <v>94</v>
      </c>
      <c r="E21" s="5" t="s">
        <v>81</v>
      </c>
      <c r="F21" s="30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-41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150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95</v>
      </c>
      <c r="E22" s="5" t="s">
        <v>68</v>
      </c>
      <c r="F22" s="30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-41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46158</v>
      </c>
      <c r="B23" s="2" t="s">
        <v>114</v>
      </c>
      <c r="E23" s="5" t="s">
        <v>68</v>
      </c>
      <c r="F23" s="30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-42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46160</v>
      </c>
      <c r="B24" s="2" t="s">
        <v>123</v>
      </c>
      <c r="E24" s="5" t="s">
        <v>89</v>
      </c>
      <c r="F24" s="30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-44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46160</v>
      </c>
      <c r="B25" s="2" t="s">
        <v>96</v>
      </c>
      <c r="E25" s="5" t="s">
        <v>81</v>
      </c>
      <c r="F25" s="30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-44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96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46162</v>
      </c>
      <c r="B26" s="2" t="s">
        <v>97</v>
      </c>
      <c r="E26" s="5" t="s">
        <v>68</v>
      </c>
      <c r="F26" s="30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-46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46163</v>
      </c>
      <c r="B27" s="2" t="s">
        <v>100</v>
      </c>
      <c r="E27" s="5" t="s">
        <v>84</v>
      </c>
      <c r="F27" s="30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-47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46164</v>
      </c>
      <c r="B28" s="2" t="s">
        <v>101</v>
      </c>
      <c r="E28" s="5" t="s">
        <v>78</v>
      </c>
      <c r="F28" s="30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-48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46164</v>
      </c>
      <c r="B29" s="2" t="s">
        <v>118</v>
      </c>
      <c r="E29" s="5" t="s">
        <v>81</v>
      </c>
      <c r="F29" s="30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-48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60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46167</v>
      </c>
      <c r="B30" s="2" t="s">
        <v>124</v>
      </c>
      <c r="E30" s="5" t="s">
        <v>125</v>
      </c>
      <c r="F30" s="30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-51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46167</v>
      </c>
      <c r="B31" s="2" t="s">
        <v>102</v>
      </c>
      <c r="E31" s="5" t="s">
        <v>78</v>
      </c>
      <c r="F31" s="30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-51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46167</v>
      </c>
      <c r="B32" s="2" t="s">
        <v>103</v>
      </c>
      <c r="E32" s="5" t="s">
        <v>81</v>
      </c>
      <c r="F32" s="30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-51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n">
        <f aca="false">IF((E32="v"),H32," ")</f>
        <v>58.5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46170</v>
      </c>
      <c r="B33" s="2" t="s">
        <v>94</v>
      </c>
      <c r="E33" s="5" t="s">
        <v>81</v>
      </c>
      <c r="F33" s="30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-54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120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46173</v>
      </c>
      <c r="B34" s="2" t="s">
        <v>104</v>
      </c>
      <c r="E34" s="5" t="s">
        <v>105</v>
      </c>
      <c r="F34" s="30" t="n">
        <v>300</v>
      </c>
      <c r="H34" s="6" t="n">
        <f aca="false">IF((F34&lt;&gt;0),F34-G34," ")</f>
        <v>300</v>
      </c>
      <c r="I34" s="5"/>
      <c r="L34" s="7" t="n">
        <f aca="false">IF(F34&lt;&gt;0,F34-K34," ")</f>
        <v>300</v>
      </c>
      <c r="M34" s="8" t="n">
        <f aca="false">IF((F34-K34)&lt;&gt;0,M$1-A34," ")</f>
        <v>-57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300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46173</v>
      </c>
      <c r="B35" s="2" t="s">
        <v>126</v>
      </c>
      <c r="E35" s="5" t="s">
        <v>105</v>
      </c>
      <c r="F35" s="30" t="n">
        <v>125</v>
      </c>
      <c r="H35" s="6" t="n">
        <f aca="false">IF((F35&lt;&gt;0),F35-G35," ")</f>
        <v>125</v>
      </c>
      <c r="I35" s="5"/>
      <c r="L35" s="7" t="n">
        <f aca="false">IF(F35&lt;&gt;0,F35-K35," ")</f>
        <v>125</v>
      </c>
      <c r="M35" s="8" t="n">
        <f aca="false">IF((F35-K35)&lt;&gt;0,M$1-A35," ")</f>
        <v>-57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125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30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144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46116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C5" s="29"/>
      <c r="E5" s="2"/>
      <c r="F5" s="30"/>
      <c r="G5" s="6" t="str">
        <f aca="false">IF(F5&lt;&gt;0,F5*G$2/(100+G$2)," ")</f>
        <v> </v>
      </c>
      <c r="H5" s="6" t="str">
        <f aca="false">IF((F5&lt;&gt;0),F5-G5," ")</f>
        <v> 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E6" s="2"/>
      <c r="G6" s="6" t="str">
        <f aca="false">IF(F6&lt;&gt;0,F6*G$2/(100+G$2)," ")</f>
        <v> </v>
      </c>
      <c r="H6" s="6" t="str">
        <f aca="false">IF((F6&lt;&gt;0),F6-G6," ")</f>
        <v> 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E7" s="2"/>
      <c r="G7" s="6" t="str">
        <f aca="false">IF(F7&lt;&gt;0,F7*G$2/(100+G$2)," ")</f>
        <v> </v>
      </c>
      <c r="H7" s="6" t="str">
        <f aca="false">IF((F7&lt;&gt;0),F7-G7," ")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E8" s="2"/>
      <c r="G8" s="6" t="str">
        <f aca="false">IF(F8&lt;&gt;0,F8*G$2/(100+G$2)," ")</f>
        <v> </v>
      </c>
      <c r="H8" s="6" t="str">
        <f aca="false">IF((F8&lt;&gt;0),F8-G8," ")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H9" s="6" t="str">
        <f aca="false">IF((F9&lt;&gt;0),F9-G9,"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H10" s="6" t="str">
        <f aca="false">IF((F10&lt;&gt;0),F10-G10,"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H11" s="6" t="str">
        <f aca="false">IF((F11&lt;&gt;0),F11-G11,"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H12" s="6" t="str">
        <f aca="false">IF((F12&lt;&gt;0),F12-G12,"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H13" s="6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H14" s="6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H15" s="6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H16" s="6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H17" s="6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H18" s="6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H19" s="6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H20" s="6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H21" s="6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H22" s="6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H23" s="6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H24" s="6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H25" s="6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H26" s="6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H27" s="6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H28" s="6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H29" s="6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H30" s="6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H31" s="6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H32" s="6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H33" s="6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H34" s="6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H35" s="6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H36" s="6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H37" s="6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H38" s="6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H39" s="6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H40" s="6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H41" s="6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H42" s="6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H43" s="6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H44" s="6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H45" s="6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H46" s="6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H47" s="6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H48" s="6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H49" s="6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H50" s="6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H51" s="6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H52" s="6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H53" s="6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H54" s="6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H55" s="6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H56" s="6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H57" s="6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H58" s="6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H59" s="6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H60" s="6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H61" s="6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H62" s="6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H63" s="6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H64" s="6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H65" s="6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H66" s="6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H67" s="6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H68" s="6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H69" s="6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H70" s="6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