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<sst xmlns="http://schemas.openxmlformats.org/spreadsheetml/2006/main" count="1002" uniqueCount="212">
  <si>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</si>
  <si>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</si>
  <si>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</si>
  <si>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</si>
  <si>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</si>
  <si>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</si>
  <si>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</si>
  <si>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</si>
  <si>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</si>
  <si>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</si>
  <si>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</si>
  <si>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</si>
  <si>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</si>
  <si>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</si>
  <si>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</si>
  <si>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</si>
  <si>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</si>
  <si>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</si>
  <si>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</si>
  <si>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</si>
  <si>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</si>
  <si>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</si>
  <si>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</si>
  <si>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Zeta Corp</t>
  </si>
  <si>
    <t xml:space="preserve">INV-0904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</si>
  <si>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</si>
  <si>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</si>
  <si>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</si>
  <si>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</si>
  <si>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</si>
  <si>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</si>
  <si>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</si>
  <si>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</si>
  <si>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</si>
  <si>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</si>
  <si>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</si>
  <si>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</si>
  <si>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</si>
  <si>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</si>
  <si>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</si>
  <si>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</si>
  <si>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</si>
  <si>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</si>
  <si>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</si>
  <si>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</si>
  <si>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</si>
  <si>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</si>
  <si>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</si>
  <si>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</si>
  <si>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</si>
  <si>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</si>
  <si>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</si>
  <si>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</si>
  <si>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</si>
  <si>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</si>
  <si>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</si>
  <si>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</si>
  <si>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</si>
  <si>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</si>
  <si>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</si>
  <si>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</si>
  <si>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</si>
  <si>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</si>
  <si>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</si>
  <si>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</si>
  <si>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</si>
  <si>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</si>
  <si>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</si>
  <si>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</si>
  <si>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</si>
  <si>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</si>
  <si>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</si>
  <si>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</si>
  <si>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</si>
  <si>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</si>
  <si>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</si>
  <si>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</si>
  <si>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</si>
  <si>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</si>
  <si>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</si>
  <si>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</si>
  <si>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</si>
  <si>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</si>
  <si>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</si>
  <si>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</si>
  <si>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</si>
  <si>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</si>
  <si>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</si>
  <si>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</si>
  <si>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</si>
  <si>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</si>
  <si>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</si>
  <si>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</si>
  <si>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</si>
  <si>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</si>
  <si>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</si>
  <si>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</si>
  <si>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</si>
  <si>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</si>
  <si>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</si>
  <si>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</si>
  <si>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</si>
  <si>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</si>
  <si>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</si>
  <si>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</si>
  <si>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</si>
  <si>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</si>
  <si>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</si>
  <si>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</si>
  <si>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</si>
  <si>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</si>
  <si>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</si>
  <si>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</si>
  <si>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</si>
  <si>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</si>
  <si>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</si>
  <si>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</si>
  <si>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</si>
  <si>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</si>
  <si>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</si>
  <si>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</si>
  <si>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</si>
  <si>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</si>
  <si>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</si>
  <si>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</si>
  <si>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</si>
  <si>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</si>
  <si>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</si>
  <si>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</si>
  <si>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</si>
  <si>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</si>
  <si>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</si>
  <si>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</si>
  <si>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</si>
  <si>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</si>
  <si>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</si>
  <si>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</si>
  <si>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</si>
  <si>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</si>
  <si>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</si>
  <si>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</si>
  <si>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</si>
  <si>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</si>
  <si>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</si>
  <si>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</si>
  <si>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</si>
  <si>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</si>
  <si>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</si>
  <si>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</si>
  <si>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</si>
  <si>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</si>
  <si>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</si>
  <si>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</si>
  <si>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</si>
  <si>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</si>
  <si>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</si>
  <si>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</si>
  <si>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</si>
  <si>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</si>
  <si>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</si>
  <si>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</si>
  <si>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</si>
  <si>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</si>
  <si>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</si>
  <si>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</si>
  <si>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</si>
  <si>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</si>
  <si>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</si>
  <si>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</si>
  <si>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</si>
  <si>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</si>
  <si>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</si>
  <si>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</si>
  <si>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</si>
  <si>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</si>
  <si>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</si>
  <si>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</si>
  <si>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</si>
  <si>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</si>
  <si>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</si>
  <si>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</si>
  <si>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</si>
  <si>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</si>
  <si>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</si>
  <si>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</si>
  <si>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</si>
  <si>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</si>
  <si>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</si>
  <si>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</si>
  <si>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</si>
  <si>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</si>
  <si>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</si>
  <si>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</si>
  <si>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</si>
  <si>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</si>
  <si>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</si>
  <si>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</si>
  <si>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</si>
  <si>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</si>
  <si>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</si>
  <si>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</si>
  <si>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</si>
  <si>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</si>
  <si>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</si>
  <si>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</si>
  <si>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</si>
  <si>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</si>
  <si>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CN-1801</t>
  </si>
  <si>
    <t xml:space="preserve">Bad debt written off (INV-0904)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</si>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</sst>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11160</v>
          </cell>
        </row>
      </sheetData>
      <sheetData sheetId="1">
        <row r="20">
          <cell r="EJ20">
            <v>7540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customFormat="fals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11160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11160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46299</v>
      </c>
      <c r="N1" s="18"/>
      <c r="O1" s="12" t="n">
        <f aca="false">SUM(O5:O300)</f>
        <v>0</v>
      </c>
      <c r="P1" s="12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Nov!G2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B8" s="2" t="s">
        <v>23</v>
      </c>
      <c r="C8" s="3" t="s">
        <v>24</v>
      </c>
      <c r="G8" s="2" t="str">
        <f aca="false">IF(G$4&gt;0,(IF(F8&lt;&gt;0,F8*G$4/100," ")),IF(F8&lt;&gt;0,F8*G$2/(100+G$2)," "))</f>
        <v> </v>
      </c>
      <c r="H8" s="2" t="n">
        <v>360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46299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[1]Admin!$M$19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s">
        <v>33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46327</v>
      </c>
      <c r="B5" s="2" t="s">
        <v>19</v>
      </c>
      <c r="C5" s="3" t="s">
        <v>44</v>
      </c>
      <c r="D5" s="40" t="s">
        <v>45</v>
      </c>
      <c r="E5" s="4" t="s">
        <v>46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-28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47</v>
      </c>
    </row>
    <row r="6" customFormat="false" ht="12.75" hidden="false" customHeight="true" outlineLevel="0" collapsed="false">
      <c r="A6" s="1" t="n">
        <v>46329</v>
      </c>
      <c r="B6" s="2" t="s">
        <v>48</v>
      </c>
      <c r="C6" s="3" t="s">
        <v>49</v>
      </c>
      <c r="D6" s="40" t="s">
        <v>50</v>
      </c>
      <c r="E6" s="4" t="s">
        <v>46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-30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46331</v>
      </c>
      <c r="B7" s="2" t="s">
        <v>51</v>
      </c>
      <c r="C7" s="3" t="s">
        <v>52</v>
      </c>
      <c r="D7" s="40" t="s">
        <v>53</v>
      </c>
      <c r="E7" s="4" t="s">
        <v>46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-32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47</v>
      </c>
    </row>
    <row r="8" customFormat="false" ht="12" hidden="false" customHeight="false" outlineLevel="0" collapsed="false">
      <c r="A8" s="1" t="n">
        <v>46334</v>
      </c>
      <c r="B8" s="2" t="s">
        <v>54</v>
      </c>
      <c r="C8" s="3" t="s">
        <v>55</v>
      </c>
      <c r="D8" s="40" t="s">
        <v>56</v>
      </c>
      <c r="E8" s="4" t="s">
        <v>57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-35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46336</v>
      </c>
      <c r="B9" s="2" t="s">
        <v>59</v>
      </c>
      <c r="C9" s="3" t="s">
        <v>60</v>
      </c>
      <c r="D9" s="40" t="s">
        <v>61</v>
      </c>
      <c r="E9" s="4" t="s">
        <v>57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-37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58</v>
      </c>
    </row>
    <row r="10" customFormat="false" ht="12" hidden="false" customHeight="false" outlineLevel="0" collapsed="false">
      <c r="A10" s="1" t="n">
        <v>46341</v>
      </c>
      <c r="B10" s="2" t="s">
        <v>17</v>
      </c>
      <c r="C10" s="3" t="s">
        <v>62</v>
      </c>
      <c r="D10" s="40" t="s">
        <v>63</v>
      </c>
      <c r="E10" s="4" t="s">
        <v>57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-42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58</v>
      </c>
    </row>
    <row r="11" customFormat="false" ht="12" hidden="false" customHeight="false" outlineLevel="0" collapsed="false">
      <c r="A11" s="1" t="n">
        <v>46344</v>
      </c>
      <c r="B11" s="2" t="s">
        <v>64</v>
      </c>
      <c r="C11" s="3" t="s">
        <v>65</v>
      </c>
      <c r="D11" s="40" t="s">
        <v>66</v>
      </c>
      <c r="E11" s="4" t="s">
        <v>57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-45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58</v>
      </c>
    </row>
    <row r="12" customFormat="false" ht="12" hidden="false" customHeight="false" outlineLevel="0" collapsed="false">
      <c r="A12" s="1" t="n">
        <v>46346</v>
      </c>
      <c r="B12" s="2" t="s">
        <v>67</v>
      </c>
      <c r="C12" s="3" t="s">
        <v>68</v>
      </c>
      <c r="D12" s="40" t="s">
        <v>69</v>
      </c>
      <c r="E12" s="4" t="s">
        <v>57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-47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58</v>
      </c>
    </row>
    <row r="13" customFormat="false" ht="12" hidden="false" customHeight="false" outlineLevel="0" collapsed="false">
      <c r="A13" s="1" t="n">
        <v>46354</v>
      </c>
      <c r="B13" s="2" t="s">
        <v>70</v>
      </c>
      <c r="C13" s="3" t="s">
        <v>71</v>
      </c>
      <c r="D13" s="40" t="s">
        <v>72</v>
      </c>
      <c r="E13" s="4" t="s">
        <v>73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-55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74</v>
      </c>
    </row>
    <row r="14" customFormat="false" ht="12" hidden="false" customHeight="false" outlineLevel="0" collapsed="false">
      <c r="E14" s="4" t="str">
        <f aca="false">IF((F14&lt;&gt;0),"Enter Letter"," ")</f>
        <v> </v>
      </c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E15" s="4" t="str">
        <f aca="false">IF((F15&lt;&gt;0),"Enter Letter"," ")</f>
        <v> </v>
      </c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46299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Nov!G2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s">
        <v>33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46359</v>
      </c>
      <c r="B5" s="2" t="s">
        <v>48</v>
      </c>
      <c r="C5" s="3" t="s">
        <v>75</v>
      </c>
      <c r="D5" s="40" t="s">
        <v>50</v>
      </c>
      <c r="E5" s="4" t="s">
        <v>46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-60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47</v>
      </c>
    </row>
    <row r="6" customFormat="false" ht="12.75" hidden="false" customHeight="true" outlineLevel="0" collapsed="false">
      <c r="A6" s="1" t="n">
        <v>46361</v>
      </c>
      <c r="B6" s="2" t="s">
        <v>51</v>
      </c>
      <c r="C6" s="3" t="s">
        <v>76</v>
      </c>
      <c r="D6" s="40" t="s">
        <v>53</v>
      </c>
      <c r="E6" s="4" t="s">
        <v>46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-62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46364</v>
      </c>
      <c r="B7" s="2" t="s">
        <v>54</v>
      </c>
      <c r="C7" s="3" t="s">
        <v>77</v>
      </c>
      <c r="D7" s="40" t="s">
        <v>56</v>
      </c>
      <c r="E7" s="4" t="s">
        <v>57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-65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58</v>
      </c>
    </row>
    <row r="8" customFormat="false" ht="12" hidden="false" customHeight="false" outlineLevel="0" collapsed="false">
      <c r="A8" s="1" t="n">
        <v>46366</v>
      </c>
      <c r="B8" s="2" t="s">
        <v>59</v>
      </c>
      <c r="C8" s="3" t="s">
        <v>78</v>
      </c>
      <c r="D8" s="40" t="s">
        <v>61</v>
      </c>
      <c r="E8" s="4" t="s">
        <v>57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-67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46368</v>
      </c>
      <c r="B9" s="2" t="s">
        <v>79</v>
      </c>
      <c r="C9" s="3" t="s">
        <v>80</v>
      </c>
      <c r="D9" s="40" t="s">
        <v>81</v>
      </c>
      <c r="E9" s="4" t="s">
        <v>57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-69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58</v>
      </c>
    </row>
    <row r="10" customFormat="false" ht="12" hidden="false" customHeight="false" outlineLevel="0" collapsed="false">
      <c r="A10" s="1" t="n">
        <v>46371</v>
      </c>
      <c r="B10" s="2" t="s">
        <v>17</v>
      </c>
      <c r="C10" s="3" t="s">
        <v>82</v>
      </c>
      <c r="D10" s="40" t="s">
        <v>63</v>
      </c>
      <c r="E10" s="4" t="s">
        <v>57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-72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58</v>
      </c>
    </row>
    <row r="11" customFormat="false" ht="12" hidden="false" customHeight="false" outlineLevel="0" collapsed="false">
      <c r="A11" s="1" t="n">
        <v>46372</v>
      </c>
      <c r="B11" s="2" t="s">
        <v>83</v>
      </c>
      <c r="C11" s="3" t="s">
        <v>84</v>
      </c>
      <c r="D11" s="40" t="s">
        <v>85</v>
      </c>
      <c r="E11" s="4" t="s">
        <v>86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-73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87</v>
      </c>
    </row>
    <row r="12" customFormat="false" ht="12" hidden="false" customHeight="false" outlineLevel="0" collapsed="false">
      <c r="A12" s="1" t="n">
        <v>46374</v>
      </c>
      <c r="B12" s="2" t="s">
        <v>64</v>
      </c>
      <c r="C12" s="3" t="s">
        <v>88</v>
      </c>
      <c r="D12" s="40" t="s">
        <v>66</v>
      </c>
      <c r="E12" s="4" t="s">
        <v>57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-75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58</v>
      </c>
    </row>
    <row r="13" customFormat="false" ht="12" hidden="false" customHeight="false" outlineLevel="0" collapsed="false">
      <c r="A13" s="1" t="n">
        <v>46381</v>
      </c>
      <c r="B13" s="2" t="s">
        <v>89</v>
      </c>
      <c r="C13" s="3" t="s">
        <v>90</v>
      </c>
      <c r="D13" s="40" t="s">
        <v>91</v>
      </c>
      <c r="E13" s="4" t="s">
        <v>57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-82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58</v>
      </c>
    </row>
    <row r="14" customFormat="false" ht="12" hidden="false" customHeight="false" outlineLevel="0" collapsed="false">
      <c r="E14" s="4" t="str">
        <f aca="false">IF((F14&lt;&gt;0),"Enter Letter"," ")</f>
        <v> </v>
      </c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E15" s="4" t="str">
        <f aca="false">IF((F15&lt;&gt;0),"Enter Letter"," ")</f>
        <v> </v>
      </c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46299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Dec!G2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s">
        <v>33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46390</v>
      </c>
      <c r="B5" s="2" t="s">
        <v>48</v>
      </c>
      <c r="C5" s="3" t="s">
        <v>92</v>
      </c>
      <c r="D5" s="40" t="s">
        <v>50</v>
      </c>
      <c r="E5" s="4" t="s">
        <v>46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-91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47</v>
      </c>
    </row>
    <row r="6" customFormat="false" ht="12.75" hidden="false" customHeight="true" outlineLevel="0" collapsed="false">
      <c r="A6" s="1" t="n">
        <v>46392</v>
      </c>
      <c r="B6" s="2" t="s">
        <v>51</v>
      </c>
      <c r="C6" s="3" t="s">
        <v>93</v>
      </c>
      <c r="D6" s="40" t="s">
        <v>53</v>
      </c>
      <c r="E6" s="4" t="s">
        <v>46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-93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46395</v>
      </c>
      <c r="B7" s="2" t="s">
        <v>54</v>
      </c>
      <c r="C7" s="3" t="s">
        <v>94</v>
      </c>
      <c r="D7" s="40" t="s">
        <v>56</v>
      </c>
      <c r="E7" s="4" t="s">
        <v>57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-96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58</v>
      </c>
    </row>
    <row r="8" customFormat="false" ht="12" hidden="false" customHeight="false" outlineLevel="0" collapsed="false">
      <c r="A8" s="1" t="n">
        <v>46397</v>
      </c>
      <c r="B8" s="2" t="s">
        <v>59</v>
      </c>
      <c r="C8" s="3" t="s">
        <v>95</v>
      </c>
      <c r="D8" s="40" t="s">
        <v>61</v>
      </c>
      <c r="E8" s="4" t="s">
        <v>57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-98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46402</v>
      </c>
      <c r="B9" s="2" t="s">
        <v>17</v>
      </c>
      <c r="C9" s="3" t="s">
        <v>96</v>
      </c>
      <c r="D9" s="40" t="s">
        <v>63</v>
      </c>
      <c r="E9" s="4" t="s">
        <v>57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-103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58</v>
      </c>
    </row>
    <row r="10" customFormat="false" ht="12" hidden="false" customHeight="false" outlineLevel="0" collapsed="false">
      <c r="A10" s="1" t="n">
        <v>46405</v>
      </c>
      <c r="B10" s="2" t="s">
        <v>64</v>
      </c>
      <c r="C10" s="3" t="s">
        <v>97</v>
      </c>
      <c r="D10" s="40" t="s">
        <v>66</v>
      </c>
      <c r="E10" s="4" t="s">
        <v>57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-106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58</v>
      </c>
    </row>
    <row r="11" customFormat="false" ht="12" hidden="false" customHeight="false" outlineLevel="0" collapsed="false">
      <c r="A11" s="1" t="n">
        <v>46407</v>
      </c>
      <c r="B11" s="2" t="s">
        <v>67</v>
      </c>
      <c r="C11" s="3" t="s">
        <v>98</v>
      </c>
      <c r="D11" s="40" t="s">
        <v>69</v>
      </c>
      <c r="E11" s="4" t="s">
        <v>57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-108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58</v>
      </c>
    </row>
    <row r="12" customFormat="false" ht="12" hidden="false" customHeight="false" outlineLevel="0" collapsed="false">
      <c r="A12" s="1" t="n">
        <v>46407</v>
      </c>
      <c r="B12" s="2" t="s">
        <v>21</v>
      </c>
      <c r="C12" s="3" t="s">
        <v>99</v>
      </c>
      <c r="D12" s="40" t="s">
        <v>100</v>
      </c>
      <c r="E12" s="4" t="s">
        <v>86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-108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87</v>
      </c>
    </row>
    <row r="13" customFormat="false" ht="12" hidden="false" customHeight="false" outlineLevel="0" collapsed="false">
      <c r="A13" s="1" t="n">
        <v>46409</v>
      </c>
      <c r="B13" s="2" t="s">
        <v>101</v>
      </c>
      <c r="C13" s="3" t="s">
        <v>102</v>
      </c>
      <c r="D13" s="40" t="s">
        <v>103</v>
      </c>
      <c r="E13" s="4" t="s">
        <v>57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-110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58</v>
      </c>
    </row>
    <row r="14" customFormat="false" ht="12" hidden="false" customHeight="false" outlineLevel="0" collapsed="false">
      <c r="E14" s="4" t="str">
        <f aca="false">IF((F14&lt;&gt;0),"Enter Letter"," ")</f>
        <v> </v>
      </c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E15" s="4" t="str">
        <f aca="false">IF((F15&lt;&gt;0),"Enter Letter"," ")</f>
        <v> </v>
      </c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46299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Jan!G2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s">
        <v>33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46419</v>
      </c>
      <c r="B5" s="2" t="s">
        <v>19</v>
      </c>
      <c r="C5" s="3" t="s">
        <v>104</v>
      </c>
      <c r="D5" s="40" t="s">
        <v>45</v>
      </c>
      <c r="E5" s="4" t="s">
        <v>46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-120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47</v>
      </c>
    </row>
    <row r="6" customFormat="false" ht="12.75" hidden="false" customHeight="true" outlineLevel="0" collapsed="false">
      <c r="A6" s="1" t="n">
        <v>46421</v>
      </c>
      <c r="B6" s="2" t="s">
        <v>48</v>
      </c>
      <c r="C6" s="3" t="s">
        <v>105</v>
      </c>
      <c r="D6" s="40" t="s">
        <v>50</v>
      </c>
      <c r="E6" s="4" t="s">
        <v>46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-122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46423</v>
      </c>
      <c r="B7" s="2" t="s">
        <v>51</v>
      </c>
      <c r="C7" s="3" t="s">
        <v>106</v>
      </c>
      <c r="D7" s="40" t="s">
        <v>53</v>
      </c>
      <c r="E7" s="4" t="s">
        <v>46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-124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47</v>
      </c>
    </row>
    <row r="8" customFormat="false" ht="12" hidden="false" customHeight="false" outlineLevel="0" collapsed="false">
      <c r="A8" s="1" t="n">
        <v>46426</v>
      </c>
      <c r="B8" s="2" t="s">
        <v>54</v>
      </c>
      <c r="C8" s="3" t="s">
        <v>107</v>
      </c>
      <c r="D8" s="40" t="s">
        <v>56</v>
      </c>
      <c r="E8" s="4" t="s">
        <v>57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-127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46428</v>
      </c>
      <c r="B9" s="2" t="s">
        <v>59</v>
      </c>
      <c r="C9" s="3" t="s">
        <v>108</v>
      </c>
      <c r="D9" s="40" t="s">
        <v>61</v>
      </c>
      <c r="E9" s="4" t="s">
        <v>57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-129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58</v>
      </c>
    </row>
    <row r="10" customFormat="false" ht="12" hidden="false" customHeight="false" outlineLevel="0" collapsed="false">
      <c r="A10" s="1" t="n">
        <v>46432</v>
      </c>
      <c r="B10" s="2" t="s">
        <v>109</v>
      </c>
      <c r="C10" s="3" t="s">
        <v>110</v>
      </c>
      <c r="D10" s="40" t="s">
        <v>111</v>
      </c>
      <c r="E10" s="4" t="s">
        <v>57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-133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58</v>
      </c>
    </row>
    <row r="11" customFormat="false" ht="12" hidden="false" customHeight="false" outlineLevel="0" collapsed="false">
      <c r="A11" s="1" t="n">
        <v>46433</v>
      </c>
      <c r="B11" s="2" t="s">
        <v>17</v>
      </c>
      <c r="C11" s="3" t="s">
        <v>112</v>
      </c>
      <c r="D11" s="40" t="s">
        <v>63</v>
      </c>
      <c r="E11" s="4" t="s">
        <v>57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-134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58</v>
      </c>
    </row>
    <row r="12" customFormat="false" ht="12" hidden="false" customHeight="false" outlineLevel="0" collapsed="false">
      <c r="A12" s="1" t="n">
        <v>46436</v>
      </c>
      <c r="B12" s="2" t="s">
        <v>64</v>
      </c>
      <c r="C12" s="3" t="s">
        <v>113</v>
      </c>
      <c r="D12" s="40" t="s">
        <v>66</v>
      </c>
      <c r="E12" s="4" t="s">
        <v>57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-137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58</v>
      </c>
    </row>
    <row r="13" customFormat="false" ht="12" hidden="false" customHeight="false" outlineLevel="0" collapsed="false">
      <c r="A13" s="1" t="n">
        <v>46446</v>
      </c>
      <c r="B13" s="2" t="s">
        <v>70</v>
      </c>
      <c r="C13" s="3" t="s">
        <v>114</v>
      </c>
      <c r="D13" s="40" t="s">
        <v>72</v>
      </c>
      <c r="E13" s="4" t="s">
        <v>73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-147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74</v>
      </c>
    </row>
    <row r="14" customFormat="false" ht="12" hidden="false" customHeight="false" outlineLevel="0" collapsed="false">
      <c r="E14" s="4" t="str">
        <f aca="false">IF((F14&lt;&gt;0),"Enter Letter"," ")</f>
        <v> </v>
      </c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E15" s="4" t="str">
        <f aca="false">IF((F15&lt;&gt;0),"Enter Letter"," ")</f>
        <v> </v>
      </c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46299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Feb!G2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s">
        <v>33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46447</v>
      </c>
      <c r="B5" s="2" t="s">
        <v>115</v>
      </c>
      <c r="C5" s="3" t="s">
        <v>116</v>
      </c>
      <c r="D5" s="40" t="s">
        <v>117</v>
      </c>
      <c r="E5" s="4" t="s">
        <v>118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-148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119</v>
      </c>
    </row>
    <row r="6" customFormat="false" ht="12.75" hidden="false" customHeight="true" outlineLevel="0" collapsed="false">
      <c r="A6" s="1" t="n">
        <v>46449</v>
      </c>
      <c r="B6" s="2" t="s">
        <v>48</v>
      </c>
      <c r="C6" s="3" t="s">
        <v>120</v>
      </c>
      <c r="D6" s="40" t="s">
        <v>50</v>
      </c>
      <c r="E6" s="4" t="s">
        <v>46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-150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46451</v>
      </c>
      <c r="B7" s="2" t="s">
        <v>51</v>
      </c>
      <c r="C7" s="3" t="s">
        <v>121</v>
      </c>
      <c r="D7" s="40" t="s">
        <v>53</v>
      </c>
      <c r="E7" s="4" t="s">
        <v>46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-152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47</v>
      </c>
    </row>
    <row r="8" customFormat="false" ht="12" hidden="false" customHeight="false" outlineLevel="0" collapsed="false">
      <c r="A8" s="1" t="n">
        <v>46454</v>
      </c>
      <c r="B8" s="2" t="s">
        <v>54</v>
      </c>
      <c r="C8" s="3" t="s">
        <v>122</v>
      </c>
      <c r="D8" s="40" t="s">
        <v>56</v>
      </c>
      <c r="E8" s="4" t="s">
        <v>57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-155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46456</v>
      </c>
      <c r="B9" s="2" t="s">
        <v>59</v>
      </c>
      <c r="C9" s="3" t="s">
        <v>123</v>
      </c>
      <c r="D9" s="40" t="s">
        <v>61</v>
      </c>
      <c r="E9" s="4" t="s">
        <v>57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-157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58</v>
      </c>
    </row>
    <row r="10" customFormat="false" ht="12" hidden="false" customHeight="false" outlineLevel="0" collapsed="false">
      <c r="A10" s="1" t="n">
        <v>46458</v>
      </c>
      <c r="B10" s="2" t="s">
        <v>79</v>
      </c>
      <c r="C10" s="3" t="s">
        <v>124</v>
      </c>
      <c r="D10" s="40" t="s">
        <v>81</v>
      </c>
      <c r="E10" s="4" t="s">
        <v>57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-159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58</v>
      </c>
    </row>
    <row r="11" customFormat="false" ht="12" hidden="false" customHeight="false" outlineLevel="0" collapsed="false">
      <c r="A11" s="1" t="n">
        <v>46461</v>
      </c>
      <c r="B11" s="2" t="s">
        <v>17</v>
      </c>
      <c r="C11" s="3" t="s">
        <v>125</v>
      </c>
      <c r="D11" s="40" t="s">
        <v>63</v>
      </c>
      <c r="E11" s="4" t="s">
        <v>57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-162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58</v>
      </c>
    </row>
    <row r="12" customFormat="false" ht="12" hidden="false" customHeight="false" outlineLevel="0" collapsed="false">
      <c r="A12" s="1" t="n">
        <v>46464</v>
      </c>
      <c r="B12" s="2" t="s">
        <v>64</v>
      </c>
      <c r="C12" s="3" t="s">
        <v>126</v>
      </c>
      <c r="D12" s="40" t="s">
        <v>66</v>
      </c>
      <c r="E12" s="4" t="s">
        <v>57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-165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58</v>
      </c>
    </row>
    <row r="13" customFormat="false" ht="12" hidden="false" customHeight="false" outlineLevel="0" collapsed="false">
      <c r="A13" s="1" t="n">
        <v>46466</v>
      </c>
      <c r="B13" s="2" t="s">
        <v>67</v>
      </c>
      <c r="C13" s="3" t="s">
        <v>127</v>
      </c>
      <c r="D13" s="40" t="s">
        <v>69</v>
      </c>
      <c r="E13" s="4" t="s">
        <v>57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-167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58</v>
      </c>
    </row>
    <row r="14" customFormat="false" ht="12" hidden="false" customHeight="false" outlineLevel="0" collapsed="false">
      <c r="A14" s="1" t="n">
        <v>46471</v>
      </c>
      <c r="B14" s="2" t="s">
        <v>89</v>
      </c>
      <c r="C14" s="3" t="s">
        <v>128</v>
      </c>
      <c r="D14" s="40" t="s">
        <v>91</v>
      </c>
      <c r="E14" s="4" t="s">
        <v>57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-172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58</v>
      </c>
    </row>
    <row r="15" customFormat="false" ht="12" hidden="false" customHeight="false" outlineLevel="0" collapsed="false">
      <c r="E15" s="4" t="str">
        <f aca="false">IF((F15&lt;&gt;0),"Enter Letter"," ")</f>
        <v> </v>
      </c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46299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Mar!G2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s">
        <v>33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46480</v>
      </c>
      <c r="B5" s="2" t="s">
        <v>48</v>
      </c>
      <c r="C5" s="3" t="s">
        <v>129</v>
      </c>
      <c r="D5" s="40" t="s">
        <v>50</v>
      </c>
      <c r="E5" s="4" t="s">
        <v>46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-181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47</v>
      </c>
    </row>
    <row r="6" customFormat="false" ht="12.75" hidden="false" customHeight="true" outlineLevel="0" collapsed="false">
      <c r="A6" s="1" t="n">
        <v>46482</v>
      </c>
      <c r="B6" s="2" t="s">
        <v>51</v>
      </c>
      <c r="C6" s="3" t="s">
        <v>130</v>
      </c>
      <c r="D6" s="40" t="s">
        <v>53</v>
      </c>
      <c r="E6" s="4" t="s">
        <v>46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-183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46485</v>
      </c>
      <c r="B7" s="2" t="s">
        <v>54</v>
      </c>
      <c r="C7" s="3" t="s">
        <v>131</v>
      </c>
      <c r="D7" s="40" t="s">
        <v>56</v>
      </c>
      <c r="E7" s="4" t="s">
        <v>57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-186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58</v>
      </c>
    </row>
    <row r="8" customFormat="false" ht="12" hidden="false" customHeight="false" outlineLevel="0" collapsed="false">
      <c r="A8" s="1" t="n">
        <v>46487</v>
      </c>
      <c r="B8" s="2" t="s">
        <v>59</v>
      </c>
      <c r="C8" s="3" t="s">
        <v>132</v>
      </c>
      <c r="D8" s="40" t="s">
        <v>61</v>
      </c>
      <c r="E8" s="4" t="s">
        <v>57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-188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46492</v>
      </c>
      <c r="B9" s="2" t="s">
        <v>17</v>
      </c>
      <c r="C9" s="3" t="s">
        <v>133</v>
      </c>
      <c r="D9" s="40" t="s">
        <v>63</v>
      </c>
      <c r="E9" s="4" t="s">
        <v>57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-193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58</v>
      </c>
    </row>
    <row r="10" customFormat="false" ht="12" hidden="false" customHeight="false" outlineLevel="0" collapsed="false">
      <c r="A10" s="1" t="n">
        <v>46493</v>
      </c>
      <c r="B10" s="2" t="s">
        <v>83</v>
      </c>
      <c r="C10" s="3" t="s">
        <v>134</v>
      </c>
      <c r="D10" s="40" t="s">
        <v>85</v>
      </c>
      <c r="E10" s="4" t="s">
        <v>86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-194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87</v>
      </c>
    </row>
    <row r="11" customFormat="false" ht="12" hidden="false" customHeight="false" outlineLevel="0" collapsed="false">
      <c r="A11" s="1" t="n">
        <v>46495</v>
      </c>
      <c r="B11" s="2" t="s">
        <v>64</v>
      </c>
      <c r="C11" s="3" t="s">
        <v>135</v>
      </c>
      <c r="D11" s="40" t="s">
        <v>66</v>
      </c>
      <c r="E11" s="4" t="s">
        <v>57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-196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58</v>
      </c>
    </row>
    <row r="12" customFormat="false" ht="12" hidden="false" customHeight="false" outlineLevel="0" collapsed="false">
      <c r="A12" s="1" t="n">
        <v>46497</v>
      </c>
      <c r="B12" s="2" t="s">
        <v>136</v>
      </c>
      <c r="C12" s="3" t="s">
        <v>137</v>
      </c>
      <c r="D12" s="40" t="s">
        <v>138</v>
      </c>
      <c r="E12" s="4" t="s">
        <v>86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-198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87</v>
      </c>
    </row>
    <row r="13" customFormat="false" ht="12" hidden="false" customHeight="false" outlineLevel="0" collapsed="false">
      <c r="A13" s="1" t="n">
        <v>46499</v>
      </c>
      <c r="B13" s="2" t="s">
        <v>101</v>
      </c>
      <c r="C13" s="3" t="s">
        <v>139</v>
      </c>
      <c r="D13" s="40" t="s">
        <v>103</v>
      </c>
      <c r="E13" s="4" t="s">
        <v>57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-200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58</v>
      </c>
    </row>
    <row r="14" customFormat="false" ht="12" hidden="false" customHeight="false" outlineLevel="0" collapsed="false">
      <c r="A14" s="1" t="n">
        <v>46502</v>
      </c>
      <c r="B14" s="2" t="s">
        <v>140</v>
      </c>
      <c r="C14" s="3" t="s">
        <v>141</v>
      </c>
      <c r="D14" s="40" t="s">
        <v>142</v>
      </c>
      <c r="E14" s="4" t="s">
        <v>73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-203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74</v>
      </c>
    </row>
    <row r="15" customFormat="false" ht="12" hidden="false" customHeight="false" outlineLevel="0" collapsed="false">
      <c r="E15" s="4" t="str">
        <f aca="false">IF((F15&lt;&gt;0),"Enter Letter"," ")</f>
        <v> </v>
      </c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46299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Apr!G2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s">
        <v>33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46508</v>
      </c>
      <c r="B5" s="2" t="s">
        <v>19</v>
      </c>
      <c r="C5" s="3" t="s">
        <v>143</v>
      </c>
      <c r="D5" s="40" t="s">
        <v>45</v>
      </c>
      <c r="E5" s="4" t="s">
        <v>46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-209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47</v>
      </c>
    </row>
    <row r="6" customFormat="false" ht="12.75" hidden="false" customHeight="true" outlineLevel="0" collapsed="false">
      <c r="A6" s="1" t="n">
        <v>46510</v>
      </c>
      <c r="B6" s="2" t="s">
        <v>48</v>
      </c>
      <c r="C6" s="3" t="s">
        <v>144</v>
      </c>
      <c r="D6" s="40" t="s">
        <v>50</v>
      </c>
      <c r="E6" s="4" t="s">
        <v>46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-211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46512</v>
      </c>
      <c r="B7" s="2" t="s">
        <v>51</v>
      </c>
      <c r="C7" s="3" t="s">
        <v>145</v>
      </c>
      <c r="D7" s="40" t="s">
        <v>53</v>
      </c>
      <c r="E7" s="4" t="s">
        <v>46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-213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47</v>
      </c>
    </row>
    <row r="8" customFormat="false" ht="12" hidden="false" customHeight="false" outlineLevel="0" collapsed="false">
      <c r="A8" s="1" t="n">
        <v>46515</v>
      </c>
      <c r="B8" s="2" t="s">
        <v>54</v>
      </c>
      <c r="C8" s="3" t="s">
        <v>146</v>
      </c>
      <c r="D8" s="40" t="s">
        <v>56</v>
      </c>
      <c r="E8" s="4" t="s">
        <v>57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-216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46517</v>
      </c>
      <c r="B9" s="2" t="s">
        <v>147</v>
      </c>
      <c r="C9" s="3" t="s">
        <v>148</v>
      </c>
      <c r="D9" s="40" t="s">
        <v>149</v>
      </c>
      <c r="E9" s="4" t="s">
        <v>150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-218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151</v>
      </c>
    </row>
    <row r="10" customFormat="false" ht="12" hidden="false" customHeight="false" outlineLevel="0" collapsed="false">
      <c r="A10" s="1" t="n">
        <v>46517</v>
      </c>
      <c r="B10" s="2" t="s">
        <v>59</v>
      </c>
      <c r="C10" s="3" t="s">
        <v>152</v>
      </c>
      <c r="D10" s="40" t="s">
        <v>61</v>
      </c>
      <c r="E10" s="4" t="s">
        <v>57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-218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58</v>
      </c>
    </row>
    <row r="11" customFormat="false" ht="12" hidden="false" customHeight="false" outlineLevel="0" collapsed="false">
      <c r="A11" s="1" t="n">
        <v>46521</v>
      </c>
      <c r="B11" s="2" t="s">
        <v>109</v>
      </c>
      <c r="C11" s="3" t="s">
        <v>153</v>
      </c>
      <c r="D11" s="40" t="s">
        <v>111</v>
      </c>
      <c r="E11" s="4" t="s">
        <v>57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-222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58</v>
      </c>
    </row>
    <row r="12" customFormat="false" ht="12" hidden="false" customHeight="false" outlineLevel="0" collapsed="false">
      <c r="A12" s="1" t="n">
        <v>46522</v>
      </c>
      <c r="B12" s="2" t="s">
        <v>17</v>
      </c>
      <c r="C12" s="3" t="s">
        <v>154</v>
      </c>
      <c r="D12" s="40" t="s">
        <v>63</v>
      </c>
      <c r="E12" s="4" t="s">
        <v>57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-223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58</v>
      </c>
    </row>
    <row r="13" customFormat="false" ht="12" hidden="false" customHeight="false" outlineLevel="0" collapsed="false">
      <c r="A13" s="1" t="n">
        <v>46525</v>
      </c>
      <c r="B13" s="2" t="s">
        <v>64</v>
      </c>
      <c r="C13" s="3" t="s">
        <v>155</v>
      </c>
      <c r="D13" s="40" t="s">
        <v>66</v>
      </c>
      <c r="E13" s="4" t="s">
        <v>57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-226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58</v>
      </c>
    </row>
    <row r="14" customFormat="false" ht="12" hidden="false" customHeight="false" outlineLevel="0" collapsed="false">
      <c r="A14" s="1" t="n">
        <v>46527</v>
      </c>
      <c r="B14" s="2" t="s">
        <v>67</v>
      </c>
      <c r="C14" s="3" t="s">
        <v>156</v>
      </c>
      <c r="D14" s="40" t="s">
        <v>69</v>
      </c>
      <c r="E14" s="4" t="s">
        <v>57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-228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58</v>
      </c>
    </row>
    <row r="15" customFormat="false" ht="12" hidden="false" customHeight="false" outlineLevel="0" collapsed="false">
      <c r="A15" s="1" t="n">
        <v>46535</v>
      </c>
      <c r="B15" s="2" t="s">
        <v>70</v>
      </c>
      <c r="C15" s="3" t="s">
        <v>157</v>
      </c>
      <c r="D15" s="40" t="s">
        <v>72</v>
      </c>
      <c r="E15" s="4" t="s">
        <v>73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-236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74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46299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May!G2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s">
        <v>33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46541</v>
      </c>
      <c r="B5" s="2" t="s">
        <v>48</v>
      </c>
      <c r="C5" s="3" t="s">
        <v>158</v>
      </c>
      <c r="D5" s="40" t="s">
        <v>50</v>
      </c>
      <c r="E5" s="4" t="s">
        <v>46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-242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47</v>
      </c>
    </row>
    <row r="6" customFormat="false" ht="12.75" hidden="false" customHeight="true" outlineLevel="0" collapsed="false">
      <c r="A6" s="1" t="n">
        <v>46543</v>
      </c>
      <c r="B6" s="2" t="s">
        <v>51</v>
      </c>
      <c r="C6" s="3" t="s">
        <v>159</v>
      </c>
      <c r="D6" s="40" t="s">
        <v>53</v>
      </c>
      <c r="E6" s="4" t="s">
        <v>46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-244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46546</v>
      </c>
      <c r="B7" s="2" t="s">
        <v>54</v>
      </c>
      <c r="C7" s="3" t="s">
        <v>160</v>
      </c>
      <c r="D7" s="40" t="s">
        <v>56</v>
      </c>
      <c r="E7" s="4" t="s">
        <v>57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-247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58</v>
      </c>
    </row>
    <row r="8" customFormat="false" ht="12" hidden="false" customHeight="false" outlineLevel="0" collapsed="false">
      <c r="A8" s="1" t="n">
        <v>46548</v>
      </c>
      <c r="B8" s="2" t="s">
        <v>59</v>
      </c>
      <c r="C8" s="3" t="s">
        <v>161</v>
      </c>
      <c r="D8" s="40" t="s">
        <v>61</v>
      </c>
      <c r="E8" s="4" t="s">
        <v>57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-249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46550</v>
      </c>
      <c r="B9" s="2" t="s">
        <v>79</v>
      </c>
      <c r="C9" s="3" t="s">
        <v>162</v>
      </c>
      <c r="D9" s="40" t="s">
        <v>81</v>
      </c>
      <c r="E9" s="4" t="s">
        <v>57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-251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58</v>
      </c>
    </row>
    <row r="10" customFormat="false" ht="12" hidden="false" customHeight="false" outlineLevel="0" collapsed="false">
      <c r="A10" s="1" t="n">
        <v>46553</v>
      </c>
      <c r="B10" s="2" t="s">
        <v>17</v>
      </c>
      <c r="C10" s="3" t="s">
        <v>163</v>
      </c>
      <c r="D10" s="40" t="s">
        <v>63</v>
      </c>
      <c r="E10" s="4" t="s">
        <v>57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-254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58</v>
      </c>
    </row>
    <row r="11" customFormat="false" ht="12" hidden="false" customHeight="false" outlineLevel="0" collapsed="false">
      <c r="A11" s="1" t="n">
        <v>46556</v>
      </c>
      <c r="B11" s="2" t="s">
        <v>64</v>
      </c>
      <c r="C11" s="3" t="s">
        <v>164</v>
      </c>
      <c r="D11" s="40" t="s">
        <v>66</v>
      </c>
      <c r="E11" s="4" t="s">
        <v>57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-257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58</v>
      </c>
    </row>
    <row r="12" customFormat="false" ht="12" hidden="false" customHeight="false" outlineLevel="0" collapsed="false">
      <c r="A12" s="1" t="n">
        <v>46558</v>
      </c>
      <c r="B12" s="2" t="s">
        <v>165</v>
      </c>
      <c r="C12" s="3" t="s">
        <v>166</v>
      </c>
      <c r="D12" s="40" t="s">
        <v>167</v>
      </c>
      <c r="E12" s="4" t="s">
        <v>86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-259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87</v>
      </c>
    </row>
    <row r="13" customFormat="false" ht="12" hidden="false" customHeight="false" outlineLevel="0" collapsed="false">
      <c r="A13" s="1" t="n">
        <v>46563</v>
      </c>
      <c r="B13" s="2" t="s">
        <v>89</v>
      </c>
      <c r="C13" s="3" t="s">
        <v>168</v>
      </c>
      <c r="D13" s="40" t="s">
        <v>91</v>
      </c>
      <c r="E13" s="4" t="s">
        <v>57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-264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58</v>
      </c>
    </row>
    <row r="14" customFormat="false" ht="12" hidden="false" customHeight="false" outlineLevel="0" collapsed="false">
      <c r="E14" s="4" t="str">
        <f aca="false">IF((F14&lt;&gt;0),"Enter Letter"," ")</f>
        <v> </v>
      </c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E15" s="4" t="str">
        <f aca="false">IF((F15&lt;&gt;0),"Enter Letter"," ")</f>
        <v> </v>
      </c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46299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Jun!G2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s">
        <v>33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46571</v>
      </c>
      <c r="B5" s="2" t="s">
        <v>48</v>
      </c>
      <c r="C5" s="3" t="s">
        <v>169</v>
      </c>
      <c r="D5" s="40" t="s">
        <v>50</v>
      </c>
      <c r="E5" s="4" t="s">
        <v>46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-272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47</v>
      </c>
    </row>
    <row r="6" customFormat="false" ht="12.75" hidden="false" customHeight="true" outlineLevel="0" collapsed="false">
      <c r="A6" s="1" t="n">
        <v>46573</v>
      </c>
      <c r="B6" s="2" t="s">
        <v>51</v>
      </c>
      <c r="C6" s="3" t="s">
        <v>170</v>
      </c>
      <c r="D6" s="40" t="s">
        <v>53</v>
      </c>
      <c r="E6" s="4" t="s">
        <v>46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-274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46576</v>
      </c>
      <c r="B7" s="2" t="s">
        <v>54</v>
      </c>
      <c r="C7" s="3" t="s">
        <v>171</v>
      </c>
      <c r="D7" s="40" t="s">
        <v>56</v>
      </c>
      <c r="E7" s="4" t="s">
        <v>57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-277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58</v>
      </c>
    </row>
    <row r="8" customFormat="false" ht="12" hidden="false" customHeight="false" outlineLevel="0" collapsed="false">
      <c r="A8" s="1" t="n">
        <v>46578</v>
      </c>
      <c r="B8" s="2" t="s">
        <v>59</v>
      </c>
      <c r="C8" s="3" t="s">
        <v>172</v>
      </c>
      <c r="D8" s="40" t="s">
        <v>61</v>
      </c>
      <c r="E8" s="4" t="s">
        <v>57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-279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46583</v>
      </c>
      <c r="B9" s="2" t="s">
        <v>17</v>
      </c>
      <c r="C9" s="3" t="s">
        <v>173</v>
      </c>
      <c r="D9" s="40" t="s">
        <v>63</v>
      </c>
      <c r="E9" s="4" t="s">
        <v>57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-284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58</v>
      </c>
    </row>
    <row r="10" customFormat="false" ht="12" hidden="false" customHeight="false" outlineLevel="0" collapsed="false">
      <c r="A10" s="1" t="n">
        <v>46586</v>
      </c>
      <c r="B10" s="2" t="s">
        <v>64</v>
      </c>
      <c r="C10" s="3" t="s">
        <v>174</v>
      </c>
      <c r="D10" s="40" t="s">
        <v>66</v>
      </c>
      <c r="E10" s="4" t="s">
        <v>57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-287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58</v>
      </c>
    </row>
    <row r="11" customFormat="false" ht="12" hidden="false" customHeight="false" outlineLevel="0" collapsed="false">
      <c r="A11" s="1" t="n">
        <v>46588</v>
      </c>
      <c r="B11" s="2" t="s">
        <v>67</v>
      </c>
      <c r="C11" s="3" t="s">
        <v>175</v>
      </c>
      <c r="D11" s="40" t="s">
        <v>69</v>
      </c>
      <c r="E11" s="4" t="s">
        <v>57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-289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58</v>
      </c>
    </row>
    <row r="12" customFormat="false" ht="12" hidden="false" customHeight="false" outlineLevel="0" collapsed="false">
      <c r="A12" s="1" t="n">
        <v>46590</v>
      </c>
      <c r="B12" s="2" t="s">
        <v>101</v>
      </c>
      <c r="C12" s="3" t="s">
        <v>176</v>
      </c>
      <c r="D12" s="40" t="s">
        <v>103</v>
      </c>
      <c r="E12" s="4" t="s">
        <v>57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-291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58</v>
      </c>
    </row>
    <row r="13" customFormat="false" ht="12" hidden="false" customHeight="false" outlineLevel="0" collapsed="false">
      <c r="E13" s="4" t="str">
        <f aca="false">IF((F13&lt;&gt;0),"Enter Letter"," ")</f>
        <v> </v>
      </c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E14" s="4" t="str">
        <f aca="false">IF((F14&lt;&gt;0),"Enter Letter"," ")</f>
        <v> </v>
      </c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E15" s="4" t="str">
        <f aca="false">IF((F15&lt;&gt;0),"Enter Letter"," ")</f>
        <v> </v>
      </c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46299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Jul!G2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s">
        <v>33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46600</v>
      </c>
      <c r="B5" s="2" t="s">
        <v>19</v>
      </c>
      <c r="C5" s="3" t="s">
        <v>177</v>
      </c>
      <c r="D5" s="40" t="s">
        <v>45</v>
      </c>
      <c r="E5" s="4" t="s">
        <v>46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-301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47</v>
      </c>
    </row>
    <row r="6" customFormat="false" ht="12.75" hidden="false" customHeight="true" outlineLevel="0" collapsed="false">
      <c r="A6" s="1" t="n">
        <v>46602</v>
      </c>
      <c r="B6" s="2" t="s">
        <v>48</v>
      </c>
      <c r="C6" s="3" t="s">
        <v>178</v>
      </c>
      <c r="D6" s="40" t="s">
        <v>50</v>
      </c>
      <c r="E6" s="4" t="s">
        <v>46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-303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46604</v>
      </c>
      <c r="B7" s="2" t="s">
        <v>51</v>
      </c>
      <c r="C7" s="3" t="s">
        <v>179</v>
      </c>
      <c r="D7" s="40" t="s">
        <v>53</v>
      </c>
      <c r="E7" s="4" t="s">
        <v>46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-305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47</v>
      </c>
    </row>
    <row r="8" customFormat="false" ht="12" hidden="false" customHeight="false" outlineLevel="0" collapsed="false">
      <c r="A8" s="1" t="n">
        <v>46607</v>
      </c>
      <c r="B8" s="2" t="s">
        <v>54</v>
      </c>
      <c r="C8" s="3" t="s">
        <v>180</v>
      </c>
      <c r="D8" s="40" t="s">
        <v>56</v>
      </c>
      <c r="E8" s="4" t="s">
        <v>57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-308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46609</v>
      </c>
      <c r="B9" s="2" t="s">
        <v>59</v>
      </c>
      <c r="C9" s="3" t="s">
        <v>181</v>
      </c>
      <c r="D9" s="40" t="s">
        <v>61</v>
      </c>
      <c r="E9" s="4" t="s">
        <v>57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-310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58</v>
      </c>
    </row>
    <row r="10" customFormat="false" ht="12" hidden="false" customHeight="false" outlineLevel="0" collapsed="false">
      <c r="A10" s="1" t="n">
        <v>46613</v>
      </c>
      <c r="B10" s="2" t="s">
        <v>109</v>
      </c>
      <c r="C10" s="3" t="s">
        <v>182</v>
      </c>
      <c r="D10" s="40" t="s">
        <v>111</v>
      </c>
      <c r="E10" s="4" t="s">
        <v>57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-314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58</v>
      </c>
    </row>
    <row r="11" customFormat="false" ht="12" hidden="false" customHeight="false" outlineLevel="0" collapsed="false">
      <c r="A11" s="1" t="n">
        <v>46614</v>
      </c>
      <c r="B11" s="2" t="s">
        <v>17</v>
      </c>
      <c r="C11" s="3" t="s">
        <v>183</v>
      </c>
      <c r="D11" s="40" t="s">
        <v>63</v>
      </c>
      <c r="E11" s="4" t="s">
        <v>57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-315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58</v>
      </c>
    </row>
    <row r="12" customFormat="false" ht="12" hidden="false" customHeight="false" outlineLevel="0" collapsed="false">
      <c r="A12" s="1" t="n">
        <v>46615</v>
      </c>
      <c r="B12" s="2" t="s">
        <v>83</v>
      </c>
      <c r="C12" s="3" t="s">
        <v>184</v>
      </c>
      <c r="D12" s="40" t="s">
        <v>85</v>
      </c>
      <c r="E12" s="4" t="s">
        <v>86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-316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87</v>
      </c>
    </row>
    <row r="13" customFormat="false" ht="12" hidden="false" customHeight="false" outlineLevel="0" collapsed="false">
      <c r="A13" s="1" t="n">
        <v>46617</v>
      </c>
      <c r="B13" s="2" t="s">
        <v>64</v>
      </c>
      <c r="C13" s="3" t="s">
        <v>185</v>
      </c>
      <c r="D13" s="40" t="s">
        <v>66</v>
      </c>
      <c r="E13" s="4" t="s">
        <v>57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-318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58</v>
      </c>
    </row>
    <row r="14" customFormat="false" ht="12" hidden="false" customHeight="false" outlineLevel="0" collapsed="false">
      <c r="A14" s="1" t="n">
        <v>46624</v>
      </c>
      <c r="B14" s="2" t="s">
        <v>186</v>
      </c>
      <c r="C14" s="3" t="s">
        <v>187</v>
      </c>
      <c r="D14" s="40" t="s">
        <v>142</v>
      </c>
      <c r="E14" s="4" t="s">
        <v>73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-325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74</v>
      </c>
    </row>
    <row r="15" customFormat="false" ht="12" hidden="false" customHeight="false" outlineLevel="0" collapsed="false">
      <c r="A15" s="1" t="n">
        <v>46627</v>
      </c>
      <c r="B15" s="2" t="s">
        <v>70</v>
      </c>
      <c r="C15" s="3" t="s">
        <v>188</v>
      </c>
      <c r="D15" s="40" t="s">
        <v>72</v>
      </c>
      <c r="E15" s="4" t="s">
        <v>73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-328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74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46299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Aug!G2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s">
        <v>33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46633</v>
      </c>
      <c r="B5" s="2" t="s">
        <v>48</v>
      </c>
      <c r="C5" s="3" t="s">
        <v>189</v>
      </c>
      <c r="D5" s="40" t="s">
        <v>50</v>
      </c>
      <c r="E5" s="4" t="s">
        <v>46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-334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47</v>
      </c>
    </row>
    <row r="6" customFormat="false" ht="12.75" hidden="false" customHeight="true" outlineLevel="0" collapsed="false">
      <c r="A6" s="1" t="n">
        <v>46635</v>
      </c>
      <c r="B6" s="2" t="s">
        <v>51</v>
      </c>
      <c r="C6" s="3" t="s">
        <v>190</v>
      </c>
      <c r="D6" s="40" t="s">
        <v>53</v>
      </c>
      <c r="E6" s="4" t="s">
        <v>46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-336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46638</v>
      </c>
      <c r="B7" s="2" t="s">
        <v>54</v>
      </c>
      <c r="C7" s="3" t="s">
        <v>191</v>
      </c>
      <c r="D7" s="40" t="s">
        <v>56</v>
      </c>
      <c r="E7" s="4" t="s">
        <v>57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-339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58</v>
      </c>
    </row>
    <row r="8" customFormat="false" ht="12" hidden="false" customHeight="false" outlineLevel="0" collapsed="false">
      <c r="A8" s="1" t="n">
        <v>46640</v>
      </c>
      <c r="B8" s="2" t="s">
        <v>59</v>
      </c>
      <c r="C8" s="3" t="s">
        <v>192</v>
      </c>
      <c r="D8" s="40" t="s">
        <v>61</v>
      </c>
      <c r="E8" s="4" t="s">
        <v>57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-341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46645</v>
      </c>
      <c r="B9" s="2" t="s">
        <v>17</v>
      </c>
      <c r="C9" s="3" t="s">
        <v>193</v>
      </c>
      <c r="D9" s="40" t="s">
        <v>63</v>
      </c>
      <c r="E9" s="4" t="s">
        <v>57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-346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58</v>
      </c>
    </row>
    <row r="10" customFormat="false" ht="12" hidden="false" customHeight="false" outlineLevel="0" collapsed="false">
      <c r="A10" s="1" t="n">
        <v>46648</v>
      </c>
      <c r="B10" s="2" t="s">
        <v>64</v>
      </c>
      <c r="C10" s="3" t="s">
        <v>194</v>
      </c>
      <c r="D10" s="40" t="s">
        <v>66</v>
      </c>
      <c r="E10" s="4" t="s">
        <v>57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-349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58</v>
      </c>
    </row>
    <row r="11" customFormat="false" ht="12" hidden="false" customHeight="false" outlineLevel="0" collapsed="false">
      <c r="A11" s="1" t="n">
        <v>46650</v>
      </c>
      <c r="B11" s="2" t="s">
        <v>67</v>
      </c>
      <c r="C11" s="3" t="s">
        <v>195</v>
      </c>
      <c r="D11" s="40" t="s">
        <v>69</v>
      </c>
      <c r="E11" s="4" t="s">
        <v>57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-351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58</v>
      </c>
    </row>
    <row r="12" customFormat="false" ht="12" hidden="false" customHeight="false" outlineLevel="0" collapsed="false">
      <c r="A12" s="1" t="n">
        <v>46650</v>
      </c>
      <c r="B12" s="2" t="s">
        <v>196</v>
      </c>
      <c r="C12" s="3" t="s">
        <v>197</v>
      </c>
      <c r="D12" s="40" t="s">
        <v>198</v>
      </c>
      <c r="E12" s="4" t="s">
        <v>86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-351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87</v>
      </c>
    </row>
    <row r="13" customFormat="false" ht="12" hidden="false" customHeight="false" outlineLevel="0" collapsed="false">
      <c r="A13" s="1" t="n">
        <v>46655</v>
      </c>
      <c r="B13" s="2" t="s">
        <v>89</v>
      </c>
      <c r="C13" s="3" t="s">
        <v>199</v>
      </c>
      <c r="D13" s="40" t="s">
        <v>91</v>
      </c>
      <c r="E13" s="4" t="s">
        <v>57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-356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58</v>
      </c>
    </row>
    <row r="14" customFormat="false" ht="12" hidden="false" customHeight="false" outlineLevel="0" collapsed="false">
      <c r="E14" s="4" t="str">
        <f aca="false">IF((F14&lt;&gt;0),"Enter Letter"," ")</f>
        <v> </v>
      </c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E15" s="4" t="str">
        <f aca="false">IF((F15&lt;&gt;0),"Enter Letter"," ")</f>
        <v> </v>
      </c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25</v>
      </c>
      <c r="C1" s="22" t="s">
        <v>5</v>
      </c>
      <c r="D1" s="43" t="s">
        <v>26</v>
      </c>
      <c r="E1" s="43"/>
      <c r="F1" s="12" t="n">
        <f aca="false">SUM(F5:F300)</f>
        <v>30640</v>
      </c>
      <c r="G1" s="12" t="n">
        <f aca="false">SUM(G5:G300)</f>
        <v>5106.66666666667</v>
      </c>
      <c r="H1" s="12" t="n">
        <f aca="false">SUM(H5:H300)</f>
        <v>25533.3333333333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30640</v>
      </c>
      <c r="M1" s="17" t="n">
        <f aca="true">TODAY()</f>
        <v>46299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-300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27</v>
      </c>
      <c r="F2" s="21" t="s">
        <v>7</v>
      </c>
      <c r="G2" s="25" t="n">
        <f aca="false">Sep!G2</f>
        <v>20</v>
      </c>
      <c r="H2" s="21" t="s">
        <v>28</v>
      </c>
      <c r="I2" s="13"/>
      <c r="J2" s="14"/>
      <c r="K2" s="26" t="s">
        <v>9</v>
      </c>
      <c r="L2" s="26"/>
      <c r="M2" s="26"/>
      <c r="N2" s="18"/>
      <c r="O2" s="21" t="s">
        <v>29</v>
      </c>
      <c r="P2" s="21"/>
      <c r="Q2" s="21"/>
      <c r="R2" s="21" t="s">
        <v>30</v>
      </c>
      <c r="S2" s="21" t="s">
        <v>31</v>
      </c>
      <c r="T2" s="21" t="s">
        <v>32</v>
      </c>
      <c r="U2" s="21" t="n">
        <f aca="false">Nov!U1+Dec!U1+Jan!U1+Feb!U1+Mar!U1+Apr!U1+May!U1+Jun!U1+Jul!U1+Aug!U1+Sep!U1+Oct!U1</f>
        <v>12500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34</v>
      </c>
      <c r="P3" s="44" t="s">
        <v>35</v>
      </c>
      <c r="Q3" s="44" t="s">
        <v>36</v>
      </c>
      <c r="R3" s="21"/>
      <c r="S3" s="21"/>
      <c r="T3" s="21"/>
      <c r="U3" s="21" t="s">
        <v>33</v>
      </c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37</v>
      </c>
      <c r="P4" s="12" t="s">
        <v>38</v>
      </c>
      <c r="Q4" s="12" t="s">
        <v>39</v>
      </c>
      <c r="R4" s="12" t="s">
        <v>40</v>
      </c>
      <c r="S4" s="12" t="s">
        <v>41</v>
      </c>
      <c r="T4" s="12" t="s">
        <v>42</v>
      </c>
      <c r="U4" s="12" t="s">
        <v>43</v>
      </c>
      <c r="V4" s="21"/>
      <c r="W4" s="21"/>
    </row>
    <row r="5" customFormat="false" ht="12.75" hidden="false" customHeight="true" outlineLevel="0" collapsed="false">
      <c r="A5" s="1" t="n">
        <v>46663</v>
      </c>
      <c r="B5" s="2" t="s">
        <v>48</v>
      </c>
      <c r="C5" s="3" t="s">
        <v>200</v>
      </c>
      <c r="D5" s="40" t="s">
        <v>50</v>
      </c>
      <c r="E5" s="4" t="s">
        <v>46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-364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47</v>
      </c>
    </row>
    <row r="6" customFormat="false" ht="12.75" hidden="false" customHeight="true" outlineLevel="0" collapsed="false">
      <c r="A6" s="1" t="n">
        <v>46665</v>
      </c>
      <c r="B6" s="2" t="s">
        <v>51</v>
      </c>
      <c r="C6" s="3" t="s">
        <v>201</v>
      </c>
      <c r="D6" s="40" t="s">
        <v>53</v>
      </c>
      <c r="E6" s="4" t="s">
        <v>46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-366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47</v>
      </c>
    </row>
    <row r="7" customFormat="false" ht="12" hidden="false" customHeight="false" outlineLevel="0" collapsed="false">
      <c r="A7" s="1" t="n">
        <v>46668</v>
      </c>
      <c r="B7" s="2" t="s">
        <v>54</v>
      </c>
      <c r="C7" s="3" t="s">
        <v>202</v>
      </c>
      <c r="D7" s="40" t="s">
        <v>56</v>
      </c>
      <c r="E7" s="4" t="s">
        <v>57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-369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58</v>
      </c>
    </row>
    <row r="8" customFormat="false" ht="12" hidden="false" customHeight="false" outlineLevel="0" collapsed="false">
      <c r="A8" s="1" t="n">
        <v>46670</v>
      </c>
      <c r="B8" s="2" t="s">
        <v>59</v>
      </c>
      <c r="C8" s="3" t="s">
        <v>203</v>
      </c>
      <c r="D8" s="40" t="s">
        <v>61</v>
      </c>
      <c r="E8" s="4" t="s">
        <v>57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-371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58</v>
      </c>
    </row>
    <row r="9" customFormat="false" ht="12" hidden="false" customHeight="false" outlineLevel="0" collapsed="false">
      <c r="A9" s="1" t="n">
        <v>46675</v>
      </c>
      <c r="B9" s="2" t="s">
        <v>17</v>
      </c>
      <c r="C9" s="3" t="s">
        <v>204</v>
      </c>
      <c r="D9" s="40" t="s">
        <v>63</v>
      </c>
      <c r="E9" s="4" t="s">
        <v>57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-376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58</v>
      </c>
    </row>
    <row r="10" customFormat="false" ht="12" hidden="false" customHeight="false" outlineLevel="0" collapsed="false">
      <c r="A10" s="1" t="n">
        <v>46678</v>
      </c>
      <c r="B10" s="2" t="s">
        <v>64</v>
      </c>
      <c r="C10" s="3" t="s">
        <v>205</v>
      </c>
      <c r="D10" s="40" t="s">
        <v>66</v>
      </c>
      <c r="E10" s="4" t="s">
        <v>57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-379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58</v>
      </c>
    </row>
    <row r="11" customFormat="false" ht="12" hidden="false" customHeight="false" outlineLevel="0" collapsed="false">
      <c r="A11" s="1" t="n">
        <v>46682</v>
      </c>
      <c r="B11" s="2" t="s">
        <v>101</v>
      </c>
      <c r="C11" s="3" t="s">
        <v>206</v>
      </c>
      <c r="D11" s="40" t="s">
        <v>103</v>
      </c>
      <c r="E11" s="4" t="s">
        <v>57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-383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58</v>
      </c>
    </row>
    <row r="12" customFormat="false" ht="12" hidden="false" customHeight="false" outlineLevel="0" collapsed="false">
      <c r="A12" s="1" t="n">
        <v>46691</v>
      </c>
      <c r="B12" s="2" t="s">
        <v>23</v>
      </c>
      <c r="C12" s="3" t="s">
        <v>207</v>
      </c>
      <c r="D12" s="40" t="s">
        <v>208</v>
      </c>
      <c r="E12" s="4" t="s">
        <v>209</v>
      </c>
      <c r="F12" s="2" t="n">
        <v>-360</v>
      </c>
      <c r="G12" s="2" t="n">
        <f aca="false">IF(G$4&gt;0,(IF(F12&lt;&gt;0,F12*G$4/100," ")),IF(F12&lt;&gt;0,F12*G$2/(100+G$2)," "))</f>
        <v>-60</v>
      </c>
      <c r="H12" s="2" t="n">
        <f aca="false">IF((F12&lt;&gt;0),F12-G12," ")</f>
        <v>-300</v>
      </c>
      <c r="L12" s="7" t="n">
        <f aca="false">IF(F12&lt;&gt;0,F12-K12," ")</f>
        <v>-360</v>
      </c>
      <c r="M12" s="8" t="n">
        <f aca="false">IF((F12-K12)&lt;&gt;0,M$1-A12," ")</f>
        <v>-392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-300</v>
      </c>
      <c r="U12" s="2" t="str">
        <f aca="false">IF((E12="FS"),H12," ")</f>
        <v> </v>
      </c>
      <c r="BZ12" s="2" t="s">
        <v>210</v>
      </c>
    </row>
    <row r="13" customFormat="false" ht="12" hidden="false" customHeight="false" outlineLevel="0" collapsed="false">
      <c r="E13" s="4" t="str">
        <f aca="false">IF((F13&lt;&gt;0),"Enter Letter"," ")</f>
        <v> </v>
      </c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E14" s="4" t="str">
        <f aca="false">IF((F14&lt;&gt;0),"Enter Letter"," ")</f>
        <v> </v>
      </c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E15" s="4" t="str">
        <f aca="false">IF((F15&lt;&gt;0),"Enter Letter"," ")</f>
        <v> </v>
      </c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E16" s="4" t="str">
        <f aca="false">IF((F16&lt;&gt;0),"Enter Letter"," ")</f>
        <v> </v>
      </c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E17" s="4" t="str">
        <f aca="false">IF((F17&lt;&gt;0),"Enter Letter"," ")</f>
        <v> </v>
      </c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E18" s="4" t="str">
        <f aca="false">IF((F18&lt;&gt;0),"Enter Letter"," ")</f>
        <v> </v>
      </c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E19" s="4" t="str">
        <f aca="false">IF((F19&lt;&gt;0),"Enter Letter"," ")</f>
        <v> </v>
      </c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E20" s="4" t="str">
        <f aca="false">IF((F20&lt;&gt;0),"Enter Letter"," ")</f>
        <v> </v>
      </c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E21" s="4" t="str">
        <f aca="false">IF((F21&lt;&gt;0),"Enter Letter"," ")</f>
        <v> </v>
      </c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E22" s="4" t="str">
        <f aca="false">IF((F22&lt;&gt;0),"Enter Letter"," ")</f>
        <v> </v>
      </c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E23" s="4" t="str">
        <f aca="false">IF((F23&lt;&gt;0),"Enter Letter"," ")</f>
        <v> </v>
      </c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E24" s="4" t="str">
        <f aca="false">IF((F24&lt;&gt;0),"Enter Letter"," ")</f>
        <v> </v>
      </c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E25" s="4" t="str">
        <f aca="false">IF((F25&lt;&gt;0),"Enter Letter"," ")</f>
        <v> </v>
      </c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E26" s="4" t="str">
        <f aca="false">IF((F26&lt;&gt;0),"Enter Letter"," ")</f>
        <v> </v>
      </c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E27" s="4" t="str">
        <f aca="false">IF((F27&lt;&gt;0),"Enter Letter"," ")</f>
        <v> </v>
      </c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E28" s="4" t="str">
        <f aca="false">IF((F28&lt;&gt;0),"Enter Letter"," ")</f>
        <v> </v>
      </c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E29" s="4" t="str">
        <f aca="false">IF((F29&lt;&gt;0),"Enter Letter"," ")</f>
        <v> </v>
      </c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E30" s="4" t="str">
        <f aca="false">IF((F30&lt;&gt;0),"Enter Letter"," ")</f>
        <v> </v>
      </c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E31" s="4" t="str">
        <f aca="false">IF((F31&lt;&gt;0),"Enter Letter"," ")</f>
        <v> </v>
      </c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E32" s="4" t="str">
        <f aca="false">IF((F32&lt;&gt;0),"Enter Letter"," ")</f>
        <v> </v>
      </c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E33" s="4" t="str">
        <f aca="false">IF((F33&lt;&gt;0),"Enter Letter"," ")</f>
        <v> </v>
      </c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E34" s="4" t="str">
        <f aca="false">IF((F34&lt;&gt;0),"Enter Letter"," ")</f>
        <v> </v>
      </c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E35" s="4" t="str">
        <f aca="false">IF((F35&lt;&gt;0),"Enter Letter"," ")</f>
        <v> </v>
      </c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E36" s="4" t="str">
        <f aca="false">IF((F36&lt;&gt;0),"Enter Letter"," ")</f>
        <v> </v>
      </c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E37" s="4" t="str">
        <f aca="false">IF((F37&lt;&gt;0),"Enter Letter"," ")</f>
        <v> </v>
      </c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E38" s="4" t="str">
        <f aca="false">IF((F38&lt;&gt;0),"Enter Letter"," ")</f>
        <v> </v>
      </c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E39" s="4" t="str">
        <f aca="false">IF((F39&lt;&gt;0),"Enter Letter"," ")</f>
        <v> </v>
      </c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E40" s="4" t="str">
        <f aca="false">IF((F40&lt;&gt;0),"Enter Letter"," ")</f>
        <v> </v>
      </c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E41" s="4" t="str">
        <f aca="false">IF((F41&lt;&gt;0),"Enter Letter"," ")</f>
        <v> </v>
      </c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E42" s="4" t="str">
        <f aca="false">IF((F42&lt;&gt;0),"Enter Letter"," ")</f>
        <v> </v>
      </c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E43" s="4" t="str">
        <f aca="false">IF((F43&lt;&gt;0),"Enter Letter"," ")</f>
        <v> </v>
      </c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E44" s="4" t="str">
        <f aca="false">IF((F44&lt;&gt;0),"Enter Letter"," ")</f>
        <v> </v>
      </c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E45" s="4" t="str">
        <f aca="false">IF((F45&lt;&gt;0),"Enter Letter"," ")</f>
        <v> </v>
      </c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E46" s="4" t="str">
        <f aca="false">IF((F46&lt;&gt;0),"Enter Letter"," ")</f>
        <v> </v>
      </c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E47" s="4" t="str">
        <f aca="false">IF((F47&lt;&gt;0),"Enter Letter"," ")</f>
        <v> </v>
      </c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E48" s="4" t="str">
        <f aca="false">IF((F48&lt;&gt;0),"Enter Letter"," ")</f>
        <v> </v>
      </c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E49" s="4" t="str">
        <f aca="false">IF((F49&lt;&gt;0),"Enter Letter"," ")</f>
        <v> </v>
      </c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E50" s="4" t="str">
        <f aca="false">IF((F50&lt;&gt;0),"Enter Letter"," ")</f>
        <v> </v>
      </c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E51" s="4" t="str">
        <f aca="false">IF((F51&lt;&gt;0),"Enter Letter"," ")</f>
        <v> </v>
      </c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E52" s="4" t="str">
        <f aca="false">IF((F52&lt;&gt;0),"Enter Letter"," ")</f>
        <v> </v>
      </c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E53" s="4" t="str">
        <f aca="false">IF((F53&lt;&gt;0),"Enter Letter"," ")</f>
        <v> </v>
      </c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E54" s="4" t="str">
        <f aca="false">IF((F54&lt;&gt;0),"Enter Letter"," ")</f>
        <v> </v>
      </c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E55" s="4" t="str">
        <f aca="false">IF((F55&lt;&gt;0),"Enter Letter"," ")</f>
        <v> </v>
      </c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E56" s="4" t="str">
        <f aca="false">IF((F56&lt;&gt;0),"Enter Letter"," ")</f>
        <v> </v>
      </c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E57" s="4" t="str">
        <f aca="false">IF((F57&lt;&gt;0),"Enter Letter"," ")</f>
        <v> </v>
      </c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E58" s="4" t="str">
        <f aca="false">IF((F58&lt;&gt;0),"Enter Letter"," ")</f>
        <v> </v>
      </c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E59" s="4" t="str">
        <f aca="false">IF((F59&lt;&gt;0),"Enter Letter"," ")</f>
        <v> </v>
      </c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E60" s="4" t="str">
        <f aca="false">IF((F60&lt;&gt;0),"Enter Letter"," ")</f>
        <v> </v>
      </c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E61" s="4" t="str">
        <f aca="false">IF((F61&lt;&gt;0),"Enter Letter"," ")</f>
        <v> </v>
      </c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E62" s="4" t="str">
        <f aca="false">IF((F62&lt;&gt;0),"Enter Letter"," ")</f>
        <v> </v>
      </c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E63" s="4" t="str">
        <f aca="false">IF((F63&lt;&gt;0),"Enter Letter"," ")</f>
        <v> </v>
      </c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E64" s="4" t="str">
        <f aca="false">IF((F64&lt;&gt;0),"Enter Letter"," ")</f>
        <v> </v>
      </c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E65" s="4" t="str">
        <f aca="false">IF((F65&lt;&gt;0),"Enter Letter"," ")</f>
        <v> </v>
      </c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E66" s="4" t="str">
        <f aca="false">IF((F66&lt;&gt;0),"Enter Letter"," ")</f>
        <v> </v>
      </c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E67" s="4" t="str">
        <f aca="false">IF((F67&lt;&gt;0),"Enter Letter"," ")</f>
        <v> </v>
      </c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E68" s="4" t="str">
        <f aca="false">IF((F68&lt;&gt;0),"Enter Letter"," ")</f>
        <v> </v>
      </c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E69" s="4" t="str">
        <f aca="false">IF((F69&lt;&gt;0),"Enter Letter"," ")</f>
        <v> </v>
      </c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customFormat="false" ht="13.5" hidden="false" customHeight="true" outlineLevel="0" collapsed="false">
      <c r="A1" s="9" t="s">
        <v>211</v>
      </c>
      <c r="B1" s="9"/>
      <c r="C1" s="10" t="n">
        <f aca="false">IF([1]TrialBalance!$EJ$20&gt;0,[1]TrialBalance!$EJ$20,0)</f>
        <v>7540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7540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46299</v>
      </c>
      <c r="N1" s="18"/>
      <c r="O1" s="12" t="n">
        <f aca="false">SUM(O5:O300)</f>
        <v>0</v>
      </c>
      <c r="P1" s="12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204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101</v>
      </c>
      <c r="C6" s="3" t="s">
        <v>206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