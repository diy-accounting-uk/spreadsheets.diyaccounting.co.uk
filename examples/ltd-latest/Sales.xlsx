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<sst xmlns="http://schemas.openxmlformats.org/spreadsheetml/2006/main" count="664" uniqueCount="72">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</sst>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46116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16400</v>
      </c>
      <c r="G1" s="12" t="n">
        <f aca="false">SUM(G5:G300)</f>
        <v>2733.33333333333</v>
      </c>
      <c r="H1" s="12" t="n">
        <f aca="false">SUM(H5:H300)</f>
        <v>13666.6666666667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16400</v>
      </c>
      <c r="M1" s="17" t="n">
        <f aca="true">TODAY()</f>
        <v>46116</v>
      </c>
      <c r="N1" s="18"/>
      <c r="O1" s="12" t="n">
        <f aca="false">SUM(O5:O300)</f>
        <v>11166.6666666667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307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305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303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300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298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17</v>
      </c>
      <c r="E10" s="4" t="s">
        <v>46</v>
      </c>
      <c r="F10" s="2" t="n">
        <v>8000</v>
      </c>
      <c r="G10" s="2" t="n">
        <f aca="false">IF(G$4&gt;0,(IF(F10&lt;&gt;0,F10*G$4/100," ")),IF(F10&lt;&gt;0,F10*G$2/(100+G$2)," "))</f>
        <v>1333.33333333333</v>
      </c>
      <c r="H10" s="2" t="n">
        <f aca="false">IF((F10&lt;&gt;0),F10-G10," ")</f>
        <v>6666.66666666667</v>
      </c>
      <c r="L10" s="7" t="n">
        <f aca="false">IF(F10&lt;&gt;0,F10-K10," ")</f>
        <v>8000</v>
      </c>
      <c r="M10" s="8" t="n">
        <f aca="false">IF((F10-K10)&lt;&gt;0,M$1-A10," ")</f>
        <v>293</v>
      </c>
      <c r="O10" s="2" t="n">
        <f aca="false">IF((E10="a"),H10," ")</f>
        <v>6666.66666666667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290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288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280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15920</v>
      </c>
      <c r="G1" s="12" t="n">
        <f aca="false">SUM(G5:G300)</f>
        <v>2653.33333333333</v>
      </c>
      <c r="H1" s="12" t="n">
        <f aca="false">SUM(H5:H300)</f>
        <v>13266.6666666667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15920</v>
      </c>
      <c r="M1" s="17" t="n">
        <f aca="true">TODAY()</f>
        <v>46116</v>
      </c>
      <c r="N1" s="18"/>
      <c r="O1" s="12" t="n">
        <f aca="false">SUM(O5:O300)</f>
        <v>11466.6666666667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275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273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270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266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8000</v>
      </c>
      <c r="G10" s="2" t="n">
        <f aca="false">IF(G$4&gt;0,(IF(F10&lt;&gt;0,F10*G$4/100," ")),IF(F10&lt;&gt;0,F10*G$2/(100+G$2)," "))</f>
        <v>1333.33333333333</v>
      </c>
      <c r="H10" s="2" t="n">
        <f aca="false">IF((F10&lt;&gt;0),F10-G10," ")</f>
        <v>6666.66666666667</v>
      </c>
      <c r="L10" s="7" t="n">
        <f aca="false">IF(F10&lt;&gt;0,F10-K10," ")</f>
        <v>8000</v>
      </c>
      <c r="M10" s="8" t="n">
        <f aca="false">IF((F10-K10)&lt;&gt;0,M$1-A10," ")</f>
        <v>263</v>
      </c>
      <c r="O10" s="2" t="n">
        <f aca="false">IF((E10="a"),H10," ")</f>
        <v>6666.66666666667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262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260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253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18200</v>
      </c>
      <c r="G1" s="12" t="n">
        <f aca="false">SUM(G5:G300)</f>
        <v>3033.33333333333</v>
      </c>
      <c r="H1" s="12" t="n">
        <f aca="false">SUM(H5:H300)</f>
        <v>15166.6666666667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18200</v>
      </c>
      <c r="M1" s="17" t="n">
        <f aca="true">TODAY()</f>
        <v>46116</v>
      </c>
      <c r="N1" s="18"/>
      <c r="O1" s="12" t="n">
        <f aca="false">SUM(O5:O300)</f>
        <v>12366.6666666667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244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242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239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237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17</v>
      </c>
      <c r="E9" s="4" t="s">
        <v>46</v>
      </c>
      <c r="F9" s="2" t="n">
        <v>8000</v>
      </c>
      <c r="G9" s="2" t="n">
        <f aca="false">IF(G$4&gt;0,(IF(F9&lt;&gt;0,F9*G$4/100," ")),IF(F9&lt;&gt;0,F9*G$2/(100+G$2)," "))</f>
        <v>1333.33333333333</v>
      </c>
      <c r="H9" s="2" t="n">
        <f aca="false">IF((F9&lt;&gt;0),F9-G9," ")</f>
        <v>6666.66666666667</v>
      </c>
      <c r="L9" s="7" t="n">
        <f aca="false">IF(F9&lt;&gt;0,F9-K9," ")</f>
        <v>8000</v>
      </c>
      <c r="M9" s="8" t="n">
        <f aca="false">IF((F9-K9)&lt;&gt;0,M$1-A9," ")</f>
        <v>232</v>
      </c>
      <c r="O9" s="2" t="n">
        <f aca="false">IF((E9="a"),H9," ")</f>
        <v>6666.66666666667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229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227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225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16760</v>
      </c>
      <c r="G1" s="12" t="n">
        <f aca="false">SUM(G5:G300)</f>
        <v>2793.33333333333</v>
      </c>
      <c r="H1" s="12" t="n">
        <f aca="false">SUM(H5:H300)</f>
        <v>13966.6666666667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16760</v>
      </c>
      <c r="M1" s="17" t="n">
        <f aca="true">TODAY()</f>
        <v>46116</v>
      </c>
      <c r="N1" s="18"/>
      <c r="O1" s="12" t="n">
        <f aca="false">SUM(O5:O300)</f>
        <v>11466.6666666667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215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213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211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206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202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17</v>
      </c>
      <c r="E11" s="4" t="s">
        <v>46</v>
      </c>
      <c r="F11" s="2" t="n">
        <v>8000</v>
      </c>
      <c r="G11" s="2" t="n">
        <f aca="false">IF(G$4&gt;0,(IF(F11&lt;&gt;0,F11*G$4/100," ")),IF(F11&lt;&gt;0,F11*G$2/(100+G$2)," "))</f>
        <v>1333.33333333333</v>
      </c>
      <c r="H11" s="2" t="n">
        <f aca="false">IF((F11&lt;&gt;0),F11-G11," ")</f>
        <v>6666.66666666667</v>
      </c>
      <c r="L11" s="7" t="n">
        <f aca="false">IF(F11&lt;&gt;0,F11-K11," ")</f>
        <v>8000</v>
      </c>
      <c r="M11" s="8" t="n">
        <f aca="false">IF((F11-K11)&lt;&gt;0,M$1-A11," ")</f>
        <v>201</v>
      </c>
      <c r="O11" s="2" t="n">
        <f aca="false">IF((E11="a"),H11," ")</f>
        <v>6666.66666666667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198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188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19020</v>
      </c>
      <c r="G1" s="12" t="n">
        <f aca="false">SUM(G5:G300)</f>
        <v>3170</v>
      </c>
      <c r="H1" s="12" t="n">
        <f aca="false">SUM(H5:H300)</f>
        <v>15850</v>
      </c>
      <c r="I1" s="13"/>
      <c r="J1" s="14" t="s">
        <v>2</v>
      </c>
      <c r="K1" s="15" t="n">
        <f aca="false">SUM(K5:K300)</f>
        <v>0</v>
      </c>
      <c r="L1" s="16" t="n">
        <f aca="false">SUM(L5:L300)</f>
        <v>19020</v>
      </c>
      <c r="M1" s="17" t="n">
        <f aca="true">TODAY()</f>
        <v>46116</v>
      </c>
      <c r="N1" s="18"/>
      <c r="O1" s="12" t="n">
        <f aca="false">SUM(O5:O300)</f>
        <v>12966.6666666667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185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183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181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178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176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174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8000</v>
      </c>
      <c r="G11" s="2" t="n">
        <f aca="false">IF(G$4&gt;0,(IF(F11&lt;&gt;0,F11*G$4/100," ")),IF(F11&lt;&gt;0,F11*G$2/(100+G$2)," "))</f>
        <v>1333.33333333333</v>
      </c>
      <c r="H11" s="2" t="n">
        <f aca="false">IF((F11&lt;&gt;0),F11-G11," ")</f>
        <v>6666.66666666667</v>
      </c>
      <c r="L11" s="7" t="n">
        <f aca="false">IF(F11&lt;&gt;0,F11-K11," ")</f>
        <v>8000</v>
      </c>
      <c r="M11" s="8" t="n">
        <f aca="false">IF((F11-K11)&lt;&gt;0,M$1-A11," ")</f>
        <v>171</v>
      </c>
      <c r="O11" s="2" t="n">
        <f aca="false">IF((E11="a"),H11," ")</f>
        <v>6666.66666666667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168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166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161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16760</v>
      </c>
      <c r="G1" s="12" t="n">
        <f aca="false">SUM(G5:G300)</f>
        <v>2793.33333333333</v>
      </c>
      <c r="H1" s="12" t="n">
        <f aca="false">SUM(H5:H300)</f>
        <v>13966.6666666667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16760</v>
      </c>
      <c r="M1" s="17" t="n">
        <f aca="true">TODAY()</f>
        <v>46116</v>
      </c>
      <c r="N1" s="18"/>
      <c r="O1" s="12" t="n">
        <f aca="false">SUM(O5:O300)</f>
        <v>10866.6666666667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152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150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147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145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17</v>
      </c>
      <c r="E9" s="4" t="s">
        <v>46</v>
      </c>
      <c r="F9" s="2" t="n">
        <v>8000</v>
      </c>
      <c r="G9" s="2" t="n">
        <f aca="false">IF(G$4&gt;0,(IF(F9&lt;&gt;0,F9*G$4/100," ")),IF(F9&lt;&gt;0,F9*G$2/(100+G$2)," "))</f>
        <v>1333.33333333333</v>
      </c>
      <c r="H9" s="2" t="n">
        <f aca="false">IF((F9&lt;&gt;0),F9-G9," ")</f>
        <v>6666.66666666667</v>
      </c>
      <c r="L9" s="7" t="n">
        <f aca="false">IF(F9&lt;&gt;0,F9-K9," ")</f>
        <v>8000</v>
      </c>
      <c r="M9" s="8" t="n">
        <f aca="false">IF((F9-K9)&lt;&gt;0,M$1-A9," ")</f>
        <v>140</v>
      </c>
      <c r="O9" s="2" t="n">
        <f aca="false">IF((E9="a"),H9," ")</f>
        <v>6666.66666666667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139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137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135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133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130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33560</v>
      </c>
      <c r="G1" s="12" t="n">
        <f aca="false">SUM(G5:G300)</f>
        <v>5593.33333333333</v>
      </c>
      <c r="H1" s="12" t="n">
        <f aca="false">SUM(H5:H300)</f>
        <v>27966.6666666667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33560</v>
      </c>
      <c r="M1" s="17" t="n">
        <f aca="true">TODAY()</f>
        <v>46116</v>
      </c>
      <c r="N1" s="18"/>
      <c r="O1" s="12" t="n">
        <f aca="false">SUM(O5:O300)</f>
        <v>12966.6666666667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124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122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120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117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115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115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111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17</v>
      </c>
      <c r="E12" s="4" t="s">
        <v>46</v>
      </c>
      <c r="F12" s="2" t="n">
        <v>8000</v>
      </c>
      <c r="G12" s="2" t="n">
        <f aca="false">IF(G$4&gt;0,(IF(F12&lt;&gt;0,F12*G$4/100," ")),IF(F12&lt;&gt;0,F12*G$2/(100+G$2)," "))</f>
        <v>1333.33333333333</v>
      </c>
      <c r="H12" s="2" t="n">
        <f aca="false">IF((F12&lt;&gt;0),F12-G12," ")</f>
        <v>6666.66666666667</v>
      </c>
      <c r="L12" s="7" t="n">
        <f aca="false">IF(F12&lt;&gt;0,F12-K12," ")</f>
        <v>8000</v>
      </c>
      <c r="M12" s="8" t="n">
        <f aca="false">IF((F12-K12)&lt;&gt;0,M$1-A12," ")</f>
        <v>110</v>
      </c>
      <c r="O12" s="2" t="n">
        <f aca="false">IF((E12="a"),H12," ")</f>
        <v>6666.66666666667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107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105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97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18320</v>
      </c>
      <c r="G1" s="12" t="n">
        <f aca="false">SUM(G5:G300)</f>
        <v>3053.33333333333</v>
      </c>
      <c r="H1" s="12" t="n">
        <f aca="false">SUM(H5:H300)</f>
        <v>15266.6666666667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18320</v>
      </c>
      <c r="M1" s="17" t="n">
        <f aca="true">TODAY()</f>
        <v>46116</v>
      </c>
      <c r="N1" s="18"/>
      <c r="O1" s="12" t="n">
        <f aca="false">SUM(O5:O300)</f>
        <v>11466.6666666667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91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82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17</v>
      </c>
      <c r="E10" s="4" t="s">
        <v>46</v>
      </c>
      <c r="F10" s="2" t="n">
        <v>8000</v>
      </c>
      <c r="G10" s="2" t="n">
        <f aca="false">IF(G$4&gt;0,(IF(F10&lt;&gt;0,F10*G$4/100," ")),IF(F10&lt;&gt;0,F10*G$2/(100+G$2)," "))</f>
        <v>1333.33333333333</v>
      </c>
      <c r="H10" s="2" t="n">
        <f aca="false">IF((F10&lt;&gt;0),F10-G10," ")</f>
        <v>6666.66666666667</v>
      </c>
      <c r="L10" s="7" t="n">
        <f aca="false">IF(F10&lt;&gt;0,F10-K10," ")</f>
        <v>8000</v>
      </c>
      <c r="M10" s="8" t="n">
        <f aca="false">IF((F10-K10)&lt;&gt;0,M$1-A10," ")</f>
        <v>79</v>
      </c>
      <c r="O10" s="2" t="n">
        <f aca="false">IF((E10="a"),H10," ")</f>
        <v>6666.66666666667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76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74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69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15800</v>
      </c>
      <c r="G1" s="12" t="n">
        <f aca="false">SUM(G5:G300)</f>
        <v>2633.33333333333</v>
      </c>
      <c r="H1" s="12" t="n">
        <f aca="false">SUM(H5:H300)</f>
        <v>13166.6666666667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15800</v>
      </c>
      <c r="M1" s="17" t="n">
        <f aca="true">TODAY()</f>
        <v>46116</v>
      </c>
      <c r="N1" s="18"/>
      <c r="O1" s="12" t="n">
        <f aca="false">SUM(O5:O300)</f>
        <v>12366.6666666667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60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58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55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53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17</v>
      </c>
      <c r="E9" s="4" t="s">
        <v>46</v>
      </c>
      <c r="F9" s="2" t="n">
        <v>8000</v>
      </c>
      <c r="G9" s="2" t="n">
        <f aca="false">IF(G$4&gt;0,(IF(F9&lt;&gt;0,F9*G$4/100," ")),IF(F9&lt;&gt;0,F9*G$2/(100+G$2)," "))</f>
        <v>1333.33333333333</v>
      </c>
      <c r="H9" s="2" t="n">
        <f aca="false">IF((F9&lt;&gt;0),F9-G9," ")</f>
        <v>6666.66666666667</v>
      </c>
      <c r="L9" s="7" t="n">
        <f aca="false">IF(F9&lt;&gt;0,F9-K9," ")</f>
        <v>8000</v>
      </c>
      <c r="M9" s="8" t="n">
        <f aca="false">IF((F9-K9)&lt;&gt;0,M$1-A9," ")</f>
        <v>48</v>
      </c>
      <c r="O9" s="2" t="n">
        <f aca="false">IF((E9="a"),H9," ")</f>
        <v>6666.66666666667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45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43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41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18440</v>
      </c>
      <c r="G1" s="12" t="n">
        <f aca="false">SUM(G5:G300)</f>
        <v>3073.33333333333</v>
      </c>
      <c r="H1" s="12" t="n">
        <f aca="false">SUM(H5:H300)</f>
        <v>15366.6666666667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18440</v>
      </c>
      <c r="M1" s="17" t="n">
        <f aca="true">TODAY()</f>
        <v>46116</v>
      </c>
      <c r="N1" s="18"/>
      <c r="O1" s="12" t="n">
        <f aca="false">SUM(O5:O300)</f>
        <v>11466.6666666667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34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25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21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17</v>
      </c>
      <c r="E11" s="4" t="s">
        <v>46</v>
      </c>
      <c r="F11" s="2" t="n">
        <v>8000</v>
      </c>
      <c r="G11" s="2" t="n">
        <f aca="false">IF(G$4&gt;0,(IF(F11&lt;&gt;0,F11*G$4/100," ")),IF(F11&lt;&gt;0,F11*G$2/(100+G$2)," "))</f>
        <v>1333.33333333333</v>
      </c>
      <c r="H11" s="2" t="n">
        <f aca="false">IF((F11&lt;&gt;0),F11-G11," ")</f>
        <v>6666.66666666667</v>
      </c>
      <c r="L11" s="7" t="n">
        <f aca="false">IF(F11&lt;&gt;0,F11-K11," ")</f>
        <v>8000</v>
      </c>
      <c r="M11" s="8" t="n">
        <f aca="false">IF((F11-K11)&lt;&gt;0,M$1-A11," ")</f>
        <v>20</v>
      </c>
      <c r="O11" s="2" t="n">
        <f aca="false">IF((E11="a"),H11," ")</f>
        <v>6666.66666666667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19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17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10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7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17360</v>
      </c>
      <c r="G1" s="12" t="n">
        <f aca="false">SUM(G5:G300)</f>
        <v>2893.33333333333</v>
      </c>
      <c r="H1" s="12" t="n">
        <f aca="false">SUM(H5:H300)</f>
        <v>14466.6666666667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17360</v>
      </c>
      <c r="M1" s="17" t="n">
        <f aca="true">TODAY()</f>
        <v>46116</v>
      </c>
      <c r="N1" s="18"/>
      <c r="O1" s="12" t="n">
        <f aca="false">SUM(O5:O300)</f>
        <v>12166.6666666667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17</v>
      </c>
      <c r="E9" s="4" t="s">
        <v>46</v>
      </c>
      <c r="F9" s="2" t="n">
        <v>8000</v>
      </c>
      <c r="G9" s="2" t="n">
        <f aca="false">IF(G$4&gt;0,(IF(F9&lt;&gt;0,F9*G$4/100," ")),IF(F9&lt;&gt;0,F9*G$2/(100+G$2)," "))</f>
        <v>1333.33333333333</v>
      </c>
      <c r="H9" s="2" t="n">
        <f aca="false">IF((F9&lt;&gt;0),F9-G9," ")</f>
        <v>6666.66666666667</v>
      </c>
      <c r="L9" s="7" t="n">
        <f aca="false">IF(F9&lt;&gt;0,F9-K9," ")</f>
        <v>8000</v>
      </c>
      <c r="M9" s="8" t="n">
        <f aca="false">IF((F9-K9)&lt;&gt;0,M$1-A9," ")</f>
        <v>-11</v>
      </c>
      <c r="O9" s="2" t="n">
        <f aca="false">IF((E9="a"),H9," ")</f>
        <v>6666.66666666667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-14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-16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-16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-21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14360</v>
      </c>
      <c r="G1" s="12" t="n">
        <f aca="false">SUM(G5:G300)</f>
        <v>2393.33333333333</v>
      </c>
      <c r="H1" s="12" t="n">
        <f aca="false">SUM(H5:H300)</f>
        <v>11966.6666666667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14360</v>
      </c>
      <c r="M1" s="17" t="n">
        <f aca="true">TODAY()</f>
        <v>46116</v>
      </c>
      <c r="N1" s="18"/>
      <c r="O1" s="12" t="n">
        <f aca="false">SUM(O5:O300)</f>
        <v>10866.6666666667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8000</v>
      </c>
      <c r="G9" s="2" t="n">
        <f aca="false">IF(G$4&gt;0,(IF(F9&lt;&gt;0,F9*G$4/100," ")),IF(F9&lt;&gt;0,F9*G$2/(100+G$2)," "))</f>
        <v>1333.33333333333</v>
      </c>
      <c r="H9" s="2" t="n">
        <f aca="false">IF((F9&lt;&gt;0),F9-G9," ")</f>
        <v>6666.66666666667</v>
      </c>
      <c r="L9" s="7" t="n">
        <f aca="false">IF(F9&lt;&gt;0,F9-K9," ")</f>
        <v>8000</v>
      </c>
      <c r="M9" s="8" t="n">
        <f aca="false">IF((F9-K9)&lt;&gt;0,M$1-A9," ")</f>
        <v>-41</v>
      </c>
      <c r="O9" s="2" t="n">
        <f aca="false">IF((E9="a"),H9," ")</f>
        <v>6666.66666666667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-44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-48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-57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46116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