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<sst xmlns="http://schemas.openxmlformats.org/spreadsheetml/2006/main" count="474" uniqueCount="52">
  <si>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</si>
  <si>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</si>
  <si>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</si>
  <si>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</si>
  <si>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</si>
  <si>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</si>
  <si>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</si>
  <si>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</si>
  <si>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</si>
  <si>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</si>
  <si>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</si>
  <si>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</si>
  <si>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</si>
  <si>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</si>
  <si>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</si>
  <si>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</si>
  <si>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</si>
  <si>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</si>
  <si>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</si>
  <si>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</si>
  <si>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</si>
  <si>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</si>
  <si>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</si>
  <si>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</si>
  <si>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</si>
  <si>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</si>
  <si>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</si>
  <si>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</si>
  <si>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</si>
  <si>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</si>
  <si>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</si>
  <si>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</si>
  <si>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</si>
  <si>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</si>
  <si>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</si>
  <si>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</si>
  <si>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Acme Corp</t>
  </si>
  <si>
    <t xml:space="preserve">a</t>
  </si>
  <si>
    <t xml:space="preserve">Beta Systems</t>
  </si>
  <si>
    <t xml:space="preserve">b</t>
  </si>
  <si>
    <t xml:space="preserve">Gamma Ltd</t>
  </si>
  <si>
    <t xml:space="preserve">c</t>
  </si>
  <si>
    <t xml:space="preserve">Innovate UK</t>
  </si>
  <si>
    <t xml:space="preserve">g</t>
  </si>
  <si>
    <t xml:space="preserve">Epsilon Partners</t>
  </si>
  <si>
    <t xml:space="preserve">d</t>
  </si>
  <si>
    <t xml:space="preserve">Private buyer</t>
  </si>
  <si>
    <t xml:space="preserve">fs</t>
  </si>
  <si>
    <t xml:space="preserve">Delta PLC</t>
  </si>
  <si>
    <t xml:space="preserve">Zeta Corp</t>
  </si>
  <si>
    <t xml:space="preserve">o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</si>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</sst>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G5" s="2" t="str">
        <f aca="false">IF(G$4&gt;0,(IF(F5&lt;&gt;0,F5*G$4/100," ")),IF(F5&lt;&gt;0,F5*G$2/(100+G$2)," "))</f>
        <v> </v>
      </c>
      <c r="H5" s="2" t="str">
        <f aca="false">IF((F5&lt;&gt;0),F5-G5," ")</f>
        <v> 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8200</v>
      </c>
      <c r="G1" s="12" t="n">
        <f aca="false">SUM(G5:G300)</f>
        <v>1366.66666666667</v>
      </c>
      <c r="H1" s="12" t="n">
        <f aca="false">SUM(H5:H300)</f>
        <v>6833.33333333333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8200</v>
      </c>
      <c r="M1" s="17" t="n">
        <f aca="true">TODAY()</f>
        <v>46115</v>
      </c>
      <c r="N1" s="18"/>
      <c r="O1" s="12" t="n">
        <f aca="false">SUM(O5:O300)</f>
        <v>5833.33333333333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[1]Admin!$M$19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45823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292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45809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306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7000</v>
      </c>
      <c r="G1" s="12" t="n">
        <f aca="false">SUM(G5:G300)</f>
        <v>1166.66666666667</v>
      </c>
      <c r="H1" s="12" t="n">
        <f aca="false">SUM(H5:H300)</f>
        <v>5833.33333333333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7000</v>
      </c>
      <c r="M1" s="17" t="n">
        <f aca="true">TODAY()</f>
        <v>46115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Jun!G2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45853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262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9400</v>
      </c>
      <c r="G1" s="12" t="n">
        <f aca="false">SUM(G5:G300)</f>
        <v>1566.66666666667</v>
      </c>
      <c r="H1" s="12" t="n">
        <f aca="false">SUM(H5:H300)</f>
        <v>7833.33333333333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9400</v>
      </c>
      <c r="M1" s="17" t="n">
        <f aca="true">TODAY()</f>
        <v>46115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Jul!G2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45884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231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45889</v>
      </c>
      <c r="B6" s="2" t="s">
        <v>40</v>
      </c>
      <c r="E6" s="4" t="s">
        <v>41</v>
      </c>
      <c r="F6" s="2" t="n">
        <v>2400</v>
      </c>
      <c r="G6" s="2" t="n">
        <f aca="false">IF(G$4&gt;0,(IF(F6&lt;&gt;0,F6*G$4/100," ")),IF(F6&lt;&gt;0,F6*G$2/(100+G$2)," "))</f>
        <v>400</v>
      </c>
      <c r="H6" s="2" t="n">
        <f aca="false">IF((F6&lt;&gt;0),F6-G6," ")</f>
        <v>2000</v>
      </c>
      <c r="L6" s="7" t="n">
        <f aca="false">IF(F6&lt;&gt;0,F6-K6," ")</f>
        <v>2400</v>
      </c>
      <c r="M6" s="8" t="n">
        <f aca="false">IF((F6-K6)&lt;&gt;0,M$1-A6," ")</f>
        <v>226</v>
      </c>
      <c r="O6" s="2" t="str">
        <f aca="false">IF((E6="a"),H6," ")</f>
        <v> </v>
      </c>
      <c r="P6" s="2" t="str">
        <f aca="false">IF((E6="b"),H6," ")</f>
        <v> </v>
      </c>
      <c r="Q6" s="2" t="n">
        <f aca="false">IF((E6="c"),H6," ")</f>
        <v>2000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8200</v>
      </c>
      <c r="G1" s="12" t="n">
        <f aca="false">SUM(G5:G300)</f>
        <v>1366.66666666667</v>
      </c>
      <c r="H1" s="12" t="n">
        <f aca="false">SUM(H5:H300)</f>
        <v>6833.33333333333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8200</v>
      </c>
      <c r="M1" s="17" t="n">
        <f aca="true">TODAY()</f>
        <v>46115</v>
      </c>
      <c r="N1" s="18"/>
      <c r="O1" s="12" t="n">
        <f aca="false">SUM(O5:O300)</f>
        <v>5833.33333333333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Aug!G2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45915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200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45901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214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9500</v>
      </c>
      <c r="G1" s="12" t="n">
        <f aca="false">SUM(G5:G300)</f>
        <v>1583.33333333333</v>
      </c>
      <c r="H1" s="12" t="n">
        <f aca="false">SUM(H5:H300)</f>
        <v>7916.66666666667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9500</v>
      </c>
      <c r="M1" s="17" t="n">
        <f aca="true">TODAY()</f>
        <v>46115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Sep!G2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45945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170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45931</v>
      </c>
      <c r="B6" s="2" t="s">
        <v>42</v>
      </c>
      <c r="E6" s="4" t="s">
        <v>43</v>
      </c>
      <c r="F6" s="2" t="n">
        <v>2500</v>
      </c>
      <c r="G6" s="2" t="n">
        <f aca="false">IF(G$4&gt;0,(IF(F6&lt;&gt;0,F6*G$4/100," ")),IF(F6&lt;&gt;0,F6*G$2/(100+G$2)," "))</f>
        <v>416.666666666667</v>
      </c>
      <c r="H6" s="2" t="n">
        <f aca="false">IF((F6&lt;&gt;0),F6-G6," ")</f>
        <v>2083.33333333333</v>
      </c>
      <c r="L6" s="7" t="n">
        <f aca="false">IF(F6&lt;&gt;0,F6-K6," ")</f>
        <v>2500</v>
      </c>
      <c r="M6" s="8" t="n">
        <f aca="false">IF((F6-K6)&lt;&gt;0,M$1-A6," ")</f>
        <v>184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n">
        <f aca="false">IF((E6="g"),H6," ")</f>
        <v>2083.33333333333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7600</v>
      </c>
      <c r="G1" s="12" t="n">
        <f aca="false">SUM(G5:G300)</f>
        <v>1266.66666666667</v>
      </c>
      <c r="H1" s="12" t="n">
        <f aca="false">SUM(H5:H300)</f>
        <v>6333.33333333333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7600</v>
      </c>
      <c r="M1" s="17" t="n">
        <f aca="true">TODAY()</f>
        <v>46115</v>
      </c>
      <c r="N1" s="18"/>
      <c r="O1" s="12" t="n">
        <f aca="false">SUM(O5:O300)</f>
        <v>5833.33333333333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Oct!G2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45976</v>
      </c>
      <c r="B5" s="2" t="s">
        <v>36</v>
      </c>
      <c r="E5" s="4" t="s">
        <v>37</v>
      </c>
      <c r="F5" s="2" t="n">
        <v>7000</v>
      </c>
      <c r="G5" s="2" t="n">
        <f aca="false">IF(G$4&gt;0,(IF(F5&lt;&gt;0,F5*G$4/100," ")),IF(F5&lt;&gt;0,F5*G$2/(100+G$2)," "))</f>
        <v>1166.66666666667</v>
      </c>
      <c r="H5" s="2" t="n">
        <f aca="false">IF((F5&lt;&gt;0),F5-G5," ")</f>
        <v>5833.33333333333</v>
      </c>
      <c r="L5" s="7" t="n">
        <f aca="false">IF(F5&lt;&gt;0,F5-K5," ")</f>
        <v>7000</v>
      </c>
      <c r="M5" s="8" t="n">
        <f aca="false">IF((F5-K5)&lt;&gt;0,M$1-A5," ")</f>
        <v>139</v>
      </c>
      <c r="O5" s="2" t="n">
        <f aca="false">IF((E5="a"),H5," ")</f>
        <v>5833.33333333333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45991</v>
      </c>
      <c r="B6" s="2" t="s">
        <v>44</v>
      </c>
      <c r="E6" s="4" t="s">
        <v>45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124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n">
        <f aca="false">IF((E6="d"),H6," ")</f>
        <v>500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14400</v>
      </c>
      <c r="G1" s="12" t="n">
        <f aca="false">SUM(G5:G300)</f>
        <v>2400</v>
      </c>
      <c r="H1" s="12" t="n">
        <f aca="false">SUM(H5:H300)</f>
        <v>12000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14400</v>
      </c>
      <c r="M1" s="17" t="n">
        <f aca="true">TODAY()</f>
        <v>46115</v>
      </c>
      <c r="N1" s="18"/>
      <c r="O1" s="12" t="n">
        <f aca="false">SUM(O5:O300)</f>
        <v>7000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4000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Nov!G2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46006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109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45992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123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46001</v>
      </c>
      <c r="B7" s="2" t="s">
        <v>46</v>
      </c>
      <c r="E7" s="4" t="s">
        <v>47</v>
      </c>
      <c r="F7" s="2" t="n">
        <v>4800</v>
      </c>
      <c r="G7" s="2" t="n">
        <f aca="false">IF(G$4&gt;0,(IF(F7&lt;&gt;0,F7*G$4/100," ")),IF(F7&lt;&gt;0,F7*G$2/(100+G$2)," "))</f>
        <v>800</v>
      </c>
      <c r="H7" s="2" t="n">
        <f aca="false">IF((F7&lt;&gt;0),F7-G7," ")</f>
        <v>4000</v>
      </c>
      <c r="L7" s="7" t="n">
        <f aca="false">IF(F7&lt;&gt;0,F7-K7," ")</f>
        <v>4800</v>
      </c>
      <c r="M7" s="8" t="n">
        <f aca="false">IF((F7-K7)&lt;&gt;0,M$1-A7," ")</f>
        <v>114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n">
        <f aca="false">IF((E7="FS"),H7," ")</f>
        <v>4000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12000</v>
      </c>
      <c r="G1" s="12" t="n">
        <f aca="false">SUM(G5:G300)</f>
        <v>2000</v>
      </c>
      <c r="H1" s="12" t="n">
        <f aca="false">SUM(H5:H300)</f>
        <v>10000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12000</v>
      </c>
      <c r="M1" s="17" t="n">
        <f aca="true">TODAY()</f>
        <v>46115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Dec!G2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46037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78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46042</v>
      </c>
      <c r="B6" s="2" t="s">
        <v>48</v>
      </c>
      <c r="E6" s="4" t="s">
        <v>41</v>
      </c>
      <c r="F6" s="2" t="n">
        <v>3600</v>
      </c>
      <c r="G6" s="2" t="n">
        <f aca="false">IF(G$4&gt;0,(IF(F6&lt;&gt;0,F6*G$4/100," ")),IF(F6&lt;&gt;0,F6*G$2/(100+G$2)," "))</f>
        <v>600</v>
      </c>
      <c r="H6" s="2" t="n">
        <f aca="false">IF((F6&lt;&gt;0),F6-G6," ")</f>
        <v>3000</v>
      </c>
      <c r="L6" s="7" t="n">
        <f aca="false">IF(F6&lt;&gt;0,F6-K6," ")</f>
        <v>3600</v>
      </c>
      <c r="M6" s="8" t="n">
        <f aca="false">IF((F6-K6)&lt;&gt;0,M$1-A6," ")</f>
        <v>73</v>
      </c>
      <c r="O6" s="2" t="str">
        <f aca="false">IF((E6="a"),H6," ")</f>
        <v> </v>
      </c>
      <c r="P6" s="2" t="str">
        <f aca="false">IF((E6="b"),H6," ")</f>
        <v> </v>
      </c>
      <c r="Q6" s="2" t="n">
        <f aca="false">IF((E6="c"),H6," ")</f>
        <v>3000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8400</v>
      </c>
      <c r="G1" s="12" t="n">
        <f aca="false">SUM(G5:G300)</f>
        <v>1400</v>
      </c>
      <c r="H1" s="12" t="n">
        <f aca="false">SUM(H5:H300)</f>
        <v>7000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8400</v>
      </c>
      <c r="M1" s="17" t="n">
        <f aca="true">TODAY()</f>
        <v>46115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Jan!G2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46068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47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9600</v>
      </c>
      <c r="G1" s="12" t="n">
        <f aca="false">SUM(G5:G300)</f>
        <v>1600</v>
      </c>
      <c r="H1" s="12" t="n">
        <f aca="false">SUM(H5:H300)</f>
        <v>8000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9600</v>
      </c>
      <c r="M1" s="17" t="n">
        <f aca="true">TODAY()</f>
        <v>46115</v>
      </c>
      <c r="N1" s="18"/>
      <c r="O1" s="12" t="n">
        <f aca="false">SUM(O5:O300)</f>
        <v>7000</v>
      </c>
      <c r="P1" s="12" t="n">
        <f aca="false">SUM(P5:P300)</f>
        <v>1000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Feb!G2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46096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19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46082</v>
      </c>
      <c r="B6" s="2" t="s">
        <v>38</v>
      </c>
      <c r="E6" s="4" t="s">
        <v>39</v>
      </c>
      <c r="F6" s="2" t="n">
        <v>1200</v>
      </c>
      <c r="G6" s="2" t="n">
        <f aca="false">IF(G$4&gt;0,(IF(F6&lt;&gt;0,F6*G$4/100," ")),IF(F6&lt;&gt;0,F6*G$2/(100+G$2)," "))</f>
        <v>200</v>
      </c>
      <c r="H6" s="2" t="n">
        <f aca="false">IF((F6&lt;&gt;0),F6-G6," ")</f>
        <v>1000</v>
      </c>
      <c r="L6" s="7" t="n">
        <f aca="false">IF(F6&lt;&gt;0,F6-K6," ")</f>
        <v>1200</v>
      </c>
      <c r="M6" s="8" t="n">
        <f aca="false">IF((F6-K6)&lt;&gt;0,M$1-A6," ")</f>
        <v>33</v>
      </c>
      <c r="O6" s="2" t="str">
        <f aca="false">IF((E6="a"),H6," ")</f>
        <v> </v>
      </c>
      <c r="P6" s="2" t="n">
        <f aca="false">IF((E6="b"),H6," ")</f>
        <v>1000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8400</v>
      </c>
      <c r="G1" s="12" t="n">
        <f aca="false">SUM(G5:G300)</f>
        <v>1400</v>
      </c>
      <c r="H1" s="12" t="n">
        <f aca="false">SUM(H5:H300)</f>
        <v>7000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8400</v>
      </c>
      <c r="M1" s="17" t="n">
        <f aca="true">TODAY()</f>
        <v>46115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Mar!G2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s">
        <v>25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46127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-12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17</v>
      </c>
      <c r="C1" s="22" t="s">
        <v>5</v>
      </c>
      <c r="D1" s="43" t="s">
        <v>18</v>
      </c>
      <c r="E1" s="43"/>
      <c r="F1" s="12" t="n">
        <f aca="false">SUM(F5:F300)</f>
        <v>8760</v>
      </c>
      <c r="G1" s="12" t="n">
        <f aca="false">SUM(G5:G300)</f>
        <v>1460</v>
      </c>
      <c r="H1" s="12" t="n">
        <f aca="false">SUM(H5:H300)</f>
        <v>7300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8760</v>
      </c>
      <c r="M1" s="17" t="n">
        <f aca="true">TODAY()</f>
        <v>46115</v>
      </c>
      <c r="N1" s="18"/>
      <c r="O1" s="12" t="n">
        <f aca="false">SUM(O5:O300)</f>
        <v>7000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19</v>
      </c>
      <c r="F2" s="21" t="s">
        <v>7</v>
      </c>
      <c r="G2" s="25" t="n">
        <f aca="false">Apr!G2</f>
        <v>20</v>
      </c>
      <c r="H2" s="21" t="s">
        <v>20</v>
      </c>
      <c r="I2" s="13"/>
      <c r="J2" s="14"/>
      <c r="K2" s="26" t="s">
        <v>9</v>
      </c>
      <c r="L2" s="26"/>
      <c r="M2" s="26"/>
      <c r="N2" s="18"/>
      <c r="O2" s="21" t="s">
        <v>21</v>
      </c>
      <c r="P2" s="21"/>
      <c r="Q2" s="21"/>
      <c r="R2" s="21" t="s">
        <v>22</v>
      </c>
      <c r="S2" s="21" t="s">
        <v>23</v>
      </c>
      <c r="T2" s="21" t="s">
        <v>24</v>
      </c>
      <c r="U2" s="21" t="n">
        <f aca="false">Jun!U1+Jul!U1+Aug!U1+Sep!U1+Oct!U1+Nov!U1+Dec!U1+Jan!U1+Feb!U1+Mar!U1+Apr!U1+May!U1</f>
        <v>4000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26</v>
      </c>
      <c r="P3" s="44" t="s">
        <v>27</v>
      </c>
      <c r="Q3" s="44" t="s">
        <v>28</v>
      </c>
      <c r="R3" s="21"/>
      <c r="S3" s="21"/>
      <c r="T3" s="21"/>
      <c r="U3" s="21" t="s">
        <v>25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29</v>
      </c>
      <c r="P4" s="12" t="s">
        <v>30</v>
      </c>
      <c r="Q4" s="12" t="s">
        <v>31</v>
      </c>
      <c r="R4" s="12" t="s">
        <v>32</v>
      </c>
      <c r="S4" s="12" t="s">
        <v>33</v>
      </c>
      <c r="T4" s="12" t="s">
        <v>34</v>
      </c>
      <c r="U4" s="12" t="s">
        <v>35</v>
      </c>
      <c r="V4" s="21"/>
      <c r="W4" s="21"/>
    </row>
    <row r="5" customFormat="false" ht="12.75" hidden="false" customHeight="true" outlineLevel="0" collapsed="false">
      <c r="A5" s="1" t="n">
        <v>46157</v>
      </c>
      <c r="B5" s="2" t="s">
        <v>36</v>
      </c>
      <c r="E5" s="4" t="s">
        <v>37</v>
      </c>
      <c r="F5" s="2" t="n">
        <v>8400</v>
      </c>
      <c r="G5" s="2" t="n">
        <f aca="false">IF(G$4&gt;0,(IF(F5&lt;&gt;0,F5*G$4/100," ")),IF(F5&lt;&gt;0,F5*G$2/(100+G$2)," "))</f>
        <v>1400</v>
      </c>
      <c r="H5" s="2" t="n">
        <f aca="false">IF((F5&lt;&gt;0),F5-G5," ")</f>
        <v>7000</v>
      </c>
      <c r="L5" s="7" t="n">
        <f aca="false">IF(F5&lt;&gt;0,F5-K5," ")</f>
        <v>8400</v>
      </c>
      <c r="M5" s="8" t="n">
        <f aca="false">IF((F5-K5)&lt;&gt;0,M$1-A5," ")</f>
        <v>-42</v>
      </c>
      <c r="O5" s="2" t="n">
        <f aca="false">IF((E5="a"),H5," ")</f>
        <v>7000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46173</v>
      </c>
      <c r="B6" s="2" t="s">
        <v>49</v>
      </c>
      <c r="E6" s="4" t="s">
        <v>50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-58</v>
      </c>
      <c r="O6" s="2" t="str">
        <f aca="false">IF((E6="a"),H6," ")</f>
        <v> </v>
      </c>
      <c r="P6" s="2" t="str">
        <f aca="false">IF((E6="b"),H6," ")</f>
        <v> 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n">
        <f aca="false">IF((E6="o"),H6," ")</f>
        <v>300</v>
      </c>
      <c r="U6" s="2" t="str">
        <f aca="false">IF((E6="FS"),H6,"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  <c r="O7" s="2" t="str">
        <f aca="false">IF((E7="a"),H7," ")</f>
        <v> 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  <c r="O8" s="2" t="str">
        <f aca="false">IF((E8="a"),H8," ")</f>
        <v> 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  <c r="O10" s="2" t="str">
        <f aca="false">IF((E10="a"),H10," ")</f>
        <v> 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  <c r="O11" s="2" t="str">
        <f aca="false">IF((E11="a"),H11," ")</f>
        <v> 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51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G5" s="2" t="str">
        <f aca="false">IF(G$4&gt;0,(IF(F5&lt;&gt;0,F5*G$4/100," ")),IF(F5&lt;&gt;0,F5*G$2/(100+G$2)," "))</f>
        <v> </v>
      </c>
      <c r="H5" s="2" t="str">
        <f aca="false">IF((F5&lt;&gt;0),F5-G5," ")</f>
        <v> 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G6" s="2" t="str">
        <f aca="false">IF(G$4&gt;0,(IF(F6&lt;&gt;0,F6*G$4/100," ")),IF(F6&lt;&gt;0,F6*G$2/(100+G$2)," "))</f>
        <v> </v>
      </c>
      <c r="H6" s="2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H7" s="2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H8" s="2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H9" s="2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H10" s="2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H11" s="2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