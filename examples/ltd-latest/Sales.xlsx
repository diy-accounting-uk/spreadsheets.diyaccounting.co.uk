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<sst xmlns="http://schemas.openxmlformats.org/spreadsheetml/2006/main" count="474" uniqueCount="52">
  <si>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</si>
  <si>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</si>
  <si>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</si>
  <si>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</si>
  <si>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</si>
  <si>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</si>
  <si>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</si>
  <si>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</si>
  <si>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</si>
  <si>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</si>
  <si>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</si>
  <si>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</si>
  <si>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</si>
  <si>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</si>
  <si>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</si>
  <si>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</si>
  <si>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</si>
  <si>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</si>
  <si>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</si>
  <si>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</si>
  <si>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</si>
  <si>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</si>
  <si>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</si>
  <si>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</si>
  <si>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</si>
  <si>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</si>
  <si>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</si>
  <si>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</si>
  <si>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</si>
  <si>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</si>
  <si>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</si>
  <si>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</si>
  <si>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</si>
  <si>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</si>
  <si>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</si>
  <si>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</si>
  <si>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Acme Corp</t>
  </si>
  <si>
    <t xml:space="preserve">a</t>
  </si>
  <si>
    <t xml:space="preserve">Beta Systems</t>
  </si>
  <si>
    <t xml:space="preserve">b</t>
  </si>
  <si>
    <t xml:space="preserve">Gamma Ltd</t>
  </si>
  <si>
    <t xml:space="preserve">c</t>
  </si>
  <si>
    <t xml:space="preserve">Innovate UK</t>
  </si>
  <si>
    <t xml:space="preserve">g</t>
  </si>
  <si>
    <t xml:space="preserve">Epsilon Partners</t>
  </si>
  <si>
    <t xml:space="preserve">d</t>
  </si>
  <si>
    <t xml:space="preserve">Private buyer</t>
  </si>
  <si>
    <t xml:space="preserve">fs</t>
  </si>
  <si>
    <t xml:space="preserve">Delta PLC</t>
  </si>
  <si>
    <t xml:space="preserve">Zeta Corp</t>
  </si>
  <si>
    <t xml:space="preserve">o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</si>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</sst>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G5" s="2" t="str">
        <f aca="false">IF(G$4&gt;0,(IF(F5&lt;&gt;0,F5*G$4/100," ")),IF(F5&lt;&gt;0,F5*G$2/(100+G$2)," "))</f>
        <v> </v>
      </c>
      <c r="H5" s="2" t="str">
        <f aca="false">IF((F5&lt;&gt;0),F5-G5," ")</f>
        <v> 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8200</v>
      </c>
      <c r="G1" s="12" t="n">
        <f aca="false">SUM(G5:G300)</f>
        <v>1366.66666666667</v>
      </c>
      <c r="H1" s="12" t="n">
        <f aca="false">SUM(H5:H300)</f>
        <v>6833.33333333333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8200</v>
      </c>
      <c r="M1" s="17" t="n">
        <f aca="true">TODAY()</f>
        <v>46116</v>
      </c>
      <c r="N1" s="18"/>
      <c r="O1" s="12" t="n">
        <f aca="false">SUM(O5:O300)</f>
        <v>5833.33333333333</v>
      </c>
      <c r="P1" s="12" t="n">
        <f aca="false">SUM(P5:P300)</f>
        <v>1000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[1]Admin!$M$19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45823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293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45809</v>
      </c>
      <c r="B6" s="2" t="s">
        <v>38</v>
      </c>
      <c r="E6" s="4" t="s">
        <v>39</v>
      </c>
      <c r="F6" s="2" t="n">
        <v>1200</v>
      </c>
      <c r="G6" s="2" t="n">
        <f aca="false">IF(G$4&gt;0,(IF(F6&lt;&gt;0,F6*G$4/100," ")),IF(F6&lt;&gt;0,F6*G$2/(100+G$2)," "))</f>
        <v>200</v>
      </c>
      <c r="H6" s="2" t="n">
        <f aca="false">IF((F6&lt;&gt;0),F6-G6," ")</f>
        <v>1000</v>
      </c>
      <c r="L6" s="7" t="n">
        <f aca="false">IF(F6&lt;&gt;0,F6-K6," ")</f>
        <v>1200</v>
      </c>
      <c r="M6" s="8" t="n">
        <f aca="false">IF((F6-K6)&lt;&gt;0,M$1-A6," ")</f>
        <v>307</v>
      </c>
      <c r="O6" s="2" t="str">
        <f aca="false">IF((E6="a"),H6," ")</f>
        <v> </v>
      </c>
      <c r="P6" s="2" t="n">
        <f aca="false">IF((E6="b"),H6," ")</f>
        <v>1000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7000</v>
      </c>
      <c r="G1" s="12" t="n">
        <f aca="false">SUM(G5:G300)</f>
        <v>1166.66666666667</v>
      </c>
      <c r="H1" s="12" t="n">
        <f aca="false">SUM(H5:H300)</f>
        <v>5833.33333333333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7000</v>
      </c>
      <c r="M1" s="17" t="n">
        <f aca="true">TODAY()</f>
        <v>46116</v>
      </c>
      <c r="N1" s="18"/>
      <c r="O1" s="12" t="n">
        <f aca="false">SUM(O5:O300)</f>
        <v>5833.33333333333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Jun!G2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45853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263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9400</v>
      </c>
      <c r="G1" s="12" t="n">
        <f aca="false">SUM(G5:G300)</f>
        <v>1566.66666666667</v>
      </c>
      <c r="H1" s="12" t="n">
        <f aca="false">SUM(H5:H300)</f>
        <v>7833.33333333333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9400</v>
      </c>
      <c r="M1" s="17" t="n">
        <f aca="true">TODAY()</f>
        <v>46116</v>
      </c>
      <c r="N1" s="18"/>
      <c r="O1" s="12" t="n">
        <f aca="false">SUM(O5:O300)</f>
        <v>5833.33333333333</v>
      </c>
      <c r="P1" s="12" t="n">
        <f aca="false">SUM(P5:P300)</f>
        <v>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Jul!G2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45884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232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45889</v>
      </c>
      <c r="B6" s="2" t="s">
        <v>40</v>
      </c>
      <c r="E6" s="4" t="s">
        <v>41</v>
      </c>
      <c r="F6" s="2" t="n">
        <v>2400</v>
      </c>
      <c r="G6" s="2" t="n">
        <f aca="false">IF(G$4&gt;0,(IF(F6&lt;&gt;0,F6*G$4/100," ")),IF(F6&lt;&gt;0,F6*G$2/(100+G$2)," "))</f>
        <v>400</v>
      </c>
      <c r="H6" s="2" t="n">
        <f aca="false">IF((F6&lt;&gt;0),F6-G6," ")</f>
        <v>2000</v>
      </c>
      <c r="L6" s="7" t="n">
        <f aca="false">IF(F6&lt;&gt;0,F6-K6," ")</f>
        <v>2400</v>
      </c>
      <c r="M6" s="8" t="n">
        <f aca="false">IF((F6-K6)&lt;&gt;0,M$1-A6," ")</f>
        <v>227</v>
      </c>
      <c r="O6" s="2" t="str">
        <f aca="false">IF((E6="a"),H6," ")</f>
        <v> </v>
      </c>
      <c r="P6" s="2" t="str">
        <f aca="false">IF((E6="b"),H6," ")</f>
        <v> </v>
      </c>
      <c r="Q6" s="2" t="n">
        <f aca="false">IF((E6="c"),H6," ")</f>
        <v>2000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8200</v>
      </c>
      <c r="G1" s="12" t="n">
        <f aca="false">SUM(G5:G300)</f>
        <v>1366.66666666667</v>
      </c>
      <c r="H1" s="12" t="n">
        <f aca="false">SUM(H5:H300)</f>
        <v>6833.33333333333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8200</v>
      </c>
      <c r="M1" s="17" t="n">
        <f aca="true">TODAY()</f>
        <v>46116</v>
      </c>
      <c r="N1" s="18"/>
      <c r="O1" s="12" t="n">
        <f aca="false">SUM(O5:O300)</f>
        <v>5833.33333333333</v>
      </c>
      <c r="P1" s="12" t="n">
        <f aca="false">SUM(P5:P300)</f>
        <v>1000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Aug!G2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45915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201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45901</v>
      </c>
      <c r="B6" s="2" t="s">
        <v>38</v>
      </c>
      <c r="E6" s="4" t="s">
        <v>39</v>
      </c>
      <c r="F6" s="2" t="n">
        <v>1200</v>
      </c>
      <c r="G6" s="2" t="n">
        <f aca="false">IF(G$4&gt;0,(IF(F6&lt;&gt;0,F6*G$4/100," ")),IF(F6&lt;&gt;0,F6*G$2/(100+G$2)," "))</f>
        <v>200</v>
      </c>
      <c r="H6" s="2" t="n">
        <f aca="false">IF((F6&lt;&gt;0),F6-G6," ")</f>
        <v>1000</v>
      </c>
      <c r="L6" s="7" t="n">
        <f aca="false">IF(F6&lt;&gt;0,F6-K6," ")</f>
        <v>1200</v>
      </c>
      <c r="M6" s="8" t="n">
        <f aca="false">IF((F6-K6)&lt;&gt;0,M$1-A6," ")</f>
        <v>215</v>
      </c>
      <c r="O6" s="2" t="str">
        <f aca="false">IF((E6="a"),H6," ")</f>
        <v> </v>
      </c>
      <c r="P6" s="2" t="n">
        <f aca="false">IF((E6="b"),H6," ")</f>
        <v>1000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9500</v>
      </c>
      <c r="G1" s="12" t="n">
        <f aca="false">SUM(G5:G300)</f>
        <v>1583.33333333333</v>
      </c>
      <c r="H1" s="12" t="n">
        <f aca="false">SUM(H5:H300)</f>
        <v>7916.66666666667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9500</v>
      </c>
      <c r="M1" s="17" t="n">
        <f aca="true">TODAY()</f>
        <v>46116</v>
      </c>
      <c r="N1" s="18"/>
      <c r="O1" s="12" t="n">
        <f aca="false">SUM(O5:O300)</f>
        <v>5833.33333333333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Sep!G2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45945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171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45931</v>
      </c>
      <c r="B6" s="2" t="s">
        <v>42</v>
      </c>
      <c r="E6" s="4" t="s">
        <v>43</v>
      </c>
      <c r="F6" s="2" t="n">
        <v>2500</v>
      </c>
      <c r="G6" s="2" t="n">
        <f aca="false">IF(G$4&gt;0,(IF(F6&lt;&gt;0,F6*G$4/100," ")),IF(F6&lt;&gt;0,F6*G$2/(100+G$2)," "))</f>
        <v>416.666666666667</v>
      </c>
      <c r="H6" s="2" t="n">
        <f aca="false">IF((F6&lt;&gt;0),F6-G6," ")</f>
        <v>2083.33333333333</v>
      </c>
      <c r="L6" s="7" t="n">
        <f aca="false">IF(F6&lt;&gt;0,F6-K6," ")</f>
        <v>2500</v>
      </c>
      <c r="M6" s="8" t="n">
        <f aca="false">IF((F6-K6)&lt;&gt;0,M$1-A6," ")</f>
        <v>185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str">
        <f aca="false">IF((E6="d"),H6," ")</f>
        <v> </v>
      </c>
      <c r="S6" s="2" t="n">
        <f aca="false">IF((E6="g"),H6," ")</f>
        <v>2083.33333333333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7600</v>
      </c>
      <c r="G1" s="12" t="n">
        <f aca="false">SUM(G5:G300)</f>
        <v>1266.66666666667</v>
      </c>
      <c r="H1" s="12" t="n">
        <f aca="false">SUM(H5:H300)</f>
        <v>6333.33333333333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7600</v>
      </c>
      <c r="M1" s="17" t="n">
        <f aca="true">TODAY()</f>
        <v>46116</v>
      </c>
      <c r="N1" s="18"/>
      <c r="O1" s="12" t="n">
        <f aca="false">SUM(O5:O300)</f>
        <v>5833.33333333333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Oct!G2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45976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140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45991</v>
      </c>
      <c r="B6" s="2" t="s">
        <v>44</v>
      </c>
      <c r="E6" s="4" t="s">
        <v>45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125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n">
        <f aca="false">IF((E6="d"),H6," ")</f>
        <v>500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14400</v>
      </c>
      <c r="G1" s="12" t="n">
        <f aca="false">SUM(G5:G300)</f>
        <v>2400</v>
      </c>
      <c r="H1" s="12" t="n">
        <f aca="false">SUM(H5:H300)</f>
        <v>12000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14400</v>
      </c>
      <c r="M1" s="17" t="n">
        <f aca="true">TODAY()</f>
        <v>46116</v>
      </c>
      <c r="N1" s="18"/>
      <c r="O1" s="12" t="n">
        <f aca="false">SUM(O5:O300)</f>
        <v>7000</v>
      </c>
      <c r="P1" s="12" t="n">
        <f aca="false">SUM(P5:P300)</f>
        <v>1000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4000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Nov!G2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46006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110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45992</v>
      </c>
      <c r="B6" s="2" t="s">
        <v>38</v>
      </c>
      <c r="E6" s="4" t="s">
        <v>39</v>
      </c>
      <c r="F6" s="2" t="n">
        <v>1200</v>
      </c>
      <c r="G6" s="2" t="n">
        <f aca="false">IF(G$4&gt;0,(IF(F6&lt;&gt;0,F6*G$4/100," ")),IF(F6&lt;&gt;0,F6*G$2/(100+G$2)," "))</f>
        <v>200</v>
      </c>
      <c r="H6" s="2" t="n">
        <f aca="false">IF((F6&lt;&gt;0),F6-G6," ")</f>
        <v>1000</v>
      </c>
      <c r="L6" s="7" t="n">
        <f aca="false">IF(F6&lt;&gt;0,F6-K6," ")</f>
        <v>1200</v>
      </c>
      <c r="M6" s="8" t="n">
        <f aca="false">IF((F6-K6)&lt;&gt;0,M$1-A6," ")</f>
        <v>124</v>
      </c>
      <c r="O6" s="2" t="str">
        <f aca="false">IF((E6="a"),H6," ")</f>
        <v> </v>
      </c>
      <c r="P6" s="2" t="n">
        <f aca="false">IF((E6="b"),H6," ")</f>
        <v>1000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46001</v>
      </c>
      <c r="B7" s="2" t="s">
        <v>46</v>
      </c>
      <c r="E7" s="4" t="s">
        <v>47</v>
      </c>
      <c r="F7" s="2" t="n">
        <v>4800</v>
      </c>
      <c r="G7" s="2" t="n">
        <f aca="false">IF(G$4&gt;0,(IF(F7&lt;&gt;0,F7*G$4/100," ")),IF(F7&lt;&gt;0,F7*G$2/(100+G$2)," "))</f>
        <v>800</v>
      </c>
      <c r="H7" s="2" t="n">
        <f aca="false">IF((F7&lt;&gt;0),F7-G7," ")</f>
        <v>4000</v>
      </c>
      <c r="L7" s="7" t="n">
        <f aca="false">IF(F7&lt;&gt;0,F7-K7," ")</f>
        <v>4800</v>
      </c>
      <c r="M7" s="8" t="n">
        <f aca="false">IF((F7-K7)&lt;&gt;0,M$1-A7," ")</f>
        <v>115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n">
        <f aca="false">IF((E7="FS"),H7," ")</f>
        <v>4000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12000</v>
      </c>
      <c r="G1" s="12" t="n">
        <f aca="false">SUM(G5:G300)</f>
        <v>2000</v>
      </c>
      <c r="H1" s="12" t="n">
        <f aca="false">SUM(H5:H300)</f>
        <v>10000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12000</v>
      </c>
      <c r="M1" s="17" t="n">
        <f aca="true">TODAY()</f>
        <v>46116</v>
      </c>
      <c r="N1" s="18"/>
      <c r="O1" s="12" t="n">
        <f aca="false">SUM(O5:O300)</f>
        <v>7000</v>
      </c>
      <c r="P1" s="12" t="n">
        <f aca="false">SUM(P5:P300)</f>
        <v>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Dec!G2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46037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79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46042</v>
      </c>
      <c r="B6" s="2" t="s">
        <v>48</v>
      </c>
      <c r="E6" s="4" t="s">
        <v>41</v>
      </c>
      <c r="F6" s="2" t="n">
        <v>3600</v>
      </c>
      <c r="G6" s="2" t="n">
        <f aca="false">IF(G$4&gt;0,(IF(F6&lt;&gt;0,F6*G$4/100," ")),IF(F6&lt;&gt;0,F6*G$2/(100+G$2)," "))</f>
        <v>600</v>
      </c>
      <c r="H6" s="2" t="n">
        <f aca="false">IF((F6&lt;&gt;0),F6-G6," ")</f>
        <v>3000</v>
      </c>
      <c r="L6" s="7" t="n">
        <f aca="false">IF(F6&lt;&gt;0,F6-K6," ")</f>
        <v>3600</v>
      </c>
      <c r="M6" s="8" t="n">
        <f aca="false">IF((F6-K6)&lt;&gt;0,M$1-A6," ")</f>
        <v>74</v>
      </c>
      <c r="O6" s="2" t="str">
        <f aca="false">IF((E6="a"),H6," ")</f>
        <v> </v>
      </c>
      <c r="P6" s="2" t="str">
        <f aca="false">IF((E6="b"),H6," ")</f>
        <v> </v>
      </c>
      <c r="Q6" s="2" t="n">
        <f aca="false">IF((E6="c"),H6," ")</f>
        <v>3000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8400</v>
      </c>
      <c r="G1" s="12" t="n">
        <f aca="false">SUM(G5:G300)</f>
        <v>1400</v>
      </c>
      <c r="H1" s="12" t="n">
        <f aca="false">SUM(H5:H300)</f>
        <v>7000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8400</v>
      </c>
      <c r="M1" s="17" t="n">
        <f aca="true">TODAY()</f>
        <v>46116</v>
      </c>
      <c r="N1" s="18"/>
      <c r="O1" s="12" t="n">
        <f aca="false">SUM(O5:O300)</f>
        <v>7000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Jan!G2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46068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48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9600</v>
      </c>
      <c r="G1" s="12" t="n">
        <f aca="false">SUM(G5:G300)</f>
        <v>1600</v>
      </c>
      <c r="H1" s="12" t="n">
        <f aca="false">SUM(H5:H300)</f>
        <v>8000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9600</v>
      </c>
      <c r="M1" s="17" t="n">
        <f aca="true">TODAY()</f>
        <v>46116</v>
      </c>
      <c r="N1" s="18"/>
      <c r="O1" s="12" t="n">
        <f aca="false">SUM(O5:O300)</f>
        <v>7000</v>
      </c>
      <c r="P1" s="12" t="n">
        <f aca="false">SUM(P5:P300)</f>
        <v>1000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Feb!G2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46096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20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46082</v>
      </c>
      <c r="B6" s="2" t="s">
        <v>38</v>
      </c>
      <c r="E6" s="4" t="s">
        <v>39</v>
      </c>
      <c r="F6" s="2" t="n">
        <v>1200</v>
      </c>
      <c r="G6" s="2" t="n">
        <f aca="false">IF(G$4&gt;0,(IF(F6&lt;&gt;0,F6*G$4/100," ")),IF(F6&lt;&gt;0,F6*G$2/(100+G$2)," "))</f>
        <v>200</v>
      </c>
      <c r="H6" s="2" t="n">
        <f aca="false">IF((F6&lt;&gt;0),F6-G6," ")</f>
        <v>1000</v>
      </c>
      <c r="L6" s="7" t="n">
        <f aca="false">IF(F6&lt;&gt;0,F6-K6," ")</f>
        <v>1200</v>
      </c>
      <c r="M6" s="8" t="n">
        <f aca="false">IF((F6-K6)&lt;&gt;0,M$1-A6," ")</f>
        <v>34</v>
      </c>
      <c r="O6" s="2" t="str">
        <f aca="false">IF((E6="a"),H6," ")</f>
        <v> </v>
      </c>
      <c r="P6" s="2" t="n">
        <f aca="false">IF((E6="b"),H6," ")</f>
        <v>1000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8400</v>
      </c>
      <c r="G1" s="12" t="n">
        <f aca="false">SUM(G5:G300)</f>
        <v>1400</v>
      </c>
      <c r="H1" s="12" t="n">
        <f aca="false">SUM(H5:H300)</f>
        <v>7000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8400</v>
      </c>
      <c r="M1" s="17" t="n">
        <f aca="true">TODAY()</f>
        <v>46116</v>
      </c>
      <c r="N1" s="18"/>
      <c r="O1" s="12" t="n">
        <f aca="false">SUM(O5:O300)</f>
        <v>7000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Mar!G2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46127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-11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8760</v>
      </c>
      <c r="G1" s="12" t="n">
        <f aca="false">SUM(G5:G300)</f>
        <v>1460</v>
      </c>
      <c r="H1" s="12" t="n">
        <f aca="false">SUM(H5:H300)</f>
        <v>7300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8760</v>
      </c>
      <c r="M1" s="17" t="n">
        <f aca="true">TODAY()</f>
        <v>46116</v>
      </c>
      <c r="N1" s="18"/>
      <c r="O1" s="12" t="n">
        <f aca="false">SUM(O5:O300)</f>
        <v>7000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Apr!G2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n">
        <f aca="false">Jun!U1+Jul!U1+Aug!U1+Sep!U1+Oct!U1+Nov!U1+Dec!U1+Jan!U1+Feb!U1+Mar!U1+Apr!U1+May!U1</f>
        <v>4000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 t="s">
        <v>25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46157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-41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46173</v>
      </c>
      <c r="B6" s="2" t="s">
        <v>49</v>
      </c>
      <c r="E6" s="4" t="s">
        <v>50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-57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n">
        <f aca="false">IF((E6="o"),H6," ")</f>
        <v>300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51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G5" s="2" t="str">
        <f aca="false">IF(G$4&gt;0,(IF(F5&lt;&gt;0,F5*G$4/100," ")),IF(F5&lt;&gt;0,F5*G$2/(100+G$2)," "))</f>
        <v> </v>
      </c>
      <c r="H5" s="2" t="str">
        <f aca="false">IF((F5&lt;&gt;0),F5-G5," ")</f>
        <v> 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