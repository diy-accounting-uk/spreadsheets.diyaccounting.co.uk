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<sst xmlns="http://schemas.openxmlformats.org/spreadsheetml/2006/main" count="664" uniqueCount="72">
  <si>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</si>
  <si>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</si>
  <si>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</si>
  <si>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</si>
  <si>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</si>
  <si>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</si>
  <si>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</si>
  <si>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</si>
  <si>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</si>
  <si>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</si>
  <si>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</si>
  <si>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</si>
  <si>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</si>
  <si>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</si>
  <si>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</si>
  <si>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</si>
  <si>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</si>
  <si>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</si>
  <si>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</si>
  <si>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</si>
  <si>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</si>
  <si>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</si>
  <si>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</si>
  <si>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</si>
  <si>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</si>
  <si>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</si>
  <si>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</si>
  <si>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</si>
  <si>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</si>
  <si>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</si>
  <si>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</si>
  <si>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</si>
  <si>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</si>
  <si>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</si>
  <si>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</si>
  <si>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</si>
  <si>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</si>
  <si>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</si>
  <si>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</si>
  <si>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</si>
  <si>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</si>
  <si>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</si>
  <si>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</si>
  <si>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</si>
  <si>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</si>
  <si>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</si>
  <si>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</si>
  <si>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</si>
  <si>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</si>
  <si>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</si>
  <si>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</si>
  <si>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</si>
  <si>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</si>
  <si>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</si>
  <si>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</si>
  <si>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</si>
  <si>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</si>
  <si>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</si>
  <si>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</si>
  <si>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</si>
  <si>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</si>
  <si>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</si>
  <si>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</si>
  <si>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</si>
  <si>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</si>
  <si>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</si>
  <si>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</si>
  <si>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</si>
  <si>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</si>
  <si>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Closing Debtors Balance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</si>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</sst>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Jun!G2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46116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45809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307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45811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305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45813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303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45816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300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45818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298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45823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293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45826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290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45828</v>
      </c>
      <c r="B12" s="2" t="s">
        <v>49</v>
      </c>
      <c r="E12" s="4" t="s">
        <v>46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288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45836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280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45841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275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45843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273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45846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270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45848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268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45850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266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45853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263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45854</v>
      </c>
      <c r="B11" s="2" t="s">
        <v>53</v>
      </c>
      <c r="E11" s="4" t="s">
        <v>54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262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45856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260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45863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253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46116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45872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244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45874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242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45877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239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45879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237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45884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232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45887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229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45889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227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45889</v>
      </c>
      <c r="B12" s="2" t="s">
        <v>21</v>
      </c>
      <c r="E12" s="4" t="s">
        <v>54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227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45891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225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45901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215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45903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213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45905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211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45908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208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45910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206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45914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202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45915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45918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198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45928</v>
      </c>
      <c r="B13" s="2" t="s">
        <v>50</v>
      </c>
      <c r="E13" s="4" t="s">
        <v>51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188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46116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45931</v>
      </c>
      <c r="B5" s="2" t="s">
        <v>58</v>
      </c>
      <c r="E5" s="4" t="s">
        <v>59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185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45933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183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45935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181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45938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178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45940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176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45942</v>
      </c>
      <c r="B10" s="2" t="s">
        <v>52</v>
      </c>
      <c r="E10" s="4" t="s">
        <v>46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174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45945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171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45948</v>
      </c>
      <c r="B12" s="2" t="s">
        <v>48</v>
      </c>
      <c r="E12" s="4" t="s">
        <v>46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168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45950</v>
      </c>
      <c r="B13" s="2" t="s">
        <v>49</v>
      </c>
      <c r="E13" s="4" t="s">
        <v>46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166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45955</v>
      </c>
      <c r="B14" s="2" t="s">
        <v>55</v>
      </c>
      <c r="E14" s="4" t="s">
        <v>46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161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46116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Oct!G2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45964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152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45966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150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45969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147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45971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145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45976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140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45977</v>
      </c>
      <c r="B10" s="2" t="s">
        <v>53</v>
      </c>
      <c r="E10" s="4" t="s">
        <v>54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139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45979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137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45981</v>
      </c>
      <c r="B12" s="2" t="s">
        <v>60</v>
      </c>
      <c r="E12" s="4" t="s">
        <v>54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135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45983</v>
      </c>
      <c r="B13" s="2" t="s">
        <v>56</v>
      </c>
      <c r="E13" s="4" t="s">
        <v>46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133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45986</v>
      </c>
      <c r="B14" s="2" t="s">
        <v>61</v>
      </c>
      <c r="E14" s="4" t="s">
        <v>51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130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46116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45992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124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45994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122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45996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120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45999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117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46001</v>
      </c>
      <c r="B9" s="2" t="s">
        <v>62</v>
      </c>
      <c r="E9" s="4" t="s">
        <v>63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115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</row>
    <row r="10" customFormat="false" ht="12" hidden="false" customHeight="false" outlineLevel="0" collapsed="false">
      <c r="A10" s="1" t="n">
        <v>46001</v>
      </c>
      <c r="B10" s="2" t="s">
        <v>47</v>
      </c>
      <c r="E10" s="4" t="s">
        <v>46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115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46005</v>
      </c>
      <c r="B11" s="2" t="s">
        <v>57</v>
      </c>
      <c r="E11" s="4" t="s">
        <v>46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111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46006</v>
      </c>
      <c r="B12" s="2" t="s">
        <v>17</v>
      </c>
      <c r="E12" s="4" t="s">
        <v>46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110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46009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107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46011</v>
      </c>
      <c r="B14" s="2" t="s">
        <v>49</v>
      </c>
      <c r="E14" s="4" t="s">
        <v>46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105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46019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97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46025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91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46027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89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46030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86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46032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84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46034</v>
      </c>
      <c r="B9" s="2" t="s">
        <v>52</v>
      </c>
      <c r="E9" s="4" t="s">
        <v>46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82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46037</v>
      </c>
      <c r="B10" s="2" t="s">
        <v>17</v>
      </c>
      <c r="E10" s="4" t="s">
        <v>46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79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46040</v>
      </c>
      <c r="B11" s="2" t="s">
        <v>48</v>
      </c>
      <c r="E11" s="4" t="s">
        <v>46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76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46042</v>
      </c>
      <c r="B12" s="2" t="s">
        <v>64</v>
      </c>
      <c r="E12" s="4" t="s">
        <v>54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74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46047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69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46116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46056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60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46058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58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46061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55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46063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53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46068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48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46071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45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46073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43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46075</v>
      </c>
      <c r="B12" s="2" t="s">
        <v>56</v>
      </c>
      <c r="E12" s="4" t="s">
        <v>46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41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46116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46082</v>
      </c>
      <c r="B5" s="2" t="s">
        <v>19</v>
      </c>
      <c r="E5" s="4" t="s">
        <v>42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46084</v>
      </c>
      <c r="B6" s="2" t="s">
        <v>43</v>
      </c>
      <c r="E6" s="4" t="s">
        <v>42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32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46086</v>
      </c>
      <c r="B7" s="2" t="s">
        <v>44</v>
      </c>
      <c r="E7" s="4" t="s">
        <v>42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46089</v>
      </c>
      <c r="B8" s="2" t="s">
        <v>45</v>
      </c>
      <c r="E8" s="4" t="s">
        <v>46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27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46091</v>
      </c>
      <c r="B9" s="2" t="s">
        <v>47</v>
      </c>
      <c r="E9" s="4" t="s">
        <v>46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25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46095</v>
      </c>
      <c r="B10" s="2" t="s">
        <v>57</v>
      </c>
      <c r="E10" s="4" t="s">
        <v>46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21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46096</v>
      </c>
      <c r="B11" s="2" t="s">
        <v>17</v>
      </c>
      <c r="E11" s="4" t="s">
        <v>46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20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46097</v>
      </c>
      <c r="B12" s="2" t="s">
        <v>53</v>
      </c>
      <c r="E12" s="4" t="s">
        <v>54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19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46099</v>
      </c>
      <c r="B13" s="2" t="s">
        <v>48</v>
      </c>
      <c r="E13" s="4" t="s">
        <v>46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17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A14" s="1" t="n">
        <v>46106</v>
      </c>
      <c r="B14" s="2" t="s">
        <v>65</v>
      </c>
      <c r="E14" s="4" t="s">
        <v>51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10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A15" s="1" t="n">
        <v>46109</v>
      </c>
      <c r="B15" s="2" t="s">
        <v>50</v>
      </c>
      <c r="E15" s="4" t="s">
        <v>51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7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46116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46115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1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46117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46120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46122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46127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46130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46132</v>
      </c>
      <c r="B11" s="2" t="s">
        <v>49</v>
      </c>
      <c r="E11" s="4" t="s">
        <v>46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46132</v>
      </c>
      <c r="B12" s="2" t="s">
        <v>66</v>
      </c>
      <c r="E12" s="4" t="s">
        <v>54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-16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</row>
    <row r="13" customFormat="false" ht="12" hidden="false" customHeight="false" outlineLevel="0" collapsed="false">
      <c r="A13" s="1" t="n">
        <v>46137</v>
      </c>
      <c r="B13" s="2" t="s">
        <v>55</v>
      </c>
      <c r="E13" s="4" t="s">
        <v>46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46116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Jun!U1+Jul!U1+Aug!U1+Sep!U1+Oct!U1+Nov!U1+Dec!U1+Jan!U1+Feb!U1+Mar!U1+Apr!U1+May!U1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46145</v>
      </c>
      <c r="B5" s="2" t="s">
        <v>43</v>
      </c>
      <c r="E5" s="4" t="s">
        <v>42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</row>
    <row r="6" customFormat="false" ht="12.75" hidden="false" customHeight="true" outlineLevel="0" collapsed="false">
      <c r="A6" s="1" t="n">
        <v>46147</v>
      </c>
      <c r="B6" s="2" t="s">
        <v>44</v>
      </c>
      <c r="E6" s="4" t="s">
        <v>42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</row>
    <row r="7" customFormat="false" ht="12" hidden="false" customHeight="false" outlineLevel="0" collapsed="false">
      <c r="A7" s="1" t="n">
        <v>46150</v>
      </c>
      <c r="B7" s="2" t="s">
        <v>45</v>
      </c>
      <c r="E7" s="4" t="s">
        <v>46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</row>
    <row r="8" customFormat="false" ht="12" hidden="false" customHeight="false" outlineLevel="0" collapsed="false">
      <c r="A8" s="1" t="n">
        <v>46152</v>
      </c>
      <c r="B8" s="2" t="s">
        <v>47</v>
      </c>
      <c r="E8" s="4" t="s">
        <v>46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</row>
    <row r="9" customFormat="false" ht="12" hidden="false" customHeight="false" outlineLevel="0" collapsed="false">
      <c r="A9" s="1" t="n">
        <v>46157</v>
      </c>
      <c r="B9" s="2" t="s">
        <v>17</v>
      </c>
      <c r="E9" s="4" t="s">
        <v>46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</row>
    <row r="10" customFormat="false" ht="12" hidden="false" customHeight="false" outlineLevel="0" collapsed="false">
      <c r="A10" s="1" t="n">
        <v>46160</v>
      </c>
      <c r="B10" s="2" t="s">
        <v>48</v>
      </c>
      <c r="E10" s="4" t="s">
        <v>46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</row>
    <row r="11" customFormat="false" ht="12" hidden="false" customHeight="false" outlineLevel="0" collapsed="false">
      <c r="A11" s="1" t="n">
        <v>46164</v>
      </c>
      <c r="B11" s="2" t="s">
        <v>56</v>
      </c>
      <c r="E11" s="4" t="s">
        <v>46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-48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</row>
    <row r="12" customFormat="false" ht="12" hidden="false" customHeight="false" outlineLevel="0" collapsed="false">
      <c r="A12" s="1" t="n">
        <v>46173</v>
      </c>
      <c r="B12" s="2" t="s">
        <v>67</v>
      </c>
      <c r="E12" s="4" t="s">
        <v>68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-57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69</v>
      </c>
      <c r="B1" s="9"/>
      <c r="C1" s="10" t="n">
        <f aca="false">IF([1]TrialBalance!$EJ$20&gt;0,[1]TrialBalance!$EJ$20,0)</f>
        <v>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10400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46116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May!G2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70</v>
      </c>
      <c r="G5" s="2" t="str">
        <f aca="false">IF(G$4&gt;0,(IF(F5&lt;&gt;0,F5*G$4/100," ")),IF(F5&lt;&gt;0,F5*G$2/(100+G$2)," "))</f>
        <v> </v>
      </c>
      <c r="H5" s="2" t="n">
        <v>8000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48</v>
      </c>
      <c r="C6" s="3" t="s">
        <v>71</v>
      </c>
      <c r="G6" s="2" t="str">
        <f aca="false">IF(G$4&gt;0,(IF(F6&lt;&gt;0,F6*G$4/100," ")),IF(F6&lt;&gt;0,F6*G$2/(100+G$2)," "))</f>
        <v> </v>
      </c>
      <c r="H6" s="2" t="n">
        <v>2400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G7" s="2" t="str">
        <f aca="false">IF(G$4&gt;0,(IF(F7&lt;&gt;0,F7*G$4/100," ")),IF(F7&lt;&gt;0,F7*G$2/(100+G$2)," "))</f>
        <v> 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