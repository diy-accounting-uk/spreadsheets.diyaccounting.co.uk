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  <sheet name="Jun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<sst xmlns="http://schemas.openxmlformats.org/spreadsheetml/2006/main" count="664" uniqueCount="72">
  <si>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</si>
  <si>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</si>
  <si>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</si>
  <si>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</si>
  <si>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</si>
  <si>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</si>
  <si>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</si>
  <si>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</si>
  <si>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</si>
  <si>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</si>
  <si>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</si>
  <si>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</si>
  <si>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</si>
  <si>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</si>
  <si>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</si>
  <si>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</si>
  <si>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</si>
  <si>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</si>
  <si>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</si>
  <si>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</si>
  <si>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</si>
  <si>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</si>
  <si>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</si>
  <si>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</si>
  <si>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</si>
  <si>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</si>
  <si>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</si>
  <si>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</si>
  <si>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</si>
  <si>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</si>
  <si>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</si>
  <si>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</si>
  <si>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</si>
  <si>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</si>
  <si>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</si>
  <si>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</si>
  <si>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</si>
  <si>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</si>
  <si>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</si>
  <si>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</si>
  <si>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</si>
  <si>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</si>
  <si>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</si>
  <si>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</si>
  <si>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</si>
  <si>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</si>
  <si>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</si>
  <si>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</si>
  <si>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</si>
  <si>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</si>
  <si>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</si>
  <si>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</si>
  <si>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Zeta Corp</t>
  </si>
  <si>
    <t xml:space="preserve">o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</si>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</sst>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46152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Jul!G2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46152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45839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313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311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45848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304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299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294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286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46204</v>
      </c>
      <c r="B14" s="2" t="s">
        <v>52</v>
      </c>
      <c r="E14" s="4" t="s">
        <v>53</v>
      </c>
      <c r="F14" s="2" t="n">
        <v>360</v>
      </c>
      <c r="G14" s="2" t="n">
        <f aca="false">IF(G$4&gt;0,(IF(F14&lt;&gt;0,F14*G$4/100," ")),IF(F14&lt;&gt;0,F14*G$2/(100+G$2)," "))</f>
        <v>60</v>
      </c>
      <c r="H14" s="2" t="n">
        <f aca="false">IF((F14&lt;&gt;0),F14-G14," ")</f>
        <v>300</v>
      </c>
      <c r="L14" s="7" t="n">
        <f aca="false">IF(F14&lt;&gt;0,F14-K14," ")</f>
        <v>360</v>
      </c>
      <c r="M14" s="8" t="n">
        <f aca="false">IF((F14-K14)&lt;&gt;0,M$1-A14," ")</f>
        <v>-52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n">
        <f aca="false">IF((E14="o"),H14," ")</f>
        <v>300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46152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280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273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45881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271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45884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45885</v>
      </c>
      <c r="B11" s="2" t="s">
        <v>55</v>
      </c>
      <c r="E11" s="4" t="s">
        <v>56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267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45887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45894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46152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45903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45905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45908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244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45910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242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45915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45918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234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45920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232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45920</v>
      </c>
      <c r="B12" s="2" t="s">
        <v>21</v>
      </c>
      <c r="E12" s="4" t="s">
        <v>56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232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45922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230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46152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221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214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212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45944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208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204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194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46152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45962</v>
      </c>
      <c r="B5" s="2" t="s">
        <v>60</v>
      </c>
      <c r="E5" s="4" t="s">
        <v>61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190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45969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183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181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45973</v>
      </c>
      <c r="B10" s="2" t="s">
        <v>54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179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173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45981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171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57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166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46152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153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151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46007</v>
      </c>
      <c r="B10" s="2" t="s">
        <v>55</v>
      </c>
      <c r="E10" s="4" t="s">
        <v>56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145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143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62</v>
      </c>
      <c r="E12" s="4" t="s">
        <v>56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141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139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46016</v>
      </c>
      <c r="B14" s="2" t="s">
        <v>63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136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46152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122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64</v>
      </c>
      <c r="E9" s="4" t="s">
        <v>65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120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46032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120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46036</v>
      </c>
      <c r="B11" s="2" t="s">
        <v>59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116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46037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115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112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46042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110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46050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102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46152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94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91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46065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87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46068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84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46071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81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46073</v>
      </c>
      <c r="B12" s="2" t="s">
        <v>66</v>
      </c>
      <c r="E12" s="4" t="s">
        <v>56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46078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74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46152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66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63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61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56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53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46101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51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46103</v>
      </c>
      <c r="B12" s="2" t="s">
        <v>58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49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46152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46126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26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46128</v>
      </c>
      <c r="B12" s="2" t="s">
        <v>55</v>
      </c>
      <c r="E12" s="4" t="s">
        <v>56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24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22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46137</v>
      </c>
      <c r="B14" s="2" t="s">
        <v>67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46152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68</v>
      </c>
      <c r="E12" s="4" t="s">
        <v>56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31000</v>
      </c>
      <c r="G1" s="12" t="n">
        <f aca="false">SUM(G5:G300)</f>
        <v>5166.66666666667</v>
      </c>
      <c r="H1" s="12" t="n">
        <f aca="false">SUM(H5:H300)</f>
        <v>25833.3333333333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31000</v>
      </c>
      <c r="M1" s="17" t="n">
        <f aca="true">TODAY()</f>
        <v>46152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Jul!U1+Aug!U1+Sep!U1+Oct!U1+Nov!U1+Dec!U1+Jan!U1+Feb!U1+Mar!U1+Apr!U1+May!U1+Jun!U1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46195</v>
      </c>
      <c r="B11" s="2" t="s">
        <v>58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-43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46152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