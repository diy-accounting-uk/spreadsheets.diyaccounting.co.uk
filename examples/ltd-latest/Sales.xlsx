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<sst xmlns="http://schemas.openxmlformats.org/spreadsheetml/2006/main" count="1002" uniqueCount="211">
  <si>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</si>
  <si>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</si>
  <si>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</si>
  <si>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</si>
  <si>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</si>
  <si>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</si>
  <si>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</si>
  <si>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</si>
  <si>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</si>
  <si>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</si>
  <si>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</si>
  <si>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</si>
  <si>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</si>
  <si>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</si>
  <si>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</si>
  <si>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</si>
  <si>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</si>
  <si>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</si>
  <si>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</si>
  <si>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</si>
  <si>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</si>
  <si>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</si>
  <si>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</si>
  <si>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</si>
  <si>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</si>
  <si>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</si>
  <si>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</si>
  <si>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</si>
  <si>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</si>
  <si>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</si>
  <si>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</si>
  <si>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</si>
  <si>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</si>
  <si>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</si>
  <si>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</si>
  <si>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</si>
  <si>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</si>
  <si>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</si>
  <si>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</si>
  <si>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</si>
  <si>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</si>
  <si>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</si>
  <si>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</si>
  <si>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</si>
  <si>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</si>
  <si>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</si>
  <si>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</si>
  <si>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</si>
  <si>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</si>
  <si>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</si>
  <si>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</si>
  <si>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</si>
  <si>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</si>
  <si>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</si>
  <si>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</si>
  <si>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</si>
  <si>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</si>
  <si>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</si>
  <si>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</si>
  <si>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</si>
  <si>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</si>
  <si>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</si>
  <si>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</si>
  <si>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</si>
  <si>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</si>
  <si>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</si>
  <si>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</si>
  <si>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</si>
  <si>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</si>
  <si>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</si>
  <si>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</si>
  <si>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</si>
  <si>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</si>
  <si>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</si>
  <si>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</si>
  <si>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</si>
  <si>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</si>
  <si>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</si>
  <si>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</si>
  <si>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</si>
  <si>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</si>
  <si>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</si>
  <si>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</si>
  <si>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</si>
  <si>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</si>
  <si>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</si>
  <si>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</si>
  <si>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</si>
  <si>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</si>
  <si>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</si>
  <si>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</si>
  <si>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</si>
  <si>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</si>
  <si>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</si>
  <si>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</si>
  <si>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</si>
  <si>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</si>
  <si>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</si>
  <si>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</si>
  <si>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</si>
  <si>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</si>
  <si>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</si>
  <si>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</si>
  <si>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</si>
  <si>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</si>
  <si>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</si>
  <si>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</si>
  <si>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</si>
  <si>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</si>
  <si>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</si>
  <si>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</si>
  <si>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</si>
  <si>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</si>
  <si>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</si>
  <si>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</si>
  <si>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</si>
  <si>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</si>
  <si>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</si>
  <si>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</si>
  <si>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</si>
  <si>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</si>
  <si>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</si>
  <si>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</si>
  <si>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</si>
  <si>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</si>
  <si>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</si>
  <si>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</si>
  <si>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</si>
  <si>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</si>
  <si>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</si>
  <si>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</si>
  <si>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</si>
  <si>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</si>
  <si>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</si>
  <si>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</si>
  <si>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</si>
  <si>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</si>
  <si>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</si>
  <si>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</si>
  <si>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</si>
  <si>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</si>
  <si>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</si>
  <si>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</si>
  <si>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</si>
  <si>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</si>
  <si>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</si>
  <si>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</si>
  <si>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</si>
  <si>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</si>
  <si>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</si>
  <si>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</si>
  <si>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</si>
  <si>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</si>
  <si>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</si>
  <si>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</si>
  <si>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</si>
  <si>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</si>
  <si>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</si>
  <si>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</si>
  <si>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</si>
  <si>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</si>
  <si>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</si>
  <si>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</si>
  <si>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</si>
  <si>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</si>
  <si>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</si>
  <si>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</si>
  <si>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</si>
  <si>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</si>
  <si>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</si>
  <si>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</si>
  <si>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</si>
  <si>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</si>
  <si>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</si>
  <si>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</si>
  <si>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</si>
  <si>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</si>
  <si>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</si>
  <si>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</si>
  <si>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</si>
  <si>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</si>
  <si>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</si>
  <si>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</si>
  <si>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</si>
  <si>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</si>
  <si>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</si>
  <si>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</si>
  <si>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</si>
  <si>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</si>
  <si>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</si>
  <si>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</si>
  <si>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</si>
  <si>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</si>
  <si>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</si>
  <si>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</si>
  <si>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</si>
  <si>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</si>
  <si>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</si>
  <si>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</si>
  <si>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</si>
  <si>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</si>
  <si>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</si>
  <si>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</si>
  <si>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</si>
  <si>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</si>
  <si>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</si>
  <si>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</si>
  <si>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</si>
  <si>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</si>
  <si>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</si>
  <si>
    <t xml:space="preserve">Closing Debtors Balance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</si>
</sst>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>
        <row r="16">
          <cell r="E16">
            <v>10800</v>
          </cell>
        </row>
      </sheetData>
      <sheetData sheetId="1">
        <row r="20">
          <cell r="EJ20">
            <v>7900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10800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46277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Nov!G2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46277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46327</v>
      </c>
      <c r="B5" s="2" t="s">
        <v>19</v>
      </c>
      <c r="C5" s="3" t="s">
        <v>42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-50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46329</v>
      </c>
      <c r="B6" s="2" t="s">
        <v>46</v>
      </c>
      <c r="C6" s="3" t="s">
        <v>47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-52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46331</v>
      </c>
      <c r="B7" s="2" t="s">
        <v>49</v>
      </c>
      <c r="C7" s="3" t="s">
        <v>50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-54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46334</v>
      </c>
      <c r="B8" s="2" t="s">
        <v>52</v>
      </c>
      <c r="C8" s="3" t="s">
        <v>53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-57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46336</v>
      </c>
      <c r="B9" s="2" t="s">
        <v>57</v>
      </c>
      <c r="C9" s="3" t="s">
        <v>58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-59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46341</v>
      </c>
      <c r="B10" s="2" t="s">
        <v>17</v>
      </c>
      <c r="C10" s="3" t="s">
        <v>60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-64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46344</v>
      </c>
      <c r="B11" s="2" t="s">
        <v>62</v>
      </c>
      <c r="C11" s="3" t="s">
        <v>63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-67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46346</v>
      </c>
      <c r="B12" s="2" t="s">
        <v>65</v>
      </c>
      <c r="C12" s="3" t="s">
        <v>66</v>
      </c>
      <c r="D12" s="40" t="s">
        <v>67</v>
      </c>
      <c r="E12" s="4" t="s">
        <v>55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-69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46354</v>
      </c>
      <c r="B13" s="2" t="s">
        <v>68</v>
      </c>
      <c r="C13" s="3" t="s">
        <v>69</v>
      </c>
      <c r="D13" s="40" t="s">
        <v>70</v>
      </c>
      <c r="E13" s="4" t="s">
        <v>71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-77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72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46277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46359</v>
      </c>
      <c r="B5" s="2" t="s">
        <v>46</v>
      </c>
      <c r="C5" s="3" t="s">
        <v>73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-82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46361</v>
      </c>
      <c r="B6" s="2" t="s">
        <v>49</v>
      </c>
      <c r="C6" s="3" t="s">
        <v>74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-84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46364</v>
      </c>
      <c r="B7" s="2" t="s">
        <v>52</v>
      </c>
      <c r="C7" s="3" t="s">
        <v>75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-87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46366</v>
      </c>
      <c r="B8" s="2" t="s">
        <v>57</v>
      </c>
      <c r="C8" s="3" t="s">
        <v>76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-89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46368</v>
      </c>
      <c r="B9" s="2" t="s">
        <v>77</v>
      </c>
      <c r="C9" s="3" t="s">
        <v>78</v>
      </c>
      <c r="D9" s="40" t="s">
        <v>79</v>
      </c>
      <c r="E9" s="4" t="s">
        <v>55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-91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46371</v>
      </c>
      <c r="B10" s="2" t="s">
        <v>17</v>
      </c>
      <c r="C10" s="3" t="s">
        <v>80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-94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46372</v>
      </c>
      <c r="B11" s="2" t="s">
        <v>81</v>
      </c>
      <c r="C11" s="3" t="s">
        <v>82</v>
      </c>
      <c r="D11" s="40" t="s">
        <v>83</v>
      </c>
      <c r="E11" s="4" t="s">
        <v>84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-95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85</v>
      </c>
    </row>
    <row r="12" customFormat="false" ht="12" hidden="false" customHeight="false" outlineLevel="0" collapsed="false">
      <c r="A12" s="1" t="n">
        <v>46374</v>
      </c>
      <c r="B12" s="2" t="s">
        <v>62</v>
      </c>
      <c r="C12" s="3" t="s">
        <v>86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-97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46381</v>
      </c>
      <c r="B13" s="2" t="s">
        <v>87</v>
      </c>
      <c r="C13" s="3" t="s">
        <v>88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-104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46277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46390</v>
      </c>
      <c r="B5" s="2" t="s">
        <v>46</v>
      </c>
      <c r="C5" s="3" t="s">
        <v>90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-113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46392</v>
      </c>
      <c r="B6" s="2" t="s">
        <v>49</v>
      </c>
      <c r="C6" s="3" t="s">
        <v>91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-115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46395</v>
      </c>
      <c r="B7" s="2" t="s">
        <v>52</v>
      </c>
      <c r="C7" s="3" t="s">
        <v>92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-118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46397</v>
      </c>
      <c r="B8" s="2" t="s">
        <v>57</v>
      </c>
      <c r="C8" s="3" t="s">
        <v>93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-120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46402</v>
      </c>
      <c r="B9" s="2" t="s">
        <v>17</v>
      </c>
      <c r="C9" s="3" t="s">
        <v>94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-125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46405</v>
      </c>
      <c r="B10" s="2" t="s">
        <v>62</v>
      </c>
      <c r="C10" s="3" t="s">
        <v>95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-128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46407</v>
      </c>
      <c r="B11" s="2" t="s">
        <v>65</v>
      </c>
      <c r="C11" s="3" t="s">
        <v>96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-130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46407</v>
      </c>
      <c r="B12" s="2" t="s">
        <v>21</v>
      </c>
      <c r="C12" s="3" t="s">
        <v>97</v>
      </c>
      <c r="D12" s="40" t="s">
        <v>98</v>
      </c>
      <c r="E12" s="4" t="s">
        <v>84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-130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46409</v>
      </c>
      <c r="B13" s="2" t="s">
        <v>99</v>
      </c>
      <c r="C13" s="3" t="s">
        <v>100</v>
      </c>
      <c r="D13" s="40" t="s">
        <v>101</v>
      </c>
      <c r="E13" s="4" t="s">
        <v>55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-132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46277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46419</v>
      </c>
      <c r="B5" s="2" t="s">
        <v>19</v>
      </c>
      <c r="C5" s="3" t="s">
        <v>102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-142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46421</v>
      </c>
      <c r="B6" s="2" t="s">
        <v>46</v>
      </c>
      <c r="C6" s="3" t="s">
        <v>103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-144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46423</v>
      </c>
      <c r="B7" s="2" t="s">
        <v>49</v>
      </c>
      <c r="C7" s="3" t="s">
        <v>104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-146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46426</v>
      </c>
      <c r="B8" s="2" t="s">
        <v>52</v>
      </c>
      <c r="C8" s="3" t="s">
        <v>105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-149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46428</v>
      </c>
      <c r="B9" s="2" t="s">
        <v>57</v>
      </c>
      <c r="C9" s="3" t="s">
        <v>106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-151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46432</v>
      </c>
      <c r="B10" s="2" t="s">
        <v>107</v>
      </c>
      <c r="C10" s="3" t="s">
        <v>108</v>
      </c>
      <c r="D10" s="40" t="s">
        <v>109</v>
      </c>
      <c r="E10" s="4" t="s">
        <v>55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-155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46433</v>
      </c>
      <c r="B11" s="2" t="s">
        <v>17</v>
      </c>
      <c r="C11" s="3" t="s">
        <v>110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-156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46436</v>
      </c>
      <c r="B12" s="2" t="s">
        <v>62</v>
      </c>
      <c r="C12" s="3" t="s">
        <v>111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-159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46446</v>
      </c>
      <c r="B13" s="2" t="s">
        <v>68</v>
      </c>
      <c r="C13" s="3" t="s">
        <v>112</v>
      </c>
      <c r="D13" s="40" t="s">
        <v>70</v>
      </c>
      <c r="E13" s="4" t="s">
        <v>71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-169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72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46277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46447</v>
      </c>
      <c r="B5" s="2" t="s">
        <v>113</v>
      </c>
      <c r="C5" s="3" t="s">
        <v>114</v>
      </c>
      <c r="D5" s="40" t="s">
        <v>115</v>
      </c>
      <c r="E5" s="4" t="s">
        <v>116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-170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  <c r="BZ5" s="2" t="s">
        <v>117</v>
      </c>
    </row>
    <row r="6" customFormat="false" ht="12.75" hidden="false" customHeight="true" outlineLevel="0" collapsed="false">
      <c r="A6" s="1" t="n">
        <v>46449</v>
      </c>
      <c r="B6" s="2" t="s">
        <v>46</v>
      </c>
      <c r="C6" s="3" t="s">
        <v>118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-172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46451</v>
      </c>
      <c r="B7" s="2" t="s">
        <v>49</v>
      </c>
      <c r="C7" s="3" t="s">
        <v>119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-174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46454</v>
      </c>
      <c r="B8" s="2" t="s">
        <v>52</v>
      </c>
      <c r="C8" s="3" t="s">
        <v>120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-177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46456</v>
      </c>
      <c r="B9" s="2" t="s">
        <v>57</v>
      </c>
      <c r="C9" s="3" t="s">
        <v>121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-179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46458</v>
      </c>
      <c r="B10" s="2" t="s">
        <v>77</v>
      </c>
      <c r="C10" s="3" t="s">
        <v>122</v>
      </c>
      <c r="D10" s="40" t="s">
        <v>79</v>
      </c>
      <c r="E10" s="4" t="s">
        <v>55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-181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46461</v>
      </c>
      <c r="B11" s="2" t="s">
        <v>17</v>
      </c>
      <c r="C11" s="3" t="s">
        <v>123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-184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46464</v>
      </c>
      <c r="B12" s="2" t="s">
        <v>62</v>
      </c>
      <c r="C12" s="3" t="s">
        <v>124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-187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46466</v>
      </c>
      <c r="B13" s="2" t="s">
        <v>65</v>
      </c>
      <c r="C13" s="3" t="s">
        <v>125</v>
      </c>
      <c r="D13" s="40" t="s">
        <v>67</v>
      </c>
      <c r="E13" s="4" t="s">
        <v>55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-189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46471</v>
      </c>
      <c r="B14" s="2" t="s">
        <v>87</v>
      </c>
      <c r="C14" s="3" t="s">
        <v>126</v>
      </c>
      <c r="D14" s="40" t="s">
        <v>89</v>
      </c>
      <c r="E14" s="4" t="s">
        <v>55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-194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56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46277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46480</v>
      </c>
      <c r="B5" s="2" t="s">
        <v>46</v>
      </c>
      <c r="C5" s="3" t="s">
        <v>127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-203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46482</v>
      </c>
      <c r="B6" s="2" t="s">
        <v>49</v>
      </c>
      <c r="C6" s="3" t="s">
        <v>128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-205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46485</v>
      </c>
      <c r="B7" s="2" t="s">
        <v>52</v>
      </c>
      <c r="C7" s="3" t="s">
        <v>129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-208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46487</v>
      </c>
      <c r="B8" s="2" t="s">
        <v>57</v>
      </c>
      <c r="C8" s="3" t="s">
        <v>130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-210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46492</v>
      </c>
      <c r="B9" s="2" t="s">
        <v>17</v>
      </c>
      <c r="C9" s="3" t="s">
        <v>131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-215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46493</v>
      </c>
      <c r="B10" s="2" t="s">
        <v>81</v>
      </c>
      <c r="C10" s="3" t="s">
        <v>132</v>
      </c>
      <c r="D10" s="40" t="s">
        <v>83</v>
      </c>
      <c r="E10" s="4" t="s">
        <v>84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-216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85</v>
      </c>
    </row>
    <row r="11" customFormat="false" ht="12" hidden="false" customHeight="false" outlineLevel="0" collapsed="false">
      <c r="A11" s="1" t="n">
        <v>46495</v>
      </c>
      <c r="B11" s="2" t="s">
        <v>62</v>
      </c>
      <c r="C11" s="3" t="s">
        <v>133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-218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46497</v>
      </c>
      <c r="B12" s="2" t="s">
        <v>134</v>
      </c>
      <c r="C12" s="3" t="s">
        <v>135</v>
      </c>
      <c r="D12" s="40" t="s">
        <v>136</v>
      </c>
      <c r="E12" s="4" t="s">
        <v>84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-220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46499</v>
      </c>
      <c r="B13" s="2" t="s">
        <v>99</v>
      </c>
      <c r="C13" s="3" t="s">
        <v>137</v>
      </c>
      <c r="D13" s="40" t="s">
        <v>101</v>
      </c>
      <c r="E13" s="4" t="s">
        <v>55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-222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46502</v>
      </c>
      <c r="B14" s="2" t="s">
        <v>138</v>
      </c>
      <c r="C14" s="3" t="s">
        <v>139</v>
      </c>
      <c r="D14" s="40" t="s">
        <v>140</v>
      </c>
      <c r="E14" s="4" t="s">
        <v>71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-225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72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46277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46508</v>
      </c>
      <c r="B5" s="2" t="s">
        <v>19</v>
      </c>
      <c r="C5" s="3" t="s">
        <v>141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-231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46510</v>
      </c>
      <c r="B6" s="2" t="s">
        <v>46</v>
      </c>
      <c r="C6" s="3" t="s">
        <v>142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-233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46512</v>
      </c>
      <c r="B7" s="2" t="s">
        <v>49</v>
      </c>
      <c r="C7" s="3" t="s">
        <v>143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-235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46515</v>
      </c>
      <c r="B8" s="2" t="s">
        <v>52</v>
      </c>
      <c r="C8" s="3" t="s">
        <v>144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-238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46517</v>
      </c>
      <c r="B9" s="2" t="s">
        <v>145</v>
      </c>
      <c r="C9" s="3" t="s">
        <v>146</v>
      </c>
      <c r="D9" s="40" t="s">
        <v>147</v>
      </c>
      <c r="E9" s="4" t="s">
        <v>148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-240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  <c r="BZ9" s="2" t="s">
        <v>149</v>
      </c>
    </row>
    <row r="10" customFormat="false" ht="12" hidden="false" customHeight="false" outlineLevel="0" collapsed="false">
      <c r="A10" s="1" t="n">
        <v>46517</v>
      </c>
      <c r="B10" s="2" t="s">
        <v>57</v>
      </c>
      <c r="C10" s="3" t="s">
        <v>150</v>
      </c>
      <c r="D10" s="40" t="s">
        <v>59</v>
      </c>
      <c r="E10" s="4" t="s">
        <v>55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-240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46521</v>
      </c>
      <c r="B11" s="2" t="s">
        <v>107</v>
      </c>
      <c r="C11" s="3" t="s">
        <v>151</v>
      </c>
      <c r="D11" s="40" t="s">
        <v>109</v>
      </c>
      <c r="E11" s="4" t="s">
        <v>55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-244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46522</v>
      </c>
      <c r="B12" s="2" t="s">
        <v>17</v>
      </c>
      <c r="C12" s="3" t="s">
        <v>152</v>
      </c>
      <c r="D12" s="40" t="s">
        <v>61</v>
      </c>
      <c r="E12" s="4" t="s">
        <v>55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-245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46525</v>
      </c>
      <c r="B13" s="2" t="s">
        <v>62</v>
      </c>
      <c r="C13" s="3" t="s">
        <v>153</v>
      </c>
      <c r="D13" s="40" t="s">
        <v>64</v>
      </c>
      <c r="E13" s="4" t="s">
        <v>55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-248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46527</v>
      </c>
      <c r="B14" s="2" t="s">
        <v>65</v>
      </c>
      <c r="C14" s="3" t="s">
        <v>154</v>
      </c>
      <c r="D14" s="40" t="s">
        <v>67</v>
      </c>
      <c r="E14" s="4" t="s">
        <v>55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-250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56</v>
      </c>
    </row>
    <row r="15" customFormat="false" ht="12" hidden="false" customHeight="false" outlineLevel="0" collapsed="false">
      <c r="A15" s="1" t="n">
        <v>46535</v>
      </c>
      <c r="B15" s="2" t="s">
        <v>68</v>
      </c>
      <c r="C15" s="3" t="s">
        <v>155</v>
      </c>
      <c r="D15" s="40" t="s">
        <v>70</v>
      </c>
      <c r="E15" s="4" t="s">
        <v>71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-258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72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46277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46541</v>
      </c>
      <c r="B5" s="2" t="s">
        <v>46</v>
      </c>
      <c r="C5" s="3" t="s">
        <v>156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-264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46543</v>
      </c>
      <c r="B6" s="2" t="s">
        <v>49</v>
      </c>
      <c r="C6" s="3" t="s">
        <v>157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-266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46546</v>
      </c>
      <c r="B7" s="2" t="s">
        <v>52</v>
      </c>
      <c r="C7" s="3" t="s">
        <v>158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-269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46548</v>
      </c>
      <c r="B8" s="2" t="s">
        <v>57</v>
      </c>
      <c r="C8" s="3" t="s">
        <v>159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-271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46550</v>
      </c>
      <c r="B9" s="2" t="s">
        <v>77</v>
      </c>
      <c r="C9" s="3" t="s">
        <v>160</v>
      </c>
      <c r="D9" s="40" t="s">
        <v>79</v>
      </c>
      <c r="E9" s="4" t="s">
        <v>55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-273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46553</v>
      </c>
      <c r="B10" s="2" t="s">
        <v>17</v>
      </c>
      <c r="C10" s="3" t="s">
        <v>161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-276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46556</v>
      </c>
      <c r="B11" s="2" t="s">
        <v>62</v>
      </c>
      <c r="C11" s="3" t="s">
        <v>162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-279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46558</v>
      </c>
      <c r="B12" s="2" t="s">
        <v>163</v>
      </c>
      <c r="C12" s="3" t="s">
        <v>164</v>
      </c>
      <c r="D12" s="40" t="s">
        <v>165</v>
      </c>
      <c r="E12" s="4" t="s">
        <v>84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-281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46563</v>
      </c>
      <c r="B13" s="2" t="s">
        <v>87</v>
      </c>
      <c r="C13" s="3" t="s">
        <v>166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-286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46277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46571</v>
      </c>
      <c r="B5" s="2" t="s">
        <v>46</v>
      </c>
      <c r="C5" s="3" t="s">
        <v>167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-294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46573</v>
      </c>
      <c r="B6" s="2" t="s">
        <v>49</v>
      </c>
      <c r="C6" s="3" t="s">
        <v>168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-296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46576</v>
      </c>
      <c r="B7" s="2" t="s">
        <v>52</v>
      </c>
      <c r="C7" s="3" t="s">
        <v>169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-299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46578</v>
      </c>
      <c r="B8" s="2" t="s">
        <v>57</v>
      </c>
      <c r="C8" s="3" t="s">
        <v>170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-301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46583</v>
      </c>
      <c r="B9" s="2" t="s">
        <v>17</v>
      </c>
      <c r="C9" s="3" t="s">
        <v>171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-306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46586</v>
      </c>
      <c r="B10" s="2" t="s">
        <v>62</v>
      </c>
      <c r="C10" s="3" t="s">
        <v>172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-309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46588</v>
      </c>
      <c r="B11" s="2" t="s">
        <v>65</v>
      </c>
      <c r="C11" s="3" t="s">
        <v>173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-311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46590</v>
      </c>
      <c r="B12" s="2" t="s">
        <v>99</v>
      </c>
      <c r="C12" s="3" t="s">
        <v>174</v>
      </c>
      <c r="D12" s="40" t="s">
        <v>101</v>
      </c>
      <c r="E12" s="4" t="s">
        <v>55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-313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46277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46600</v>
      </c>
      <c r="B5" s="2" t="s">
        <v>19</v>
      </c>
      <c r="C5" s="3" t="s">
        <v>175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-323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46602</v>
      </c>
      <c r="B6" s="2" t="s">
        <v>46</v>
      </c>
      <c r="C6" s="3" t="s">
        <v>176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-325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46604</v>
      </c>
      <c r="B7" s="2" t="s">
        <v>49</v>
      </c>
      <c r="C7" s="3" t="s">
        <v>177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-327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46607</v>
      </c>
      <c r="B8" s="2" t="s">
        <v>52</v>
      </c>
      <c r="C8" s="3" t="s">
        <v>178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-330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46609</v>
      </c>
      <c r="B9" s="2" t="s">
        <v>57</v>
      </c>
      <c r="C9" s="3" t="s">
        <v>179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-332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46613</v>
      </c>
      <c r="B10" s="2" t="s">
        <v>107</v>
      </c>
      <c r="C10" s="3" t="s">
        <v>180</v>
      </c>
      <c r="D10" s="40" t="s">
        <v>109</v>
      </c>
      <c r="E10" s="4" t="s">
        <v>55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-336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46614</v>
      </c>
      <c r="B11" s="2" t="s">
        <v>17</v>
      </c>
      <c r="C11" s="3" t="s">
        <v>181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-337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46615</v>
      </c>
      <c r="B12" s="2" t="s">
        <v>81</v>
      </c>
      <c r="C12" s="3" t="s">
        <v>182</v>
      </c>
      <c r="D12" s="40" t="s">
        <v>83</v>
      </c>
      <c r="E12" s="4" t="s">
        <v>84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-338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46617</v>
      </c>
      <c r="B13" s="2" t="s">
        <v>62</v>
      </c>
      <c r="C13" s="3" t="s">
        <v>183</v>
      </c>
      <c r="D13" s="40" t="s">
        <v>64</v>
      </c>
      <c r="E13" s="4" t="s">
        <v>55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-340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46624</v>
      </c>
      <c r="B14" s="2" t="s">
        <v>184</v>
      </c>
      <c r="C14" s="3" t="s">
        <v>185</v>
      </c>
      <c r="D14" s="40" t="s">
        <v>140</v>
      </c>
      <c r="E14" s="4" t="s">
        <v>71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-347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72</v>
      </c>
    </row>
    <row r="15" customFormat="false" ht="12" hidden="false" customHeight="false" outlineLevel="0" collapsed="false">
      <c r="A15" s="1" t="n">
        <v>46627</v>
      </c>
      <c r="B15" s="2" t="s">
        <v>68</v>
      </c>
      <c r="C15" s="3" t="s">
        <v>186</v>
      </c>
      <c r="D15" s="40" t="s">
        <v>70</v>
      </c>
      <c r="E15" s="4" t="s">
        <v>71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-350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72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46277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46633</v>
      </c>
      <c r="B5" s="2" t="s">
        <v>46</v>
      </c>
      <c r="C5" s="3" t="s">
        <v>187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-356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46635</v>
      </c>
      <c r="B6" s="2" t="s">
        <v>49</v>
      </c>
      <c r="C6" s="3" t="s">
        <v>188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-358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46638</v>
      </c>
      <c r="B7" s="2" t="s">
        <v>52</v>
      </c>
      <c r="C7" s="3" t="s">
        <v>189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-361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46640</v>
      </c>
      <c r="B8" s="2" t="s">
        <v>57</v>
      </c>
      <c r="C8" s="3" t="s">
        <v>190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-363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46645</v>
      </c>
      <c r="B9" s="2" t="s">
        <v>17</v>
      </c>
      <c r="C9" s="3" t="s">
        <v>191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-368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46648</v>
      </c>
      <c r="B10" s="2" t="s">
        <v>62</v>
      </c>
      <c r="C10" s="3" t="s">
        <v>192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-371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46650</v>
      </c>
      <c r="B11" s="2" t="s">
        <v>65</v>
      </c>
      <c r="C11" s="3" t="s">
        <v>193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-373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46650</v>
      </c>
      <c r="B12" s="2" t="s">
        <v>194</v>
      </c>
      <c r="C12" s="3" t="s">
        <v>195</v>
      </c>
      <c r="D12" s="40" t="s">
        <v>196</v>
      </c>
      <c r="E12" s="4" t="s">
        <v>84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-373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46655</v>
      </c>
      <c r="B13" s="2" t="s">
        <v>87</v>
      </c>
      <c r="C13" s="3" t="s">
        <v>197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-378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46277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Nov!U1+Dec!U1+Jan!U1+Feb!U1+Mar!U1+Apr!U1+May!U1+Jun!U1+Jul!U1+Aug!U1+Sep!U1+Oct!U1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46663</v>
      </c>
      <c r="B5" s="2" t="s">
        <v>46</v>
      </c>
      <c r="C5" s="3" t="s">
        <v>198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-386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46665</v>
      </c>
      <c r="B6" s="2" t="s">
        <v>49</v>
      </c>
      <c r="C6" s="3" t="s">
        <v>199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-388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46668</v>
      </c>
      <c r="B7" s="2" t="s">
        <v>52</v>
      </c>
      <c r="C7" s="3" t="s">
        <v>200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-391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46670</v>
      </c>
      <c r="B8" s="2" t="s">
        <v>57</v>
      </c>
      <c r="C8" s="3" t="s">
        <v>201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-393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46675</v>
      </c>
      <c r="B9" s="2" t="s">
        <v>17</v>
      </c>
      <c r="C9" s="3" t="s">
        <v>202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-398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46678</v>
      </c>
      <c r="B10" s="2" t="s">
        <v>62</v>
      </c>
      <c r="C10" s="3" t="s">
        <v>203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-401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46682</v>
      </c>
      <c r="B11" s="2" t="s">
        <v>99</v>
      </c>
      <c r="C11" s="3" t="s">
        <v>204</v>
      </c>
      <c r="D11" s="40" t="s">
        <v>101</v>
      </c>
      <c r="E11" s="4" t="s">
        <v>55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-405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46691</v>
      </c>
      <c r="B12" s="2" t="s">
        <v>205</v>
      </c>
      <c r="C12" s="3" t="s">
        <v>206</v>
      </c>
      <c r="D12" s="40" t="s">
        <v>207</v>
      </c>
      <c r="E12" s="4" t="s">
        <v>208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-414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  <c r="BZ12" s="2" t="s">
        <v>209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210</v>
      </c>
      <c r="B1" s="9"/>
      <c r="C1" s="10" t="n">
        <f aca="false">IF([1]TrialBalance!$EJ$20&gt;0,[1]TrialBalance!$EJ$20,0)</f>
        <v>7900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7900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46277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202</v>
      </c>
      <c r="G5" s="2" t="str">
        <f aca="false">IF(G$4&gt;0,(IF(F5&lt;&gt;0,F5*G$4/100," ")),IF(F5&lt;&gt;0,F5*G$2/(100+G$2)," "))</f>
        <v> </v>
      </c>
      <c r="H5" s="2" t="n">
        <v>6100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99</v>
      </c>
      <c r="C6" s="3" t="s">
        <v>204</v>
      </c>
      <c r="G6" s="2" t="str">
        <f aca="false">IF(G$4&gt;0,(IF(F6&lt;&gt;0,F6*G$4/100," ")),IF(F6&lt;&gt;0,F6*G$2/(100+G$2)," "))</f>
        <v> </v>
      </c>
      <c r="H6" s="2" t="n">
        <v>1440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205</v>
      </c>
      <c r="C7" s="3" t="s">
        <v>206</v>
      </c>
      <c r="G7" s="2" t="str">
        <f aca="false">IF(G$4&gt;0,(IF(F7&lt;&gt;0,F7*G$4/100," ")),IF(F7&lt;&gt;0,F7*G$2/(100+G$2)," "))</f>
        <v> </v>
      </c>
      <c r="H7" s="2" t="n">
        <v>360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