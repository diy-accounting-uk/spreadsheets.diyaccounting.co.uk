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Oct" sheetId="2" state="visible" r:id="rId4"/>
    <sheet name="Nov" sheetId="3" state="visible" r:id="rId5"/>
    <sheet name="Dec" sheetId="4" state="visible" r:id="rId6"/>
    <sheet name="Jan" sheetId="5" state="visible" r:id="rId7"/>
    <sheet name="Feb" sheetId="6" state="visible" r:id="rId8"/>
    <sheet name="Mar" sheetId="7" state="visible" r:id="rId9"/>
    <sheet name="Apr" sheetId="8" state="visible" r:id="rId10"/>
    <sheet name="May" sheetId="9" state="visible" r:id="rId11"/>
    <sheet name="Jun" sheetId="10" state="visible" r:id="rId12"/>
    <sheet name="Jul" sheetId="11" state="visible" r:id="rId13"/>
    <sheet name="Aug" sheetId="12" state="visible" r:id="rId14"/>
    <sheet name="Sep" sheetId="13" state="visible" r:id="rId15"/>
    <sheet name="ClosingDebtors" sheetId="14" state="visible" r:id="rId16"/>
  </sheets>
  <externalReferences>
    <externalReference r:id="rId17"/>
  </externalReferences>
  <definedNames>
    <definedName function="false" hidden="false" localSheetId="13" name="_xlnm.Print_Area" vbProcedure="false">ClosingDebtors!$A$1:$P$75</definedName>
    <definedName function="false" hidden="false" localSheetId="13" name="_xlnm.Print_Titles" vbProcedure="false">ClosingDebtors!$A:$D,ClosingDebtors!$1:$4</definedName>
    <definedName function="false" hidden="false" localSheetId="0" name="_xlnm.Print_Area" vbProcedure="false">OpeningDebtors!$A$1:$P$75</definedName>
    <definedName function="false" hidden="false" localSheetId="0" name="_xlnm.Print_Titles" vbProcedure="false">OpeningDebtors!$A:$D,OpeningDebtors!$1:$4</definedName>
    <definedName function="false" hidden="false" localSheetId="0" name="Excel_BuiltIn_Print_Titles" vbProcedure="false">(OpeningDebtors!$A:$D,OpeningDebtors!$1:$4)</definedName>
    <definedName function="false" hidden="false" localSheetId="0" name="_xlnm_Print_Area" vbProcedure="false">OpeningDebtors!$A$1:$P$75</definedName>
    <definedName function="false" hidden="false" localSheetId="0" name="_xlnm_Print_Titles" vbProcedure="false">(OpeningDebtors!$A:$D,OpeningDebtors!$1:$4)</definedName>
    <definedName function="false" hidden="false" localSheetId="1" name="_xlnm_Print_Area" vbProcedure="false">Apr!$A$1:$W$75</definedName>
    <definedName function="false" hidden="false" localSheetId="1" name="_xlnm_Print_Titles" vbProcedure="false">(Apr!$A:$D,Apr!$1:$4)</definedName>
    <definedName function="false" hidden="false" localSheetId="2" name="_xlnm_Print_Area" vbProcedure="false">May!$A$1:$W$75</definedName>
    <definedName function="false" hidden="false" localSheetId="2" name="_xlnm_Print_Titles" vbProcedure="false">(May!$A:$D,May!$1:$4)</definedName>
    <definedName function="false" hidden="false" localSheetId="3" name="_xlnm_Print_Area" vbProcedure="false">Jun!$A$1:$W$75</definedName>
    <definedName function="false" hidden="false" localSheetId="3" name="_xlnm_Print_Titles" vbProcedure="false">(Jun!$A:$D,Jun!$1:$4)</definedName>
    <definedName function="false" hidden="false" localSheetId="4" name="_xlnm_Print_Area" vbProcedure="false">Jul!$A$1:$W$75</definedName>
    <definedName function="false" hidden="false" localSheetId="4" name="_xlnm_Print_Titles" vbProcedure="false">(Jul!$A:$D,Jul!$1:$4)</definedName>
    <definedName function="false" hidden="false" localSheetId="5" name="_xlnm_Print_Area" vbProcedure="false">Aug!$A$1:$W$75</definedName>
    <definedName function="false" hidden="false" localSheetId="5" name="_xlnm_Print_Titles" vbProcedure="false">(Aug!$A:$D,Aug!$1:$4)</definedName>
    <definedName function="false" hidden="false" localSheetId="6" name="_xlnm_Print_Area" vbProcedure="false">Sep!$A$1:$W$75</definedName>
    <definedName function="false" hidden="false" localSheetId="6" name="_xlnm_Print_Titles" vbProcedure="false">(Sep!$A:$D,Sep!$1:$4)</definedName>
    <definedName function="false" hidden="false" localSheetId="7" name="_xlnm_Print_Area" vbProcedure="false">Oct!$A$1:$W$75</definedName>
    <definedName function="false" hidden="false" localSheetId="7" name="_xlnm_Print_Titles" vbProcedure="false">(Oct!$A:$D,Oct!$1:$4)</definedName>
    <definedName function="false" hidden="false" localSheetId="8" name="_xlnm_Print_Area" vbProcedure="false">Nov!$A$1:$W$75</definedName>
    <definedName function="false" hidden="false" localSheetId="8" name="_xlnm_Print_Titles" vbProcedure="false">(Nov!$A:$D,Nov!$1:$4)</definedName>
    <definedName function="false" hidden="false" localSheetId="9" name="_xlnm_Print_Area" vbProcedure="false">Dec!$A$1:$W$75</definedName>
    <definedName function="false" hidden="false" localSheetId="9" name="_xlnm_Print_Titles" vbProcedure="false">(Dec!$A:$D,Dec!$1:$4)</definedName>
    <definedName function="false" hidden="false" localSheetId="10" name="_xlnm_Print_Area" vbProcedure="false">Jan!$A$1:$W$75</definedName>
    <definedName function="false" hidden="false" localSheetId="10" name="_xlnm_Print_Titles" vbProcedure="false">(Jan!$A:$D,Jan!$1:$4)</definedName>
    <definedName function="false" hidden="false" localSheetId="11" name="_xlnm_Print_Area" vbProcedure="false">Feb!$A$1:$W$75</definedName>
    <definedName function="false" hidden="false" localSheetId="11" name="_xlnm_Print_Titles" vbProcedure="false">(Feb!$A:$D,Feb!$1:$4)</definedName>
    <definedName function="false" hidden="false" localSheetId="12" name="_xlnm_Print_Area" vbProcedure="false">Mar!$A$1:$W$75</definedName>
    <definedName function="false" hidden="false" localSheetId="12" name="_xlnm_Print_Titles" vbProcedure="false">(Mar!$A:$D,Mar!$1:$4)</definedName>
    <definedName function="false" hidden="false" localSheetId="13" name="Excel_BuiltIn_Print_Titles" vbProcedure="false">(ClosingDebtors!$A:$D,ClosingDebtors!$1:$4)</definedName>
    <definedName function="false" hidden="false" localSheetId="13" name="_xlnm_Print_Area" vbProcedure="false">ClosingDebtors!$A$1:$P$75</definedName>
    <definedName function="false" hidden="false" localSheetId="13" name="_xlnm_Print_Titles" vbProcedure="false">(ClosingDebtors!$A:$D,ClosingDebtors!$1:$4)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<sst xmlns="http://schemas.openxmlformats.org/spreadsheetml/2006/main" count="664" uniqueCount="72">
  <si>
    <t xml:space="preserve">Opening Debtors Balance</t>
  </si>
  <si>
    <t xml:space="preserve">Total in C1 should equal F1</t>
  </si>
  <si>
    <t xml:space="preserve">For your information only. Enter How Paid e.g. Cash, Cheque etc.,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</si>
  <si>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</si>
  <si>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</si>
  <si>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</si>
  <si>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</si>
  <si>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</si>
  <si>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</si>
  <si>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</si>
  <si>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</si>
  <si>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</si>
  <si>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</si>
  <si>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</si>
  <si>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</si>
  <si>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</si>
  <si>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</si>
  <si>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</si>
  <si>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</si>
  <si>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</si>
  <si>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</si>
  <si>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</si>
  <si>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</si>
  <si>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</si>
  <si>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Total for Month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</si>
  <si>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</si>
  <si>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</si>
  <si>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</si>
  <si>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</si>
  <si>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</si>
  <si>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</si>
  <si>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Sale of          Fixed Assets</t>
  </si>
  <si>
    <t xml:space="preserve">Product          A</t>
  </si>
  <si>
    <t xml:space="preserve">Product      B</t>
  </si>
  <si>
    <t xml:space="preserve">Product        C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</si>
  <si>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</si>
  <si>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</si>
  <si>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</si>
  <si>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</si>
  <si>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</si>
  <si>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</si>
  <si>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</si>
  <si>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</si>
  <si>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</si>
  <si>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</si>
  <si>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</si>
  <si>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</si>
  <si>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</si>
  <si>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</si>
  <si>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</si>
  <si>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</si>
  <si>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</si>
  <si>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Zeta Corp</t>
  </si>
  <si>
    <t xml:space="preserve">o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</si>
  <si>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</si>
  <si>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</si>
  <si>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</si>
  <si>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</si>
  <si>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</si>
  <si>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</si>
  <si>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</si>
  <si>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</si>
  <si>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</si>
  <si>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</si>
  <si>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</si>
  <si>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</si>
  <si>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</si>
  <si>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</si>
  <si>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</si>
  <si>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Closing Debtors Balance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</si>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</sst>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0">
          <cell r="EJ20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0</v>
      </c>
      <c r="B1" s="9"/>
      <c r="C1" s="10" t="n">
        <f aca="false">IF([1]OpenAccounts!$E$16&gt;0,[1]OpenAccounts!$E$16,0)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10800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46257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Oct!G2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18</v>
      </c>
      <c r="G5" s="2" t="str">
        <f aca="false">IF(G$4&gt;0,(IF(F5&lt;&gt;0,F5*G$4/100," ")),IF(F5&lt;&gt;0,F5*G$2/(100+G$2)," "))</f>
        <v> </v>
      </c>
      <c r="H5" s="2" t="n">
        <v>7200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19</v>
      </c>
      <c r="C6" s="3" t="s">
        <v>20</v>
      </c>
      <c r="G6" s="2" t="str">
        <f aca="false">IF(G$4&gt;0,(IF(F6&lt;&gt;0,F6*G$4/100," ")),IF(F6&lt;&gt;0,F6*G$2/(100+G$2)," "))</f>
        <v> </v>
      </c>
      <c r="H6" s="2" t="n">
        <v>1200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B7" s="2" t="s">
        <v>21</v>
      </c>
      <c r="C7" s="3" t="s">
        <v>22</v>
      </c>
      <c r="G7" s="2" t="str">
        <f aca="false">IF(G$4&gt;0,(IF(F7&lt;&gt;0,F7*G$4/100," ")),IF(F7&lt;&gt;0,F7*G$2/(100+G$2)," "))</f>
        <v> </v>
      </c>
      <c r="H7" s="2" t="n">
        <v>2400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46257</v>
      </c>
      <c r="N1" s="18"/>
      <c r="O1" s="12" t="n">
        <f aca="false">SUM(O5:O300)</f>
        <v>25333.3333333333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300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[1]Admin!$M$19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/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45931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326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45933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324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45935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322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45938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319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45940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317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45945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312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45948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309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45950</v>
      </c>
      <c r="B12" s="2" t="s">
        <v>49</v>
      </c>
      <c r="E12" s="4" t="s">
        <v>46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307</v>
      </c>
      <c r="O12" s="2" t="n">
        <f aca="false">IF((E12="a"),H12," ")</f>
        <v>1500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45958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299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46296</v>
      </c>
      <c r="B14" s="2" t="s">
        <v>52</v>
      </c>
      <c r="E14" s="4" t="s">
        <v>53</v>
      </c>
      <c r="F14" s="2" t="n">
        <v>360</v>
      </c>
      <c r="G14" s="2" t="n">
        <f aca="false">IF(G$4&gt;0,(IF(F14&lt;&gt;0,F14*G$4/100," ")),IF(F14&lt;&gt;0,F14*G$2/(100+G$2)," "))</f>
        <v>60</v>
      </c>
      <c r="H14" s="2" t="n">
        <f aca="false">IF((F14&lt;&gt;0),F14-G14," ")</f>
        <v>300</v>
      </c>
      <c r="L14" s="7" t="n">
        <f aca="false">IF(F14&lt;&gt;0,F14-K14," ")</f>
        <v>360</v>
      </c>
      <c r="M14" s="8" t="n">
        <f aca="false">IF((F14-K14)&lt;&gt;0,M$1-A14," ")</f>
        <v>-39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n">
        <f aca="false">IF((E14="o"),H14," ")</f>
        <v>300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1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32920</v>
      </c>
      <c r="G1" s="12" t="n">
        <f aca="false">SUM(G5:G300)</f>
        <v>5486.66666666667</v>
      </c>
      <c r="H1" s="12" t="n">
        <f aca="false">SUM(H5:H300)</f>
        <v>27433.3333333333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32920</v>
      </c>
      <c r="M1" s="17" t="n">
        <f aca="true">TODAY()</f>
        <v>46257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1000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Oct!G2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45964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293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45966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291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45969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288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45971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286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45973</v>
      </c>
      <c r="B9" s="2" t="s">
        <v>54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284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45976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281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45977</v>
      </c>
      <c r="B11" s="2" t="s">
        <v>55</v>
      </c>
      <c r="E11" s="4" t="s">
        <v>56</v>
      </c>
      <c r="F11" s="2" t="n">
        <v>1200</v>
      </c>
      <c r="G11" s="2" t="n">
        <f aca="false">IF(G$4&gt;0,(IF(F11&lt;&gt;0,F11*G$4/100," ")),IF(F11&lt;&gt;0,F11*G$2/(100+G$2)," "))</f>
        <v>200</v>
      </c>
      <c r="H11" s="2" t="n">
        <f aca="false">IF((F11&lt;&gt;0),F11-G11," ")</f>
        <v>1000</v>
      </c>
      <c r="L11" s="7" t="n">
        <f aca="false">IF(F11&lt;&gt;0,F11-K11," ")</f>
        <v>1200</v>
      </c>
      <c r="M11" s="8" t="n">
        <f aca="false">IF((F11-K11)&lt;&gt;0,M$1-A11," ")</f>
        <v>280</v>
      </c>
      <c r="O11" s="2" t="str">
        <f aca="false">IF((E11="a"),H11," ")</f>
        <v> </v>
      </c>
      <c r="P11" s="2" t="str">
        <f aca="false">IF((E11="b"),H11," ")</f>
        <v> </v>
      </c>
      <c r="Q11" s="2" t="n">
        <f aca="false">IF((E11="c"),H11," ")</f>
        <v>1000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45979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278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45986</v>
      </c>
      <c r="B13" s="2" t="s">
        <v>57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271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35200</v>
      </c>
      <c r="G1" s="12" t="n">
        <f aca="false">SUM(G5:G300)</f>
        <v>5866.66666666667</v>
      </c>
      <c r="H1" s="12" t="n">
        <f aca="false">SUM(H5:H300)</f>
        <v>29333.3333333333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35200</v>
      </c>
      <c r="M1" s="17" t="n">
        <f aca="true">TODAY()</f>
        <v>46257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2000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Nov!G2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Nov!G4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45994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263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45996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261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45999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258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46001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256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46006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251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46009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248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46011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246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46011</v>
      </c>
      <c r="B12" s="2" t="s">
        <v>21</v>
      </c>
      <c r="E12" s="4" t="s">
        <v>56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246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2000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46013</v>
      </c>
      <c r="B13" s="2" t="s">
        <v>58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244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46257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Dec!G2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Dec!G4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46023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234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46025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232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46027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230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46030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227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46032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225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46036</v>
      </c>
      <c r="B10" s="2" t="s">
        <v>59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221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46037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220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46040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217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46050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207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36020</v>
      </c>
      <c r="G1" s="12" t="n">
        <f aca="false">SUM(G5:G300)</f>
        <v>6003.33333333333</v>
      </c>
      <c r="H1" s="12" t="n">
        <f aca="false">SUM(H5:H300)</f>
        <v>30016.6666666667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36020</v>
      </c>
      <c r="M1" s="17" t="n">
        <f aca="true">TODAY()</f>
        <v>46257</v>
      </c>
      <c r="N1" s="18"/>
      <c r="O1" s="12" t="n">
        <f aca="false">SUM(O5:O300)</f>
        <v>27133.3333333333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2083.33333333333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Jan!G2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Jan!G4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46054</v>
      </c>
      <c r="B5" s="2" t="s">
        <v>60</v>
      </c>
      <c r="E5" s="4" t="s">
        <v>61</v>
      </c>
      <c r="F5" s="2" t="n">
        <v>2500</v>
      </c>
      <c r="G5" s="2" t="n">
        <f aca="false">IF(G$4&gt;0,(IF(F5&lt;&gt;0,F5*G$4/100," ")),IF(F5&lt;&gt;0,F5*G$2/(100+G$2)," "))</f>
        <v>416.666666666667</v>
      </c>
      <c r="H5" s="2" t="n">
        <f aca="false">IF((F5&lt;&gt;0),F5-G5," ")</f>
        <v>2083.33333333333</v>
      </c>
      <c r="L5" s="7" t="n">
        <f aca="false">IF(F5&lt;&gt;0,F5-K5," ")</f>
        <v>2500</v>
      </c>
      <c r="M5" s="8" t="n">
        <f aca="false">IF((F5-K5)&lt;&gt;0,M$1-A5," ")</f>
        <v>203</v>
      </c>
      <c r="O5" s="2" t="str">
        <f aca="false">IF((E5="a"),H5," ")</f>
        <v> 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n">
        <f aca="false">IF((E5="g"),H5," ")</f>
        <v>2083.33333333333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46056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201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46058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199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46061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196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46063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194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46065</v>
      </c>
      <c r="B10" s="2" t="s">
        <v>54</v>
      </c>
      <c r="E10" s="4" t="s">
        <v>46</v>
      </c>
      <c r="F10" s="2" t="n">
        <v>960</v>
      </c>
      <c r="G10" s="2" t="n">
        <f aca="false">IF(G$4&gt;0,(IF(F10&lt;&gt;0,F10*G$4/100," ")),IF(F10&lt;&gt;0,F10*G$2/(100+G$2)," "))</f>
        <v>160</v>
      </c>
      <c r="H10" s="2" t="n">
        <f aca="false">IF((F10&lt;&gt;0),F10-G10," ")</f>
        <v>800</v>
      </c>
      <c r="L10" s="7" t="n">
        <f aca="false">IF(F10&lt;&gt;0,F10-K10," ")</f>
        <v>960</v>
      </c>
      <c r="M10" s="8" t="n">
        <f aca="false">IF((F10-K10)&lt;&gt;0,M$1-A10," ")</f>
        <v>192</v>
      </c>
      <c r="O10" s="2" t="n">
        <f aca="false">IF((E10="a"),H10," ")</f>
        <v>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46068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189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46071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186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46073</v>
      </c>
      <c r="B13" s="2" t="s">
        <v>49</v>
      </c>
      <c r="E13" s="4" t="s">
        <v>46</v>
      </c>
      <c r="F13" s="2" t="n">
        <v>1800</v>
      </c>
      <c r="G13" s="2" t="n">
        <f aca="false">IF(G$4&gt;0,(IF(F13&lt;&gt;0,F13*G$4/100," ")),IF(F13&lt;&gt;0,F13*G$2/(100+G$2)," "))</f>
        <v>300</v>
      </c>
      <c r="H13" s="2" t="n">
        <f aca="false">IF((F13&lt;&gt;0),F13-G13," ")</f>
        <v>1500</v>
      </c>
      <c r="L13" s="7" t="n">
        <f aca="false">IF(F13&lt;&gt;0,F13-K13," ")</f>
        <v>1800</v>
      </c>
      <c r="M13" s="8" t="n">
        <f aca="false">IF((F13-K13)&lt;&gt;0,M$1-A13," ")</f>
        <v>184</v>
      </c>
      <c r="O13" s="2" t="n">
        <f aca="false">IF((E13="a"),H13," ")</f>
        <v>1500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46078</v>
      </c>
      <c r="B14" s="2" t="s">
        <v>57</v>
      </c>
      <c r="E14" s="4" t="s">
        <v>46</v>
      </c>
      <c r="F14" s="2" t="n">
        <v>1200</v>
      </c>
      <c r="G14" s="2" t="n">
        <f aca="false">IF(G$4&gt;0,(IF(F14&lt;&gt;0,F14*G$4/100," ")),IF(F14&lt;&gt;0,F14*G$2/(100+G$2)," "))</f>
        <v>200</v>
      </c>
      <c r="H14" s="2" t="n">
        <f aca="false">IF((F14&lt;&gt;0),F14-G14," ")</f>
        <v>1000</v>
      </c>
      <c r="L14" s="7" t="n">
        <f aca="false">IF(F14&lt;&gt;0,F14-K14," ")</f>
        <v>1200</v>
      </c>
      <c r="M14" s="8" t="n">
        <f aca="false">IF((F14-K14)&lt;&gt;0,M$1-A14," ")</f>
        <v>179</v>
      </c>
      <c r="O14" s="2" t="n">
        <f aca="false">IF((E14="a"),H14," ")</f>
        <v>1000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46257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1800</v>
      </c>
      <c r="R1" s="12" t="n">
        <f aca="false">SUM(R5:R300)</f>
        <v>500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Feb!G2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Feb!G4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46084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173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46086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171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46089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168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46091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166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46096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161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46097</v>
      </c>
      <c r="B10" s="2" t="s">
        <v>55</v>
      </c>
      <c r="E10" s="4" t="s">
        <v>56</v>
      </c>
      <c r="F10" s="2" t="n">
        <v>1200</v>
      </c>
      <c r="G10" s="2" t="n">
        <f aca="false">IF(G$4&gt;0,(IF(F10&lt;&gt;0,F10*G$4/100," ")),IF(F10&lt;&gt;0,F10*G$2/(100+G$2)," "))</f>
        <v>200</v>
      </c>
      <c r="H10" s="2" t="n">
        <f aca="false">IF((F10&lt;&gt;0),F10-G10," ")</f>
        <v>1000</v>
      </c>
      <c r="L10" s="7" t="n">
        <f aca="false">IF(F10&lt;&gt;0,F10-K10," ")</f>
        <v>1200</v>
      </c>
      <c r="M10" s="8" t="n">
        <f aca="false">IF((F10-K10)&lt;&gt;0,M$1-A10," ")</f>
        <v>160</v>
      </c>
      <c r="O10" s="2" t="str">
        <f aca="false">IF((E10="a"),H10," ")</f>
        <v> </v>
      </c>
      <c r="P10" s="2" t="str">
        <f aca="false">IF((E10="b"),H10," ")</f>
        <v> </v>
      </c>
      <c r="Q10" s="2" t="n">
        <f aca="false">IF((E10="c"),H10," ")</f>
        <v>1000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46099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158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46101</v>
      </c>
      <c r="B12" s="2" t="s">
        <v>62</v>
      </c>
      <c r="E12" s="4" t="s">
        <v>56</v>
      </c>
      <c r="F12" s="2" t="n">
        <v>960</v>
      </c>
      <c r="G12" s="2" t="n">
        <f aca="false">IF(G$4&gt;0,(IF(F12&lt;&gt;0,F12*G$4/100," ")),IF(F12&lt;&gt;0,F12*G$2/(100+G$2)," "))</f>
        <v>160</v>
      </c>
      <c r="H12" s="2" t="n">
        <f aca="false">IF((F12&lt;&gt;0),F12-G12," ")</f>
        <v>800</v>
      </c>
      <c r="L12" s="7" t="n">
        <f aca="false">IF(F12&lt;&gt;0,F12-K12," ")</f>
        <v>960</v>
      </c>
      <c r="M12" s="8" t="n">
        <f aca="false">IF((F12-K12)&lt;&gt;0,M$1-A12," ")</f>
        <v>156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800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46103</v>
      </c>
      <c r="B13" s="2" t="s">
        <v>58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154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46106</v>
      </c>
      <c r="B14" s="2" t="s">
        <v>63</v>
      </c>
      <c r="E14" s="4" t="s">
        <v>51</v>
      </c>
      <c r="F14" s="2" t="n">
        <v>600</v>
      </c>
      <c r="G14" s="2" t="n">
        <f aca="false">IF(G$4&gt;0,(IF(F14&lt;&gt;0,F14*G$4/100," ")),IF(F14&lt;&gt;0,F14*G$2/(100+G$2)," "))</f>
        <v>100</v>
      </c>
      <c r="H14" s="2" t="n">
        <f aca="false">IF((F14&lt;&gt;0),F14-G14," ")</f>
        <v>500</v>
      </c>
      <c r="L14" s="7" t="n">
        <f aca="false">IF(F14&lt;&gt;0,F14-K14," ")</f>
        <v>600</v>
      </c>
      <c r="M14" s="8" t="n">
        <f aca="false">IF((F14-K14)&lt;&gt;0,M$1-A14," ")</f>
        <v>151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500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50560</v>
      </c>
      <c r="G1" s="12" t="n">
        <f aca="false">SUM(G5:G300)</f>
        <v>8426.66666666667</v>
      </c>
      <c r="H1" s="12" t="n">
        <f aca="false">SUM(H5:H300)</f>
        <v>42133.3333333333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50560</v>
      </c>
      <c r="M1" s="17" t="n">
        <f aca="true">TODAY()</f>
        <v>46257</v>
      </c>
      <c r="N1" s="18"/>
      <c r="O1" s="12" t="n">
        <f aca="false">SUM(O5:O300)</f>
        <v>27133.3333333333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12500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46113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144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46115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142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46117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140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46120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137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46122</v>
      </c>
      <c r="B9" s="2" t="s">
        <v>64</v>
      </c>
      <c r="E9" s="4" t="s">
        <v>65</v>
      </c>
      <c r="F9" s="2" t="n">
        <v>15000</v>
      </c>
      <c r="G9" s="2" t="n">
        <f aca="false">IF(G$4&gt;0,(IF(F9&lt;&gt;0,F9*G$4/100," ")),IF(F9&lt;&gt;0,F9*G$2/(100+G$2)," "))</f>
        <v>2500</v>
      </c>
      <c r="H9" s="2" t="n">
        <f aca="false">IF((F9&lt;&gt;0),F9-G9," ")</f>
        <v>12500</v>
      </c>
      <c r="L9" s="7" t="n">
        <f aca="false">IF(F9&lt;&gt;0,F9-K9," ")</f>
        <v>15000</v>
      </c>
      <c r="M9" s="8" t="n">
        <f aca="false">IF((F9-K9)&lt;&gt;0,M$1-A9," ")</f>
        <v>135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n">
        <f aca="false">IF((E9="FS"),H9," ")</f>
        <v>12500</v>
      </c>
    </row>
    <row r="10" customFormat="false" ht="12" hidden="false" customHeight="false" outlineLevel="0" collapsed="false">
      <c r="A10" s="1" t="n">
        <v>46122</v>
      </c>
      <c r="B10" s="2" t="s">
        <v>47</v>
      </c>
      <c r="E10" s="4" t="s">
        <v>46</v>
      </c>
      <c r="F10" s="2" t="n">
        <v>720</v>
      </c>
      <c r="G10" s="2" t="n">
        <f aca="false">IF(G$4&gt;0,(IF(F10&lt;&gt;0,F10*G$4/100," ")),IF(F10&lt;&gt;0,F10*G$2/(100+G$2)," "))</f>
        <v>120</v>
      </c>
      <c r="H10" s="2" t="n">
        <f aca="false">IF((F10&lt;&gt;0),F10-G10," ")</f>
        <v>600</v>
      </c>
      <c r="L10" s="7" t="n">
        <f aca="false">IF(F10&lt;&gt;0,F10-K10," ")</f>
        <v>720</v>
      </c>
      <c r="M10" s="8" t="n">
        <f aca="false">IF((F10-K10)&lt;&gt;0,M$1-A10," ")</f>
        <v>135</v>
      </c>
      <c r="O10" s="2" t="n">
        <f aca="false">IF((E10="a"),H10," ")</f>
        <v>600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46126</v>
      </c>
      <c r="B11" s="2" t="s">
        <v>59</v>
      </c>
      <c r="E11" s="4" t="s">
        <v>46</v>
      </c>
      <c r="F11" s="2" t="n">
        <v>2160</v>
      </c>
      <c r="G11" s="2" t="n">
        <f aca="false">IF(G$4&gt;0,(IF(F11&lt;&gt;0,F11*G$4/100," ")),IF(F11&lt;&gt;0,F11*G$2/(100+G$2)," "))</f>
        <v>360</v>
      </c>
      <c r="H11" s="2" t="n">
        <f aca="false">IF((F11&lt;&gt;0),F11-G11," ")</f>
        <v>1800</v>
      </c>
      <c r="L11" s="7" t="n">
        <f aca="false">IF(F11&lt;&gt;0,F11-K11," ")</f>
        <v>2160</v>
      </c>
      <c r="M11" s="8" t="n">
        <f aca="false">IF((F11-K11)&lt;&gt;0,M$1-A11," ")</f>
        <v>131</v>
      </c>
      <c r="O11" s="2" t="n">
        <f aca="false">IF((E11="a"),H11," ")</f>
        <v>1800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46127</v>
      </c>
      <c r="B12" s="2" t="s">
        <v>17</v>
      </c>
      <c r="E12" s="4" t="s">
        <v>46</v>
      </c>
      <c r="F12" s="2" t="n">
        <v>25000</v>
      </c>
      <c r="G12" s="2" t="n">
        <f aca="false">IF(G$4&gt;0,(IF(F12&lt;&gt;0,F12*G$4/100," ")),IF(F12&lt;&gt;0,F12*G$2/(100+G$2)," "))</f>
        <v>4166.66666666667</v>
      </c>
      <c r="H12" s="2" t="n">
        <f aca="false">IF((F12&lt;&gt;0),F12-G12," ")</f>
        <v>20833.3333333333</v>
      </c>
      <c r="L12" s="7" t="n">
        <f aca="false">IF(F12&lt;&gt;0,F12-K12," ")</f>
        <v>25000</v>
      </c>
      <c r="M12" s="8" t="n">
        <f aca="false">IF((F12-K12)&lt;&gt;0,M$1-A12," ")</f>
        <v>130</v>
      </c>
      <c r="O12" s="2" t="n">
        <f aca="false">IF((E12="a"),H12," ")</f>
        <v>20833.3333333333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46130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127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46132</v>
      </c>
      <c r="B14" s="2" t="s">
        <v>49</v>
      </c>
      <c r="E14" s="4" t="s">
        <v>46</v>
      </c>
      <c r="F14" s="2" t="n">
        <v>1800</v>
      </c>
      <c r="G14" s="2" t="n">
        <f aca="false">IF(G$4&gt;0,(IF(F14&lt;&gt;0,F14*G$4/100," ")),IF(F14&lt;&gt;0,F14*G$2/(100+G$2)," "))</f>
        <v>300</v>
      </c>
      <c r="H14" s="2" t="n">
        <f aca="false">IF((F14&lt;&gt;0),F14-G14," ")</f>
        <v>1500</v>
      </c>
      <c r="L14" s="7" t="n">
        <f aca="false">IF(F14&lt;&gt;0,F14-K14," ")</f>
        <v>1800</v>
      </c>
      <c r="M14" s="8" t="n">
        <f aca="false">IF((F14-K14)&lt;&gt;0,M$1-A14," ")</f>
        <v>125</v>
      </c>
      <c r="O14" s="2" t="n">
        <f aca="false">IF((E14="a"),H14," ")</f>
        <v>1500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46140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117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35320</v>
      </c>
      <c r="G1" s="12" t="n">
        <f aca="false">SUM(G5:G300)</f>
        <v>5886.66666666667</v>
      </c>
      <c r="H1" s="12" t="n">
        <f aca="false">SUM(H5:H300)</f>
        <v>29433.3333333333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35320</v>
      </c>
      <c r="M1" s="17" t="n">
        <f aca="true">TODAY()</f>
        <v>46257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3000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Apr!G2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Apr!G4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46145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112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46147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110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46150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107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46152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105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46154</v>
      </c>
      <c r="B9" s="2" t="s">
        <v>54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103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46157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100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46160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97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46162</v>
      </c>
      <c r="B12" s="2" t="s">
        <v>66</v>
      </c>
      <c r="E12" s="4" t="s">
        <v>56</v>
      </c>
      <c r="F12" s="2" t="n">
        <v>3600</v>
      </c>
      <c r="G12" s="2" t="n">
        <f aca="false">IF(G$4&gt;0,(IF(F12&lt;&gt;0,F12*G$4/100," ")),IF(F12&lt;&gt;0,F12*G$2/(100+G$2)," "))</f>
        <v>600</v>
      </c>
      <c r="H12" s="2" t="n">
        <f aca="false">IF((F12&lt;&gt;0),F12-G12," ")</f>
        <v>3000</v>
      </c>
      <c r="L12" s="7" t="n">
        <f aca="false">IF(F12&lt;&gt;0,F12-K12," ")</f>
        <v>3600</v>
      </c>
      <c r="M12" s="8" t="n">
        <f aca="false">IF((F12-K12)&lt;&gt;0,M$1-A12," ")</f>
        <v>95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3000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46167</v>
      </c>
      <c r="B13" s="2" t="s">
        <v>57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90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32800</v>
      </c>
      <c r="G1" s="12" t="n">
        <f aca="false">SUM(G5:G300)</f>
        <v>5466.66666666667</v>
      </c>
      <c r="H1" s="12" t="n">
        <f aca="false">SUM(H5:H300)</f>
        <v>27333.3333333333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32800</v>
      </c>
      <c r="M1" s="17" t="n">
        <f aca="true">TODAY()</f>
        <v>46257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May!G2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May!G4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46176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81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46178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79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46181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76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46183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74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46188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69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46191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66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46193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64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46195</v>
      </c>
      <c r="B12" s="2" t="s">
        <v>58</v>
      </c>
      <c r="E12" s="4" t="s">
        <v>46</v>
      </c>
      <c r="F12" s="2" t="n">
        <v>1440</v>
      </c>
      <c r="G12" s="2" t="n">
        <f aca="false">IF(G$4&gt;0,(IF(F12&lt;&gt;0,F12*G$4/100," ")),IF(F12&lt;&gt;0,F12*G$2/(100+G$2)," "))</f>
        <v>240</v>
      </c>
      <c r="H12" s="2" t="n">
        <f aca="false">IF((F12&lt;&gt;0),F12-G12," ")</f>
        <v>1200</v>
      </c>
      <c r="L12" s="7" t="n">
        <f aca="false">IF(F12&lt;&gt;0,F12-K12," ")</f>
        <v>1440</v>
      </c>
      <c r="M12" s="8" t="n">
        <f aca="false">IF((F12-K12)&lt;&gt;0,M$1-A12," ")</f>
        <v>62</v>
      </c>
      <c r="O12" s="2" t="n">
        <f aca="false">IF((E12="a"),H12," ")</f>
        <v>1200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35440</v>
      </c>
      <c r="G1" s="12" t="n">
        <f aca="false">SUM(G5:G300)</f>
        <v>5906.66666666667</v>
      </c>
      <c r="H1" s="12" t="n">
        <f aca="false">SUM(H5:H300)</f>
        <v>29533.3333333333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35440</v>
      </c>
      <c r="M1" s="17" t="n">
        <f aca="true">TODAY()</f>
        <v>46257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1000</v>
      </c>
      <c r="R1" s="12" t="n">
        <f aca="false">SUM(R5:R300)</f>
        <v>1100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46204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53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46206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51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46208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49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46211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46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46213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44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46217</v>
      </c>
      <c r="B10" s="2" t="s">
        <v>59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40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46218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39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46219</v>
      </c>
      <c r="B12" s="2" t="s">
        <v>55</v>
      </c>
      <c r="E12" s="4" t="s">
        <v>56</v>
      </c>
      <c r="F12" s="2" t="n">
        <v>1200</v>
      </c>
      <c r="G12" s="2" t="n">
        <f aca="false">IF(G$4&gt;0,(IF(F12&lt;&gt;0,F12*G$4/100," ")),IF(F12&lt;&gt;0,F12*G$2/(100+G$2)," "))</f>
        <v>200</v>
      </c>
      <c r="H12" s="2" t="n">
        <f aca="false">IF((F12&lt;&gt;0),F12-G12," ")</f>
        <v>1000</v>
      </c>
      <c r="L12" s="7" t="n">
        <f aca="false">IF(F12&lt;&gt;0,F12-K12," ")</f>
        <v>1200</v>
      </c>
      <c r="M12" s="8" t="n">
        <f aca="false">IF((F12-K12)&lt;&gt;0,M$1-A12," ")</f>
        <v>38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46221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36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46228</v>
      </c>
      <c r="B14" s="2" t="s">
        <v>67</v>
      </c>
      <c r="E14" s="4" t="s">
        <v>51</v>
      </c>
      <c r="F14" s="2" t="n">
        <v>480</v>
      </c>
      <c r="G14" s="2" t="n">
        <f aca="false">IF(G$4&gt;0,(IF(F14&lt;&gt;0,F14*G$4/100," ")),IF(F14&lt;&gt;0,F14*G$2/(100+G$2)," "))</f>
        <v>80</v>
      </c>
      <c r="H14" s="2" t="n">
        <f aca="false">IF((F14&lt;&gt;0),F14-G14," ")</f>
        <v>400</v>
      </c>
      <c r="L14" s="7" t="n">
        <f aca="false">IF(F14&lt;&gt;0,F14-K14," ")</f>
        <v>480</v>
      </c>
      <c r="M14" s="8" t="n">
        <f aca="false">IF((F14-K14)&lt;&gt;0,M$1-A14," ")</f>
        <v>29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400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46231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26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34360</v>
      </c>
      <c r="G1" s="12" t="n">
        <f aca="false">SUM(G5:G300)</f>
        <v>5726.66666666667</v>
      </c>
      <c r="H1" s="12" t="n">
        <f aca="false">SUM(H5:H300)</f>
        <v>28633.3333333333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34360</v>
      </c>
      <c r="M1" s="17" t="n">
        <f aca="true">TODAY()</f>
        <v>46257</v>
      </c>
      <c r="N1" s="18"/>
      <c r="O1" s="12" t="n">
        <f aca="false">SUM(O5:O300)</f>
        <v>26333.3333333333</v>
      </c>
      <c r="P1" s="12" t="n">
        <f aca="false">SUM(P5:P300)</f>
        <v>800</v>
      </c>
      <c r="Q1" s="12" t="n">
        <f aca="false">SUM(Q5:Q300)</f>
        <v>1500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Jul!G2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Jul!G4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46237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20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46239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18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46242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15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46244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13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46249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8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46252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5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46254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3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46254</v>
      </c>
      <c r="B12" s="2" t="s">
        <v>68</v>
      </c>
      <c r="E12" s="4" t="s">
        <v>56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3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1500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46259</v>
      </c>
      <c r="B13" s="2" t="s">
        <v>57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-2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31000</v>
      </c>
      <c r="G1" s="12" t="n">
        <f aca="false">SUM(G5:G300)</f>
        <v>5166.66666666667</v>
      </c>
      <c r="H1" s="12" t="n">
        <f aca="false">SUM(H5:H300)</f>
        <v>25833.3333333333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31000</v>
      </c>
      <c r="M1" s="17" t="n">
        <f aca="true">TODAY()</f>
        <v>46257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Aug!G2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n">
        <f aca="false">Oct!U1+Nov!U1+Dec!U1+Jan!U1+Feb!U1+Mar!U1+Apr!U1+May!U1+Jun!U1+Jul!U1+Aug!U1+Sep!U1</f>
        <v>12500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 t="s">
        <v>31</v>
      </c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Aug!G4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46268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-11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46270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-13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46273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-16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46275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-18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46280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-23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46283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-26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46287</v>
      </c>
      <c r="B11" s="2" t="s">
        <v>58</v>
      </c>
      <c r="E11" s="4" t="s">
        <v>46</v>
      </c>
      <c r="F11" s="2" t="n">
        <v>1440</v>
      </c>
      <c r="G11" s="2" t="n">
        <f aca="false">IF(G$4&gt;0,(IF(F11&lt;&gt;0,F11*G$4/100," ")),IF(F11&lt;&gt;0,F11*G$2/(100+G$2)," "))</f>
        <v>240</v>
      </c>
      <c r="H11" s="2" t="n">
        <f aca="false">IF((F11&lt;&gt;0),F11-G11," ")</f>
        <v>1200</v>
      </c>
      <c r="L11" s="7" t="n">
        <f aca="false">IF(F11&lt;&gt;0,F11-K11," ")</f>
        <v>1440</v>
      </c>
      <c r="M11" s="8" t="n">
        <f aca="false">IF((F11-K11)&lt;&gt;0,M$1-A11," ")</f>
        <v>-30</v>
      </c>
      <c r="O11" s="2" t="n">
        <f aca="false">IF((E11="a"),H11," ")</f>
        <v>1200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H12" s="2" t="str">
        <f aca="false">IF((F12&lt;&gt;0),F12-G12,"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2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69</v>
      </c>
      <c r="B1" s="9"/>
      <c r="C1" s="10" t="n">
        <f aca="false">IF([1]TrialBalance!$EJ$20&gt;0,[1]TrialBalance!$EJ$20,0)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10400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46257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Sep!G2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Sep!G4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70</v>
      </c>
      <c r="G5" s="2" t="str">
        <f aca="false">IF(G$4&gt;0,(IF(F5&lt;&gt;0,F5*G$4/100," ")),IF(F5&lt;&gt;0,F5*G$2/(100+G$2)," "))</f>
        <v> </v>
      </c>
      <c r="H5" s="2" t="n">
        <v>8000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48</v>
      </c>
      <c r="C6" s="3" t="s">
        <v>71</v>
      </c>
      <c r="G6" s="2" t="str">
        <f aca="false">IF(G$4&gt;0,(IF(F6&lt;&gt;0,F6*G$4/100," ")),IF(F6&lt;&gt;0,F6*G$2/(100+G$2)," "))</f>
        <v> </v>
      </c>
      <c r="H6" s="2" t="n">
        <v>2400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G7" s="2" t="str">
        <f aca="false">IF(G$4&gt;0,(IF(F7&lt;&gt;0,F7*G$4/100," ")),IF(F7&lt;&gt;0,F7*G$2/(100+G$2)," "))</f>
        <v> 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2025-04-03T23:05:33Z</dcterms:modified>
  <cp:revision>0</cp:revision>
  <dc:subject/>
  <dc:title>0607 Sales Vat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