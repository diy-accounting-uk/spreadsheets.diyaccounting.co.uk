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Debtors" sheetId="1" state="visible" r:id="rId3"/>
    <sheet name="Nov" sheetId="2" state="visible" r:id="rId4"/>
    <sheet name="Dec" sheetId="3" state="visible" r:id="rId5"/>
    <sheet name="Jan" sheetId="4" state="visible" r:id="rId6"/>
    <sheet name="Feb" sheetId="5" state="visible" r:id="rId7"/>
    <sheet name="Mar" sheetId="6" state="visible" r:id="rId8"/>
    <sheet name="Apr" sheetId="7" state="visible" r:id="rId9"/>
    <sheet name="May" sheetId="8" state="visible" r:id="rId10"/>
    <sheet name="Jun" sheetId="9" state="visible" r:id="rId11"/>
    <sheet name="Jul" sheetId="10" state="visible" r:id="rId12"/>
    <sheet name="Aug" sheetId="11" state="visible" r:id="rId13"/>
    <sheet name="Sep" sheetId="12" state="visible" r:id="rId14"/>
    <sheet name="Oct" sheetId="13" state="visible" r:id="rId15"/>
    <sheet name="ClosingDebtors" sheetId="14" state="visible" r:id="rId16"/>
  </sheets>
  <externalReferences>
    <externalReference r:id="rId17"/>
  </externalReferences>
  <definedNames>
    <definedName function="false" hidden="false" localSheetId="13" name="_xlnm.Print_Area" vbProcedure="false">ClosingDebtors!$A$1:$P$75</definedName>
    <definedName function="false" hidden="false" localSheetId="13" name="_xlnm.Print_Titles" vbProcedure="false">ClosingDebtors!$A:$D,ClosingDebtors!$1:$4</definedName>
    <definedName function="false" hidden="false" localSheetId="0" name="_xlnm.Print_Area" vbProcedure="false">OpeningDebtors!$A$1:$P$75</definedName>
    <definedName function="false" hidden="false" localSheetId="0" name="_xlnm.Print_Titles" vbProcedure="false">OpeningDebtors!$A:$D,OpeningDebtors!$1:$4</definedName>
    <definedName function="false" hidden="false" localSheetId="0" name="Excel_BuiltIn_Print_Titles" vbProcedure="false">(OpeningDebtors!$A:$D,OpeningDebtors!$1:$4)</definedName>
    <definedName function="false" hidden="false" localSheetId="0" name="_xlnm_Print_Area" vbProcedure="false">OpeningDebtors!$A$1:$P$75</definedName>
    <definedName function="false" hidden="false" localSheetId="0" name="_xlnm_Print_Titles" vbProcedure="false">(OpeningDebtors!$A:$D,OpeningDebtors!$1:$4)</definedName>
    <definedName function="false" hidden="false" localSheetId="1" name="_xlnm_Print_Area" vbProcedure="false">Apr!$A$1:$W$75</definedName>
    <definedName function="false" hidden="false" localSheetId="1" name="_xlnm_Print_Titles" vbProcedure="false">(Apr!$A:$D,Apr!$1:$4)</definedName>
    <definedName function="false" hidden="false" localSheetId="2" name="_xlnm_Print_Area" vbProcedure="false">May!$A$1:$W$75</definedName>
    <definedName function="false" hidden="false" localSheetId="2" name="_xlnm_Print_Titles" vbProcedure="false">(May!$A:$D,May!$1:$4)</definedName>
    <definedName function="false" hidden="false" localSheetId="3" name="_xlnm_Print_Area" vbProcedure="false">Jun!$A$1:$W$75</definedName>
    <definedName function="false" hidden="false" localSheetId="3" name="_xlnm_Print_Titles" vbProcedure="false">(Jun!$A:$D,Jun!$1:$4)</definedName>
    <definedName function="false" hidden="false" localSheetId="4" name="_xlnm_Print_Area" vbProcedure="false">Jul!$A$1:$W$75</definedName>
    <definedName function="false" hidden="false" localSheetId="4" name="_xlnm_Print_Titles" vbProcedure="false">(Jul!$A:$D,Jul!$1:$4)</definedName>
    <definedName function="false" hidden="false" localSheetId="5" name="_xlnm_Print_Area" vbProcedure="false">Aug!$A$1:$W$75</definedName>
    <definedName function="false" hidden="false" localSheetId="5" name="_xlnm_Print_Titles" vbProcedure="false">(Aug!$A:$D,Aug!$1:$4)</definedName>
    <definedName function="false" hidden="false" localSheetId="6" name="_xlnm_Print_Area" vbProcedure="false">Sep!$A$1:$W$75</definedName>
    <definedName function="false" hidden="false" localSheetId="6" name="_xlnm_Print_Titles" vbProcedure="false">(Sep!$A:$D,Sep!$1:$4)</definedName>
    <definedName function="false" hidden="false" localSheetId="7" name="_xlnm_Print_Area" vbProcedure="false">Oct!$A$1:$W$75</definedName>
    <definedName function="false" hidden="false" localSheetId="7" name="_xlnm_Print_Titles" vbProcedure="false">(Oct!$A:$D,Oct!$1:$4)</definedName>
    <definedName function="false" hidden="false" localSheetId="8" name="_xlnm_Print_Area" vbProcedure="false">Nov!$A$1:$W$75</definedName>
    <definedName function="false" hidden="false" localSheetId="8" name="_xlnm_Print_Titles" vbProcedure="false">(Nov!$A:$D,Nov!$1:$4)</definedName>
    <definedName function="false" hidden="false" localSheetId="9" name="_xlnm_Print_Area" vbProcedure="false">Dec!$A$1:$W$75</definedName>
    <definedName function="false" hidden="false" localSheetId="9" name="_xlnm_Print_Titles" vbProcedure="false">(Dec!$A:$D,Dec!$1:$4)</definedName>
    <definedName function="false" hidden="false" localSheetId="10" name="_xlnm_Print_Area" vbProcedure="false">Jan!$A$1:$W$75</definedName>
    <definedName function="false" hidden="false" localSheetId="10" name="_xlnm_Print_Titles" vbProcedure="false">(Jan!$A:$D,Jan!$1:$4)</definedName>
    <definedName function="false" hidden="false" localSheetId="11" name="_xlnm_Print_Area" vbProcedure="false">Feb!$A$1:$W$75</definedName>
    <definedName function="false" hidden="false" localSheetId="11" name="_xlnm_Print_Titles" vbProcedure="false">(Feb!$A:$D,Feb!$1:$4)</definedName>
    <definedName function="false" hidden="false" localSheetId="12" name="_xlnm_Print_Area" vbProcedure="false">Mar!$A$1:$W$75</definedName>
    <definedName function="false" hidden="false" localSheetId="12" name="_xlnm_Print_Titles" vbProcedure="false">(Mar!$A:$D,Mar!$1:$4)</definedName>
    <definedName function="false" hidden="false" localSheetId="13" name="Excel_BuiltIn_Print_Titles" vbProcedure="false">(ClosingDebtors!$A:$D,ClosingDebtors!$1:$4)</definedName>
    <definedName function="false" hidden="false" localSheetId="13" name="_xlnm_Print_Area" vbProcedure="false">ClosingDebtors!$A$1:$P$75</definedName>
    <definedName function="false" hidden="false" localSheetId="13" name="_xlnm_Print_Titles" vbProcedure="false">(ClosingDebtors!$A:$D,ClosingDebtors!$1:$4)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<sst xmlns="http://schemas.openxmlformats.org/spreadsheetml/2006/main" count="1002" uniqueCount="211">
  <si>
    <t xml:space="preserve">Opening Debtors Balance</t>
  </si>
  <si>
    <t xml:space="preserve">Total in C1 should equal F1</t>
  </si>
  <si>
    <t xml:space="preserve">For your information only. Enter How Paid e.g. Cash, Cheque etc.,</t>
  </si>
  <si>
    <t xml:space="preserve">Sales      Date</t>
  </si>
  <si>
    <t xml:space="preserve">Customer Name</t>
  </si>
  <si>
    <t xml:space="preserve">Sales Invoice Number or reference</t>
  </si>
  <si>
    <t xml:space="preserve">Sales             Description</t>
  </si>
  <si>
    <t xml:space="preserve">Sales Value including   Vat</t>
  </si>
  <si>
    <t xml:space="preserve">Sales         Net of Vat</t>
  </si>
  <si>
    <t xml:space="preserve">Receipts from Customers</t>
  </si>
  <si>
    <t xml:space="preserve">Sub contractors only</t>
  </si>
  <si>
    <t xml:space="preserve">Vat       Output</t>
  </si>
  <si>
    <t xml:space="preserve">Actual amount received</t>
  </si>
  <si>
    <t xml:space="preserve">Sales Value not yet received</t>
  </si>
  <si>
    <t xml:space="preserve">Number of Days Outstanding</t>
  </si>
  <si>
    <t xml:space="preserve">CIS Tax Deducted</t>
  </si>
  <si>
    <t xml:space="preserve">CIS Certificate reference</t>
  </si>
  <si>
    <t xml:space="preserve">Acme Corp</t>
  </si>
  <si>
    <t xml:space="preserve">INV-0901</t>
  </si>
  <si>
    <t xml:space="preserve">Beta Systems</t>
  </si>
  <si>
    <t xml:space="preserve">INV-0902</t>
  </si>
  <si>
    <t xml:space="preserve">Gamma Ltd</t>
  </si>
  <si>
    <t xml:space="preserve">INV-0903</t>
  </si>
  <si>
    <t xml:space="preserve">Check Total</t>
  </si>
  <si>
    <t xml:space="preserve">Total for Month</t>
  </si>
  <si>
    <t xml:space="preserve"> Enter Expense Code Letter</t>
  </si>
  <si>
    <t xml:space="preserve">Sales           Net of Vat</t>
  </si>
  <si>
    <t xml:space="preserve">Sales Net of Vat</t>
  </si>
  <si>
    <t xml:space="preserve">Other Income</t>
  </si>
  <si>
    <t xml:space="preserve">Investment Grants</t>
  </si>
  <si>
    <t xml:space="preserve">Bad Debts written off</t>
  </si>
  <si>
    <t xml:space="preserve">Sale of          Fixed Assets</t>
  </si>
  <si>
    <t xml:space="preserve">Product          A</t>
  </si>
  <si>
    <t xml:space="preserve">Product      B</t>
  </si>
  <si>
    <t xml:space="preserve">Product        C</t>
  </si>
  <si>
    <t xml:space="preserve">A</t>
  </si>
  <si>
    <t xml:space="preserve">B</t>
  </si>
  <si>
    <t xml:space="preserve">C</t>
  </si>
  <si>
    <t xml:space="preserve">D</t>
  </si>
  <si>
    <t xml:space="preserve">G</t>
  </si>
  <si>
    <t xml:space="preserve">O</t>
  </si>
  <si>
    <t xml:space="preserve">FS</t>
  </si>
  <si>
    <t xml:space="preserve">INV-1301</t>
  </si>
  <si>
    <t xml:space="preserve">Software licence renewal</t>
  </si>
  <si>
    <t xml:space="preserve">b</t>
  </si>
  <si>
    <t xml:space="preserve">4001</t>
  </si>
  <si>
    <t xml:space="preserve">FreshField Ltd</t>
  </si>
  <si>
    <t xml:space="preserve">INV-2601</t>
  </si>
  <si>
    <t xml:space="preserve">Software monitoring licence</t>
  </si>
  <si>
    <t xml:space="preserve">CloudNine Ltd</t>
  </si>
  <si>
    <t xml:space="preserve">INV-1401</t>
  </si>
  <si>
    <t xml:space="preserve">SaaS licence fee</t>
  </si>
  <si>
    <t xml:space="preserve">Cedar Systems</t>
  </si>
  <si>
    <t xml:space="preserve">INV-2401</t>
  </si>
  <si>
    <t xml:space="preserve">Managed services</t>
  </si>
  <si>
    <t xml:space="preserve">a</t>
  </si>
  <si>
    <t xml:space="preserve">4000</t>
  </si>
  <si>
    <t xml:space="preserve">Pinnacle Group</t>
  </si>
  <si>
    <t xml:space="preserve">INV-2201</t>
  </si>
  <si>
    <t xml:space="preserve">Monthly support contract</t>
  </si>
  <si>
    <t xml:space="preserve">INV-1001</t>
  </si>
  <si>
    <t xml:space="preserve">IT consultancy services</t>
  </si>
  <si>
    <t xml:space="preserve">TechStart Ltd</t>
  </si>
  <si>
    <t xml:space="preserve">INV-1101</t>
  </si>
  <si>
    <t xml:space="preserve">IT consultancy retainer</t>
  </si>
  <si>
    <t xml:space="preserve">DataFlow Inc</t>
  </si>
  <si>
    <t xml:space="preserve">INV-1201</t>
  </si>
  <si>
    <t xml:space="preserve">Ad-hoc consultancy project</t>
  </si>
  <si>
    <t xml:space="preserve">Horizon Analytics</t>
  </si>
  <si>
    <t xml:space="preserve">INV-2701</t>
  </si>
  <si>
    <t xml:space="preserve">Data analytics commission</t>
  </si>
  <si>
    <t xml:space="preserve">d</t>
  </si>
  <si>
    <t xml:space="preserve">4003</t>
  </si>
  <si>
    <t xml:space="preserve">INV-2602</t>
  </si>
  <si>
    <t xml:space="preserve">INV-1402</t>
  </si>
  <si>
    <t xml:space="preserve">INV-2402</t>
  </si>
  <si>
    <t xml:space="preserve">INV-2202</t>
  </si>
  <si>
    <t xml:space="preserve">QuickFix IT</t>
  </si>
  <si>
    <t xml:space="preserve">INV-2001</t>
  </si>
  <si>
    <t xml:space="preserve">IT support consultancy</t>
  </si>
  <si>
    <t xml:space="preserve">INV-1002</t>
  </si>
  <si>
    <t xml:space="preserve">Summit Training</t>
  </si>
  <si>
    <t xml:space="preserve">INV-2801</t>
  </si>
  <si>
    <t xml:space="preserve">Technical training delivery</t>
  </si>
  <si>
    <t xml:space="preserve">c</t>
  </si>
  <si>
    <t xml:space="preserve">4002</t>
  </si>
  <si>
    <t xml:space="preserve">INV-1102</t>
  </si>
  <si>
    <t xml:space="preserve">Oakridge Partners</t>
  </si>
  <si>
    <t xml:space="preserve">INV-2501</t>
  </si>
  <si>
    <t xml:space="preserve">Quarterly consulting engagement</t>
  </si>
  <si>
    <t xml:space="preserve">INV-2603</t>
  </si>
  <si>
    <t xml:space="preserve">INV-1403</t>
  </si>
  <si>
    <t xml:space="preserve">INV-2403</t>
  </si>
  <si>
    <t xml:space="preserve">INV-2203</t>
  </si>
  <si>
    <t xml:space="preserve">INV-1003</t>
  </si>
  <si>
    <t xml:space="preserve">INV-1103</t>
  </si>
  <si>
    <t xml:space="preserve">INV-1202</t>
  </si>
  <si>
    <t xml:space="preserve">INV-1501</t>
  </si>
  <si>
    <t xml:space="preserve">Advanced DevOps training course</t>
  </si>
  <si>
    <t xml:space="preserve">WidgetWorks</t>
  </si>
  <si>
    <t xml:space="preserve">INV-2101</t>
  </si>
  <si>
    <t xml:space="preserve">Project consultancy</t>
  </si>
  <si>
    <t xml:space="preserve">INV-1302</t>
  </si>
  <si>
    <t xml:space="preserve">INV-2604</t>
  </si>
  <si>
    <t xml:space="preserve">INV-1404</t>
  </si>
  <si>
    <t xml:space="preserve">INV-2404</t>
  </si>
  <si>
    <t xml:space="preserve">INV-2204</t>
  </si>
  <si>
    <t xml:space="preserve">NorthStar Digital</t>
  </si>
  <si>
    <t xml:space="preserve">INV-2301</t>
  </si>
  <si>
    <t xml:space="preserve">Project delivery</t>
  </si>
  <si>
    <t xml:space="preserve">INV-1004</t>
  </si>
  <si>
    <t xml:space="preserve">INV-1104</t>
  </si>
  <si>
    <t xml:space="preserve">INV-2702</t>
  </si>
  <si>
    <t xml:space="preserve">Innovate UK</t>
  </si>
  <si>
    <t xml:space="preserve">INV-1701</t>
  </si>
  <si>
    <t xml:space="preserve">Small business innovation grant</t>
  </si>
  <si>
    <t xml:space="preserve">g</t>
  </si>
  <si>
    <t xml:space="preserve">4004</t>
  </si>
  <si>
    <t xml:space="preserve">INV-2605</t>
  </si>
  <si>
    <t xml:space="preserve">INV-1405</t>
  </si>
  <si>
    <t xml:space="preserve">INV-2405</t>
  </si>
  <si>
    <t xml:space="preserve">INV-2205</t>
  </si>
  <si>
    <t xml:space="preserve">INV-2002</t>
  </si>
  <si>
    <t xml:space="preserve">INV-1005</t>
  </si>
  <si>
    <t xml:space="preserve">INV-1105</t>
  </si>
  <si>
    <t xml:space="preserve">INV-1203</t>
  </si>
  <si>
    <t xml:space="preserve">INV-2502</t>
  </si>
  <si>
    <t xml:space="preserve">INV-2606</t>
  </si>
  <si>
    <t xml:space="preserve">INV-1406</t>
  </si>
  <si>
    <t xml:space="preserve">INV-2406</t>
  </si>
  <si>
    <t xml:space="preserve">INV-2206</t>
  </si>
  <si>
    <t xml:space="preserve">INV-1006</t>
  </si>
  <si>
    <t xml:space="preserve">INV-2802</t>
  </si>
  <si>
    <t xml:space="preserve">INV-1106</t>
  </si>
  <si>
    <t xml:space="preserve">StartupHub</t>
  </si>
  <si>
    <t xml:space="preserve">INV-1504</t>
  </si>
  <si>
    <t xml:space="preserve">Agile methodology workshop</t>
  </si>
  <si>
    <t xml:space="preserve">INV-2102</t>
  </si>
  <si>
    <t xml:space="preserve">Epsilon Partners</t>
  </si>
  <si>
    <t xml:space="preserve">INV-1601</t>
  </si>
  <si>
    <t xml:space="preserve">Client referral commission</t>
  </si>
  <si>
    <t xml:space="preserve">INV-1303</t>
  </si>
  <si>
    <t xml:space="preserve">INV-2607</t>
  </si>
  <si>
    <t xml:space="preserve">INV-1407</t>
  </si>
  <si>
    <t xml:space="preserve">INV-2407</t>
  </si>
  <si>
    <t xml:space="preserve">Private buyer</t>
  </si>
  <si>
    <t xml:space="preserve">INV-1901</t>
  </si>
  <si>
    <t xml:space="preserve">Disposal of company van</t>
  </si>
  <si>
    <t xml:space="preserve">fs</t>
  </si>
  <si>
    <t xml:space="preserve">4006</t>
  </si>
  <si>
    <t xml:space="preserve">INV-2207</t>
  </si>
  <si>
    <t xml:space="preserve">INV-2302</t>
  </si>
  <si>
    <t xml:space="preserve">INV-1007</t>
  </si>
  <si>
    <t xml:space="preserve">INV-1107</t>
  </si>
  <si>
    <t xml:space="preserve">INV-1204</t>
  </si>
  <si>
    <t xml:space="preserve">INV-2703</t>
  </si>
  <si>
    <t xml:space="preserve">INV-2608</t>
  </si>
  <si>
    <t xml:space="preserve">INV-1408</t>
  </si>
  <si>
    <t xml:space="preserve">INV-2408</t>
  </si>
  <si>
    <t xml:space="preserve">INV-2208</t>
  </si>
  <si>
    <t xml:space="preserve">INV-2003</t>
  </si>
  <si>
    <t xml:space="preserve">INV-1008</t>
  </si>
  <si>
    <t xml:space="preserve">INV-1108</t>
  </si>
  <si>
    <t xml:space="preserve">Delta PLC</t>
  </si>
  <si>
    <t xml:space="preserve">INV-1502</t>
  </si>
  <si>
    <t xml:space="preserve">Cloud architecture workshop</t>
  </si>
  <si>
    <t xml:space="preserve">INV-2503</t>
  </si>
  <si>
    <t xml:space="preserve">INV-2609</t>
  </si>
  <si>
    <t xml:space="preserve">INV-1409</t>
  </si>
  <si>
    <t xml:space="preserve">INV-2409</t>
  </si>
  <si>
    <t xml:space="preserve">INV-2209</t>
  </si>
  <si>
    <t xml:space="preserve">INV-1009</t>
  </si>
  <si>
    <t xml:space="preserve">INV-1109</t>
  </si>
  <si>
    <t xml:space="preserve">INV-1205</t>
  </si>
  <si>
    <t xml:space="preserve">INV-2103</t>
  </si>
  <si>
    <t xml:space="preserve">INV-1304</t>
  </si>
  <si>
    <t xml:space="preserve">INV-2610</t>
  </si>
  <si>
    <t xml:space="preserve">INV-1410</t>
  </si>
  <si>
    <t xml:space="preserve">INV-2410</t>
  </si>
  <si>
    <t xml:space="preserve">INV-2210</t>
  </si>
  <si>
    <t xml:space="preserve">INV-2303</t>
  </si>
  <si>
    <t xml:space="preserve">INV-1010</t>
  </si>
  <si>
    <t xml:space="preserve">INV-2803</t>
  </si>
  <si>
    <t xml:space="preserve">INV-1110</t>
  </si>
  <si>
    <t xml:space="preserve">Lambda Corp</t>
  </si>
  <si>
    <t xml:space="preserve">INV-1602</t>
  </si>
  <si>
    <t xml:space="preserve">INV-2704</t>
  </si>
  <si>
    <t xml:space="preserve">INV-2611</t>
  </si>
  <si>
    <t xml:space="preserve">INV-1411</t>
  </si>
  <si>
    <t xml:space="preserve">INV-2411</t>
  </si>
  <si>
    <t xml:space="preserve">INV-2211</t>
  </si>
  <si>
    <t xml:space="preserve">INV-1011</t>
  </si>
  <si>
    <t xml:space="preserve">INV-1111</t>
  </si>
  <si>
    <t xml:space="preserve">INV-1206</t>
  </si>
  <si>
    <t xml:space="preserve">MegaCorp</t>
  </si>
  <si>
    <t xml:space="preserve">INV-1503</t>
  </si>
  <si>
    <t xml:space="preserve">Security awareness training</t>
  </si>
  <si>
    <t xml:space="preserve">INV-2504</t>
  </si>
  <si>
    <t xml:space="preserve">INV-2612</t>
  </si>
  <si>
    <t xml:space="preserve">INV-1412</t>
  </si>
  <si>
    <t xml:space="preserve">INV-2412</t>
  </si>
  <si>
    <t xml:space="preserve">INV-2212</t>
  </si>
  <si>
    <t xml:space="preserve">INV-1012</t>
  </si>
  <si>
    <t xml:space="preserve">INV-1112</t>
  </si>
  <si>
    <t xml:space="preserve">INV-2104</t>
  </si>
  <si>
    <t xml:space="preserve">Zeta Corp</t>
  </si>
  <si>
    <t xml:space="preserve">CN-1801</t>
  </si>
  <si>
    <t xml:space="preserve">Bad debt written off</t>
  </si>
  <si>
    <t xml:space="preserve">o</t>
  </si>
  <si>
    <t xml:space="preserve">4005</t>
  </si>
  <si>
    <t xml:space="preserve">Closing Debtors Balance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</si>
</sst>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"/>
    <numFmt numFmtId="166" formatCode="#,##0.00_ ;[RED]\-#,##0.00\ "/>
    <numFmt numFmtId="167" formatCode="0"/>
    <numFmt numFmtId="168" formatCode="#,##0"/>
    <numFmt numFmtId="169" formatCode="#,##0_ ;[RED]\-#,##0\ "/>
    <numFmt numFmtId="170" formatCode="#,##0.00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i val="true"/>
      <sz val="9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sz val="1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3fef4072/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>
        <row r="16">
          <cell r="E16">
            <v>10800</v>
          </cell>
        </row>
      </sheetData>
      <sheetData sheetId="1">
        <row r="20">
          <cell r="EJ20">
            <v>7900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15.32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false" hidden="false" outlineLevel="0" max="257" min="15" style="2" width="9.15"/>
  </cols>
  <sheetData>
    <row r="1" customFormat="false" ht="13.5" hidden="false" customHeight="true" outlineLevel="0" collapsed="false">
      <c r="A1" s="9" t="s">
        <v>0</v>
      </c>
      <c r="B1" s="9"/>
      <c r="C1" s="10" t="n">
        <f aca="false">IF([1]OpenAccounts!$E$16&gt;0,[1]OpenAccounts!$E$16,0)</f>
        <v>10800</v>
      </c>
      <c r="D1" s="11" t="s">
        <v>1</v>
      </c>
      <c r="E1" s="11"/>
      <c r="F1" s="12" t="n">
        <f aca="false">SUM(F5:F300)</f>
        <v>0</v>
      </c>
      <c r="G1" s="12" t="n">
        <f aca="false">SUM(G5:G300)</f>
        <v>0</v>
      </c>
      <c r="H1" s="12" t="n">
        <f aca="false">SUM(H5:H300)</f>
        <v>10800</v>
      </c>
      <c r="I1" s="13"/>
      <c r="J1" s="14" t="s">
        <v>2</v>
      </c>
      <c r="K1" s="15" t="n">
        <f aca="false">SUM(K5:K300)</f>
        <v>0</v>
      </c>
      <c r="L1" s="16" t="n">
        <f aca="false">SUM(L5:L300)</f>
        <v>0</v>
      </c>
      <c r="M1" s="17" t="n">
        <f aca="true">TODAY()</f>
        <v>46294</v>
      </c>
      <c r="N1" s="18"/>
      <c r="O1" s="12" t="n">
        <f aca="false">SUM(O5:O300)</f>
        <v>0</v>
      </c>
      <c r="P1" s="12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 t="s">
        <v>5</v>
      </c>
      <c r="D2" s="23" t="s">
        <v>6</v>
      </c>
      <c r="E2" s="24"/>
      <c r="F2" s="21" t="s">
        <v>7</v>
      </c>
      <c r="G2" s="25" t="n">
        <f aca="false">Nov!G2</f>
        <v>20</v>
      </c>
      <c r="H2" s="21" t="s">
        <v>8</v>
      </c>
      <c r="I2" s="13"/>
      <c r="J2" s="14"/>
      <c r="K2" s="26" t="s">
        <v>9</v>
      </c>
      <c r="L2" s="26"/>
      <c r="M2" s="26"/>
      <c r="N2" s="18"/>
      <c r="O2" s="21" t="s">
        <v>10</v>
      </c>
      <c r="P2" s="21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21" t="s">
        <v>15</v>
      </c>
      <c r="P3" s="21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0"/>
      <c r="D4" s="23"/>
      <c r="E4" s="23"/>
      <c r="F4" s="21"/>
      <c r="G4" s="31" t="n">
        <f aca="false">Nov!G4</f>
        <v>0</v>
      </c>
      <c r="H4" s="21"/>
      <c r="I4" s="13"/>
      <c r="J4" s="14"/>
      <c r="K4" s="27"/>
      <c r="L4" s="28"/>
      <c r="M4" s="28"/>
      <c r="N4" s="18"/>
      <c r="O4" s="21"/>
      <c r="P4" s="21"/>
    </row>
    <row r="5" customFormat="false" ht="12.75" hidden="false" customHeight="true" outlineLevel="0" collapsed="false">
      <c r="B5" s="2" t="s">
        <v>17</v>
      </c>
      <c r="C5" s="3" t="s">
        <v>18</v>
      </c>
      <c r="G5" s="2" t="str">
        <f aca="false">IF(G$4&gt;0,(IF(F5&lt;&gt;0,F5*G$4/100," ")),IF(F5&lt;&gt;0,F5*G$2/(100+G$2)," "))</f>
        <v> </v>
      </c>
      <c r="H5" s="2" t="n">
        <v>7200</v>
      </c>
      <c r="L5" s="7" t="str">
        <f aca="false">IF(F5&lt;&gt;0,F5-K5," ")</f>
        <v> </v>
      </c>
      <c r="M5" s="8" t="str">
        <f aca="false">IF((F5-K5)&lt;&gt;0,M$1-A5," ")</f>
        <v> </v>
      </c>
    </row>
    <row r="6" customFormat="false" ht="12.75" hidden="false" customHeight="true" outlineLevel="0" collapsed="false">
      <c r="B6" s="2" t="s">
        <v>19</v>
      </c>
      <c r="C6" s="3" t="s">
        <v>20</v>
      </c>
      <c r="G6" s="2" t="str">
        <f aca="false">IF(G$4&gt;0,(IF(F6&lt;&gt;0,F6*G$4/100," ")),IF(F6&lt;&gt;0,F6*G$2/(100+G$2)," "))</f>
        <v> </v>
      </c>
      <c r="H6" s="2" t="n">
        <v>1200</v>
      </c>
      <c r="L6" s="7" t="str">
        <f aca="false">IF(F6&lt;&gt;0,F6-K6," ")</f>
        <v> </v>
      </c>
      <c r="M6" s="8" t="str">
        <f aca="false">IF((F6-K6)&lt;&gt;0,M$1-A6," ")</f>
        <v> </v>
      </c>
    </row>
    <row r="7" customFormat="false" ht="12" hidden="false" customHeight="false" outlineLevel="0" collapsed="false">
      <c r="B7" s="2" t="s">
        <v>21</v>
      </c>
      <c r="C7" s="3" t="s">
        <v>22</v>
      </c>
      <c r="G7" s="2" t="str">
        <f aca="false">IF(G$4&gt;0,(IF(F7&lt;&gt;0,F7*G$4/100," ")),IF(F7&lt;&gt;0,F7*G$2/(100+G$2)," "))</f>
        <v> </v>
      </c>
      <c r="H7" s="2" t="n">
        <v>2400</v>
      </c>
      <c r="L7" s="7" t="str">
        <f aca="false">IF(F7&lt;&gt;0,F7-K7," ")</f>
        <v> </v>
      </c>
      <c r="M7" s="8" t="str">
        <f aca="false">IF((F7-K7)&lt;&gt;0,M$1-A7," ")</f>
        <v> </v>
      </c>
    </row>
    <row r="8" customFormat="false" ht="12" hidden="false" customHeight="false" outlineLevel="0" collapsed="false">
      <c r="G8" s="2" t="str">
        <f aca="false">IF(G$4&gt;0,(IF(F8&lt;&gt;0,F8*G$4/100," ")),IF(F8&lt;&gt;0,F8*G$2/(100+G$2)," "))</f>
        <v> </v>
      </c>
      <c r="L8" s="7" t="str">
        <f aca="false">IF(F8&lt;&gt;0,F8-K8," ")</f>
        <v> </v>
      </c>
      <c r="M8" s="8" t="str">
        <f aca="false">IF((F8-K8)&lt;&gt;0,M$1-A8," ")</f>
        <v> </v>
      </c>
    </row>
    <row r="9" customFormat="false" ht="12" hidden="false" customHeight="false" outlineLevel="0" collapsed="false">
      <c r="G9" s="2" t="str">
        <f aca="false">IF(G$4&gt;0,(IF(F9&lt;&gt;0,F9*G$4/100," ")),IF(F9&lt;&gt;0,F9*G$2/(100+G$2)," "))</f>
        <v> </v>
      </c>
      <c r="L9" s="7" t="str">
        <f aca="false">IF(F9&lt;&gt;0,F9-K9," ")</f>
        <v> </v>
      </c>
      <c r="M9" s="8" t="str">
        <f aca="false">IF((F9-K9)&lt;&gt;0,M$1-A9," ")</f>
        <v> </v>
      </c>
    </row>
    <row r="10" customFormat="false" ht="12" hidden="false" customHeight="false" outlineLevel="0" collapsed="false">
      <c r="G10" s="2" t="str">
        <f aca="false">IF(G$4&gt;0,(IF(F10&lt;&gt;0,F10*G$4/100," ")),IF(F10&lt;&gt;0,F10*G$2/(100+G$2)," "))</f>
        <v> </v>
      </c>
      <c r="L10" s="7" t="str">
        <f aca="false">IF(F10&lt;&gt;0,F10-K10," ")</f>
        <v> </v>
      </c>
      <c r="M10" s="8" t="str">
        <f aca="false">IF((F10-K10)&lt;&gt;0,M$1-A10," ")</f>
        <v> </v>
      </c>
    </row>
    <row r="11" customFormat="false" ht="12" hidden="false" customHeight="false" outlineLevel="0" collapsed="false">
      <c r="G11" s="2" t="str">
        <f aca="false">IF(G$4&gt;0,(IF(F11&lt;&gt;0,F11*G$4/100," ")),IF(F11&lt;&gt;0,F11*G$2/(100+G$2)," "))</f>
        <v> </v>
      </c>
      <c r="L11" s="7" t="str">
        <f aca="false">IF(F11&lt;&gt;0,F11-K11," ")</f>
        <v> </v>
      </c>
      <c r="M11" s="8" t="str">
        <f aca="false">IF((F11-K11)&lt;&gt;0,M$1-A11," ")</f>
        <v> </v>
      </c>
    </row>
    <row r="12" customFormat="false" ht="12" hidden="false" customHeight="false" outlineLevel="0" collapsed="false">
      <c r="G12" s="2" t="str">
        <f aca="false">IF(G$4&gt;0,(IF(F12&lt;&gt;0,F12*G$4/100," ")),IF(F12&lt;&gt;0,F12*G$2/(100+G$2)," "))</f>
        <v> </v>
      </c>
      <c r="L12" s="7" t="str">
        <f aca="false">IF(F12&lt;&gt;0,F12-K12," ")</f>
        <v> </v>
      </c>
      <c r="M12" s="8" t="str">
        <f aca="false">IF((F12-K12)&lt;&gt;0,M$1-A12," ")</f>
        <v> </v>
      </c>
    </row>
    <row r="13" customFormat="false" ht="12" hidden="false" customHeight="false" outlineLevel="0" collapsed="false">
      <c r="G13" s="2" t="str">
        <f aca="false">IF(G$4&gt;0,(IF(F13&lt;&gt;0,F13*G$4/100," ")),IF(F13&lt;&gt;0,F13*G$2/(100+G$2)," "))</f>
        <v> </v>
      </c>
      <c r="L13" s="7" t="str">
        <f aca="false">IF(F13&lt;&gt;0,F13-K13," ")</f>
        <v> </v>
      </c>
      <c r="M13" s="8" t="str">
        <f aca="false">IF((F13-K13)&lt;&gt;0,M$1-A13,"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L14" s="7" t="str">
        <f aca="false">IF(F14&lt;&gt;0,F14-K14," ")</f>
        <v> </v>
      </c>
      <c r="M14" s="8" t="str">
        <f aca="false">IF((F14-K14)&lt;&gt;0,M$1-A14,"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L15" s="7" t="str">
        <f aca="false">IF(F15&lt;&gt;0,F15-K15," ")</f>
        <v> </v>
      </c>
      <c r="M15" s="8" t="str">
        <f aca="false">IF((F15-K15)&lt;&gt;0,M$1-A15,"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L16" s="7" t="str">
        <f aca="false">IF(F16&lt;&gt;0,F16-K16," ")</f>
        <v> </v>
      </c>
      <c r="M16" s="8" t="str">
        <f aca="false">IF((F16-K16)&lt;&gt;0,M$1-A16,"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L17" s="7" t="str">
        <f aca="false">IF(F17&lt;&gt;0,F17-K17," ")</f>
        <v> </v>
      </c>
      <c r="M17" s="8" t="str">
        <f aca="false">IF((F17-K17)&lt;&gt;0,M$1-A17,"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L18" s="7" t="str">
        <f aca="false">IF(F18&lt;&gt;0,F18-K18," ")</f>
        <v> </v>
      </c>
      <c r="M18" s="8" t="str">
        <f aca="false">IF((F18-K18)&lt;&gt;0,M$1-A18,"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L19" s="7" t="str">
        <f aca="false">IF(F19&lt;&gt;0,F19-K19," ")</f>
        <v> </v>
      </c>
      <c r="M19" s="8" t="str">
        <f aca="false">IF((F19-K19)&lt;&gt;0,M$1-A19,"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L20" s="7" t="str">
        <f aca="false">IF(F20&lt;&gt;0,F20-K20," ")</f>
        <v> </v>
      </c>
      <c r="M20" s="8" t="str">
        <f aca="false">IF((F20-K20)&lt;&gt;0,M$1-A20,"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L21" s="7" t="str">
        <f aca="false">IF(F21&lt;&gt;0,F21-K21," ")</f>
        <v> </v>
      </c>
      <c r="M21" s="8" t="str">
        <f aca="false">IF((F21-K21)&lt;&gt;0,M$1-A21,"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L22" s="7" t="str">
        <f aca="false">IF(F22&lt;&gt;0,F22-K22," ")</f>
        <v> </v>
      </c>
      <c r="M22" s="8" t="str">
        <f aca="false">IF((F22-K22)&lt;&gt;0,M$1-A22,"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L23" s="7" t="str">
        <f aca="false">IF(F23&lt;&gt;0,F23-K23," ")</f>
        <v> </v>
      </c>
      <c r="M23" s="8" t="str">
        <f aca="false">IF((F23-K23)&lt;&gt;0,M$1-A23,"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L24" s="7" t="str">
        <f aca="false">IF(F24&lt;&gt;0,F24-K24," ")</f>
        <v> </v>
      </c>
      <c r="M24" s="8" t="str">
        <f aca="false">IF((F24-K24)&lt;&gt;0,M$1-A24,"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L25" s="7" t="str">
        <f aca="false">IF(F25&lt;&gt;0,F25-K25," ")</f>
        <v> </v>
      </c>
      <c r="M25" s="8" t="str">
        <f aca="false">IF((F25-K25)&lt;&gt;0,M$1-A25,"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L26" s="7" t="str">
        <f aca="false">IF(F26&lt;&gt;0,F26-K26," ")</f>
        <v> </v>
      </c>
      <c r="M26" s="8" t="str">
        <f aca="false">IF((F26-K26)&lt;&gt;0,M$1-A26,"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L27" s="7" t="str">
        <f aca="false">IF(F27&lt;&gt;0,F27-K27," ")</f>
        <v> </v>
      </c>
      <c r="M27" s="8" t="str">
        <f aca="false">IF((F27-K27)&lt;&gt;0,M$1-A27,"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L28" s="7" t="str">
        <f aca="false">IF(F28&lt;&gt;0,F28-K28," ")</f>
        <v> </v>
      </c>
      <c r="M28" s="8" t="str">
        <f aca="false">IF((F28-K28)&lt;&gt;0,M$1-A28,"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L29" s="7" t="str">
        <f aca="false">IF(F29&lt;&gt;0,F29-K29," ")</f>
        <v> </v>
      </c>
      <c r="M29" s="8" t="str">
        <f aca="false">IF((F29-K29)&lt;&gt;0,M$1-A29,"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L30" s="7" t="str">
        <f aca="false">IF(F30&lt;&gt;0,F30-K30," ")</f>
        <v> </v>
      </c>
      <c r="M30" s="8" t="str">
        <f aca="false">IF((F30-K30)&lt;&gt;0,M$1-A30,"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L31" s="7" t="str">
        <f aca="false">IF(F31&lt;&gt;0,F31-K31," ")</f>
        <v> </v>
      </c>
      <c r="M31" s="8" t="str">
        <f aca="false">IF((F31-K31)&lt;&gt;0,M$1-A31,"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L32" s="7" t="str">
        <f aca="false">IF(F32&lt;&gt;0,F32-K32," ")</f>
        <v> </v>
      </c>
      <c r="M32" s="8" t="str">
        <f aca="false">IF((F32-K32)&lt;&gt;0,M$1-A32,"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L33" s="7" t="str">
        <f aca="false">IF(F33&lt;&gt;0,F33-K33," ")</f>
        <v> </v>
      </c>
      <c r="M33" s="8" t="str">
        <f aca="false">IF((F33-K33)&lt;&gt;0,M$1-A33,"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L34" s="7" t="str">
        <f aca="false">IF(F34&lt;&gt;0,F34-K34," ")</f>
        <v> </v>
      </c>
      <c r="M34" s="8" t="str">
        <f aca="false">IF((F34-K34)&lt;&gt;0,M$1-A34,"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L35" s="7" t="str">
        <f aca="false">IF(F35&lt;&gt;0,F35-K35," ")</f>
        <v> </v>
      </c>
      <c r="M35" s="8" t="str">
        <f aca="false">IF((F35-K35)&lt;&gt;0,M$1-A35,"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L36" s="7" t="str">
        <f aca="false">IF(F36&lt;&gt;0,F36-K36," ")</f>
        <v> </v>
      </c>
      <c r="M36" s="8" t="str">
        <f aca="false">IF((F36-K36)&lt;&gt;0,M$1-A36,"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L37" s="7" t="str">
        <f aca="false">IF(F37&lt;&gt;0,F37-K37," ")</f>
        <v> </v>
      </c>
      <c r="M37" s="8" t="str">
        <f aca="false">IF((F37-K37)&lt;&gt;0,M$1-A37,"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L38" s="7" t="str">
        <f aca="false">IF(F38&lt;&gt;0,F38-K38," ")</f>
        <v> </v>
      </c>
      <c r="M38" s="8" t="str">
        <f aca="false">IF((F38-K38)&lt;&gt;0,M$1-A38,"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L39" s="7" t="str">
        <f aca="false">IF(F39&lt;&gt;0,F39-K39," ")</f>
        <v> </v>
      </c>
      <c r="M39" s="8" t="str">
        <f aca="false">IF((F39-K39)&lt;&gt;0,M$1-A39,"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L40" s="7" t="str">
        <f aca="false">IF(F40&lt;&gt;0,F40-K40," ")</f>
        <v> </v>
      </c>
      <c r="M40" s="8" t="str">
        <f aca="false">IF((F40-K40)&lt;&gt;0,M$1-A40,"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L41" s="7" t="str">
        <f aca="false">IF(F41&lt;&gt;0,F41-K41," ")</f>
        <v> </v>
      </c>
      <c r="M41" s="8" t="str">
        <f aca="false">IF((F41-K41)&lt;&gt;0,M$1-A41,"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L42" s="7" t="str">
        <f aca="false">IF(F42&lt;&gt;0,F42-K42," ")</f>
        <v> </v>
      </c>
      <c r="M42" s="8" t="str">
        <f aca="false">IF((F42-K42)&lt;&gt;0,M$1-A42,"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L43" s="7" t="str">
        <f aca="false">IF(F43&lt;&gt;0,F43-K43," ")</f>
        <v> </v>
      </c>
      <c r="M43" s="8" t="str">
        <f aca="false">IF((F43-K43)&lt;&gt;0,M$1-A43,"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L44" s="7" t="str">
        <f aca="false">IF(F44&lt;&gt;0,F44-K44," ")</f>
        <v> </v>
      </c>
      <c r="M44" s="8" t="str">
        <f aca="false">IF((F44-K44)&lt;&gt;0,M$1-A44,"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L45" s="7" t="str">
        <f aca="false">IF(F45&lt;&gt;0,F45-K45," ")</f>
        <v> </v>
      </c>
      <c r="M45" s="8" t="str">
        <f aca="false">IF((F45-K45)&lt;&gt;0,M$1-A45,"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L46" s="7" t="str">
        <f aca="false">IF(F46&lt;&gt;0,F46-K46," ")</f>
        <v> </v>
      </c>
      <c r="M46" s="8" t="str">
        <f aca="false">IF((F46-K46)&lt;&gt;0,M$1-A46,"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L47" s="7" t="str">
        <f aca="false">IF(F47&lt;&gt;0,F47-K47," ")</f>
        <v> </v>
      </c>
      <c r="M47" s="8" t="str">
        <f aca="false">IF((F47-K47)&lt;&gt;0,M$1-A47,"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L48" s="7" t="str">
        <f aca="false">IF(F48&lt;&gt;0,F48-K48," ")</f>
        <v> </v>
      </c>
      <c r="M48" s="8" t="str">
        <f aca="false">IF((F48-K48)&lt;&gt;0,M$1-A48,"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L49" s="7" t="str">
        <f aca="false">IF(F49&lt;&gt;0,F49-K49," ")</f>
        <v> </v>
      </c>
      <c r="M49" s="8" t="str">
        <f aca="false">IF((F49-K49)&lt;&gt;0,M$1-A49,"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L50" s="7" t="str">
        <f aca="false">IF(F50&lt;&gt;0,F50-K50," ")</f>
        <v> </v>
      </c>
      <c r="M50" s="8" t="str">
        <f aca="false">IF((F50-K50)&lt;&gt;0,M$1-A50,"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L51" s="7" t="str">
        <f aca="false">IF(F51&lt;&gt;0,F51-K51," ")</f>
        <v> </v>
      </c>
      <c r="M51" s="8" t="str">
        <f aca="false">IF((F51-K51)&lt;&gt;0,M$1-A51,"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L52" s="7" t="str">
        <f aca="false">IF(F52&lt;&gt;0,F52-K52," ")</f>
        <v> </v>
      </c>
      <c r="M52" s="8" t="str">
        <f aca="false">IF((F52-K52)&lt;&gt;0,M$1-A52,"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L53" s="7" t="str">
        <f aca="false">IF(F53&lt;&gt;0,F53-K53," ")</f>
        <v> </v>
      </c>
      <c r="M53" s="8" t="str">
        <f aca="false">IF((F53-K53)&lt;&gt;0,M$1-A53,"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L54" s="7" t="str">
        <f aca="false">IF(F54&lt;&gt;0,F54-K54," ")</f>
        <v> </v>
      </c>
      <c r="M54" s="8" t="str">
        <f aca="false">IF((F54-K54)&lt;&gt;0,M$1-A54,"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L55" s="7" t="str">
        <f aca="false">IF(F55&lt;&gt;0,F55-K55," ")</f>
        <v> </v>
      </c>
      <c r="M55" s="8" t="str">
        <f aca="false">IF((F55-K55)&lt;&gt;0,M$1-A55,"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L56" s="7" t="str">
        <f aca="false">IF(F56&lt;&gt;0,F56-K56," ")</f>
        <v> </v>
      </c>
      <c r="M56" s="8" t="str">
        <f aca="false">IF((F56-K56)&lt;&gt;0,M$1-A56,"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L57" s="7" t="str">
        <f aca="false">IF(F57&lt;&gt;0,F57-K57," ")</f>
        <v> </v>
      </c>
      <c r="M57" s="8" t="str">
        <f aca="false">IF((F57-K57)&lt;&gt;0,M$1-A57,"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L58" s="7" t="str">
        <f aca="false">IF(F58&lt;&gt;0,F58-K58," ")</f>
        <v> </v>
      </c>
      <c r="M58" s="8" t="str">
        <f aca="false">IF((F58-K58)&lt;&gt;0,M$1-A58,"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L59" s="7" t="str">
        <f aca="false">IF(F59&lt;&gt;0,F59-K59," ")</f>
        <v> </v>
      </c>
      <c r="M59" s="8" t="str">
        <f aca="false">IF((F59-K59)&lt;&gt;0,M$1-A59,"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L60" s="7" t="str">
        <f aca="false">IF(F60&lt;&gt;0,F60-K60," ")</f>
        <v> </v>
      </c>
      <c r="M60" s="8" t="str">
        <f aca="false">IF((F60-K60)&lt;&gt;0,M$1-A60,"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L61" s="7" t="str">
        <f aca="false">IF(F61&lt;&gt;0,F61-K61," ")</f>
        <v> </v>
      </c>
      <c r="M61" s="8" t="str">
        <f aca="false">IF((F61-K61)&lt;&gt;0,M$1-A61,"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L62" s="7" t="str">
        <f aca="false">IF(F62&lt;&gt;0,F62-K62," ")</f>
        <v> </v>
      </c>
      <c r="M62" s="8" t="str">
        <f aca="false">IF((F62-K62)&lt;&gt;0,M$1-A62,"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L63" s="7" t="str">
        <f aca="false">IF(F63&lt;&gt;0,F63-K63," ")</f>
        <v> </v>
      </c>
      <c r="M63" s="8" t="str">
        <f aca="false">IF((F63-K63)&lt;&gt;0,M$1-A63,"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L64" s="7" t="str">
        <f aca="false">IF(F64&lt;&gt;0,F64-K64," ")</f>
        <v> </v>
      </c>
      <c r="M64" s="8" t="str">
        <f aca="false">IF((F64-K64)&lt;&gt;0,M$1-A64,"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L65" s="7" t="str">
        <f aca="false">IF(F65&lt;&gt;0,F65-K65," ")</f>
        <v> </v>
      </c>
      <c r="M65" s="8" t="str">
        <f aca="false">IF((F65-K65)&lt;&gt;0,M$1-A65,"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L66" s="7" t="str">
        <f aca="false">IF(F66&lt;&gt;0,F66-K66," ")</f>
        <v> </v>
      </c>
      <c r="M66" s="8" t="str">
        <f aca="false">IF((F66-K66)&lt;&gt;0,M$1-A66,"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L67" s="7" t="str">
        <f aca="false">IF(F67&lt;&gt;0,F67-K67," ")</f>
        <v> </v>
      </c>
      <c r="M67" s="8" t="str">
        <f aca="false">IF((F67-K67)&lt;&gt;0,M$1-A67,"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L68" s="7" t="str">
        <f aca="false">IF(F68&lt;&gt;0,F68-K68," ")</f>
        <v> </v>
      </c>
      <c r="M68" s="8" t="str">
        <f aca="false">IF((F68-K68)&lt;&gt;0,M$1-A68,"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L69" s="7" t="str">
        <f aca="false">IF(F69&lt;&gt;0,F69-K69," ")</f>
        <v> </v>
      </c>
      <c r="M69" s="8" t="str">
        <f aca="false">IF((F69-K69)&lt;&gt;0,M$1-A69," ")</f>
        <v> </v>
      </c>
    </row>
    <row r="70" customFormat="false" ht="12" hidden="false" customHeight="false" outlineLevel="0" collapsed="false"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</row>
    <row r="71" customFormat="false" ht="12" hidden="false" customHeight="false" outlineLevel="0" collapsed="false"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</row>
    <row r="72" customFormat="false" ht="12" hidden="false" customHeight="false" outlineLevel="0" collapsed="false"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</row>
    <row r="73" customFormat="false" ht="12" hidden="false" customHeight="false" outlineLevel="0" collapsed="false"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</row>
    <row r="74" customFormat="false" ht="12" hidden="false" customHeight="false" outlineLevel="0" collapsed="false"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</row>
    <row r="75" customFormat="false" ht="12" hidden="false" customHeight="false" outlineLevel="0" collapsed="false"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</row>
    <row r="76" customFormat="false" ht="12" hidden="false" customHeight="false" outlineLevel="0" collapsed="false"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</row>
    <row r="77" customFormat="false" ht="12" hidden="false" customHeight="false" outlineLevel="0" collapsed="false"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</row>
    <row r="78" customFormat="false" ht="12" hidden="false" customHeight="false" outlineLevel="0" collapsed="false"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</row>
    <row r="79" customFormat="false" ht="12" hidden="false" customHeight="false" outlineLevel="0" collapsed="false"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</row>
    <row r="80" customFormat="false" ht="12" hidden="false" customHeight="false" outlineLevel="0" collapsed="false"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</row>
    <row r="81" customFormat="false" ht="12" hidden="false" customHeight="false" outlineLevel="0" collapsed="false"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</row>
    <row r="82" customFormat="false" ht="12" hidden="false" customHeight="false" outlineLevel="0" collapsed="false"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</row>
    <row r="83" customFormat="false" ht="12" hidden="false" customHeight="false" outlineLevel="0" collapsed="false"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</row>
    <row r="84" customFormat="false" ht="12" hidden="false" customHeight="false" outlineLevel="0" collapsed="false"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</row>
    <row r="85" customFormat="false" ht="12" hidden="false" customHeight="false" outlineLevel="0" collapsed="false"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</row>
    <row r="86" customFormat="false" ht="12" hidden="false" customHeight="false" outlineLevel="0" collapsed="false"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</row>
    <row r="87" customFormat="false" ht="12" hidden="false" customHeight="false" outlineLevel="0" collapsed="false"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</row>
    <row r="88" customFormat="false" ht="12" hidden="false" customHeight="false" outlineLevel="0" collapsed="false"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</row>
    <row r="89" customFormat="false" ht="12" hidden="false" customHeight="false" outlineLevel="0" collapsed="false"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</row>
    <row r="90" customFormat="false" ht="12" hidden="false" customHeight="false" outlineLevel="0" collapsed="false"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</row>
    <row r="91" customFormat="false" ht="12" hidden="false" customHeight="false" outlineLevel="0" collapsed="false"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</row>
    <row r="92" customFormat="false" ht="12" hidden="false" customHeight="false" outlineLevel="0" collapsed="false"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</row>
    <row r="93" customFormat="false" ht="12" hidden="false" customHeight="false" outlineLevel="0" collapsed="false"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</row>
    <row r="94" customFormat="false" ht="12" hidden="false" customHeight="false" outlineLevel="0" collapsed="false"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</row>
    <row r="95" customFormat="false" ht="12" hidden="false" customHeight="false" outlineLevel="0" collapsed="false"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</row>
    <row r="96" customFormat="false" ht="12" hidden="false" customHeight="false" outlineLevel="0" collapsed="false"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</row>
    <row r="97" customFormat="false" ht="12" hidden="false" customHeight="false" outlineLevel="0" collapsed="false"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</row>
    <row r="98" customFormat="false" ht="12" hidden="false" customHeight="false" outlineLevel="0" collapsed="false"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</row>
    <row r="99" customFormat="false" ht="12" hidden="false" customHeight="false" outlineLevel="0" collapsed="false"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</row>
    <row r="100" customFormat="false" ht="12" hidden="false" customHeight="false" outlineLevel="0" collapsed="false"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</row>
    <row r="101" customFormat="false" ht="12" hidden="false" customHeight="false" outlineLevel="0" collapsed="false"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</row>
    <row r="102" customFormat="false" ht="12" hidden="false" customHeight="false" outlineLevel="0" collapsed="false"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</row>
    <row r="103" customFormat="false" ht="12" hidden="false" customHeight="false" outlineLevel="0" collapsed="false"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</row>
    <row r="104" customFormat="false" ht="12" hidden="false" customHeight="false" outlineLevel="0" collapsed="false"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</row>
    <row r="105" customFormat="false" ht="12" hidden="false" customHeight="false" outlineLevel="0" collapsed="false"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</row>
    <row r="106" customFormat="false" ht="12" hidden="false" customHeight="false" outlineLevel="0" collapsed="false"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</row>
    <row r="107" customFormat="false" ht="12" hidden="false" customHeight="false" outlineLevel="0" collapsed="false"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</row>
    <row r="108" customFormat="false" ht="12" hidden="false" customHeight="false" outlineLevel="0" collapsed="false"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</row>
    <row r="109" customFormat="false" ht="12" hidden="false" customHeight="false" outlineLevel="0" collapsed="false"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</row>
    <row r="110" customFormat="false" ht="12" hidden="false" customHeight="false" outlineLevel="0" collapsed="false"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</row>
    <row r="111" customFormat="false" ht="12" hidden="false" customHeight="false" outlineLevel="0" collapsed="false"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</row>
    <row r="112" customFormat="false" ht="12" hidden="false" customHeight="false" outlineLevel="0" collapsed="false"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</row>
    <row r="113" customFormat="false" ht="12" hidden="false" customHeight="false" outlineLevel="0" collapsed="false"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</row>
    <row r="114" customFormat="false" ht="12" hidden="false" customHeight="false" outlineLevel="0" collapsed="false"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</row>
    <row r="115" customFormat="false" ht="12" hidden="false" customHeight="false" outlineLevel="0" collapsed="false"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</row>
    <row r="116" customFormat="false" ht="12" hidden="false" customHeight="false" outlineLevel="0" collapsed="false"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</row>
    <row r="117" customFormat="false" ht="12" hidden="false" customHeight="false" outlineLevel="0" collapsed="false"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</row>
    <row r="118" customFormat="false" ht="12" hidden="false" customHeight="false" outlineLevel="0" collapsed="false"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</row>
    <row r="119" customFormat="false" ht="12" hidden="false" customHeight="false" outlineLevel="0" collapsed="false"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</row>
    <row r="120" customFormat="false" ht="12" hidden="false" customHeight="false" outlineLevel="0" collapsed="false"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</row>
    <row r="121" customFormat="false" ht="12" hidden="false" customHeight="false" outlineLevel="0" collapsed="false"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</row>
    <row r="122" customFormat="false" ht="12" hidden="false" customHeight="false" outlineLevel="0" collapsed="false"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</row>
    <row r="123" customFormat="false" ht="12" hidden="false" customHeight="false" outlineLevel="0" collapsed="false"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</row>
    <row r="124" customFormat="false" ht="12" hidden="false" customHeight="false" outlineLevel="0" collapsed="false"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</row>
    <row r="125" customFormat="false" ht="12" hidden="false" customHeight="false" outlineLevel="0" collapsed="false"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</row>
    <row r="126" customFormat="false" ht="12" hidden="false" customHeight="false" outlineLevel="0" collapsed="false"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</row>
    <row r="127" customFormat="false" ht="12" hidden="false" customHeight="false" outlineLevel="0" collapsed="false"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</row>
    <row r="128" customFormat="false" ht="12" hidden="false" customHeight="false" outlineLevel="0" collapsed="false"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</row>
    <row r="129" customFormat="false" ht="12" hidden="false" customHeight="false" outlineLevel="0" collapsed="false"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</row>
    <row r="130" customFormat="false" ht="12" hidden="false" customHeight="false" outlineLevel="0" collapsed="false"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</row>
    <row r="131" customFormat="false" ht="12" hidden="false" customHeight="false" outlineLevel="0" collapsed="false"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</row>
    <row r="132" customFormat="false" ht="12" hidden="false" customHeight="false" outlineLevel="0" collapsed="false"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</row>
    <row r="133" customFormat="false" ht="12" hidden="false" customHeight="false" outlineLevel="0" collapsed="false"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</row>
    <row r="134" customFormat="false" ht="12" hidden="false" customHeight="false" outlineLevel="0" collapsed="false"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</row>
    <row r="135" customFormat="false" ht="12" hidden="false" customHeight="false" outlineLevel="0" collapsed="false"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</row>
    <row r="136" customFormat="false" ht="12" hidden="false" customHeight="false" outlineLevel="0" collapsed="false"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</row>
    <row r="137" customFormat="false" ht="12" hidden="false" customHeight="false" outlineLevel="0" collapsed="false"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</row>
    <row r="138" customFormat="false" ht="12" hidden="false" customHeight="false" outlineLevel="0" collapsed="false"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</row>
    <row r="139" customFormat="false" ht="12" hidden="false" customHeight="false" outlineLevel="0" collapsed="false"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</row>
    <row r="140" customFormat="false" ht="12" hidden="false" customHeight="false" outlineLevel="0" collapsed="false"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</row>
    <row r="141" customFormat="false" ht="12" hidden="false" customHeight="false" outlineLevel="0" collapsed="false"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</row>
    <row r="142" customFormat="false" ht="12" hidden="false" customHeight="false" outlineLevel="0" collapsed="false"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</row>
    <row r="143" customFormat="false" ht="12" hidden="false" customHeight="false" outlineLevel="0" collapsed="false"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</row>
    <row r="144" customFormat="false" ht="12" hidden="false" customHeight="false" outlineLevel="0" collapsed="false"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</row>
    <row r="145" customFormat="false" ht="12" hidden="false" customHeight="false" outlineLevel="0" collapsed="false"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</row>
    <row r="146" customFormat="false" ht="12" hidden="false" customHeight="false" outlineLevel="0" collapsed="false"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</row>
    <row r="147" customFormat="false" ht="12" hidden="false" customHeight="false" outlineLevel="0" collapsed="false"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</row>
    <row r="148" customFormat="false" ht="12" hidden="false" customHeight="false" outlineLevel="0" collapsed="false"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</row>
    <row r="149" customFormat="false" ht="12" hidden="false" customHeight="false" outlineLevel="0" collapsed="false"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</row>
    <row r="150" customFormat="false" ht="12" hidden="false" customHeight="false" outlineLevel="0" collapsed="false"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</row>
    <row r="151" customFormat="false" ht="12" hidden="false" customHeight="false" outlineLevel="0" collapsed="false"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</row>
    <row r="152" customFormat="false" ht="12" hidden="false" customHeight="false" outlineLevel="0" collapsed="false"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</row>
    <row r="153" customFormat="false" ht="12" hidden="false" customHeight="false" outlineLevel="0" collapsed="false"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</row>
    <row r="154" customFormat="false" ht="12" hidden="false" customHeight="false" outlineLevel="0" collapsed="false"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</row>
    <row r="155" customFormat="false" ht="12" hidden="false" customHeight="false" outlineLevel="0" collapsed="false"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</row>
    <row r="156" customFormat="false" ht="12" hidden="false" customHeight="false" outlineLevel="0" collapsed="false"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</row>
    <row r="157" customFormat="false" ht="12" hidden="false" customHeight="false" outlineLevel="0" collapsed="false"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</row>
    <row r="158" customFormat="false" ht="12" hidden="false" customHeight="false" outlineLevel="0" collapsed="false"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</row>
    <row r="159" customFormat="false" ht="12" hidden="false" customHeight="false" outlineLevel="0" collapsed="false"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</row>
    <row r="160" customFormat="false" ht="12" hidden="false" customHeight="false" outlineLevel="0" collapsed="false"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</row>
    <row r="161" customFormat="false" ht="12" hidden="false" customHeight="false" outlineLevel="0" collapsed="false"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</row>
    <row r="162" customFormat="false" ht="12" hidden="false" customHeight="false" outlineLevel="0" collapsed="false"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</row>
    <row r="163" customFormat="false" ht="12" hidden="false" customHeight="false" outlineLevel="0" collapsed="false"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</row>
    <row r="164" customFormat="false" ht="12" hidden="false" customHeight="false" outlineLevel="0" collapsed="false"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</row>
    <row r="165" customFormat="false" ht="12" hidden="false" customHeight="false" outlineLevel="0" collapsed="false"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</row>
    <row r="166" customFormat="false" ht="12" hidden="false" customHeight="false" outlineLevel="0" collapsed="false"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</row>
    <row r="167" customFormat="false" ht="12" hidden="false" customHeight="false" outlineLevel="0" collapsed="false"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</row>
    <row r="168" customFormat="false" ht="12" hidden="false" customHeight="false" outlineLevel="0" collapsed="false"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</row>
    <row r="169" customFormat="false" ht="12" hidden="false" customHeight="false" outlineLevel="0" collapsed="false"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</row>
    <row r="170" customFormat="false" ht="12" hidden="false" customHeight="false" outlineLevel="0" collapsed="false"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</row>
    <row r="171" customFormat="false" ht="12" hidden="false" customHeight="false" outlineLevel="0" collapsed="false"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</row>
    <row r="172" customFormat="false" ht="12" hidden="false" customHeight="false" outlineLevel="0" collapsed="false"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</row>
    <row r="173" customFormat="false" ht="12" hidden="false" customHeight="false" outlineLevel="0" collapsed="false"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</row>
    <row r="174" customFormat="false" ht="12" hidden="false" customHeight="false" outlineLevel="0" collapsed="false"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</row>
    <row r="175" customFormat="false" ht="12" hidden="false" customHeight="false" outlineLevel="0" collapsed="false"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</row>
    <row r="176" customFormat="false" ht="12" hidden="false" customHeight="false" outlineLevel="0" collapsed="false"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</row>
    <row r="177" customFormat="false" ht="12" hidden="false" customHeight="false" outlineLevel="0" collapsed="false"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</row>
    <row r="178" customFormat="false" ht="12" hidden="false" customHeight="false" outlineLevel="0" collapsed="false"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</row>
    <row r="179" customFormat="false" ht="12" hidden="false" customHeight="false" outlineLevel="0" collapsed="false"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</row>
    <row r="180" customFormat="false" ht="12" hidden="false" customHeight="false" outlineLevel="0" collapsed="false"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</row>
    <row r="181" customFormat="false" ht="12" hidden="false" customHeight="false" outlineLevel="0" collapsed="false"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</row>
    <row r="182" customFormat="false" ht="12" hidden="false" customHeight="false" outlineLevel="0" collapsed="false"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</row>
    <row r="183" customFormat="false" ht="12" hidden="false" customHeight="false" outlineLevel="0" collapsed="false"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</row>
    <row r="184" customFormat="false" ht="12" hidden="false" customHeight="false" outlineLevel="0" collapsed="false"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</row>
    <row r="185" customFormat="false" ht="12" hidden="false" customHeight="false" outlineLevel="0" collapsed="false"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</row>
    <row r="186" customFormat="false" ht="12" hidden="false" customHeight="false" outlineLevel="0" collapsed="false"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</row>
    <row r="187" customFormat="false" ht="12" hidden="false" customHeight="false" outlineLevel="0" collapsed="false"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</row>
    <row r="188" customFormat="false" ht="12" hidden="false" customHeight="false" outlineLevel="0" collapsed="false"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</row>
    <row r="189" customFormat="false" ht="12" hidden="false" customHeight="false" outlineLevel="0" collapsed="false"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</row>
    <row r="190" customFormat="false" ht="12" hidden="false" customHeight="false" outlineLevel="0" collapsed="false"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</row>
    <row r="191" customFormat="false" ht="12" hidden="false" customHeight="false" outlineLevel="0" collapsed="false"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</row>
    <row r="192" customFormat="false" ht="12" hidden="false" customHeight="false" outlineLevel="0" collapsed="false"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</row>
    <row r="193" customFormat="false" ht="12" hidden="false" customHeight="false" outlineLevel="0" collapsed="false"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</row>
    <row r="194" customFormat="false" ht="12" hidden="false" customHeight="false" outlineLevel="0" collapsed="false"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</row>
    <row r="195" customFormat="false" ht="12" hidden="false" customHeight="false" outlineLevel="0" collapsed="false"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</row>
    <row r="196" customFormat="false" ht="12" hidden="false" customHeight="false" outlineLevel="0" collapsed="false"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</row>
    <row r="197" customFormat="false" ht="12" hidden="false" customHeight="false" outlineLevel="0" collapsed="false"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</row>
    <row r="198" customFormat="false" ht="12" hidden="false" customHeight="false" outlineLevel="0" collapsed="false"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</row>
    <row r="199" customFormat="false" ht="12" hidden="false" customHeight="false" outlineLevel="0" collapsed="false"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</row>
    <row r="200" customFormat="false" ht="12" hidden="false" customHeight="false" outlineLevel="0" collapsed="false"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</row>
    <row r="201" customFormat="false" ht="12" hidden="false" customHeight="false" outlineLevel="0" collapsed="false"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</row>
    <row r="202" customFormat="false" ht="12" hidden="false" customHeight="false" outlineLevel="0" collapsed="false"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</row>
    <row r="203" customFormat="false" ht="12" hidden="false" customHeight="false" outlineLevel="0" collapsed="false"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</row>
    <row r="204" customFormat="false" ht="12" hidden="false" customHeight="false" outlineLevel="0" collapsed="false"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</row>
    <row r="205" customFormat="false" ht="12" hidden="false" customHeight="false" outlineLevel="0" collapsed="false"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</row>
    <row r="206" customFormat="false" ht="12" hidden="false" customHeight="false" outlineLevel="0" collapsed="false"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</row>
    <row r="207" customFormat="false" ht="12" hidden="false" customHeight="false" outlineLevel="0" collapsed="false"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</row>
    <row r="208" customFormat="false" ht="12" hidden="false" customHeight="false" outlineLevel="0" collapsed="false"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</row>
    <row r="209" customFormat="false" ht="12" hidden="false" customHeight="false" outlineLevel="0" collapsed="false"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</row>
    <row r="210" customFormat="false" ht="12" hidden="false" customHeight="false" outlineLevel="0" collapsed="false"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</row>
    <row r="211" customFormat="false" ht="12" hidden="false" customHeight="false" outlineLevel="0" collapsed="false"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</row>
    <row r="212" customFormat="false" ht="12" hidden="false" customHeight="false" outlineLevel="0" collapsed="false"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</row>
    <row r="213" customFormat="false" ht="12" hidden="false" customHeight="false" outlineLevel="0" collapsed="false"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</row>
    <row r="214" customFormat="false" ht="12" hidden="false" customHeight="false" outlineLevel="0" collapsed="false"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</row>
    <row r="215" customFormat="false" ht="12" hidden="false" customHeight="false" outlineLevel="0" collapsed="false"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</row>
    <row r="216" customFormat="false" ht="12" hidden="false" customHeight="false" outlineLevel="0" collapsed="false"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</row>
    <row r="217" customFormat="false" ht="12" hidden="false" customHeight="false" outlineLevel="0" collapsed="false"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</row>
    <row r="218" customFormat="false" ht="12" hidden="false" customHeight="false" outlineLevel="0" collapsed="false"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</row>
    <row r="219" customFormat="false" ht="12" hidden="false" customHeight="false" outlineLevel="0" collapsed="false"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</row>
    <row r="220" customFormat="false" ht="12" hidden="false" customHeight="false" outlineLevel="0" collapsed="false"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</row>
    <row r="221" customFormat="false" ht="12" hidden="false" customHeight="false" outlineLevel="0" collapsed="false"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</row>
    <row r="222" customFormat="false" ht="12" hidden="false" customHeight="false" outlineLevel="0" collapsed="false"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</row>
    <row r="223" customFormat="false" ht="12" hidden="false" customHeight="false" outlineLevel="0" collapsed="false"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</row>
    <row r="224" customFormat="false" ht="12" hidden="false" customHeight="false" outlineLevel="0" collapsed="false"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</row>
    <row r="225" customFormat="false" ht="12" hidden="false" customHeight="false" outlineLevel="0" collapsed="false"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</row>
    <row r="226" customFormat="false" ht="12" hidden="false" customHeight="false" outlineLevel="0" collapsed="false"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</row>
    <row r="227" customFormat="false" ht="12" hidden="false" customHeight="false" outlineLevel="0" collapsed="false"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</row>
    <row r="228" customFormat="false" ht="12" hidden="false" customHeight="false" outlineLevel="0" collapsed="false"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</row>
    <row r="229" customFormat="false" ht="12" hidden="false" customHeight="false" outlineLevel="0" collapsed="false"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</row>
    <row r="230" customFormat="false" ht="12" hidden="false" customHeight="false" outlineLevel="0" collapsed="false"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</row>
    <row r="231" customFormat="false" ht="12" hidden="false" customHeight="false" outlineLevel="0" collapsed="false"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</row>
    <row r="232" customFormat="false" ht="12" hidden="false" customHeight="false" outlineLevel="0" collapsed="false"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</row>
    <row r="233" customFormat="false" ht="12" hidden="false" customHeight="false" outlineLevel="0" collapsed="false"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</row>
    <row r="234" customFormat="false" ht="12" hidden="false" customHeight="false" outlineLevel="0" collapsed="false"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</row>
    <row r="235" customFormat="false" ht="12" hidden="false" customHeight="false" outlineLevel="0" collapsed="false"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</row>
    <row r="236" customFormat="false" ht="12" hidden="false" customHeight="false" outlineLevel="0" collapsed="false"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</row>
    <row r="237" customFormat="false" ht="12" hidden="false" customHeight="false" outlineLevel="0" collapsed="false"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</row>
    <row r="238" customFormat="false" ht="12" hidden="false" customHeight="false" outlineLevel="0" collapsed="false"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</row>
    <row r="239" customFormat="false" ht="12" hidden="false" customHeight="false" outlineLevel="0" collapsed="false"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</row>
    <row r="240" customFormat="false" ht="12" hidden="false" customHeight="false" outlineLevel="0" collapsed="false"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</row>
    <row r="241" customFormat="false" ht="12" hidden="false" customHeight="false" outlineLevel="0" collapsed="false"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</row>
    <row r="242" customFormat="false" ht="12" hidden="false" customHeight="false" outlineLevel="0" collapsed="false"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</row>
    <row r="243" customFormat="false" ht="12" hidden="false" customHeight="false" outlineLevel="0" collapsed="false"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</row>
    <row r="244" customFormat="false" ht="12" hidden="false" customHeight="false" outlineLevel="0" collapsed="false"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</row>
    <row r="245" customFormat="false" ht="12" hidden="false" customHeight="false" outlineLevel="0" collapsed="false"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</row>
    <row r="246" customFormat="false" ht="12" hidden="false" customHeight="false" outlineLevel="0" collapsed="false"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</row>
    <row r="247" customFormat="false" ht="12" hidden="false" customHeight="false" outlineLevel="0" collapsed="false"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</row>
    <row r="248" customFormat="false" ht="12" hidden="false" customHeight="false" outlineLevel="0" collapsed="false"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</row>
    <row r="249" customFormat="false" ht="12" hidden="false" customHeight="false" outlineLevel="0" collapsed="false"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</row>
    <row r="250" customFormat="false" ht="12" hidden="false" customHeight="false" outlineLevel="0" collapsed="false"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</row>
    <row r="251" customFormat="false" ht="12" hidden="false" customHeight="false" outlineLevel="0" collapsed="false"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</row>
    <row r="252" customFormat="false" ht="12" hidden="false" customHeight="false" outlineLevel="0" collapsed="false"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</row>
    <row r="253" customFormat="false" ht="12" hidden="false" customHeight="false" outlineLevel="0" collapsed="false"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</row>
    <row r="254" customFormat="false" ht="12" hidden="false" customHeight="false" outlineLevel="0" collapsed="false"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</row>
    <row r="255" customFormat="false" ht="12" hidden="false" customHeight="false" outlineLevel="0" collapsed="false"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</row>
    <row r="256" customFormat="false" ht="12" hidden="false" customHeight="false" outlineLevel="0" collapsed="false"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</row>
    <row r="257" customFormat="false" ht="12" hidden="false" customHeight="false" outlineLevel="0" collapsed="false"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</row>
    <row r="258" customFormat="false" ht="12" hidden="false" customHeight="false" outlineLevel="0" collapsed="false"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</row>
    <row r="259" customFormat="false" ht="12" hidden="false" customHeight="false" outlineLevel="0" collapsed="false"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</row>
    <row r="260" customFormat="false" ht="12" hidden="false" customHeight="false" outlineLevel="0" collapsed="false"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</row>
    <row r="261" customFormat="false" ht="12" hidden="false" customHeight="false" outlineLevel="0" collapsed="false"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</row>
    <row r="262" customFormat="false" ht="12" hidden="false" customHeight="false" outlineLevel="0" collapsed="false"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</row>
    <row r="263" customFormat="false" ht="12" hidden="false" customHeight="false" outlineLevel="0" collapsed="false"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</row>
    <row r="264" customFormat="false" ht="12" hidden="false" customHeight="false" outlineLevel="0" collapsed="false"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</row>
    <row r="265" customFormat="false" ht="12" hidden="false" customHeight="false" outlineLevel="0" collapsed="false"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</row>
    <row r="266" customFormat="false" ht="12" hidden="false" customHeight="false" outlineLevel="0" collapsed="false"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</row>
    <row r="267" customFormat="false" ht="12" hidden="false" customHeight="false" outlineLevel="0" collapsed="false"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</row>
    <row r="268" customFormat="false" ht="12" hidden="false" customHeight="false" outlineLevel="0" collapsed="false"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</row>
    <row r="269" customFormat="false" ht="12" hidden="false" customHeight="false" outlineLevel="0" collapsed="false"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</row>
    <row r="270" customFormat="false" ht="12" hidden="false" customHeight="false" outlineLevel="0" collapsed="false"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</row>
    <row r="271" customFormat="false" ht="12" hidden="false" customHeight="false" outlineLevel="0" collapsed="false"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</row>
    <row r="272" customFormat="false" ht="12" hidden="false" customHeight="false" outlineLevel="0" collapsed="false"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</row>
    <row r="273" customFormat="false" ht="12" hidden="false" customHeight="false" outlineLevel="0" collapsed="false"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</row>
    <row r="274" customFormat="false" ht="12" hidden="false" customHeight="false" outlineLevel="0" collapsed="false"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</row>
    <row r="275" customFormat="false" ht="12" hidden="false" customHeight="false" outlineLevel="0" collapsed="false"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</row>
    <row r="276" customFormat="false" ht="12" hidden="false" customHeight="false" outlineLevel="0" collapsed="false"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</row>
    <row r="277" customFormat="false" ht="12" hidden="false" customHeight="false" outlineLevel="0" collapsed="false"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</row>
    <row r="278" customFormat="false" ht="12" hidden="false" customHeight="false" outlineLevel="0" collapsed="false"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</row>
    <row r="279" customFormat="false" ht="12" hidden="false" customHeight="false" outlineLevel="0" collapsed="false"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</row>
    <row r="280" customFormat="false" ht="12" hidden="false" customHeight="false" outlineLevel="0" collapsed="false"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</row>
    <row r="281" customFormat="false" ht="12" hidden="false" customHeight="false" outlineLevel="0" collapsed="false"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</row>
    <row r="282" customFormat="false" ht="12" hidden="false" customHeight="false" outlineLevel="0" collapsed="false"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</row>
    <row r="283" customFormat="false" ht="12" hidden="false" customHeight="false" outlineLevel="0" collapsed="false"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</row>
    <row r="284" customFormat="false" ht="12" hidden="false" customHeight="false" outlineLevel="0" collapsed="false"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</row>
    <row r="285" customFormat="false" ht="12" hidden="false" customHeight="false" outlineLevel="0" collapsed="false"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</row>
    <row r="286" customFormat="false" ht="12" hidden="false" customHeight="false" outlineLevel="0" collapsed="false"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</row>
    <row r="287" customFormat="false" ht="12" hidden="false" customHeight="false" outlineLevel="0" collapsed="false"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</row>
    <row r="288" customFormat="false" ht="12" hidden="false" customHeight="false" outlineLevel="0" collapsed="false"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</row>
    <row r="289" customFormat="false" ht="12" hidden="false" customHeight="false" outlineLevel="0" collapsed="false"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</row>
    <row r="290" customFormat="false" ht="12" hidden="false" customHeight="false" outlineLevel="0" collapsed="false"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</row>
    <row r="291" customFormat="false" ht="12" hidden="false" customHeight="false" outlineLevel="0" collapsed="false"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</row>
    <row r="292" customFormat="false" ht="12" hidden="false" customHeight="false" outlineLevel="0" collapsed="false"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</row>
    <row r="293" customFormat="false" ht="12" hidden="false" customHeight="false" outlineLevel="0" collapsed="false"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</row>
    <row r="294" customFormat="false" ht="12" hidden="false" customHeight="false" outlineLevel="0" collapsed="false"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</row>
    <row r="295" customFormat="false" ht="12" hidden="false" customHeight="false" outlineLevel="0" collapsed="false"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</row>
    <row r="296" customFormat="false" ht="12" hidden="false" customHeight="false" outlineLevel="0" collapsed="false"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</row>
    <row r="297" customFormat="false" ht="12" hidden="false" customHeight="false" outlineLevel="0" collapsed="false"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</row>
    <row r="298" customFormat="false" ht="12" hidden="false" customHeight="false" outlineLevel="0" collapsed="false"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</row>
    <row r="299" customFormat="false" ht="12" hidden="false" customHeight="false" outlineLevel="0" collapsed="false"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</row>
    <row r="300" customFormat="false" ht="12" hidden="false" customHeight="false" outlineLevel="0" collapsed="false">
      <c r="A300" s="32"/>
      <c r="B300" s="33"/>
      <c r="C300" s="34"/>
      <c r="D300" s="35"/>
      <c r="E300" s="35"/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/>
      <c r="P300" s="33"/>
    </row>
  </sheetData>
  <mergeCells count="19">
    <mergeCell ref="A1:B1"/>
    <mergeCell ref="D1:E1"/>
    <mergeCell ref="I1:I4"/>
    <mergeCell ref="J1:J4"/>
    <mergeCell ref="N1:N4"/>
    <mergeCell ref="A2:A4"/>
    <mergeCell ref="B2:B4"/>
    <mergeCell ref="C2:C4"/>
    <mergeCell ref="D2:D4"/>
    <mergeCell ref="E2:E4"/>
    <mergeCell ref="F2:F4"/>
    <mergeCell ref="H2:H4"/>
    <mergeCell ref="K2:M2"/>
    <mergeCell ref="O2:P2"/>
    <mergeCell ref="K3:K4"/>
    <mergeCell ref="L3:L4"/>
    <mergeCell ref="M3:M4"/>
    <mergeCell ref="O3:O4"/>
    <mergeCell ref="P3:P4"/>
  </mergeCells>
  <dataValidations count="1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</dataValidations>
  <printOptions headings="false" gridLines="false" gridLinesSet="true" horizontalCentered="true" verticalCentered="true"/>
  <pageMargins left="0.275694444444444" right="0.275694444444444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customFormat="fals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33400</v>
      </c>
      <c r="G1" s="12" t="n">
        <f aca="false">SUM(G5:G300)</f>
        <v>5566.66666666667</v>
      </c>
      <c r="H1" s="12" t="n">
        <f aca="false">SUM(H5:H300)</f>
        <v>27833.3333333333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33400</v>
      </c>
      <c r="M1" s="17" t="n">
        <f aca="true">TODAY()</f>
        <v>46294</v>
      </c>
      <c r="N1" s="18"/>
      <c r="O1" s="12" t="n">
        <f aca="false">SUM(O5:O300)</f>
        <v>25333.3333333333</v>
      </c>
      <c r="P1" s="12" t="n">
        <f aca="false">SUM(P5:P300)</f>
        <v>1800</v>
      </c>
      <c r="Q1" s="12" t="n">
        <f aca="false">SUM(Q5:Q300)</f>
        <v>0</v>
      </c>
      <c r="R1" s="12" t="n">
        <f aca="false">SUM(R5:R300)</f>
        <v>700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[1]Admin!$M$19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/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46327</v>
      </c>
      <c r="B5" s="2" t="s">
        <v>19</v>
      </c>
      <c r="C5" s="3" t="s">
        <v>42</v>
      </c>
      <c r="D5" s="40" t="s">
        <v>43</v>
      </c>
      <c r="E5" s="4" t="s">
        <v>44</v>
      </c>
      <c r="F5" s="2" t="n">
        <v>1200</v>
      </c>
      <c r="G5" s="2" t="n">
        <f aca="false">IF(G$4&gt;0,(IF(F5&lt;&gt;0,F5*G$4/100," ")),IF(F5&lt;&gt;0,F5*G$2/(100+G$2)," "))</f>
        <v>200</v>
      </c>
      <c r="H5" s="2" t="n">
        <f aca="false">IF((F5&lt;&gt;0),F5-G5," ")</f>
        <v>1000</v>
      </c>
      <c r="L5" s="7" t="n">
        <f aca="false">IF(F5&lt;&gt;0,F5-K5," ")</f>
        <v>1200</v>
      </c>
      <c r="M5" s="8" t="n">
        <f aca="false">IF((F5-K5)&lt;&gt;0,M$1-A5," ")</f>
        <v>-33</v>
      </c>
      <c r="O5" s="2" t="str">
        <f aca="false">IF((E5="a"),H5," ")</f>
        <v> </v>
      </c>
      <c r="P5" s="2" t="n">
        <f aca="false">IF((E5="b"),H5," ")</f>
        <v>1000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46329</v>
      </c>
      <c r="B6" s="2" t="s">
        <v>46</v>
      </c>
      <c r="C6" s="3" t="s">
        <v>47</v>
      </c>
      <c r="D6" s="40" t="s">
        <v>48</v>
      </c>
      <c r="E6" s="4" t="s">
        <v>44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-35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46331</v>
      </c>
      <c r="B7" s="2" t="s">
        <v>49</v>
      </c>
      <c r="C7" s="3" t="s">
        <v>50</v>
      </c>
      <c r="D7" s="40" t="s">
        <v>51</v>
      </c>
      <c r="E7" s="4" t="s">
        <v>44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-37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45</v>
      </c>
    </row>
    <row r="8" customFormat="false" ht="12" hidden="false" customHeight="false" outlineLevel="0" collapsed="false">
      <c r="A8" s="1" t="n">
        <v>46334</v>
      </c>
      <c r="B8" s="2" t="s">
        <v>52</v>
      </c>
      <c r="C8" s="3" t="s">
        <v>53</v>
      </c>
      <c r="D8" s="40" t="s">
        <v>54</v>
      </c>
      <c r="E8" s="4" t="s">
        <v>55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-40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46336</v>
      </c>
      <c r="B9" s="2" t="s">
        <v>57</v>
      </c>
      <c r="C9" s="3" t="s">
        <v>58</v>
      </c>
      <c r="D9" s="40" t="s">
        <v>59</v>
      </c>
      <c r="E9" s="4" t="s">
        <v>55</v>
      </c>
      <c r="F9" s="2" t="n">
        <v>720</v>
      </c>
      <c r="G9" s="2" t="n">
        <f aca="false">IF(G$4&gt;0,(IF(F9&lt;&gt;0,F9*G$4/100," ")),IF(F9&lt;&gt;0,F9*G$2/(100+G$2)," "))</f>
        <v>120</v>
      </c>
      <c r="H9" s="2" t="n">
        <f aca="false">IF((F9&lt;&gt;0),F9-G9," ")</f>
        <v>600</v>
      </c>
      <c r="L9" s="7" t="n">
        <f aca="false">IF(F9&lt;&gt;0,F9-K9," ")</f>
        <v>720</v>
      </c>
      <c r="M9" s="8" t="n">
        <f aca="false">IF((F9-K9)&lt;&gt;0,M$1-A9," ")</f>
        <v>-42</v>
      </c>
      <c r="O9" s="2" t="n">
        <f aca="false">IF((E9="a"),H9," ")</f>
        <v>600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46341</v>
      </c>
      <c r="B10" s="2" t="s">
        <v>17</v>
      </c>
      <c r="C10" s="3" t="s">
        <v>60</v>
      </c>
      <c r="D10" s="40" t="s">
        <v>61</v>
      </c>
      <c r="E10" s="4" t="s">
        <v>55</v>
      </c>
      <c r="F10" s="2" t="n">
        <v>25000</v>
      </c>
      <c r="G10" s="2" t="n">
        <f aca="false">IF(G$4&gt;0,(IF(F10&lt;&gt;0,F10*G$4/100," ")),IF(F10&lt;&gt;0,F10*G$2/(100+G$2)," "))</f>
        <v>4166.66666666667</v>
      </c>
      <c r="H10" s="2" t="n">
        <f aca="false">IF((F10&lt;&gt;0),F10-G10," ")</f>
        <v>20833.3333333333</v>
      </c>
      <c r="L10" s="7" t="n">
        <f aca="false">IF(F10&lt;&gt;0,F10-K10," ")</f>
        <v>25000</v>
      </c>
      <c r="M10" s="8" t="n">
        <f aca="false">IF((F10-K10)&lt;&gt;0,M$1-A10," ")</f>
        <v>-47</v>
      </c>
      <c r="O10" s="2" t="n">
        <f aca="false">IF((E10="a"),H10," ")</f>
        <v>20833.3333333333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46344</v>
      </c>
      <c r="B11" s="2" t="s">
        <v>62</v>
      </c>
      <c r="C11" s="3" t="s">
        <v>63</v>
      </c>
      <c r="D11" s="40" t="s">
        <v>64</v>
      </c>
      <c r="E11" s="4" t="s">
        <v>55</v>
      </c>
      <c r="F11" s="2" t="n">
        <v>2400</v>
      </c>
      <c r="G11" s="2" t="n">
        <f aca="false">IF(G$4&gt;0,(IF(F11&lt;&gt;0,F11*G$4/100," ")),IF(F11&lt;&gt;0,F11*G$2/(100+G$2)," "))</f>
        <v>400</v>
      </c>
      <c r="H11" s="2" t="n">
        <f aca="false">IF((F11&lt;&gt;0),F11-G11," ")</f>
        <v>2000</v>
      </c>
      <c r="L11" s="7" t="n">
        <f aca="false">IF(F11&lt;&gt;0,F11-K11," ")</f>
        <v>2400</v>
      </c>
      <c r="M11" s="8" t="n">
        <f aca="false">IF((F11-K11)&lt;&gt;0,M$1-A11," ")</f>
        <v>-50</v>
      </c>
      <c r="O11" s="2" t="n">
        <f aca="false">IF((E11="a"),H11," ")</f>
        <v>2000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46346</v>
      </c>
      <c r="B12" s="2" t="s">
        <v>65</v>
      </c>
      <c r="C12" s="3" t="s">
        <v>66</v>
      </c>
      <c r="D12" s="40" t="s">
        <v>67</v>
      </c>
      <c r="E12" s="4" t="s">
        <v>55</v>
      </c>
      <c r="F12" s="2" t="n">
        <v>1800</v>
      </c>
      <c r="G12" s="2" t="n">
        <f aca="false">IF(G$4&gt;0,(IF(F12&lt;&gt;0,F12*G$4/100," ")),IF(F12&lt;&gt;0,F12*G$2/(100+G$2)," "))</f>
        <v>300</v>
      </c>
      <c r="H12" s="2" t="n">
        <f aca="false">IF((F12&lt;&gt;0),F12-G12," ")</f>
        <v>1500</v>
      </c>
      <c r="L12" s="7" t="n">
        <f aca="false">IF(F12&lt;&gt;0,F12-K12," ")</f>
        <v>1800</v>
      </c>
      <c r="M12" s="8" t="n">
        <f aca="false">IF((F12-K12)&lt;&gt;0,M$1-A12," ")</f>
        <v>-52</v>
      </c>
      <c r="O12" s="2" t="n">
        <f aca="false">IF((E12="a"),H12," ")</f>
        <v>1500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56</v>
      </c>
    </row>
    <row r="13" customFormat="false" ht="12" hidden="false" customHeight="false" outlineLevel="0" collapsed="false">
      <c r="A13" s="1" t="n">
        <v>46354</v>
      </c>
      <c r="B13" s="2" t="s">
        <v>68</v>
      </c>
      <c r="C13" s="3" t="s">
        <v>69</v>
      </c>
      <c r="D13" s="40" t="s">
        <v>70</v>
      </c>
      <c r="E13" s="4" t="s">
        <v>71</v>
      </c>
      <c r="F13" s="2" t="n">
        <v>840</v>
      </c>
      <c r="G13" s="2" t="n">
        <f aca="false">IF(G$4&gt;0,(IF(F13&lt;&gt;0,F13*G$4/100," ")),IF(F13&lt;&gt;0,F13*G$2/(100+G$2)," "))</f>
        <v>140</v>
      </c>
      <c r="H13" s="2" t="n">
        <f aca="false">IF((F13&lt;&gt;0),F13-G13," ")</f>
        <v>700</v>
      </c>
      <c r="L13" s="7" t="n">
        <f aca="false">IF(F13&lt;&gt;0,F13-K13," ")</f>
        <v>840</v>
      </c>
      <c r="M13" s="8" t="n">
        <f aca="false">IF((F13-K13)&lt;&gt;0,M$1-A13," ")</f>
        <v>-60</v>
      </c>
      <c r="O13" s="2" t="str">
        <f aca="false">IF((E13="a"),H13," ")</f>
        <v> </v>
      </c>
      <c r="P13" s="2" t="str">
        <f aca="false">IF((E13="b"),H13," ")</f>
        <v> </v>
      </c>
      <c r="Q13" s="2" t="str">
        <f aca="false">IF((E13="c"),H13," ")</f>
        <v> </v>
      </c>
      <c r="R13" s="2" t="n">
        <f aca="false">IF((E13="d"),H13," ")</f>
        <v>700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72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</dataValidations>
  <printOptions headings="false" gridLines="true" gridLinesSet="true" horizontalCentered="false" verticalCentered="false"/>
  <pageMargins left="0.196527777777778" right="0.196527777777778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  <colBreaks count="1" manualBreakCount="1">
    <brk id="21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customFormat="fals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32920</v>
      </c>
      <c r="G1" s="12" t="n">
        <f aca="false">SUM(G5:G300)</f>
        <v>5486.66666666667</v>
      </c>
      <c r="H1" s="12" t="n">
        <f aca="false">SUM(H5:H300)</f>
        <v>27433.3333333333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32920</v>
      </c>
      <c r="M1" s="17" t="n">
        <f aca="true">TODAY()</f>
        <v>46294</v>
      </c>
      <c r="N1" s="18"/>
      <c r="O1" s="12" t="n">
        <f aca="false">SUM(O5:O300)</f>
        <v>25633.3333333333</v>
      </c>
      <c r="P1" s="12" t="n">
        <f aca="false">SUM(P5:P300)</f>
        <v>800</v>
      </c>
      <c r="Q1" s="12" t="n">
        <f aca="false">SUM(Q5:Q300)</f>
        <v>1000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Nov!G2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Nov!G4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46359</v>
      </c>
      <c r="B5" s="2" t="s">
        <v>46</v>
      </c>
      <c r="C5" s="3" t="s">
        <v>73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-65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46361</v>
      </c>
      <c r="B6" s="2" t="s">
        <v>49</v>
      </c>
      <c r="C6" s="3" t="s">
        <v>74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-67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46364</v>
      </c>
      <c r="B7" s="2" t="s">
        <v>52</v>
      </c>
      <c r="C7" s="3" t="s">
        <v>75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-70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46366</v>
      </c>
      <c r="B8" s="2" t="s">
        <v>57</v>
      </c>
      <c r="C8" s="3" t="s">
        <v>76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-72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46368</v>
      </c>
      <c r="B9" s="2" t="s">
        <v>77</v>
      </c>
      <c r="C9" s="3" t="s">
        <v>78</v>
      </c>
      <c r="D9" s="40" t="s">
        <v>79</v>
      </c>
      <c r="E9" s="4" t="s">
        <v>55</v>
      </c>
      <c r="F9" s="2" t="n">
        <v>960</v>
      </c>
      <c r="G9" s="2" t="n">
        <f aca="false">IF(G$4&gt;0,(IF(F9&lt;&gt;0,F9*G$4/100," ")),IF(F9&lt;&gt;0,F9*G$2/(100+G$2)," "))</f>
        <v>160</v>
      </c>
      <c r="H9" s="2" t="n">
        <f aca="false">IF((F9&lt;&gt;0),F9-G9," ")</f>
        <v>800</v>
      </c>
      <c r="L9" s="7" t="n">
        <f aca="false">IF(F9&lt;&gt;0,F9-K9," ")</f>
        <v>960</v>
      </c>
      <c r="M9" s="8" t="n">
        <f aca="false">IF((F9-K9)&lt;&gt;0,M$1-A9," ")</f>
        <v>-74</v>
      </c>
      <c r="O9" s="2" t="n">
        <f aca="false">IF((E9="a"),H9," ")</f>
        <v>800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46371</v>
      </c>
      <c r="B10" s="2" t="s">
        <v>17</v>
      </c>
      <c r="C10" s="3" t="s">
        <v>80</v>
      </c>
      <c r="D10" s="40" t="s">
        <v>61</v>
      </c>
      <c r="E10" s="4" t="s">
        <v>55</v>
      </c>
      <c r="F10" s="2" t="n">
        <v>25000</v>
      </c>
      <c r="G10" s="2" t="n">
        <f aca="false">IF(G$4&gt;0,(IF(F10&lt;&gt;0,F10*G$4/100," ")),IF(F10&lt;&gt;0,F10*G$2/(100+G$2)," "))</f>
        <v>4166.66666666667</v>
      </c>
      <c r="H10" s="2" t="n">
        <f aca="false">IF((F10&lt;&gt;0),F10-G10," ")</f>
        <v>20833.3333333333</v>
      </c>
      <c r="L10" s="7" t="n">
        <f aca="false">IF(F10&lt;&gt;0,F10-K10," ")</f>
        <v>25000</v>
      </c>
      <c r="M10" s="8" t="n">
        <f aca="false">IF((F10-K10)&lt;&gt;0,M$1-A10," ")</f>
        <v>-77</v>
      </c>
      <c r="O10" s="2" t="n">
        <f aca="false">IF((E10="a"),H10," ")</f>
        <v>20833.3333333333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46372</v>
      </c>
      <c r="B11" s="2" t="s">
        <v>81</v>
      </c>
      <c r="C11" s="3" t="s">
        <v>82</v>
      </c>
      <c r="D11" s="40" t="s">
        <v>83</v>
      </c>
      <c r="E11" s="4" t="s">
        <v>84</v>
      </c>
      <c r="F11" s="2" t="n">
        <v>1200</v>
      </c>
      <c r="G11" s="2" t="n">
        <f aca="false">IF(G$4&gt;0,(IF(F11&lt;&gt;0,F11*G$4/100," ")),IF(F11&lt;&gt;0,F11*G$2/(100+G$2)," "))</f>
        <v>200</v>
      </c>
      <c r="H11" s="2" t="n">
        <f aca="false">IF((F11&lt;&gt;0),F11-G11," ")</f>
        <v>1000</v>
      </c>
      <c r="L11" s="7" t="n">
        <f aca="false">IF(F11&lt;&gt;0,F11-K11," ")</f>
        <v>1200</v>
      </c>
      <c r="M11" s="8" t="n">
        <f aca="false">IF((F11-K11)&lt;&gt;0,M$1-A11," ")</f>
        <v>-78</v>
      </c>
      <c r="O11" s="2" t="str">
        <f aca="false">IF((E11="a"),H11," ")</f>
        <v> </v>
      </c>
      <c r="P11" s="2" t="str">
        <f aca="false">IF((E11="b"),H11," ")</f>
        <v> </v>
      </c>
      <c r="Q11" s="2" t="n">
        <f aca="false">IF((E11="c"),H11," ")</f>
        <v>1000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85</v>
      </c>
    </row>
    <row r="12" customFormat="false" ht="12" hidden="false" customHeight="false" outlineLevel="0" collapsed="false">
      <c r="A12" s="1" t="n">
        <v>46374</v>
      </c>
      <c r="B12" s="2" t="s">
        <v>62</v>
      </c>
      <c r="C12" s="3" t="s">
        <v>86</v>
      </c>
      <c r="D12" s="40" t="s">
        <v>64</v>
      </c>
      <c r="E12" s="4" t="s">
        <v>55</v>
      </c>
      <c r="F12" s="2" t="n">
        <v>2400</v>
      </c>
      <c r="G12" s="2" t="n">
        <f aca="false">IF(G$4&gt;0,(IF(F12&lt;&gt;0,F12*G$4/100," ")),IF(F12&lt;&gt;0,F12*G$2/(100+G$2)," "))</f>
        <v>400</v>
      </c>
      <c r="H12" s="2" t="n">
        <f aca="false">IF((F12&lt;&gt;0),F12-G12," ")</f>
        <v>2000</v>
      </c>
      <c r="L12" s="7" t="n">
        <f aca="false">IF(F12&lt;&gt;0,F12-K12," ")</f>
        <v>2400</v>
      </c>
      <c r="M12" s="8" t="n">
        <f aca="false">IF((F12-K12)&lt;&gt;0,M$1-A12," ")</f>
        <v>-80</v>
      </c>
      <c r="O12" s="2" t="n">
        <f aca="false">IF((E12="a"),H12," ")</f>
        <v>2000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56</v>
      </c>
    </row>
    <row r="13" customFormat="false" ht="12" hidden="false" customHeight="false" outlineLevel="0" collapsed="false">
      <c r="A13" s="1" t="n">
        <v>46381</v>
      </c>
      <c r="B13" s="2" t="s">
        <v>87</v>
      </c>
      <c r="C13" s="3" t="s">
        <v>88</v>
      </c>
      <c r="D13" s="40" t="s">
        <v>89</v>
      </c>
      <c r="E13" s="4" t="s">
        <v>55</v>
      </c>
      <c r="F13" s="2" t="n">
        <v>1200</v>
      </c>
      <c r="G13" s="2" t="n">
        <f aca="false">IF(G$4&gt;0,(IF(F13&lt;&gt;0,F13*G$4/100," ")),IF(F13&lt;&gt;0,F13*G$2/(100+G$2)," "))</f>
        <v>200</v>
      </c>
      <c r="H13" s="2" t="n">
        <f aca="false">IF((F13&lt;&gt;0),F13-G13," ")</f>
        <v>1000</v>
      </c>
      <c r="L13" s="7" t="n">
        <f aca="false">IF(F13&lt;&gt;0,F13-K13," ")</f>
        <v>1200</v>
      </c>
      <c r="M13" s="8" t="n">
        <f aca="false">IF((F13-K13)&lt;&gt;0,M$1-A13," ")</f>
        <v>-87</v>
      </c>
      <c r="O13" s="2" t="n">
        <f aca="false">IF((E13="a"),H13," ")</f>
        <v>1000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customFormat="fals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35200</v>
      </c>
      <c r="G1" s="12" t="n">
        <f aca="false">SUM(G5:G300)</f>
        <v>5866.66666666667</v>
      </c>
      <c r="H1" s="12" t="n">
        <f aca="false">SUM(H5:H300)</f>
        <v>29333.3333333333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35200</v>
      </c>
      <c r="M1" s="17" t="n">
        <f aca="true">TODAY()</f>
        <v>46294</v>
      </c>
      <c r="N1" s="18"/>
      <c r="O1" s="12" t="n">
        <f aca="false">SUM(O5:O300)</f>
        <v>26533.3333333333</v>
      </c>
      <c r="P1" s="12" t="n">
        <f aca="false">SUM(P5:P300)</f>
        <v>800</v>
      </c>
      <c r="Q1" s="12" t="n">
        <f aca="false">SUM(Q5:Q300)</f>
        <v>2000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Dec!G2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Dec!G4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46390</v>
      </c>
      <c r="B5" s="2" t="s">
        <v>46</v>
      </c>
      <c r="C5" s="3" t="s">
        <v>90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-96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46392</v>
      </c>
      <c r="B6" s="2" t="s">
        <v>49</v>
      </c>
      <c r="C6" s="3" t="s">
        <v>91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-98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46395</v>
      </c>
      <c r="B7" s="2" t="s">
        <v>52</v>
      </c>
      <c r="C7" s="3" t="s">
        <v>92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-101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46397</v>
      </c>
      <c r="B8" s="2" t="s">
        <v>57</v>
      </c>
      <c r="C8" s="3" t="s">
        <v>93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-103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46402</v>
      </c>
      <c r="B9" s="2" t="s">
        <v>17</v>
      </c>
      <c r="C9" s="3" t="s">
        <v>94</v>
      </c>
      <c r="D9" s="40" t="s">
        <v>61</v>
      </c>
      <c r="E9" s="4" t="s">
        <v>55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-108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46405</v>
      </c>
      <c r="B10" s="2" t="s">
        <v>62</v>
      </c>
      <c r="C10" s="3" t="s">
        <v>95</v>
      </c>
      <c r="D10" s="40" t="s">
        <v>64</v>
      </c>
      <c r="E10" s="4" t="s">
        <v>55</v>
      </c>
      <c r="F10" s="2" t="n">
        <v>2400</v>
      </c>
      <c r="G10" s="2" t="n">
        <f aca="false">IF(G$4&gt;0,(IF(F10&lt;&gt;0,F10*G$4/100," ")),IF(F10&lt;&gt;0,F10*G$2/(100+G$2)," "))</f>
        <v>400</v>
      </c>
      <c r="H10" s="2" t="n">
        <f aca="false">IF((F10&lt;&gt;0),F10-G10," ")</f>
        <v>2000</v>
      </c>
      <c r="L10" s="7" t="n">
        <f aca="false">IF(F10&lt;&gt;0,F10-K10," ")</f>
        <v>2400</v>
      </c>
      <c r="M10" s="8" t="n">
        <f aca="false">IF((F10-K10)&lt;&gt;0,M$1-A10," ")</f>
        <v>-111</v>
      </c>
      <c r="O10" s="2" t="n">
        <f aca="false">IF((E10="a"),H10," ")</f>
        <v>2000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46407</v>
      </c>
      <c r="B11" s="2" t="s">
        <v>65</v>
      </c>
      <c r="C11" s="3" t="s">
        <v>96</v>
      </c>
      <c r="D11" s="40" t="s">
        <v>67</v>
      </c>
      <c r="E11" s="4" t="s">
        <v>55</v>
      </c>
      <c r="F11" s="2" t="n">
        <v>1800</v>
      </c>
      <c r="G11" s="2" t="n">
        <f aca="false">IF(G$4&gt;0,(IF(F11&lt;&gt;0,F11*G$4/100," ")),IF(F11&lt;&gt;0,F11*G$2/(100+G$2)," "))</f>
        <v>300</v>
      </c>
      <c r="H11" s="2" t="n">
        <f aca="false">IF((F11&lt;&gt;0),F11-G11," ")</f>
        <v>1500</v>
      </c>
      <c r="L11" s="7" t="n">
        <f aca="false">IF(F11&lt;&gt;0,F11-K11," ")</f>
        <v>1800</v>
      </c>
      <c r="M11" s="8" t="n">
        <f aca="false">IF((F11-K11)&lt;&gt;0,M$1-A11," ")</f>
        <v>-113</v>
      </c>
      <c r="O11" s="2" t="n">
        <f aca="false">IF((E11="a"),H11," ")</f>
        <v>1500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46407</v>
      </c>
      <c r="B12" s="2" t="s">
        <v>21</v>
      </c>
      <c r="C12" s="3" t="s">
        <v>97</v>
      </c>
      <c r="D12" s="40" t="s">
        <v>98</v>
      </c>
      <c r="E12" s="4" t="s">
        <v>84</v>
      </c>
      <c r="F12" s="2" t="n">
        <v>2400</v>
      </c>
      <c r="G12" s="2" t="n">
        <f aca="false">IF(G$4&gt;0,(IF(F12&lt;&gt;0,F12*G$4/100," ")),IF(F12&lt;&gt;0,F12*G$2/(100+G$2)," "))</f>
        <v>400</v>
      </c>
      <c r="H12" s="2" t="n">
        <f aca="false">IF((F12&lt;&gt;0),F12-G12," ")</f>
        <v>2000</v>
      </c>
      <c r="L12" s="7" t="n">
        <f aca="false">IF(F12&lt;&gt;0,F12-K12," ")</f>
        <v>2400</v>
      </c>
      <c r="M12" s="8" t="n">
        <f aca="false">IF((F12-K12)&lt;&gt;0,M$1-A12," ")</f>
        <v>-113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2000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85</v>
      </c>
    </row>
    <row r="13" customFormat="false" ht="12" hidden="false" customHeight="false" outlineLevel="0" collapsed="false">
      <c r="A13" s="1" t="n">
        <v>46409</v>
      </c>
      <c r="B13" s="2" t="s">
        <v>99</v>
      </c>
      <c r="C13" s="3" t="s">
        <v>100</v>
      </c>
      <c r="D13" s="40" t="s">
        <v>101</v>
      </c>
      <c r="E13" s="4" t="s">
        <v>55</v>
      </c>
      <c r="F13" s="2" t="n">
        <v>1440</v>
      </c>
      <c r="G13" s="2" t="n">
        <f aca="false">IF(G$4&gt;0,(IF(F13&lt;&gt;0,F13*G$4/100," ")),IF(F13&lt;&gt;0,F13*G$2/(100+G$2)," "))</f>
        <v>240</v>
      </c>
      <c r="H13" s="2" t="n">
        <f aca="false">IF((F13&lt;&gt;0),F13-G13," ")</f>
        <v>1200</v>
      </c>
      <c r="L13" s="7" t="n">
        <f aca="false">IF(F13&lt;&gt;0,F13-K13," ")</f>
        <v>1440</v>
      </c>
      <c r="M13" s="8" t="n">
        <f aca="false">IF((F13-K13)&lt;&gt;0,M$1-A13," ")</f>
        <v>-115</v>
      </c>
      <c r="O13" s="2" t="n">
        <f aca="false">IF((E13="a"),H13," ")</f>
        <v>1200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customFormat="fals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33760</v>
      </c>
      <c r="G1" s="12" t="n">
        <f aca="false">SUM(G5:G300)</f>
        <v>5626.66666666667</v>
      </c>
      <c r="H1" s="12" t="n">
        <f aca="false">SUM(H5:H300)</f>
        <v>28133.3333333333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33760</v>
      </c>
      <c r="M1" s="17" t="n">
        <f aca="true">TODAY()</f>
        <v>46294</v>
      </c>
      <c r="N1" s="18"/>
      <c r="O1" s="12" t="n">
        <f aca="false">SUM(O5:O300)</f>
        <v>25633.3333333333</v>
      </c>
      <c r="P1" s="12" t="n">
        <f aca="false">SUM(P5:P300)</f>
        <v>1800</v>
      </c>
      <c r="Q1" s="12" t="n">
        <f aca="false">SUM(Q5:Q300)</f>
        <v>0</v>
      </c>
      <c r="R1" s="12" t="n">
        <f aca="false">SUM(R5:R300)</f>
        <v>700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Jan!G2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Jan!G4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46419</v>
      </c>
      <c r="B5" s="2" t="s">
        <v>19</v>
      </c>
      <c r="C5" s="3" t="s">
        <v>102</v>
      </c>
      <c r="D5" s="40" t="s">
        <v>43</v>
      </c>
      <c r="E5" s="4" t="s">
        <v>44</v>
      </c>
      <c r="F5" s="2" t="n">
        <v>1200</v>
      </c>
      <c r="G5" s="2" t="n">
        <f aca="false">IF(G$4&gt;0,(IF(F5&lt;&gt;0,F5*G$4/100," ")),IF(F5&lt;&gt;0,F5*G$2/(100+G$2)," "))</f>
        <v>200</v>
      </c>
      <c r="H5" s="2" t="n">
        <f aca="false">IF((F5&lt;&gt;0),F5-G5," ")</f>
        <v>1000</v>
      </c>
      <c r="L5" s="7" t="n">
        <f aca="false">IF(F5&lt;&gt;0,F5-K5," ")</f>
        <v>1200</v>
      </c>
      <c r="M5" s="8" t="n">
        <f aca="false">IF((F5-K5)&lt;&gt;0,M$1-A5," ")</f>
        <v>-125</v>
      </c>
      <c r="O5" s="2" t="str">
        <f aca="false">IF((E5="a"),H5," ")</f>
        <v> </v>
      </c>
      <c r="P5" s="2" t="n">
        <f aca="false">IF((E5="b"),H5," ")</f>
        <v>1000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46421</v>
      </c>
      <c r="B6" s="2" t="s">
        <v>46</v>
      </c>
      <c r="C6" s="3" t="s">
        <v>103</v>
      </c>
      <c r="D6" s="40" t="s">
        <v>48</v>
      </c>
      <c r="E6" s="4" t="s">
        <v>44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-127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46423</v>
      </c>
      <c r="B7" s="2" t="s">
        <v>49</v>
      </c>
      <c r="C7" s="3" t="s">
        <v>104</v>
      </c>
      <c r="D7" s="40" t="s">
        <v>51</v>
      </c>
      <c r="E7" s="4" t="s">
        <v>44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-129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45</v>
      </c>
    </row>
    <row r="8" customFormat="false" ht="12" hidden="false" customHeight="false" outlineLevel="0" collapsed="false">
      <c r="A8" s="1" t="n">
        <v>46426</v>
      </c>
      <c r="B8" s="2" t="s">
        <v>52</v>
      </c>
      <c r="C8" s="3" t="s">
        <v>105</v>
      </c>
      <c r="D8" s="40" t="s">
        <v>54</v>
      </c>
      <c r="E8" s="4" t="s">
        <v>55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-132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46428</v>
      </c>
      <c r="B9" s="2" t="s">
        <v>57</v>
      </c>
      <c r="C9" s="3" t="s">
        <v>106</v>
      </c>
      <c r="D9" s="40" t="s">
        <v>59</v>
      </c>
      <c r="E9" s="4" t="s">
        <v>55</v>
      </c>
      <c r="F9" s="2" t="n">
        <v>720</v>
      </c>
      <c r="G9" s="2" t="n">
        <f aca="false">IF(G$4&gt;0,(IF(F9&lt;&gt;0,F9*G$4/100," ")),IF(F9&lt;&gt;0,F9*G$2/(100+G$2)," "))</f>
        <v>120</v>
      </c>
      <c r="H9" s="2" t="n">
        <f aca="false">IF((F9&lt;&gt;0),F9-G9," ")</f>
        <v>600</v>
      </c>
      <c r="L9" s="7" t="n">
        <f aca="false">IF(F9&lt;&gt;0,F9-K9," ")</f>
        <v>720</v>
      </c>
      <c r="M9" s="8" t="n">
        <f aca="false">IF((F9-K9)&lt;&gt;0,M$1-A9," ")</f>
        <v>-134</v>
      </c>
      <c r="O9" s="2" t="n">
        <f aca="false">IF((E9="a"),H9," ")</f>
        <v>600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46432</v>
      </c>
      <c r="B10" s="2" t="s">
        <v>107</v>
      </c>
      <c r="C10" s="3" t="s">
        <v>108</v>
      </c>
      <c r="D10" s="40" t="s">
        <v>109</v>
      </c>
      <c r="E10" s="4" t="s">
        <v>55</v>
      </c>
      <c r="F10" s="2" t="n">
        <v>2160</v>
      </c>
      <c r="G10" s="2" t="n">
        <f aca="false">IF(G$4&gt;0,(IF(F10&lt;&gt;0,F10*G$4/100," ")),IF(F10&lt;&gt;0,F10*G$2/(100+G$2)," "))</f>
        <v>360</v>
      </c>
      <c r="H10" s="2" t="n">
        <f aca="false">IF((F10&lt;&gt;0),F10-G10," ")</f>
        <v>1800</v>
      </c>
      <c r="L10" s="7" t="n">
        <f aca="false">IF(F10&lt;&gt;0,F10-K10," ")</f>
        <v>2160</v>
      </c>
      <c r="M10" s="8" t="n">
        <f aca="false">IF((F10-K10)&lt;&gt;0,M$1-A10," ")</f>
        <v>-138</v>
      </c>
      <c r="O10" s="2" t="n">
        <f aca="false">IF((E10="a"),H10," ")</f>
        <v>1800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46433</v>
      </c>
      <c r="B11" s="2" t="s">
        <v>17</v>
      </c>
      <c r="C11" s="3" t="s">
        <v>110</v>
      </c>
      <c r="D11" s="40" t="s">
        <v>61</v>
      </c>
      <c r="E11" s="4" t="s">
        <v>55</v>
      </c>
      <c r="F11" s="2" t="n">
        <v>25000</v>
      </c>
      <c r="G11" s="2" t="n">
        <f aca="false">IF(G$4&gt;0,(IF(F11&lt;&gt;0,F11*G$4/100," ")),IF(F11&lt;&gt;0,F11*G$2/(100+G$2)," "))</f>
        <v>4166.66666666667</v>
      </c>
      <c r="H11" s="2" t="n">
        <f aca="false">IF((F11&lt;&gt;0),F11-G11," ")</f>
        <v>20833.3333333333</v>
      </c>
      <c r="L11" s="7" t="n">
        <f aca="false">IF(F11&lt;&gt;0,F11-K11," ")</f>
        <v>25000</v>
      </c>
      <c r="M11" s="8" t="n">
        <f aca="false">IF((F11-K11)&lt;&gt;0,M$1-A11," ")</f>
        <v>-139</v>
      </c>
      <c r="O11" s="2" t="n">
        <f aca="false">IF((E11="a"),H11," ")</f>
        <v>20833.3333333333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46436</v>
      </c>
      <c r="B12" s="2" t="s">
        <v>62</v>
      </c>
      <c r="C12" s="3" t="s">
        <v>111</v>
      </c>
      <c r="D12" s="40" t="s">
        <v>64</v>
      </c>
      <c r="E12" s="4" t="s">
        <v>55</v>
      </c>
      <c r="F12" s="2" t="n">
        <v>2400</v>
      </c>
      <c r="G12" s="2" t="n">
        <f aca="false">IF(G$4&gt;0,(IF(F12&lt;&gt;0,F12*G$4/100," ")),IF(F12&lt;&gt;0,F12*G$2/(100+G$2)," "))</f>
        <v>400</v>
      </c>
      <c r="H12" s="2" t="n">
        <f aca="false">IF((F12&lt;&gt;0),F12-G12," ")</f>
        <v>2000</v>
      </c>
      <c r="L12" s="7" t="n">
        <f aca="false">IF(F12&lt;&gt;0,F12-K12," ")</f>
        <v>2400</v>
      </c>
      <c r="M12" s="8" t="n">
        <f aca="false">IF((F12-K12)&lt;&gt;0,M$1-A12," ")</f>
        <v>-142</v>
      </c>
      <c r="O12" s="2" t="n">
        <f aca="false">IF((E12="a"),H12," ")</f>
        <v>2000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56</v>
      </c>
    </row>
    <row r="13" customFormat="false" ht="12" hidden="false" customHeight="false" outlineLevel="0" collapsed="false">
      <c r="A13" s="1" t="n">
        <v>46446</v>
      </c>
      <c r="B13" s="2" t="s">
        <v>68</v>
      </c>
      <c r="C13" s="3" t="s">
        <v>112</v>
      </c>
      <c r="D13" s="40" t="s">
        <v>70</v>
      </c>
      <c r="E13" s="4" t="s">
        <v>71</v>
      </c>
      <c r="F13" s="2" t="n">
        <v>840</v>
      </c>
      <c r="G13" s="2" t="n">
        <f aca="false">IF(G$4&gt;0,(IF(F13&lt;&gt;0,F13*G$4/100," ")),IF(F13&lt;&gt;0,F13*G$2/(100+G$2)," "))</f>
        <v>140</v>
      </c>
      <c r="H13" s="2" t="n">
        <f aca="false">IF((F13&lt;&gt;0),F13-G13," ")</f>
        <v>700</v>
      </c>
      <c r="L13" s="7" t="n">
        <f aca="false">IF(F13&lt;&gt;0,F13-K13," ")</f>
        <v>840</v>
      </c>
      <c r="M13" s="8" t="n">
        <f aca="false">IF((F13-K13)&lt;&gt;0,M$1-A13," ")</f>
        <v>-152</v>
      </c>
      <c r="O13" s="2" t="str">
        <f aca="false">IF((E13="a"),H13," ")</f>
        <v> </v>
      </c>
      <c r="P13" s="2" t="str">
        <f aca="false">IF((E13="b"),H13," ")</f>
        <v> </v>
      </c>
      <c r="Q13" s="2" t="str">
        <f aca="false">IF((E13="c"),H13," ")</f>
        <v> </v>
      </c>
      <c r="R13" s="2" t="n">
        <f aca="false">IF((E13="d"),H13," ")</f>
        <v>700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72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customFormat="fals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36020</v>
      </c>
      <c r="G1" s="12" t="n">
        <f aca="false">SUM(G5:G300)</f>
        <v>6003.33333333333</v>
      </c>
      <c r="H1" s="12" t="n">
        <f aca="false">SUM(H5:H300)</f>
        <v>30016.6666666667</v>
      </c>
      <c r="I1" s="13"/>
      <c r="J1" s="14" t="s">
        <v>2</v>
      </c>
      <c r="K1" s="15" t="n">
        <f aca="false">SUM(K5:K300)</f>
        <v>0</v>
      </c>
      <c r="L1" s="16" t="n">
        <f aca="false">SUM(L5:L300)</f>
        <v>36020</v>
      </c>
      <c r="M1" s="17" t="n">
        <f aca="true">TODAY()</f>
        <v>46294</v>
      </c>
      <c r="N1" s="18"/>
      <c r="O1" s="12" t="n">
        <f aca="false">SUM(O5:O300)</f>
        <v>27133.3333333333</v>
      </c>
      <c r="P1" s="12" t="n">
        <f aca="false">SUM(P5:P300)</f>
        <v>800</v>
      </c>
      <c r="Q1" s="12" t="n">
        <f aca="false">SUM(Q5:Q300)</f>
        <v>0</v>
      </c>
      <c r="R1" s="12" t="n">
        <f aca="false">SUM(R5:R300)</f>
        <v>0</v>
      </c>
      <c r="S1" s="12" t="n">
        <f aca="false">SUM(S5:S300)</f>
        <v>2083.33333333333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Feb!G2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Feb!G4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46447</v>
      </c>
      <c r="B5" s="2" t="s">
        <v>113</v>
      </c>
      <c r="C5" s="3" t="s">
        <v>114</v>
      </c>
      <c r="D5" s="40" t="s">
        <v>115</v>
      </c>
      <c r="E5" s="4" t="s">
        <v>116</v>
      </c>
      <c r="F5" s="2" t="n">
        <v>2500</v>
      </c>
      <c r="G5" s="2" t="n">
        <f aca="false">IF(G$4&gt;0,(IF(F5&lt;&gt;0,F5*G$4/100," ")),IF(F5&lt;&gt;0,F5*G$2/(100+G$2)," "))</f>
        <v>416.666666666667</v>
      </c>
      <c r="H5" s="2" t="n">
        <f aca="false">IF((F5&lt;&gt;0),F5-G5," ")</f>
        <v>2083.33333333333</v>
      </c>
      <c r="L5" s="7" t="n">
        <f aca="false">IF(F5&lt;&gt;0,F5-K5," ")</f>
        <v>2500</v>
      </c>
      <c r="M5" s="8" t="n">
        <f aca="false">IF((F5-K5)&lt;&gt;0,M$1-A5," ")</f>
        <v>-153</v>
      </c>
      <c r="O5" s="2" t="str">
        <f aca="false">IF((E5="a"),H5," ")</f>
        <v> </v>
      </c>
      <c r="P5" s="2" t="str">
        <f aca="false">IF((E5="b"),H5," ")</f>
        <v> </v>
      </c>
      <c r="Q5" s="2" t="str">
        <f aca="false">IF((E5="c"),H5," ")</f>
        <v> </v>
      </c>
      <c r="R5" s="2" t="str">
        <f aca="false">IF((E5="d"),H5," ")</f>
        <v> </v>
      </c>
      <c r="S5" s="2" t="n">
        <f aca="false">IF((E5="g"),H5," ")</f>
        <v>2083.33333333333</v>
      </c>
      <c r="T5" s="2" t="str">
        <f aca="false">IF((E5="o"),H5," ")</f>
        <v> </v>
      </c>
      <c r="U5" s="2" t="str">
        <f aca="false">IF((E5="FS"),H5," ")</f>
        <v> </v>
      </c>
      <c r="BZ5" s="2" t="s">
        <v>117</v>
      </c>
    </row>
    <row r="6" customFormat="false" ht="12.75" hidden="false" customHeight="true" outlineLevel="0" collapsed="false">
      <c r="A6" s="1" t="n">
        <v>46449</v>
      </c>
      <c r="B6" s="2" t="s">
        <v>46</v>
      </c>
      <c r="C6" s="3" t="s">
        <v>118</v>
      </c>
      <c r="D6" s="40" t="s">
        <v>48</v>
      </c>
      <c r="E6" s="4" t="s">
        <v>44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-155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46451</v>
      </c>
      <c r="B7" s="2" t="s">
        <v>49</v>
      </c>
      <c r="C7" s="3" t="s">
        <v>119</v>
      </c>
      <c r="D7" s="40" t="s">
        <v>51</v>
      </c>
      <c r="E7" s="4" t="s">
        <v>44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-157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45</v>
      </c>
    </row>
    <row r="8" customFormat="false" ht="12" hidden="false" customHeight="false" outlineLevel="0" collapsed="false">
      <c r="A8" s="1" t="n">
        <v>46454</v>
      </c>
      <c r="B8" s="2" t="s">
        <v>52</v>
      </c>
      <c r="C8" s="3" t="s">
        <v>120</v>
      </c>
      <c r="D8" s="40" t="s">
        <v>54</v>
      </c>
      <c r="E8" s="4" t="s">
        <v>55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-160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46456</v>
      </c>
      <c r="B9" s="2" t="s">
        <v>57</v>
      </c>
      <c r="C9" s="3" t="s">
        <v>121</v>
      </c>
      <c r="D9" s="40" t="s">
        <v>59</v>
      </c>
      <c r="E9" s="4" t="s">
        <v>55</v>
      </c>
      <c r="F9" s="2" t="n">
        <v>720</v>
      </c>
      <c r="G9" s="2" t="n">
        <f aca="false">IF(G$4&gt;0,(IF(F9&lt;&gt;0,F9*G$4/100," ")),IF(F9&lt;&gt;0,F9*G$2/(100+G$2)," "))</f>
        <v>120</v>
      </c>
      <c r="H9" s="2" t="n">
        <f aca="false">IF((F9&lt;&gt;0),F9-G9," ")</f>
        <v>600</v>
      </c>
      <c r="L9" s="7" t="n">
        <f aca="false">IF(F9&lt;&gt;0,F9-K9," ")</f>
        <v>720</v>
      </c>
      <c r="M9" s="8" t="n">
        <f aca="false">IF((F9-K9)&lt;&gt;0,M$1-A9," ")</f>
        <v>-162</v>
      </c>
      <c r="O9" s="2" t="n">
        <f aca="false">IF((E9="a"),H9," ")</f>
        <v>600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46458</v>
      </c>
      <c r="B10" s="2" t="s">
        <v>77</v>
      </c>
      <c r="C10" s="3" t="s">
        <v>122</v>
      </c>
      <c r="D10" s="40" t="s">
        <v>79</v>
      </c>
      <c r="E10" s="4" t="s">
        <v>55</v>
      </c>
      <c r="F10" s="2" t="n">
        <v>960</v>
      </c>
      <c r="G10" s="2" t="n">
        <f aca="false">IF(G$4&gt;0,(IF(F10&lt;&gt;0,F10*G$4/100," ")),IF(F10&lt;&gt;0,F10*G$2/(100+G$2)," "))</f>
        <v>160</v>
      </c>
      <c r="H10" s="2" t="n">
        <f aca="false">IF((F10&lt;&gt;0),F10-G10," ")</f>
        <v>800</v>
      </c>
      <c r="L10" s="7" t="n">
        <f aca="false">IF(F10&lt;&gt;0,F10-K10," ")</f>
        <v>960</v>
      </c>
      <c r="M10" s="8" t="n">
        <f aca="false">IF((F10-K10)&lt;&gt;0,M$1-A10," ")</f>
        <v>-164</v>
      </c>
      <c r="O10" s="2" t="n">
        <f aca="false">IF((E10="a"),H10," ")</f>
        <v>800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46461</v>
      </c>
      <c r="B11" s="2" t="s">
        <v>17</v>
      </c>
      <c r="C11" s="3" t="s">
        <v>123</v>
      </c>
      <c r="D11" s="40" t="s">
        <v>61</v>
      </c>
      <c r="E11" s="4" t="s">
        <v>55</v>
      </c>
      <c r="F11" s="2" t="n">
        <v>25000</v>
      </c>
      <c r="G11" s="2" t="n">
        <f aca="false">IF(G$4&gt;0,(IF(F11&lt;&gt;0,F11*G$4/100," ")),IF(F11&lt;&gt;0,F11*G$2/(100+G$2)," "))</f>
        <v>4166.66666666667</v>
      </c>
      <c r="H11" s="2" t="n">
        <f aca="false">IF((F11&lt;&gt;0),F11-G11," ")</f>
        <v>20833.3333333333</v>
      </c>
      <c r="L11" s="7" t="n">
        <f aca="false">IF(F11&lt;&gt;0,F11-K11," ")</f>
        <v>25000</v>
      </c>
      <c r="M11" s="8" t="n">
        <f aca="false">IF((F11-K11)&lt;&gt;0,M$1-A11," ")</f>
        <v>-167</v>
      </c>
      <c r="O11" s="2" t="n">
        <f aca="false">IF((E11="a"),H11," ")</f>
        <v>20833.3333333333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46464</v>
      </c>
      <c r="B12" s="2" t="s">
        <v>62</v>
      </c>
      <c r="C12" s="3" t="s">
        <v>124</v>
      </c>
      <c r="D12" s="40" t="s">
        <v>64</v>
      </c>
      <c r="E12" s="4" t="s">
        <v>55</v>
      </c>
      <c r="F12" s="2" t="n">
        <v>2400</v>
      </c>
      <c r="G12" s="2" t="n">
        <f aca="false">IF(G$4&gt;0,(IF(F12&lt;&gt;0,F12*G$4/100," ")),IF(F12&lt;&gt;0,F12*G$2/(100+G$2)," "))</f>
        <v>400</v>
      </c>
      <c r="H12" s="2" t="n">
        <f aca="false">IF((F12&lt;&gt;0),F12-G12," ")</f>
        <v>2000</v>
      </c>
      <c r="L12" s="7" t="n">
        <f aca="false">IF(F12&lt;&gt;0,F12-K12," ")</f>
        <v>2400</v>
      </c>
      <c r="M12" s="8" t="n">
        <f aca="false">IF((F12-K12)&lt;&gt;0,M$1-A12," ")</f>
        <v>-170</v>
      </c>
      <c r="O12" s="2" t="n">
        <f aca="false">IF((E12="a"),H12," ")</f>
        <v>2000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56</v>
      </c>
    </row>
    <row r="13" customFormat="false" ht="12" hidden="false" customHeight="false" outlineLevel="0" collapsed="false">
      <c r="A13" s="1" t="n">
        <v>46466</v>
      </c>
      <c r="B13" s="2" t="s">
        <v>65</v>
      </c>
      <c r="C13" s="3" t="s">
        <v>125</v>
      </c>
      <c r="D13" s="40" t="s">
        <v>67</v>
      </c>
      <c r="E13" s="4" t="s">
        <v>55</v>
      </c>
      <c r="F13" s="2" t="n">
        <v>1800</v>
      </c>
      <c r="G13" s="2" t="n">
        <f aca="false">IF(G$4&gt;0,(IF(F13&lt;&gt;0,F13*G$4/100," ")),IF(F13&lt;&gt;0,F13*G$2/(100+G$2)," "))</f>
        <v>300</v>
      </c>
      <c r="H13" s="2" t="n">
        <f aca="false">IF((F13&lt;&gt;0),F13-G13," ")</f>
        <v>1500</v>
      </c>
      <c r="L13" s="7" t="n">
        <f aca="false">IF(F13&lt;&gt;0,F13-K13," ")</f>
        <v>1800</v>
      </c>
      <c r="M13" s="8" t="n">
        <f aca="false">IF((F13-K13)&lt;&gt;0,M$1-A13," ")</f>
        <v>-172</v>
      </c>
      <c r="O13" s="2" t="n">
        <f aca="false">IF((E13="a"),H13," ")</f>
        <v>1500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A14" s="1" t="n">
        <v>46471</v>
      </c>
      <c r="B14" s="2" t="s">
        <v>87</v>
      </c>
      <c r="C14" s="3" t="s">
        <v>126</v>
      </c>
      <c r="D14" s="40" t="s">
        <v>89</v>
      </c>
      <c r="E14" s="4" t="s">
        <v>55</v>
      </c>
      <c r="F14" s="2" t="n">
        <v>1200</v>
      </c>
      <c r="G14" s="2" t="n">
        <f aca="false">IF(G$4&gt;0,(IF(F14&lt;&gt;0,F14*G$4/100," ")),IF(F14&lt;&gt;0,F14*G$2/(100+G$2)," "))</f>
        <v>200</v>
      </c>
      <c r="H14" s="2" t="n">
        <f aca="false">IF((F14&lt;&gt;0),F14-G14," ")</f>
        <v>1000</v>
      </c>
      <c r="L14" s="7" t="n">
        <f aca="false">IF(F14&lt;&gt;0,F14-K14," ")</f>
        <v>1200</v>
      </c>
      <c r="M14" s="8" t="n">
        <f aca="false">IF((F14-K14)&lt;&gt;0,M$1-A14," ")</f>
        <v>-177</v>
      </c>
      <c r="O14" s="2" t="n">
        <f aca="false">IF((E14="a"),H14," ")</f>
        <v>1000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  <c r="BZ14" s="2" t="s">
        <v>56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customFormat="fals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33760</v>
      </c>
      <c r="G1" s="12" t="n">
        <f aca="false">SUM(G5:G300)</f>
        <v>5626.66666666667</v>
      </c>
      <c r="H1" s="12" t="n">
        <f aca="false">SUM(H5:H300)</f>
        <v>28133.3333333333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33760</v>
      </c>
      <c r="M1" s="17" t="n">
        <f aca="true">TODAY()</f>
        <v>46294</v>
      </c>
      <c r="N1" s="18"/>
      <c r="O1" s="12" t="n">
        <f aca="false">SUM(O5:O300)</f>
        <v>25033.3333333333</v>
      </c>
      <c r="P1" s="12" t="n">
        <f aca="false">SUM(P5:P300)</f>
        <v>800</v>
      </c>
      <c r="Q1" s="12" t="n">
        <f aca="false">SUM(Q5:Q300)</f>
        <v>1800</v>
      </c>
      <c r="R1" s="12" t="n">
        <f aca="false">SUM(R5:R300)</f>
        <v>500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Mar!G2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Mar!G4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46480</v>
      </c>
      <c r="B5" s="2" t="s">
        <v>46</v>
      </c>
      <c r="C5" s="3" t="s">
        <v>127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-186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46482</v>
      </c>
      <c r="B6" s="2" t="s">
        <v>49</v>
      </c>
      <c r="C6" s="3" t="s">
        <v>128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-188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46485</v>
      </c>
      <c r="B7" s="2" t="s">
        <v>52</v>
      </c>
      <c r="C7" s="3" t="s">
        <v>129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-191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46487</v>
      </c>
      <c r="B8" s="2" t="s">
        <v>57</v>
      </c>
      <c r="C8" s="3" t="s">
        <v>130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-193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46492</v>
      </c>
      <c r="B9" s="2" t="s">
        <v>17</v>
      </c>
      <c r="C9" s="3" t="s">
        <v>131</v>
      </c>
      <c r="D9" s="40" t="s">
        <v>61</v>
      </c>
      <c r="E9" s="4" t="s">
        <v>55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-198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46493</v>
      </c>
      <c r="B10" s="2" t="s">
        <v>81</v>
      </c>
      <c r="C10" s="3" t="s">
        <v>132</v>
      </c>
      <c r="D10" s="40" t="s">
        <v>83</v>
      </c>
      <c r="E10" s="4" t="s">
        <v>84</v>
      </c>
      <c r="F10" s="2" t="n">
        <v>1200</v>
      </c>
      <c r="G10" s="2" t="n">
        <f aca="false">IF(G$4&gt;0,(IF(F10&lt;&gt;0,F10*G$4/100," ")),IF(F10&lt;&gt;0,F10*G$2/(100+G$2)," "))</f>
        <v>200</v>
      </c>
      <c r="H10" s="2" t="n">
        <f aca="false">IF((F10&lt;&gt;0),F10-G10," ")</f>
        <v>1000</v>
      </c>
      <c r="L10" s="7" t="n">
        <f aca="false">IF(F10&lt;&gt;0,F10-K10," ")</f>
        <v>1200</v>
      </c>
      <c r="M10" s="8" t="n">
        <f aca="false">IF((F10-K10)&lt;&gt;0,M$1-A10," ")</f>
        <v>-199</v>
      </c>
      <c r="O10" s="2" t="str">
        <f aca="false">IF((E10="a"),H10," ")</f>
        <v> </v>
      </c>
      <c r="P10" s="2" t="str">
        <f aca="false">IF((E10="b"),H10," ")</f>
        <v> </v>
      </c>
      <c r="Q10" s="2" t="n">
        <f aca="false">IF((E10="c"),H10," ")</f>
        <v>1000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85</v>
      </c>
    </row>
    <row r="11" customFormat="false" ht="12" hidden="false" customHeight="false" outlineLevel="0" collapsed="false">
      <c r="A11" s="1" t="n">
        <v>46495</v>
      </c>
      <c r="B11" s="2" t="s">
        <v>62</v>
      </c>
      <c r="C11" s="3" t="s">
        <v>133</v>
      </c>
      <c r="D11" s="40" t="s">
        <v>64</v>
      </c>
      <c r="E11" s="4" t="s">
        <v>55</v>
      </c>
      <c r="F11" s="2" t="n">
        <v>2400</v>
      </c>
      <c r="G11" s="2" t="n">
        <f aca="false">IF(G$4&gt;0,(IF(F11&lt;&gt;0,F11*G$4/100," ")),IF(F11&lt;&gt;0,F11*G$2/(100+G$2)," "))</f>
        <v>400</v>
      </c>
      <c r="H11" s="2" t="n">
        <f aca="false">IF((F11&lt;&gt;0),F11-G11," ")</f>
        <v>2000</v>
      </c>
      <c r="L11" s="7" t="n">
        <f aca="false">IF(F11&lt;&gt;0,F11-K11," ")</f>
        <v>2400</v>
      </c>
      <c r="M11" s="8" t="n">
        <f aca="false">IF((F11-K11)&lt;&gt;0,M$1-A11," ")</f>
        <v>-201</v>
      </c>
      <c r="O11" s="2" t="n">
        <f aca="false">IF((E11="a"),H11," ")</f>
        <v>2000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46497</v>
      </c>
      <c r="B12" s="2" t="s">
        <v>134</v>
      </c>
      <c r="C12" s="3" t="s">
        <v>135</v>
      </c>
      <c r="D12" s="40" t="s">
        <v>136</v>
      </c>
      <c r="E12" s="4" t="s">
        <v>84</v>
      </c>
      <c r="F12" s="2" t="n">
        <v>960</v>
      </c>
      <c r="G12" s="2" t="n">
        <f aca="false">IF(G$4&gt;0,(IF(F12&lt;&gt;0,F12*G$4/100," ")),IF(F12&lt;&gt;0,F12*G$2/(100+G$2)," "))</f>
        <v>160</v>
      </c>
      <c r="H12" s="2" t="n">
        <f aca="false">IF((F12&lt;&gt;0),F12-G12," ")</f>
        <v>800</v>
      </c>
      <c r="L12" s="7" t="n">
        <f aca="false">IF(F12&lt;&gt;0,F12-K12," ")</f>
        <v>960</v>
      </c>
      <c r="M12" s="8" t="n">
        <f aca="false">IF((F12-K12)&lt;&gt;0,M$1-A12," ")</f>
        <v>-203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800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85</v>
      </c>
    </row>
    <row r="13" customFormat="false" ht="12" hidden="false" customHeight="false" outlineLevel="0" collapsed="false">
      <c r="A13" s="1" t="n">
        <v>46499</v>
      </c>
      <c r="B13" s="2" t="s">
        <v>99</v>
      </c>
      <c r="C13" s="3" t="s">
        <v>137</v>
      </c>
      <c r="D13" s="40" t="s">
        <v>101</v>
      </c>
      <c r="E13" s="4" t="s">
        <v>55</v>
      </c>
      <c r="F13" s="2" t="n">
        <v>1440</v>
      </c>
      <c r="G13" s="2" t="n">
        <f aca="false">IF(G$4&gt;0,(IF(F13&lt;&gt;0,F13*G$4/100," ")),IF(F13&lt;&gt;0,F13*G$2/(100+G$2)," "))</f>
        <v>240</v>
      </c>
      <c r="H13" s="2" t="n">
        <f aca="false">IF((F13&lt;&gt;0),F13-G13," ")</f>
        <v>1200</v>
      </c>
      <c r="L13" s="7" t="n">
        <f aca="false">IF(F13&lt;&gt;0,F13-K13," ")</f>
        <v>1440</v>
      </c>
      <c r="M13" s="8" t="n">
        <f aca="false">IF((F13-K13)&lt;&gt;0,M$1-A13," ")</f>
        <v>-205</v>
      </c>
      <c r="O13" s="2" t="n">
        <f aca="false">IF((E13="a"),H13," ")</f>
        <v>1200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A14" s="1" t="n">
        <v>46502</v>
      </c>
      <c r="B14" s="2" t="s">
        <v>138</v>
      </c>
      <c r="C14" s="3" t="s">
        <v>139</v>
      </c>
      <c r="D14" s="40" t="s">
        <v>140</v>
      </c>
      <c r="E14" s="4" t="s">
        <v>71</v>
      </c>
      <c r="F14" s="2" t="n">
        <v>600</v>
      </c>
      <c r="G14" s="2" t="n">
        <f aca="false">IF(G$4&gt;0,(IF(F14&lt;&gt;0,F14*G$4/100," ")),IF(F14&lt;&gt;0,F14*G$2/(100+G$2)," "))</f>
        <v>100</v>
      </c>
      <c r="H14" s="2" t="n">
        <f aca="false">IF((F14&lt;&gt;0),F14-G14," ")</f>
        <v>500</v>
      </c>
      <c r="L14" s="7" t="n">
        <f aca="false">IF(F14&lt;&gt;0,F14-K14," ")</f>
        <v>600</v>
      </c>
      <c r="M14" s="8" t="n">
        <f aca="false">IF((F14-K14)&lt;&gt;0,M$1-A14," ")</f>
        <v>-208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n">
        <f aca="false">IF((E14="d"),H14," ")</f>
        <v>500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  <c r="BZ14" s="2" t="s">
        <v>72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customFormat="fals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50560</v>
      </c>
      <c r="G1" s="12" t="n">
        <f aca="false">SUM(G5:G300)</f>
        <v>8426.66666666667</v>
      </c>
      <c r="H1" s="12" t="n">
        <f aca="false">SUM(H5:H300)</f>
        <v>42133.3333333333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50560</v>
      </c>
      <c r="M1" s="17" t="n">
        <f aca="true">TODAY()</f>
        <v>46294</v>
      </c>
      <c r="N1" s="18"/>
      <c r="O1" s="12" t="n">
        <f aca="false">SUM(O5:O300)</f>
        <v>27133.3333333333</v>
      </c>
      <c r="P1" s="12" t="n">
        <f aca="false">SUM(P5:P300)</f>
        <v>1800</v>
      </c>
      <c r="Q1" s="12" t="n">
        <f aca="false">SUM(Q5:Q300)</f>
        <v>0</v>
      </c>
      <c r="R1" s="12" t="n">
        <f aca="false">SUM(R5:R300)</f>
        <v>700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12500</v>
      </c>
      <c r="V1" s="12" t="n">
        <f aca="false">SUM(V5:V300)</f>
        <v>0</v>
      </c>
      <c r="W1" s="1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Apr!G2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Apr!G4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46508</v>
      </c>
      <c r="B5" s="2" t="s">
        <v>19</v>
      </c>
      <c r="C5" s="3" t="s">
        <v>141</v>
      </c>
      <c r="D5" s="40" t="s">
        <v>43</v>
      </c>
      <c r="E5" s="4" t="s">
        <v>44</v>
      </c>
      <c r="F5" s="2" t="n">
        <v>1200</v>
      </c>
      <c r="G5" s="2" t="n">
        <f aca="false">IF(G$4&gt;0,(IF(F5&lt;&gt;0,F5*G$4/100," ")),IF(F5&lt;&gt;0,F5*G$2/(100+G$2)," "))</f>
        <v>200</v>
      </c>
      <c r="H5" s="2" t="n">
        <f aca="false">IF((F5&lt;&gt;0),F5-G5," ")</f>
        <v>1000</v>
      </c>
      <c r="L5" s="7" t="n">
        <f aca="false">IF(F5&lt;&gt;0,F5-K5," ")</f>
        <v>1200</v>
      </c>
      <c r="M5" s="8" t="n">
        <f aca="false">IF((F5-K5)&lt;&gt;0,M$1-A5," ")</f>
        <v>-214</v>
      </c>
      <c r="O5" s="2" t="str">
        <f aca="false">IF((E5="a"),H5," ")</f>
        <v> </v>
      </c>
      <c r="P5" s="2" t="n">
        <f aca="false">IF((E5="b"),H5," ")</f>
        <v>1000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46510</v>
      </c>
      <c r="B6" s="2" t="s">
        <v>46</v>
      </c>
      <c r="C6" s="3" t="s">
        <v>142</v>
      </c>
      <c r="D6" s="40" t="s">
        <v>48</v>
      </c>
      <c r="E6" s="4" t="s">
        <v>44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-216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46512</v>
      </c>
      <c r="B7" s="2" t="s">
        <v>49</v>
      </c>
      <c r="C7" s="3" t="s">
        <v>143</v>
      </c>
      <c r="D7" s="40" t="s">
        <v>51</v>
      </c>
      <c r="E7" s="4" t="s">
        <v>44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-218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45</v>
      </c>
    </row>
    <row r="8" customFormat="false" ht="12" hidden="false" customHeight="false" outlineLevel="0" collapsed="false">
      <c r="A8" s="1" t="n">
        <v>46515</v>
      </c>
      <c r="B8" s="2" t="s">
        <v>52</v>
      </c>
      <c r="C8" s="3" t="s">
        <v>144</v>
      </c>
      <c r="D8" s="40" t="s">
        <v>54</v>
      </c>
      <c r="E8" s="4" t="s">
        <v>55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-221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46517</v>
      </c>
      <c r="B9" s="2" t="s">
        <v>145</v>
      </c>
      <c r="C9" s="3" t="s">
        <v>146</v>
      </c>
      <c r="D9" s="40" t="s">
        <v>147</v>
      </c>
      <c r="E9" s="4" t="s">
        <v>148</v>
      </c>
      <c r="F9" s="2" t="n">
        <v>15000</v>
      </c>
      <c r="G9" s="2" t="n">
        <f aca="false">IF(G$4&gt;0,(IF(F9&lt;&gt;0,F9*G$4/100," ")),IF(F9&lt;&gt;0,F9*G$2/(100+G$2)," "))</f>
        <v>2500</v>
      </c>
      <c r="H9" s="2" t="n">
        <f aca="false">IF((F9&lt;&gt;0),F9-G9," ")</f>
        <v>12500</v>
      </c>
      <c r="L9" s="7" t="n">
        <f aca="false">IF(F9&lt;&gt;0,F9-K9," ")</f>
        <v>15000</v>
      </c>
      <c r="M9" s="8" t="n">
        <f aca="false">IF((F9-K9)&lt;&gt;0,M$1-A9," ")</f>
        <v>-223</v>
      </c>
      <c r="O9" s="2" t="str">
        <f aca="false">IF((E9="a"),H9," ")</f>
        <v> 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n">
        <f aca="false">IF((E9="FS"),H9," ")</f>
        <v>12500</v>
      </c>
      <c r="BZ9" s="2" t="s">
        <v>149</v>
      </c>
    </row>
    <row r="10" customFormat="false" ht="12" hidden="false" customHeight="false" outlineLevel="0" collapsed="false">
      <c r="A10" s="1" t="n">
        <v>46517</v>
      </c>
      <c r="B10" s="2" t="s">
        <v>57</v>
      </c>
      <c r="C10" s="3" t="s">
        <v>150</v>
      </c>
      <c r="D10" s="40" t="s">
        <v>59</v>
      </c>
      <c r="E10" s="4" t="s">
        <v>55</v>
      </c>
      <c r="F10" s="2" t="n">
        <v>720</v>
      </c>
      <c r="G10" s="2" t="n">
        <f aca="false">IF(G$4&gt;0,(IF(F10&lt;&gt;0,F10*G$4/100," ")),IF(F10&lt;&gt;0,F10*G$2/(100+G$2)," "))</f>
        <v>120</v>
      </c>
      <c r="H10" s="2" t="n">
        <f aca="false">IF((F10&lt;&gt;0),F10-G10," ")</f>
        <v>600</v>
      </c>
      <c r="L10" s="7" t="n">
        <f aca="false">IF(F10&lt;&gt;0,F10-K10," ")</f>
        <v>720</v>
      </c>
      <c r="M10" s="8" t="n">
        <f aca="false">IF((F10-K10)&lt;&gt;0,M$1-A10," ")</f>
        <v>-223</v>
      </c>
      <c r="O10" s="2" t="n">
        <f aca="false">IF((E10="a"),H10," ")</f>
        <v>600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46521</v>
      </c>
      <c r="B11" s="2" t="s">
        <v>107</v>
      </c>
      <c r="C11" s="3" t="s">
        <v>151</v>
      </c>
      <c r="D11" s="40" t="s">
        <v>109</v>
      </c>
      <c r="E11" s="4" t="s">
        <v>55</v>
      </c>
      <c r="F11" s="2" t="n">
        <v>2160</v>
      </c>
      <c r="G11" s="2" t="n">
        <f aca="false">IF(G$4&gt;0,(IF(F11&lt;&gt;0,F11*G$4/100," ")),IF(F11&lt;&gt;0,F11*G$2/(100+G$2)," "))</f>
        <v>360</v>
      </c>
      <c r="H11" s="2" t="n">
        <f aca="false">IF((F11&lt;&gt;0),F11-G11," ")</f>
        <v>1800</v>
      </c>
      <c r="L11" s="7" t="n">
        <f aca="false">IF(F11&lt;&gt;0,F11-K11," ")</f>
        <v>2160</v>
      </c>
      <c r="M11" s="8" t="n">
        <f aca="false">IF((F11-K11)&lt;&gt;0,M$1-A11," ")</f>
        <v>-227</v>
      </c>
      <c r="O11" s="2" t="n">
        <f aca="false">IF((E11="a"),H11," ")</f>
        <v>1800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46522</v>
      </c>
      <c r="B12" s="2" t="s">
        <v>17</v>
      </c>
      <c r="C12" s="3" t="s">
        <v>152</v>
      </c>
      <c r="D12" s="40" t="s">
        <v>61</v>
      </c>
      <c r="E12" s="4" t="s">
        <v>55</v>
      </c>
      <c r="F12" s="2" t="n">
        <v>25000</v>
      </c>
      <c r="G12" s="2" t="n">
        <f aca="false">IF(G$4&gt;0,(IF(F12&lt;&gt;0,F12*G$4/100," ")),IF(F12&lt;&gt;0,F12*G$2/(100+G$2)," "))</f>
        <v>4166.66666666667</v>
      </c>
      <c r="H12" s="2" t="n">
        <f aca="false">IF((F12&lt;&gt;0),F12-G12," ")</f>
        <v>20833.3333333333</v>
      </c>
      <c r="L12" s="7" t="n">
        <f aca="false">IF(F12&lt;&gt;0,F12-K12," ")</f>
        <v>25000</v>
      </c>
      <c r="M12" s="8" t="n">
        <f aca="false">IF((F12-K12)&lt;&gt;0,M$1-A12," ")</f>
        <v>-228</v>
      </c>
      <c r="O12" s="2" t="n">
        <f aca="false">IF((E12="a"),H12," ")</f>
        <v>20833.3333333333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56</v>
      </c>
    </row>
    <row r="13" customFormat="false" ht="12" hidden="false" customHeight="false" outlineLevel="0" collapsed="false">
      <c r="A13" s="1" t="n">
        <v>46525</v>
      </c>
      <c r="B13" s="2" t="s">
        <v>62</v>
      </c>
      <c r="C13" s="3" t="s">
        <v>153</v>
      </c>
      <c r="D13" s="40" t="s">
        <v>64</v>
      </c>
      <c r="E13" s="4" t="s">
        <v>55</v>
      </c>
      <c r="F13" s="2" t="n">
        <v>2400</v>
      </c>
      <c r="G13" s="2" t="n">
        <f aca="false">IF(G$4&gt;0,(IF(F13&lt;&gt;0,F13*G$4/100," ")),IF(F13&lt;&gt;0,F13*G$2/(100+G$2)," "))</f>
        <v>400</v>
      </c>
      <c r="H13" s="2" t="n">
        <f aca="false">IF((F13&lt;&gt;0),F13-G13," ")</f>
        <v>2000</v>
      </c>
      <c r="L13" s="7" t="n">
        <f aca="false">IF(F13&lt;&gt;0,F13-K13," ")</f>
        <v>2400</v>
      </c>
      <c r="M13" s="8" t="n">
        <f aca="false">IF((F13-K13)&lt;&gt;0,M$1-A13," ")</f>
        <v>-231</v>
      </c>
      <c r="O13" s="2" t="n">
        <f aca="false">IF((E13="a"),H13," ")</f>
        <v>2000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A14" s="1" t="n">
        <v>46527</v>
      </c>
      <c r="B14" s="2" t="s">
        <v>65</v>
      </c>
      <c r="C14" s="3" t="s">
        <v>154</v>
      </c>
      <c r="D14" s="40" t="s">
        <v>67</v>
      </c>
      <c r="E14" s="4" t="s">
        <v>55</v>
      </c>
      <c r="F14" s="2" t="n">
        <v>1800</v>
      </c>
      <c r="G14" s="2" t="n">
        <f aca="false">IF(G$4&gt;0,(IF(F14&lt;&gt;0,F14*G$4/100," ")),IF(F14&lt;&gt;0,F14*G$2/(100+G$2)," "))</f>
        <v>300</v>
      </c>
      <c r="H14" s="2" t="n">
        <f aca="false">IF((F14&lt;&gt;0),F14-G14," ")</f>
        <v>1500</v>
      </c>
      <c r="L14" s="7" t="n">
        <f aca="false">IF(F14&lt;&gt;0,F14-K14," ")</f>
        <v>1800</v>
      </c>
      <c r="M14" s="8" t="n">
        <f aca="false">IF((F14-K14)&lt;&gt;0,M$1-A14," ")</f>
        <v>-233</v>
      </c>
      <c r="O14" s="2" t="n">
        <f aca="false">IF((E14="a"),H14," ")</f>
        <v>1500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  <c r="BZ14" s="2" t="s">
        <v>56</v>
      </c>
    </row>
    <row r="15" customFormat="false" ht="12" hidden="false" customHeight="false" outlineLevel="0" collapsed="false">
      <c r="A15" s="1" t="n">
        <v>46535</v>
      </c>
      <c r="B15" s="2" t="s">
        <v>68</v>
      </c>
      <c r="C15" s="3" t="s">
        <v>155</v>
      </c>
      <c r="D15" s="40" t="s">
        <v>70</v>
      </c>
      <c r="E15" s="4" t="s">
        <v>71</v>
      </c>
      <c r="F15" s="2" t="n">
        <v>840</v>
      </c>
      <c r="G15" s="2" t="n">
        <f aca="false">IF(G$4&gt;0,(IF(F15&lt;&gt;0,F15*G$4/100," ")),IF(F15&lt;&gt;0,F15*G$2/(100+G$2)," "))</f>
        <v>140</v>
      </c>
      <c r="H15" s="2" t="n">
        <f aca="false">IF((F15&lt;&gt;0),F15-G15," ")</f>
        <v>700</v>
      </c>
      <c r="L15" s="7" t="n">
        <f aca="false">IF(F15&lt;&gt;0,F15-K15," ")</f>
        <v>840</v>
      </c>
      <c r="M15" s="8" t="n">
        <f aca="false">IF((F15-K15)&lt;&gt;0,M$1-A15," ")</f>
        <v>-241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n">
        <f aca="false">IF((E15="d"),H15," ")</f>
        <v>700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  <c r="BZ15" s="2" t="s">
        <v>72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customFormat="fals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35320</v>
      </c>
      <c r="G1" s="12" t="n">
        <f aca="false">SUM(G5:G300)</f>
        <v>5886.66666666667</v>
      </c>
      <c r="H1" s="12" t="n">
        <f aca="false">SUM(H5:H300)</f>
        <v>29433.3333333333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35320</v>
      </c>
      <c r="M1" s="17" t="n">
        <f aca="true">TODAY()</f>
        <v>46294</v>
      </c>
      <c r="N1" s="18"/>
      <c r="O1" s="12" t="n">
        <f aca="false">SUM(O5:O300)</f>
        <v>25633.3333333333</v>
      </c>
      <c r="P1" s="12" t="n">
        <f aca="false">SUM(P5:P300)</f>
        <v>800</v>
      </c>
      <c r="Q1" s="12" t="n">
        <f aca="false">SUM(Q5:Q300)</f>
        <v>3000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May!G2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May!G4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46541</v>
      </c>
      <c r="B5" s="2" t="s">
        <v>46</v>
      </c>
      <c r="C5" s="3" t="s">
        <v>156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-247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46543</v>
      </c>
      <c r="B6" s="2" t="s">
        <v>49</v>
      </c>
      <c r="C6" s="3" t="s">
        <v>157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-249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46546</v>
      </c>
      <c r="B7" s="2" t="s">
        <v>52</v>
      </c>
      <c r="C7" s="3" t="s">
        <v>158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-252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46548</v>
      </c>
      <c r="B8" s="2" t="s">
        <v>57</v>
      </c>
      <c r="C8" s="3" t="s">
        <v>159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-254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46550</v>
      </c>
      <c r="B9" s="2" t="s">
        <v>77</v>
      </c>
      <c r="C9" s="3" t="s">
        <v>160</v>
      </c>
      <c r="D9" s="40" t="s">
        <v>79</v>
      </c>
      <c r="E9" s="4" t="s">
        <v>55</v>
      </c>
      <c r="F9" s="2" t="n">
        <v>960</v>
      </c>
      <c r="G9" s="2" t="n">
        <f aca="false">IF(G$4&gt;0,(IF(F9&lt;&gt;0,F9*G$4/100," ")),IF(F9&lt;&gt;0,F9*G$2/(100+G$2)," "))</f>
        <v>160</v>
      </c>
      <c r="H9" s="2" t="n">
        <f aca="false">IF((F9&lt;&gt;0),F9-G9," ")</f>
        <v>800</v>
      </c>
      <c r="L9" s="7" t="n">
        <f aca="false">IF(F9&lt;&gt;0,F9-K9," ")</f>
        <v>960</v>
      </c>
      <c r="M9" s="8" t="n">
        <f aca="false">IF((F9-K9)&lt;&gt;0,M$1-A9," ")</f>
        <v>-256</v>
      </c>
      <c r="O9" s="2" t="n">
        <f aca="false">IF((E9="a"),H9," ")</f>
        <v>800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46553</v>
      </c>
      <c r="B10" s="2" t="s">
        <v>17</v>
      </c>
      <c r="C10" s="3" t="s">
        <v>161</v>
      </c>
      <c r="D10" s="40" t="s">
        <v>61</v>
      </c>
      <c r="E10" s="4" t="s">
        <v>55</v>
      </c>
      <c r="F10" s="2" t="n">
        <v>25000</v>
      </c>
      <c r="G10" s="2" t="n">
        <f aca="false">IF(G$4&gt;0,(IF(F10&lt;&gt;0,F10*G$4/100," ")),IF(F10&lt;&gt;0,F10*G$2/(100+G$2)," "))</f>
        <v>4166.66666666667</v>
      </c>
      <c r="H10" s="2" t="n">
        <f aca="false">IF((F10&lt;&gt;0),F10-G10," ")</f>
        <v>20833.3333333333</v>
      </c>
      <c r="L10" s="7" t="n">
        <f aca="false">IF(F10&lt;&gt;0,F10-K10," ")</f>
        <v>25000</v>
      </c>
      <c r="M10" s="8" t="n">
        <f aca="false">IF((F10-K10)&lt;&gt;0,M$1-A10," ")</f>
        <v>-259</v>
      </c>
      <c r="O10" s="2" t="n">
        <f aca="false">IF((E10="a"),H10," ")</f>
        <v>20833.3333333333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46556</v>
      </c>
      <c r="B11" s="2" t="s">
        <v>62</v>
      </c>
      <c r="C11" s="3" t="s">
        <v>162</v>
      </c>
      <c r="D11" s="40" t="s">
        <v>64</v>
      </c>
      <c r="E11" s="4" t="s">
        <v>55</v>
      </c>
      <c r="F11" s="2" t="n">
        <v>2400</v>
      </c>
      <c r="G11" s="2" t="n">
        <f aca="false">IF(G$4&gt;0,(IF(F11&lt;&gt;0,F11*G$4/100," ")),IF(F11&lt;&gt;0,F11*G$2/(100+G$2)," "))</f>
        <v>400</v>
      </c>
      <c r="H11" s="2" t="n">
        <f aca="false">IF((F11&lt;&gt;0),F11-G11," ")</f>
        <v>2000</v>
      </c>
      <c r="L11" s="7" t="n">
        <f aca="false">IF(F11&lt;&gt;0,F11-K11," ")</f>
        <v>2400</v>
      </c>
      <c r="M11" s="8" t="n">
        <f aca="false">IF((F11-K11)&lt;&gt;0,M$1-A11," ")</f>
        <v>-262</v>
      </c>
      <c r="O11" s="2" t="n">
        <f aca="false">IF((E11="a"),H11," ")</f>
        <v>2000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46558</v>
      </c>
      <c r="B12" s="2" t="s">
        <v>163</v>
      </c>
      <c r="C12" s="3" t="s">
        <v>164</v>
      </c>
      <c r="D12" s="40" t="s">
        <v>165</v>
      </c>
      <c r="E12" s="4" t="s">
        <v>84</v>
      </c>
      <c r="F12" s="2" t="n">
        <v>3600</v>
      </c>
      <c r="G12" s="2" t="n">
        <f aca="false">IF(G$4&gt;0,(IF(F12&lt;&gt;0,F12*G$4/100," ")),IF(F12&lt;&gt;0,F12*G$2/(100+G$2)," "))</f>
        <v>600</v>
      </c>
      <c r="H12" s="2" t="n">
        <f aca="false">IF((F12&lt;&gt;0),F12-G12," ")</f>
        <v>3000</v>
      </c>
      <c r="L12" s="7" t="n">
        <f aca="false">IF(F12&lt;&gt;0,F12-K12," ")</f>
        <v>3600</v>
      </c>
      <c r="M12" s="8" t="n">
        <f aca="false">IF((F12-K12)&lt;&gt;0,M$1-A12," ")</f>
        <v>-264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3000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85</v>
      </c>
    </row>
    <row r="13" customFormat="false" ht="12" hidden="false" customHeight="false" outlineLevel="0" collapsed="false">
      <c r="A13" s="1" t="n">
        <v>46563</v>
      </c>
      <c r="B13" s="2" t="s">
        <v>87</v>
      </c>
      <c r="C13" s="3" t="s">
        <v>166</v>
      </c>
      <c r="D13" s="40" t="s">
        <v>89</v>
      </c>
      <c r="E13" s="4" t="s">
        <v>55</v>
      </c>
      <c r="F13" s="2" t="n">
        <v>1200</v>
      </c>
      <c r="G13" s="2" t="n">
        <f aca="false">IF(G$4&gt;0,(IF(F13&lt;&gt;0,F13*G$4/100," ")),IF(F13&lt;&gt;0,F13*G$2/(100+G$2)," "))</f>
        <v>200</v>
      </c>
      <c r="H13" s="2" t="n">
        <f aca="false">IF((F13&lt;&gt;0),F13-G13," ")</f>
        <v>1000</v>
      </c>
      <c r="L13" s="7" t="n">
        <f aca="false">IF(F13&lt;&gt;0,F13-K13," ")</f>
        <v>1200</v>
      </c>
      <c r="M13" s="8" t="n">
        <f aca="false">IF((F13-K13)&lt;&gt;0,M$1-A13," ")</f>
        <v>-269</v>
      </c>
      <c r="O13" s="2" t="n">
        <f aca="false">IF((E13="a"),H13," ")</f>
        <v>1000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customFormat="fals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32800</v>
      </c>
      <c r="G1" s="12" t="n">
        <f aca="false">SUM(G5:G300)</f>
        <v>5466.66666666667</v>
      </c>
      <c r="H1" s="12" t="n">
        <f aca="false">SUM(H5:H300)</f>
        <v>27333.3333333333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32800</v>
      </c>
      <c r="M1" s="17" t="n">
        <f aca="true">TODAY()</f>
        <v>46294</v>
      </c>
      <c r="N1" s="18"/>
      <c r="O1" s="12" t="n">
        <f aca="false">SUM(O5:O300)</f>
        <v>26533.3333333333</v>
      </c>
      <c r="P1" s="12" t="n">
        <f aca="false">SUM(P5:P300)</f>
        <v>800</v>
      </c>
      <c r="Q1" s="12" t="n">
        <f aca="false">SUM(Q5:Q300)</f>
        <v>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Jun!G2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Jun!G4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46571</v>
      </c>
      <c r="B5" s="2" t="s">
        <v>46</v>
      </c>
      <c r="C5" s="3" t="s">
        <v>167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-277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46573</v>
      </c>
      <c r="B6" s="2" t="s">
        <v>49</v>
      </c>
      <c r="C6" s="3" t="s">
        <v>168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-279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46576</v>
      </c>
      <c r="B7" s="2" t="s">
        <v>52</v>
      </c>
      <c r="C7" s="3" t="s">
        <v>169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-282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46578</v>
      </c>
      <c r="B8" s="2" t="s">
        <v>57</v>
      </c>
      <c r="C8" s="3" t="s">
        <v>170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-284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46583</v>
      </c>
      <c r="B9" s="2" t="s">
        <v>17</v>
      </c>
      <c r="C9" s="3" t="s">
        <v>171</v>
      </c>
      <c r="D9" s="40" t="s">
        <v>61</v>
      </c>
      <c r="E9" s="4" t="s">
        <v>55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-289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46586</v>
      </c>
      <c r="B10" s="2" t="s">
        <v>62</v>
      </c>
      <c r="C10" s="3" t="s">
        <v>172</v>
      </c>
      <c r="D10" s="40" t="s">
        <v>64</v>
      </c>
      <c r="E10" s="4" t="s">
        <v>55</v>
      </c>
      <c r="F10" s="2" t="n">
        <v>2400</v>
      </c>
      <c r="G10" s="2" t="n">
        <f aca="false">IF(G$4&gt;0,(IF(F10&lt;&gt;0,F10*G$4/100," ")),IF(F10&lt;&gt;0,F10*G$2/(100+G$2)," "))</f>
        <v>400</v>
      </c>
      <c r="H10" s="2" t="n">
        <f aca="false">IF((F10&lt;&gt;0),F10-G10," ")</f>
        <v>2000</v>
      </c>
      <c r="L10" s="7" t="n">
        <f aca="false">IF(F10&lt;&gt;0,F10-K10," ")</f>
        <v>2400</v>
      </c>
      <c r="M10" s="8" t="n">
        <f aca="false">IF((F10-K10)&lt;&gt;0,M$1-A10," ")</f>
        <v>-292</v>
      </c>
      <c r="O10" s="2" t="n">
        <f aca="false">IF((E10="a"),H10," ")</f>
        <v>2000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46588</v>
      </c>
      <c r="B11" s="2" t="s">
        <v>65</v>
      </c>
      <c r="C11" s="3" t="s">
        <v>173</v>
      </c>
      <c r="D11" s="40" t="s">
        <v>67</v>
      </c>
      <c r="E11" s="4" t="s">
        <v>55</v>
      </c>
      <c r="F11" s="2" t="n">
        <v>1800</v>
      </c>
      <c r="G11" s="2" t="n">
        <f aca="false">IF(G$4&gt;0,(IF(F11&lt;&gt;0,F11*G$4/100," ")),IF(F11&lt;&gt;0,F11*G$2/(100+G$2)," "))</f>
        <v>300</v>
      </c>
      <c r="H11" s="2" t="n">
        <f aca="false">IF((F11&lt;&gt;0),F11-G11," ")</f>
        <v>1500</v>
      </c>
      <c r="L11" s="7" t="n">
        <f aca="false">IF(F11&lt;&gt;0,F11-K11," ")</f>
        <v>1800</v>
      </c>
      <c r="M11" s="8" t="n">
        <f aca="false">IF((F11-K11)&lt;&gt;0,M$1-A11," ")</f>
        <v>-294</v>
      </c>
      <c r="O11" s="2" t="n">
        <f aca="false">IF((E11="a"),H11," ")</f>
        <v>1500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46590</v>
      </c>
      <c r="B12" s="2" t="s">
        <v>99</v>
      </c>
      <c r="C12" s="3" t="s">
        <v>174</v>
      </c>
      <c r="D12" s="40" t="s">
        <v>101</v>
      </c>
      <c r="E12" s="4" t="s">
        <v>55</v>
      </c>
      <c r="F12" s="2" t="n">
        <v>1440</v>
      </c>
      <c r="G12" s="2" t="n">
        <f aca="false">IF(G$4&gt;0,(IF(F12&lt;&gt;0,F12*G$4/100," ")),IF(F12&lt;&gt;0,F12*G$2/(100+G$2)," "))</f>
        <v>240</v>
      </c>
      <c r="H12" s="2" t="n">
        <f aca="false">IF((F12&lt;&gt;0),F12-G12," ")</f>
        <v>1200</v>
      </c>
      <c r="L12" s="7" t="n">
        <f aca="false">IF(F12&lt;&gt;0,F12-K12," ")</f>
        <v>1440</v>
      </c>
      <c r="M12" s="8" t="n">
        <f aca="false">IF((F12-K12)&lt;&gt;0,M$1-A12," ")</f>
        <v>-296</v>
      </c>
      <c r="O12" s="2" t="n">
        <f aca="false">IF((E12="a"),H12," ")</f>
        <v>1200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56</v>
      </c>
    </row>
    <row r="13" customFormat="false" ht="12" hidden="false" customHeight="false" outlineLevel="0" collapsed="false">
      <c r="G13" s="2" t="str">
        <f aca="false">IF(G$4&gt;0,(IF(F13&lt;&gt;0,F13*G$4/100," ")),IF(F13&lt;&gt;0,F13*G$2/(100+G$2)," "))</f>
        <v> </v>
      </c>
      <c r="H13" s="2" t="str">
        <f aca="false">IF((F13&lt;&gt;0),F13-G13," ")</f>
        <v> </v>
      </c>
      <c r="L13" s="7" t="str">
        <f aca="false">IF(F13&lt;&gt;0,F13-K13," ")</f>
        <v> </v>
      </c>
      <c r="M13" s="8" t="str">
        <f aca="false">IF((F13-K13)&lt;&gt;0,M$1-A13," ")</f>
        <v> </v>
      </c>
      <c r="O13" s="2" t="str">
        <f aca="false">IF((E13="a"),H13," ")</f>
        <v> 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customFormat="fals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35440</v>
      </c>
      <c r="G1" s="12" t="n">
        <f aca="false">SUM(G5:G300)</f>
        <v>5906.66666666667</v>
      </c>
      <c r="H1" s="12" t="n">
        <f aca="false">SUM(H5:H300)</f>
        <v>29533.3333333333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35440</v>
      </c>
      <c r="M1" s="17" t="n">
        <f aca="true">TODAY()</f>
        <v>46294</v>
      </c>
      <c r="N1" s="18"/>
      <c r="O1" s="12" t="n">
        <f aca="false">SUM(O5:O300)</f>
        <v>25633.3333333333</v>
      </c>
      <c r="P1" s="12" t="n">
        <f aca="false">SUM(P5:P300)</f>
        <v>1800</v>
      </c>
      <c r="Q1" s="12" t="n">
        <f aca="false">SUM(Q5:Q300)</f>
        <v>1000</v>
      </c>
      <c r="R1" s="12" t="n">
        <f aca="false">SUM(R5:R300)</f>
        <v>1100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Jul!G2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Jul!G4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46600</v>
      </c>
      <c r="B5" s="2" t="s">
        <v>19</v>
      </c>
      <c r="C5" s="3" t="s">
        <v>175</v>
      </c>
      <c r="D5" s="40" t="s">
        <v>43</v>
      </c>
      <c r="E5" s="4" t="s">
        <v>44</v>
      </c>
      <c r="F5" s="2" t="n">
        <v>1200</v>
      </c>
      <c r="G5" s="2" t="n">
        <f aca="false">IF(G$4&gt;0,(IF(F5&lt;&gt;0,F5*G$4/100," ")),IF(F5&lt;&gt;0,F5*G$2/(100+G$2)," "))</f>
        <v>200</v>
      </c>
      <c r="H5" s="2" t="n">
        <f aca="false">IF((F5&lt;&gt;0),F5-G5," ")</f>
        <v>1000</v>
      </c>
      <c r="L5" s="7" t="n">
        <f aca="false">IF(F5&lt;&gt;0,F5-K5," ")</f>
        <v>1200</v>
      </c>
      <c r="M5" s="8" t="n">
        <f aca="false">IF((F5-K5)&lt;&gt;0,M$1-A5," ")</f>
        <v>-306</v>
      </c>
      <c r="O5" s="2" t="str">
        <f aca="false">IF((E5="a"),H5," ")</f>
        <v> </v>
      </c>
      <c r="P5" s="2" t="n">
        <f aca="false">IF((E5="b"),H5," ")</f>
        <v>1000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46602</v>
      </c>
      <c r="B6" s="2" t="s">
        <v>46</v>
      </c>
      <c r="C6" s="3" t="s">
        <v>176</v>
      </c>
      <c r="D6" s="40" t="s">
        <v>48</v>
      </c>
      <c r="E6" s="4" t="s">
        <v>44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-308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46604</v>
      </c>
      <c r="B7" s="2" t="s">
        <v>49</v>
      </c>
      <c r="C7" s="3" t="s">
        <v>177</v>
      </c>
      <c r="D7" s="40" t="s">
        <v>51</v>
      </c>
      <c r="E7" s="4" t="s">
        <v>44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-310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45</v>
      </c>
    </row>
    <row r="8" customFormat="false" ht="12" hidden="false" customHeight="false" outlineLevel="0" collapsed="false">
      <c r="A8" s="1" t="n">
        <v>46607</v>
      </c>
      <c r="B8" s="2" t="s">
        <v>52</v>
      </c>
      <c r="C8" s="3" t="s">
        <v>178</v>
      </c>
      <c r="D8" s="40" t="s">
        <v>54</v>
      </c>
      <c r="E8" s="4" t="s">
        <v>55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-313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46609</v>
      </c>
      <c r="B9" s="2" t="s">
        <v>57</v>
      </c>
      <c r="C9" s="3" t="s">
        <v>179</v>
      </c>
      <c r="D9" s="40" t="s">
        <v>59</v>
      </c>
      <c r="E9" s="4" t="s">
        <v>55</v>
      </c>
      <c r="F9" s="2" t="n">
        <v>720</v>
      </c>
      <c r="G9" s="2" t="n">
        <f aca="false">IF(G$4&gt;0,(IF(F9&lt;&gt;0,F9*G$4/100," ")),IF(F9&lt;&gt;0,F9*G$2/(100+G$2)," "))</f>
        <v>120</v>
      </c>
      <c r="H9" s="2" t="n">
        <f aca="false">IF((F9&lt;&gt;0),F9-G9," ")</f>
        <v>600</v>
      </c>
      <c r="L9" s="7" t="n">
        <f aca="false">IF(F9&lt;&gt;0,F9-K9," ")</f>
        <v>720</v>
      </c>
      <c r="M9" s="8" t="n">
        <f aca="false">IF((F9-K9)&lt;&gt;0,M$1-A9," ")</f>
        <v>-315</v>
      </c>
      <c r="O9" s="2" t="n">
        <f aca="false">IF((E9="a"),H9," ")</f>
        <v>600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46613</v>
      </c>
      <c r="B10" s="2" t="s">
        <v>107</v>
      </c>
      <c r="C10" s="3" t="s">
        <v>180</v>
      </c>
      <c r="D10" s="40" t="s">
        <v>109</v>
      </c>
      <c r="E10" s="4" t="s">
        <v>55</v>
      </c>
      <c r="F10" s="2" t="n">
        <v>2160</v>
      </c>
      <c r="G10" s="2" t="n">
        <f aca="false">IF(G$4&gt;0,(IF(F10&lt;&gt;0,F10*G$4/100," ")),IF(F10&lt;&gt;0,F10*G$2/(100+G$2)," "))</f>
        <v>360</v>
      </c>
      <c r="H10" s="2" t="n">
        <f aca="false">IF((F10&lt;&gt;0),F10-G10," ")</f>
        <v>1800</v>
      </c>
      <c r="L10" s="7" t="n">
        <f aca="false">IF(F10&lt;&gt;0,F10-K10," ")</f>
        <v>2160</v>
      </c>
      <c r="M10" s="8" t="n">
        <f aca="false">IF((F10-K10)&lt;&gt;0,M$1-A10," ")</f>
        <v>-319</v>
      </c>
      <c r="O10" s="2" t="n">
        <f aca="false">IF((E10="a"),H10," ")</f>
        <v>1800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46614</v>
      </c>
      <c r="B11" s="2" t="s">
        <v>17</v>
      </c>
      <c r="C11" s="3" t="s">
        <v>181</v>
      </c>
      <c r="D11" s="40" t="s">
        <v>61</v>
      </c>
      <c r="E11" s="4" t="s">
        <v>55</v>
      </c>
      <c r="F11" s="2" t="n">
        <v>25000</v>
      </c>
      <c r="G11" s="2" t="n">
        <f aca="false">IF(G$4&gt;0,(IF(F11&lt;&gt;0,F11*G$4/100," ")),IF(F11&lt;&gt;0,F11*G$2/(100+G$2)," "))</f>
        <v>4166.66666666667</v>
      </c>
      <c r="H11" s="2" t="n">
        <f aca="false">IF((F11&lt;&gt;0),F11-G11," ")</f>
        <v>20833.3333333333</v>
      </c>
      <c r="L11" s="7" t="n">
        <f aca="false">IF(F11&lt;&gt;0,F11-K11," ")</f>
        <v>25000</v>
      </c>
      <c r="M11" s="8" t="n">
        <f aca="false">IF((F11-K11)&lt;&gt;0,M$1-A11," ")</f>
        <v>-320</v>
      </c>
      <c r="O11" s="2" t="n">
        <f aca="false">IF((E11="a"),H11," ")</f>
        <v>20833.3333333333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46615</v>
      </c>
      <c r="B12" s="2" t="s">
        <v>81</v>
      </c>
      <c r="C12" s="3" t="s">
        <v>182</v>
      </c>
      <c r="D12" s="40" t="s">
        <v>83</v>
      </c>
      <c r="E12" s="4" t="s">
        <v>84</v>
      </c>
      <c r="F12" s="2" t="n">
        <v>1200</v>
      </c>
      <c r="G12" s="2" t="n">
        <f aca="false">IF(G$4&gt;0,(IF(F12&lt;&gt;0,F12*G$4/100," ")),IF(F12&lt;&gt;0,F12*G$2/(100+G$2)," "))</f>
        <v>200</v>
      </c>
      <c r="H12" s="2" t="n">
        <f aca="false">IF((F12&lt;&gt;0),F12-G12," ")</f>
        <v>1000</v>
      </c>
      <c r="L12" s="7" t="n">
        <f aca="false">IF(F12&lt;&gt;0,F12-K12," ")</f>
        <v>1200</v>
      </c>
      <c r="M12" s="8" t="n">
        <f aca="false">IF((F12-K12)&lt;&gt;0,M$1-A12," ")</f>
        <v>-321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1000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85</v>
      </c>
    </row>
    <row r="13" customFormat="false" ht="12" hidden="false" customHeight="false" outlineLevel="0" collapsed="false">
      <c r="A13" s="1" t="n">
        <v>46617</v>
      </c>
      <c r="B13" s="2" t="s">
        <v>62</v>
      </c>
      <c r="C13" s="3" t="s">
        <v>183</v>
      </c>
      <c r="D13" s="40" t="s">
        <v>64</v>
      </c>
      <c r="E13" s="4" t="s">
        <v>55</v>
      </c>
      <c r="F13" s="2" t="n">
        <v>2400</v>
      </c>
      <c r="G13" s="2" t="n">
        <f aca="false">IF(G$4&gt;0,(IF(F13&lt;&gt;0,F13*G$4/100," ")),IF(F13&lt;&gt;0,F13*G$2/(100+G$2)," "))</f>
        <v>400</v>
      </c>
      <c r="H13" s="2" t="n">
        <f aca="false">IF((F13&lt;&gt;0),F13-G13," ")</f>
        <v>2000</v>
      </c>
      <c r="L13" s="7" t="n">
        <f aca="false">IF(F13&lt;&gt;0,F13-K13," ")</f>
        <v>2400</v>
      </c>
      <c r="M13" s="8" t="n">
        <f aca="false">IF((F13-K13)&lt;&gt;0,M$1-A13," ")</f>
        <v>-323</v>
      </c>
      <c r="O13" s="2" t="n">
        <f aca="false">IF((E13="a"),H13," ")</f>
        <v>2000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A14" s="1" t="n">
        <v>46624</v>
      </c>
      <c r="B14" s="2" t="s">
        <v>184</v>
      </c>
      <c r="C14" s="3" t="s">
        <v>185</v>
      </c>
      <c r="D14" s="40" t="s">
        <v>140</v>
      </c>
      <c r="E14" s="4" t="s">
        <v>71</v>
      </c>
      <c r="F14" s="2" t="n">
        <v>480</v>
      </c>
      <c r="G14" s="2" t="n">
        <f aca="false">IF(G$4&gt;0,(IF(F14&lt;&gt;0,F14*G$4/100," ")),IF(F14&lt;&gt;0,F14*G$2/(100+G$2)," "))</f>
        <v>80</v>
      </c>
      <c r="H14" s="2" t="n">
        <f aca="false">IF((F14&lt;&gt;0),F14-G14," ")</f>
        <v>400</v>
      </c>
      <c r="L14" s="7" t="n">
        <f aca="false">IF(F14&lt;&gt;0,F14-K14," ")</f>
        <v>480</v>
      </c>
      <c r="M14" s="8" t="n">
        <f aca="false">IF((F14-K14)&lt;&gt;0,M$1-A14," ")</f>
        <v>-330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n">
        <f aca="false">IF((E14="d"),H14," ")</f>
        <v>400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  <c r="BZ14" s="2" t="s">
        <v>72</v>
      </c>
    </row>
    <row r="15" customFormat="false" ht="12" hidden="false" customHeight="false" outlineLevel="0" collapsed="false">
      <c r="A15" s="1" t="n">
        <v>46627</v>
      </c>
      <c r="B15" s="2" t="s">
        <v>68</v>
      </c>
      <c r="C15" s="3" t="s">
        <v>186</v>
      </c>
      <c r="D15" s="40" t="s">
        <v>70</v>
      </c>
      <c r="E15" s="4" t="s">
        <v>71</v>
      </c>
      <c r="F15" s="2" t="n">
        <v>840</v>
      </c>
      <c r="G15" s="2" t="n">
        <f aca="false">IF(G$4&gt;0,(IF(F15&lt;&gt;0,F15*G$4/100," ")),IF(F15&lt;&gt;0,F15*G$2/(100+G$2)," "))</f>
        <v>140</v>
      </c>
      <c r="H15" s="2" t="n">
        <f aca="false">IF((F15&lt;&gt;0),F15-G15," ")</f>
        <v>700</v>
      </c>
      <c r="L15" s="7" t="n">
        <f aca="false">IF(F15&lt;&gt;0,F15-K15," ")</f>
        <v>840</v>
      </c>
      <c r="M15" s="8" t="n">
        <f aca="false">IF((F15-K15)&lt;&gt;0,M$1-A15," ")</f>
        <v>-333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n">
        <f aca="false">IF((E15="d"),H15," ")</f>
        <v>700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  <c r="BZ15" s="2" t="s">
        <v>72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customFormat="fals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34360</v>
      </c>
      <c r="G1" s="12" t="n">
        <f aca="false">SUM(G5:G300)</f>
        <v>5726.66666666667</v>
      </c>
      <c r="H1" s="12" t="n">
        <f aca="false">SUM(H5:H300)</f>
        <v>28633.3333333333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34360</v>
      </c>
      <c r="M1" s="17" t="n">
        <f aca="true">TODAY()</f>
        <v>46294</v>
      </c>
      <c r="N1" s="18"/>
      <c r="O1" s="12" t="n">
        <f aca="false">SUM(O5:O300)</f>
        <v>26333.3333333333</v>
      </c>
      <c r="P1" s="12" t="n">
        <f aca="false">SUM(P5:P300)</f>
        <v>800</v>
      </c>
      <c r="Q1" s="12" t="n">
        <f aca="false">SUM(Q5:Q300)</f>
        <v>1500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Aug!G2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Aug!G4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46633</v>
      </c>
      <c r="B5" s="2" t="s">
        <v>46</v>
      </c>
      <c r="C5" s="3" t="s">
        <v>187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-339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46635</v>
      </c>
      <c r="B6" s="2" t="s">
        <v>49</v>
      </c>
      <c r="C6" s="3" t="s">
        <v>188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-341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46638</v>
      </c>
      <c r="B7" s="2" t="s">
        <v>52</v>
      </c>
      <c r="C7" s="3" t="s">
        <v>189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-344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46640</v>
      </c>
      <c r="B8" s="2" t="s">
        <v>57</v>
      </c>
      <c r="C8" s="3" t="s">
        <v>190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-346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46645</v>
      </c>
      <c r="B9" s="2" t="s">
        <v>17</v>
      </c>
      <c r="C9" s="3" t="s">
        <v>191</v>
      </c>
      <c r="D9" s="40" t="s">
        <v>61</v>
      </c>
      <c r="E9" s="4" t="s">
        <v>55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-351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46648</v>
      </c>
      <c r="B10" s="2" t="s">
        <v>62</v>
      </c>
      <c r="C10" s="3" t="s">
        <v>192</v>
      </c>
      <c r="D10" s="40" t="s">
        <v>64</v>
      </c>
      <c r="E10" s="4" t="s">
        <v>55</v>
      </c>
      <c r="F10" s="2" t="n">
        <v>2400</v>
      </c>
      <c r="G10" s="2" t="n">
        <f aca="false">IF(G$4&gt;0,(IF(F10&lt;&gt;0,F10*G$4/100," ")),IF(F10&lt;&gt;0,F10*G$2/(100+G$2)," "))</f>
        <v>400</v>
      </c>
      <c r="H10" s="2" t="n">
        <f aca="false">IF((F10&lt;&gt;0),F10-G10," ")</f>
        <v>2000</v>
      </c>
      <c r="L10" s="7" t="n">
        <f aca="false">IF(F10&lt;&gt;0,F10-K10," ")</f>
        <v>2400</v>
      </c>
      <c r="M10" s="8" t="n">
        <f aca="false">IF((F10-K10)&lt;&gt;0,M$1-A10," ")</f>
        <v>-354</v>
      </c>
      <c r="O10" s="2" t="n">
        <f aca="false">IF((E10="a"),H10," ")</f>
        <v>2000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46650</v>
      </c>
      <c r="B11" s="2" t="s">
        <v>65</v>
      </c>
      <c r="C11" s="3" t="s">
        <v>193</v>
      </c>
      <c r="D11" s="40" t="s">
        <v>67</v>
      </c>
      <c r="E11" s="4" t="s">
        <v>55</v>
      </c>
      <c r="F11" s="2" t="n">
        <v>1800</v>
      </c>
      <c r="G11" s="2" t="n">
        <f aca="false">IF(G$4&gt;0,(IF(F11&lt;&gt;0,F11*G$4/100," ")),IF(F11&lt;&gt;0,F11*G$2/(100+G$2)," "))</f>
        <v>300</v>
      </c>
      <c r="H11" s="2" t="n">
        <f aca="false">IF((F11&lt;&gt;0),F11-G11," ")</f>
        <v>1500</v>
      </c>
      <c r="L11" s="7" t="n">
        <f aca="false">IF(F11&lt;&gt;0,F11-K11," ")</f>
        <v>1800</v>
      </c>
      <c r="M11" s="8" t="n">
        <f aca="false">IF((F11-K11)&lt;&gt;0,M$1-A11," ")</f>
        <v>-356</v>
      </c>
      <c r="O11" s="2" t="n">
        <f aca="false">IF((E11="a"),H11," ")</f>
        <v>1500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46650</v>
      </c>
      <c r="B12" s="2" t="s">
        <v>194</v>
      </c>
      <c r="C12" s="3" t="s">
        <v>195</v>
      </c>
      <c r="D12" s="40" t="s">
        <v>196</v>
      </c>
      <c r="E12" s="4" t="s">
        <v>84</v>
      </c>
      <c r="F12" s="2" t="n">
        <v>1800</v>
      </c>
      <c r="G12" s="2" t="n">
        <f aca="false">IF(G$4&gt;0,(IF(F12&lt;&gt;0,F12*G$4/100," ")),IF(F12&lt;&gt;0,F12*G$2/(100+G$2)," "))</f>
        <v>300</v>
      </c>
      <c r="H12" s="2" t="n">
        <f aca="false">IF((F12&lt;&gt;0),F12-G12," ")</f>
        <v>1500</v>
      </c>
      <c r="L12" s="7" t="n">
        <f aca="false">IF(F12&lt;&gt;0,F12-K12," ")</f>
        <v>1800</v>
      </c>
      <c r="M12" s="8" t="n">
        <f aca="false">IF((F12-K12)&lt;&gt;0,M$1-A12," ")</f>
        <v>-356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1500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85</v>
      </c>
    </row>
    <row r="13" customFormat="false" ht="12" hidden="false" customHeight="false" outlineLevel="0" collapsed="false">
      <c r="A13" s="1" t="n">
        <v>46655</v>
      </c>
      <c r="B13" s="2" t="s">
        <v>87</v>
      </c>
      <c r="C13" s="3" t="s">
        <v>197</v>
      </c>
      <c r="D13" s="40" t="s">
        <v>89</v>
      </c>
      <c r="E13" s="4" t="s">
        <v>55</v>
      </c>
      <c r="F13" s="2" t="n">
        <v>1200</v>
      </c>
      <c r="G13" s="2" t="n">
        <f aca="false">IF(G$4&gt;0,(IF(F13&lt;&gt;0,F13*G$4/100," ")),IF(F13&lt;&gt;0,F13*G$2/(100+G$2)," "))</f>
        <v>200</v>
      </c>
      <c r="H13" s="2" t="n">
        <f aca="false">IF((F13&lt;&gt;0),F13-G13," ")</f>
        <v>1000</v>
      </c>
      <c r="L13" s="7" t="n">
        <f aca="false">IF(F13&lt;&gt;0,F13-K13," ")</f>
        <v>1200</v>
      </c>
      <c r="M13" s="8" t="n">
        <f aca="false">IF((F13-K13)&lt;&gt;0,M$1-A13," ")</f>
        <v>-361</v>
      </c>
      <c r="O13" s="2" t="n">
        <f aca="false">IF((E13="a"),H13," ")</f>
        <v>1000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customFormat="fals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31360</v>
      </c>
      <c r="G1" s="12" t="n">
        <f aca="false">SUM(G5:G300)</f>
        <v>5226.66666666667</v>
      </c>
      <c r="H1" s="12" t="n">
        <f aca="false">SUM(H5:H300)</f>
        <v>26133.3333333333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31360</v>
      </c>
      <c r="M1" s="17" t="n">
        <f aca="true">TODAY()</f>
        <v>46294</v>
      </c>
      <c r="N1" s="18"/>
      <c r="O1" s="12" t="n">
        <f aca="false">SUM(O5:O300)</f>
        <v>25033.3333333333</v>
      </c>
      <c r="P1" s="12" t="n">
        <f aca="false">SUM(P5:P300)</f>
        <v>800</v>
      </c>
      <c r="Q1" s="12" t="n">
        <f aca="false">SUM(Q5:Q300)</f>
        <v>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300</v>
      </c>
      <c r="U1" s="12" t="n">
        <f aca="false">SUM(U5:U300)</f>
        <v>0</v>
      </c>
      <c r="V1" s="12" t="n">
        <f aca="false">SUM(V5:V300)</f>
        <v>0</v>
      </c>
      <c r="W1" s="12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Sep!G2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n">
        <f aca="false">Nov!U1+Dec!U1+Jan!U1+Feb!U1+Mar!U1+Apr!U1+May!U1+Jun!U1+Jul!U1+Aug!U1+Sep!U1+Oct!U1</f>
        <v>12500</v>
      </c>
      <c r="V2" s="21" t="s">
        <v>10</v>
      </c>
      <c r="W2" s="21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 t="s">
        <v>31</v>
      </c>
      <c r="V3" s="21" t="s">
        <v>15</v>
      </c>
      <c r="W3" s="21" t="s">
        <v>16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Sep!G4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46663</v>
      </c>
      <c r="B5" s="2" t="s">
        <v>46</v>
      </c>
      <c r="C5" s="3" t="s">
        <v>198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-369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46665</v>
      </c>
      <c r="B6" s="2" t="s">
        <v>49</v>
      </c>
      <c r="C6" s="3" t="s">
        <v>199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-371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46668</v>
      </c>
      <c r="B7" s="2" t="s">
        <v>52</v>
      </c>
      <c r="C7" s="3" t="s">
        <v>200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-374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46670</v>
      </c>
      <c r="B8" s="2" t="s">
        <v>57</v>
      </c>
      <c r="C8" s="3" t="s">
        <v>201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-376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46675</v>
      </c>
      <c r="B9" s="2" t="s">
        <v>17</v>
      </c>
      <c r="C9" s="3" t="s">
        <v>202</v>
      </c>
      <c r="D9" s="40" t="s">
        <v>61</v>
      </c>
      <c r="E9" s="4" t="s">
        <v>55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-381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46678</v>
      </c>
      <c r="B10" s="2" t="s">
        <v>62</v>
      </c>
      <c r="C10" s="3" t="s">
        <v>203</v>
      </c>
      <c r="D10" s="40" t="s">
        <v>64</v>
      </c>
      <c r="E10" s="4" t="s">
        <v>55</v>
      </c>
      <c r="F10" s="2" t="n">
        <v>2400</v>
      </c>
      <c r="G10" s="2" t="n">
        <f aca="false">IF(G$4&gt;0,(IF(F10&lt;&gt;0,F10*G$4/100," ")),IF(F10&lt;&gt;0,F10*G$2/(100+G$2)," "))</f>
        <v>400</v>
      </c>
      <c r="H10" s="2" t="n">
        <f aca="false">IF((F10&lt;&gt;0),F10-G10," ")</f>
        <v>2000</v>
      </c>
      <c r="L10" s="7" t="n">
        <f aca="false">IF(F10&lt;&gt;0,F10-K10," ")</f>
        <v>2400</v>
      </c>
      <c r="M10" s="8" t="n">
        <f aca="false">IF((F10-K10)&lt;&gt;0,M$1-A10," ")</f>
        <v>-384</v>
      </c>
      <c r="O10" s="2" t="n">
        <f aca="false">IF((E10="a"),H10," ")</f>
        <v>2000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46682</v>
      </c>
      <c r="B11" s="2" t="s">
        <v>99</v>
      </c>
      <c r="C11" s="3" t="s">
        <v>204</v>
      </c>
      <c r="D11" s="40" t="s">
        <v>101</v>
      </c>
      <c r="E11" s="4" t="s">
        <v>55</v>
      </c>
      <c r="F11" s="2" t="n">
        <v>1440</v>
      </c>
      <c r="G11" s="2" t="n">
        <f aca="false">IF(G$4&gt;0,(IF(F11&lt;&gt;0,F11*G$4/100," ")),IF(F11&lt;&gt;0,F11*G$2/(100+G$2)," "))</f>
        <v>240</v>
      </c>
      <c r="H11" s="2" t="n">
        <f aca="false">IF((F11&lt;&gt;0),F11-G11," ")</f>
        <v>1200</v>
      </c>
      <c r="L11" s="7" t="n">
        <f aca="false">IF(F11&lt;&gt;0,F11-K11," ")</f>
        <v>1440</v>
      </c>
      <c r="M11" s="8" t="n">
        <f aca="false">IF((F11-K11)&lt;&gt;0,M$1-A11," ")</f>
        <v>-388</v>
      </c>
      <c r="O11" s="2" t="n">
        <f aca="false">IF((E11="a"),H11," ")</f>
        <v>1200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46691</v>
      </c>
      <c r="B12" s="2" t="s">
        <v>205</v>
      </c>
      <c r="C12" s="3" t="s">
        <v>206</v>
      </c>
      <c r="D12" s="40" t="s">
        <v>207</v>
      </c>
      <c r="E12" s="4" t="s">
        <v>208</v>
      </c>
      <c r="F12" s="2" t="n">
        <v>360</v>
      </c>
      <c r="G12" s="2" t="n">
        <f aca="false">IF(G$4&gt;0,(IF(F12&lt;&gt;0,F12*G$4/100," ")),IF(F12&lt;&gt;0,F12*G$2/(100+G$2)," "))</f>
        <v>60</v>
      </c>
      <c r="H12" s="2" t="n">
        <f aca="false">IF((F12&lt;&gt;0),F12-G12," ")</f>
        <v>300</v>
      </c>
      <c r="L12" s="7" t="n">
        <f aca="false">IF(F12&lt;&gt;0,F12-K12," ")</f>
        <v>360</v>
      </c>
      <c r="M12" s="8" t="n">
        <f aca="false">IF((F12-K12)&lt;&gt;0,M$1-A12," ")</f>
        <v>-397</v>
      </c>
      <c r="O12" s="2" t="str">
        <f aca="false">IF((E12="a"),H12," ")</f>
        <v> 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n">
        <f aca="false">IF((E12="o"),H12," ")</f>
        <v>300</v>
      </c>
      <c r="U12" s="2" t="str">
        <f aca="false">IF((E12="FS"),H12," ")</f>
        <v> </v>
      </c>
      <c r="BZ12" s="2" t="s">
        <v>209</v>
      </c>
    </row>
    <row r="13" customFormat="false" ht="12" hidden="false" customHeight="false" outlineLevel="0" collapsed="false">
      <c r="G13" s="2" t="str">
        <f aca="false">IF(G$4&gt;0,(IF(F13&lt;&gt;0,F13*G$4/100," ")),IF(F13&lt;&gt;0,F13*G$2/(100+G$2)," "))</f>
        <v> </v>
      </c>
      <c r="H13" s="2" t="str">
        <f aca="false">IF((F13&lt;&gt;0),F13-G13," ")</f>
        <v> </v>
      </c>
      <c r="L13" s="7" t="str">
        <f aca="false">IF(F13&lt;&gt;0,F13-K13," ")</f>
        <v> </v>
      </c>
      <c r="M13" s="8" t="str">
        <f aca="false">IF((F13-K13)&lt;&gt;0,M$1-A13," ")</f>
        <v> </v>
      </c>
      <c r="O13" s="2" t="str">
        <f aca="false">IF((E13="a"),H13," ")</f>
        <v> 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2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15.32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false" hidden="false" outlineLevel="0" max="257" min="15" style="2" width="9.15"/>
  </cols>
  <sheetData>
    <row r="1" customFormat="false" ht="13.5" hidden="false" customHeight="true" outlineLevel="0" collapsed="false">
      <c r="A1" s="9" t="s">
        <v>210</v>
      </c>
      <c r="B1" s="9"/>
      <c r="C1" s="10" t="n">
        <f aca="false">IF([1]TrialBalance!$EJ$20&gt;0,[1]TrialBalance!$EJ$20,0)</f>
        <v>7900</v>
      </c>
      <c r="D1" s="11" t="s">
        <v>1</v>
      </c>
      <c r="E1" s="11"/>
      <c r="F1" s="12" t="n">
        <f aca="false">SUM(F5:F300)</f>
        <v>0</v>
      </c>
      <c r="G1" s="12" t="n">
        <f aca="false">SUM(G5:G300)</f>
        <v>0</v>
      </c>
      <c r="H1" s="12" t="n">
        <f aca="false">SUM(H5:H300)</f>
        <v>7900</v>
      </c>
      <c r="I1" s="13"/>
      <c r="J1" s="14" t="s">
        <v>2</v>
      </c>
      <c r="K1" s="15" t="n">
        <f aca="false">SUM(K5:K300)</f>
        <v>0</v>
      </c>
      <c r="L1" s="16" t="n">
        <f aca="false">SUM(L5:L300)</f>
        <v>0</v>
      </c>
      <c r="M1" s="17" t="n">
        <f aca="true">TODAY()</f>
        <v>46294</v>
      </c>
      <c r="N1" s="18"/>
      <c r="O1" s="12" t="n">
        <f aca="false">SUM(O5:O300)</f>
        <v>0</v>
      </c>
      <c r="P1" s="12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customFormat="false" ht="12.75" hidden="false" customHeight="true" outlineLevel="0" collapsed="false">
      <c r="A2" s="20" t="s">
        <v>3</v>
      </c>
      <c r="B2" s="21" t="s">
        <v>4</v>
      </c>
      <c r="C2" s="22" t="s">
        <v>5</v>
      </c>
      <c r="D2" s="23" t="s">
        <v>6</v>
      </c>
      <c r="E2" s="24"/>
      <c r="F2" s="21" t="s">
        <v>7</v>
      </c>
      <c r="G2" s="25" t="n">
        <f aca="false">Oct!G2</f>
        <v>20</v>
      </c>
      <c r="H2" s="21" t="s">
        <v>8</v>
      </c>
      <c r="I2" s="13"/>
      <c r="J2" s="14"/>
      <c r="K2" s="26" t="s">
        <v>9</v>
      </c>
      <c r="L2" s="26"/>
      <c r="M2" s="26"/>
      <c r="N2" s="18"/>
      <c r="O2" s="21" t="s">
        <v>10</v>
      </c>
      <c r="P2" s="21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</row>
    <row r="3" customFormat="fals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21" t="s">
        <v>15</v>
      </c>
      <c r="P3" s="21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</row>
    <row r="4" customFormat="false" ht="12.75" hidden="false" customHeight="true" outlineLevel="0" collapsed="false">
      <c r="A4" s="20"/>
      <c r="B4" s="20"/>
      <c r="C4" s="20"/>
      <c r="D4" s="23"/>
      <c r="E4" s="23"/>
      <c r="F4" s="21"/>
      <c r="G4" s="31" t="n">
        <f aca="false">Oct!G4</f>
        <v>0</v>
      </c>
      <c r="H4" s="21"/>
      <c r="I4" s="13"/>
      <c r="J4" s="14"/>
      <c r="K4" s="27"/>
      <c r="L4" s="28"/>
      <c r="M4" s="28"/>
      <c r="N4" s="18"/>
      <c r="O4" s="21"/>
      <c r="P4" s="21"/>
    </row>
    <row r="5" customFormat="false" ht="12.75" hidden="false" customHeight="true" outlineLevel="0" collapsed="false">
      <c r="B5" s="2" t="s">
        <v>17</v>
      </c>
      <c r="C5" s="3" t="s">
        <v>202</v>
      </c>
      <c r="G5" s="2" t="str">
        <f aca="false">IF(G$4&gt;0,(IF(F5&lt;&gt;0,F5*G$4/100," ")),IF(F5&lt;&gt;0,F5*G$2/(100+G$2)," "))</f>
        <v> </v>
      </c>
      <c r="H5" s="2" t="n">
        <v>6100</v>
      </c>
      <c r="L5" s="7" t="str">
        <f aca="false">IF(F5&lt;&gt;0,F5-K5," ")</f>
        <v> </v>
      </c>
      <c r="M5" s="8" t="str">
        <f aca="false">IF((F5-K5)&lt;&gt;0,M$1-A5," ")</f>
        <v> </v>
      </c>
    </row>
    <row r="6" customFormat="false" ht="12.75" hidden="false" customHeight="true" outlineLevel="0" collapsed="false">
      <c r="B6" s="2" t="s">
        <v>99</v>
      </c>
      <c r="C6" s="3" t="s">
        <v>204</v>
      </c>
      <c r="G6" s="2" t="str">
        <f aca="false">IF(G$4&gt;0,(IF(F6&lt;&gt;0,F6*G$4/100," ")),IF(F6&lt;&gt;0,F6*G$2/(100+G$2)," "))</f>
        <v> </v>
      </c>
      <c r="H6" s="2" t="n">
        <v>1440</v>
      </c>
      <c r="L6" s="7" t="str">
        <f aca="false">IF(F6&lt;&gt;0,F6-K6," ")</f>
        <v> </v>
      </c>
      <c r="M6" s="8" t="str">
        <f aca="false">IF((F6-K6)&lt;&gt;0,M$1-A6," ")</f>
        <v> </v>
      </c>
    </row>
    <row r="7" customFormat="false" ht="12" hidden="false" customHeight="false" outlineLevel="0" collapsed="false">
      <c r="B7" s="2" t="s">
        <v>205</v>
      </c>
      <c r="C7" s="3" t="s">
        <v>206</v>
      </c>
      <c r="G7" s="2" t="str">
        <f aca="false">IF(G$4&gt;0,(IF(F7&lt;&gt;0,F7*G$4/100," ")),IF(F7&lt;&gt;0,F7*G$2/(100+G$2)," "))</f>
        <v> </v>
      </c>
      <c r="H7" s="2" t="n">
        <v>360</v>
      </c>
      <c r="L7" s="7" t="str">
        <f aca="false">IF(F7&lt;&gt;0,F7-K7," ")</f>
        <v> </v>
      </c>
      <c r="M7" s="8" t="str">
        <f aca="false">IF((F7-K7)&lt;&gt;0,M$1-A7," ")</f>
        <v> </v>
      </c>
    </row>
    <row r="8" customFormat="false" ht="12" hidden="false" customHeight="false" outlineLevel="0" collapsed="false">
      <c r="G8" s="2" t="str">
        <f aca="false">IF(G$4&gt;0,(IF(F8&lt;&gt;0,F8*G$4/100," ")),IF(F8&lt;&gt;0,F8*G$2/(100+G$2)," "))</f>
        <v> </v>
      </c>
      <c r="L8" s="7" t="str">
        <f aca="false">IF(F8&lt;&gt;0,F8-K8," ")</f>
        <v> </v>
      </c>
      <c r="M8" s="8" t="str">
        <f aca="false">IF((F8-K8)&lt;&gt;0,M$1-A8," ")</f>
        <v> </v>
      </c>
    </row>
    <row r="9" customFormat="false" ht="12" hidden="false" customHeight="false" outlineLevel="0" collapsed="false">
      <c r="G9" s="2" t="str">
        <f aca="false">IF(G$4&gt;0,(IF(F9&lt;&gt;0,F9*G$4/100," ")),IF(F9&lt;&gt;0,F9*G$2/(100+G$2)," "))</f>
        <v> </v>
      </c>
      <c r="L9" s="7" t="str">
        <f aca="false">IF(F9&lt;&gt;0,F9-K9," ")</f>
        <v> </v>
      </c>
      <c r="M9" s="8" t="str">
        <f aca="false">IF((F9-K9)&lt;&gt;0,M$1-A9," ")</f>
        <v> </v>
      </c>
    </row>
    <row r="10" customFormat="false" ht="12" hidden="false" customHeight="false" outlineLevel="0" collapsed="false">
      <c r="G10" s="2" t="str">
        <f aca="false">IF(G$4&gt;0,(IF(F10&lt;&gt;0,F10*G$4/100," ")),IF(F10&lt;&gt;0,F10*G$2/(100+G$2)," "))</f>
        <v> </v>
      </c>
      <c r="L10" s="7" t="str">
        <f aca="false">IF(F10&lt;&gt;0,F10-K10," ")</f>
        <v> </v>
      </c>
      <c r="M10" s="8" t="str">
        <f aca="false">IF((F10-K10)&lt;&gt;0,M$1-A10," ")</f>
        <v> </v>
      </c>
    </row>
    <row r="11" customFormat="false" ht="12" hidden="false" customHeight="false" outlineLevel="0" collapsed="false">
      <c r="G11" s="2" t="str">
        <f aca="false">IF(G$4&gt;0,(IF(F11&lt;&gt;0,F11*G$4/100," ")),IF(F11&lt;&gt;0,F11*G$2/(100+G$2)," "))</f>
        <v> </v>
      </c>
      <c r="L11" s="7" t="str">
        <f aca="false">IF(F11&lt;&gt;0,F11-K11," ")</f>
        <v> </v>
      </c>
      <c r="M11" s="8" t="str">
        <f aca="false">IF((F11-K11)&lt;&gt;0,M$1-A11," ")</f>
        <v> </v>
      </c>
    </row>
    <row r="12" customFormat="false" ht="12" hidden="false" customHeight="false" outlineLevel="0" collapsed="false">
      <c r="G12" s="2" t="str">
        <f aca="false">IF(G$4&gt;0,(IF(F12&lt;&gt;0,F12*G$4/100," ")),IF(F12&lt;&gt;0,F12*G$2/(100+G$2)," "))</f>
        <v> </v>
      </c>
      <c r="L12" s="7" t="str">
        <f aca="false">IF(F12&lt;&gt;0,F12-K12," ")</f>
        <v> </v>
      </c>
      <c r="M12" s="8" t="str">
        <f aca="false">IF((F12-K12)&lt;&gt;0,M$1-A12," ")</f>
        <v> </v>
      </c>
    </row>
    <row r="13" customFormat="false" ht="12" hidden="false" customHeight="false" outlineLevel="0" collapsed="false">
      <c r="G13" s="2" t="str">
        <f aca="false">IF(G$4&gt;0,(IF(F13&lt;&gt;0,F13*G$4/100," ")),IF(F13&lt;&gt;0,F13*G$2/(100+G$2)," "))</f>
        <v> </v>
      </c>
      <c r="L13" s="7" t="str">
        <f aca="false">IF(F13&lt;&gt;0,F13-K13," ")</f>
        <v> </v>
      </c>
      <c r="M13" s="8" t="str">
        <f aca="false">IF((F13-K13)&lt;&gt;0,M$1-A13,"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L14" s="7" t="str">
        <f aca="false">IF(F14&lt;&gt;0,F14-K14," ")</f>
        <v> </v>
      </c>
      <c r="M14" s="8" t="str">
        <f aca="false">IF((F14-K14)&lt;&gt;0,M$1-A14,"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L15" s="7" t="str">
        <f aca="false">IF(F15&lt;&gt;0,F15-K15," ")</f>
        <v> </v>
      </c>
      <c r="M15" s="8" t="str">
        <f aca="false">IF((F15-K15)&lt;&gt;0,M$1-A15,"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L16" s="7" t="str">
        <f aca="false">IF(F16&lt;&gt;0,F16-K16," ")</f>
        <v> </v>
      </c>
      <c r="M16" s="8" t="str">
        <f aca="false">IF((F16-K16)&lt;&gt;0,M$1-A16,"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L17" s="7" t="str">
        <f aca="false">IF(F17&lt;&gt;0,F17-K17," ")</f>
        <v> </v>
      </c>
      <c r="M17" s="8" t="str">
        <f aca="false">IF((F17-K17)&lt;&gt;0,M$1-A17,"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L18" s="7" t="str">
        <f aca="false">IF(F18&lt;&gt;0,F18-K18," ")</f>
        <v> </v>
      </c>
      <c r="M18" s="8" t="str">
        <f aca="false">IF((F18-K18)&lt;&gt;0,M$1-A18,"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L19" s="7" t="str">
        <f aca="false">IF(F19&lt;&gt;0,F19-K19," ")</f>
        <v> </v>
      </c>
      <c r="M19" s="8" t="str">
        <f aca="false">IF((F19-K19)&lt;&gt;0,M$1-A19,"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L20" s="7" t="str">
        <f aca="false">IF(F20&lt;&gt;0,F20-K20," ")</f>
        <v> </v>
      </c>
      <c r="M20" s="8" t="str">
        <f aca="false">IF((F20-K20)&lt;&gt;0,M$1-A20,"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L21" s="7" t="str">
        <f aca="false">IF(F21&lt;&gt;0,F21-K21," ")</f>
        <v> </v>
      </c>
      <c r="M21" s="8" t="str">
        <f aca="false">IF((F21-K21)&lt;&gt;0,M$1-A21,"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L22" s="7" t="str">
        <f aca="false">IF(F22&lt;&gt;0,F22-K22," ")</f>
        <v> </v>
      </c>
      <c r="M22" s="8" t="str">
        <f aca="false">IF((F22-K22)&lt;&gt;0,M$1-A22,"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L23" s="7" t="str">
        <f aca="false">IF(F23&lt;&gt;0,F23-K23," ")</f>
        <v> </v>
      </c>
      <c r="M23" s="8" t="str">
        <f aca="false">IF((F23-K23)&lt;&gt;0,M$1-A23,"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L24" s="7" t="str">
        <f aca="false">IF(F24&lt;&gt;0,F24-K24," ")</f>
        <v> </v>
      </c>
      <c r="M24" s="8" t="str">
        <f aca="false">IF((F24-K24)&lt;&gt;0,M$1-A24,"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L25" s="7" t="str">
        <f aca="false">IF(F25&lt;&gt;0,F25-K25," ")</f>
        <v> </v>
      </c>
      <c r="M25" s="8" t="str">
        <f aca="false">IF((F25-K25)&lt;&gt;0,M$1-A25,"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L26" s="7" t="str">
        <f aca="false">IF(F26&lt;&gt;0,F26-K26," ")</f>
        <v> </v>
      </c>
      <c r="M26" s="8" t="str">
        <f aca="false">IF((F26-K26)&lt;&gt;0,M$1-A26,"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L27" s="7" t="str">
        <f aca="false">IF(F27&lt;&gt;0,F27-K27," ")</f>
        <v> </v>
      </c>
      <c r="M27" s="8" t="str">
        <f aca="false">IF((F27-K27)&lt;&gt;0,M$1-A27,"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L28" s="7" t="str">
        <f aca="false">IF(F28&lt;&gt;0,F28-K28," ")</f>
        <v> </v>
      </c>
      <c r="M28" s="8" t="str">
        <f aca="false">IF((F28-K28)&lt;&gt;0,M$1-A28,"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L29" s="7" t="str">
        <f aca="false">IF(F29&lt;&gt;0,F29-K29," ")</f>
        <v> </v>
      </c>
      <c r="M29" s="8" t="str">
        <f aca="false">IF((F29-K29)&lt;&gt;0,M$1-A29,"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L30" s="7" t="str">
        <f aca="false">IF(F30&lt;&gt;0,F30-K30," ")</f>
        <v> </v>
      </c>
      <c r="M30" s="8" t="str">
        <f aca="false">IF((F30-K30)&lt;&gt;0,M$1-A30,"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L31" s="7" t="str">
        <f aca="false">IF(F31&lt;&gt;0,F31-K31," ")</f>
        <v> </v>
      </c>
      <c r="M31" s="8" t="str">
        <f aca="false">IF((F31-K31)&lt;&gt;0,M$1-A31,"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L32" s="7" t="str">
        <f aca="false">IF(F32&lt;&gt;0,F32-K32," ")</f>
        <v> </v>
      </c>
      <c r="M32" s="8" t="str">
        <f aca="false">IF((F32-K32)&lt;&gt;0,M$1-A32,"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L33" s="7" t="str">
        <f aca="false">IF(F33&lt;&gt;0,F33-K33," ")</f>
        <v> </v>
      </c>
      <c r="M33" s="8" t="str">
        <f aca="false">IF((F33-K33)&lt;&gt;0,M$1-A33,"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L34" s="7" t="str">
        <f aca="false">IF(F34&lt;&gt;0,F34-K34," ")</f>
        <v> </v>
      </c>
      <c r="M34" s="8" t="str">
        <f aca="false">IF((F34-K34)&lt;&gt;0,M$1-A34,"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L35" s="7" t="str">
        <f aca="false">IF(F35&lt;&gt;0,F35-K35," ")</f>
        <v> </v>
      </c>
      <c r="M35" s="8" t="str">
        <f aca="false">IF((F35-K35)&lt;&gt;0,M$1-A35,"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L36" s="7" t="str">
        <f aca="false">IF(F36&lt;&gt;0,F36-K36," ")</f>
        <v> </v>
      </c>
      <c r="M36" s="8" t="str">
        <f aca="false">IF((F36-K36)&lt;&gt;0,M$1-A36,"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L37" s="7" t="str">
        <f aca="false">IF(F37&lt;&gt;0,F37-K37," ")</f>
        <v> </v>
      </c>
      <c r="M37" s="8" t="str">
        <f aca="false">IF((F37-K37)&lt;&gt;0,M$1-A37,"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L38" s="7" t="str">
        <f aca="false">IF(F38&lt;&gt;0,F38-K38," ")</f>
        <v> </v>
      </c>
      <c r="M38" s="8" t="str">
        <f aca="false">IF((F38-K38)&lt;&gt;0,M$1-A38,"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L39" s="7" t="str">
        <f aca="false">IF(F39&lt;&gt;0,F39-K39," ")</f>
        <v> </v>
      </c>
      <c r="M39" s="8" t="str">
        <f aca="false">IF((F39-K39)&lt;&gt;0,M$1-A39,"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L40" s="7" t="str">
        <f aca="false">IF(F40&lt;&gt;0,F40-K40," ")</f>
        <v> </v>
      </c>
      <c r="M40" s="8" t="str">
        <f aca="false">IF((F40-K40)&lt;&gt;0,M$1-A40,"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L41" s="7" t="str">
        <f aca="false">IF(F41&lt;&gt;0,F41-K41," ")</f>
        <v> </v>
      </c>
      <c r="M41" s="8" t="str">
        <f aca="false">IF((F41-K41)&lt;&gt;0,M$1-A41,"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L42" s="7" t="str">
        <f aca="false">IF(F42&lt;&gt;0,F42-K42," ")</f>
        <v> </v>
      </c>
      <c r="M42" s="8" t="str">
        <f aca="false">IF((F42-K42)&lt;&gt;0,M$1-A42,"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L43" s="7" t="str">
        <f aca="false">IF(F43&lt;&gt;0,F43-K43," ")</f>
        <v> </v>
      </c>
      <c r="M43" s="8" t="str">
        <f aca="false">IF((F43-K43)&lt;&gt;0,M$1-A43,"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L44" s="7" t="str">
        <f aca="false">IF(F44&lt;&gt;0,F44-K44," ")</f>
        <v> </v>
      </c>
      <c r="M44" s="8" t="str">
        <f aca="false">IF((F44-K44)&lt;&gt;0,M$1-A44,"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L45" s="7" t="str">
        <f aca="false">IF(F45&lt;&gt;0,F45-K45," ")</f>
        <v> </v>
      </c>
      <c r="M45" s="8" t="str">
        <f aca="false">IF((F45-K45)&lt;&gt;0,M$1-A45,"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L46" s="7" t="str">
        <f aca="false">IF(F46&lt;&gt;0,F46-K46," ")</f>
        <v> </v>
      </c>
      <c r="M46" s="8" t="str">
        <f aca="false">IF((F46-K46)&lt;&gt;0,M$1-A46,"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L47" s="7" t="str">
        <f aca="false">IF(F47&lt;&gt;0,F47-K47," ")</f>
        <v> </v>
      </c>
      <c r="M47" s="8" t="str">
        <f aca="false">IF((F47-K47)&lt;&gt;0,M$1-A47,"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L48" s="7" t="str">
        <f aca="false">IF(F48&lt;&gt;0,F48-K48," ")</f>
        <v> </v>
      </c>
      <c r="M48" s="8" t="str">
        <f aca="false">IF((F48-K48)&lt;&gt;0,M$1-A48,"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L49" s="7" t="str">
        <f aca="false">IF(F49&lt;&gt;0,F49-K49," ")</f>
        <v> </v>
      </c>
      <c r="M49" s="8" t="str">
        <f aca="false">IF((F49-K49)&lt;&gt;0,M$1-A49,"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L50" s="7" t="str">
        <f aca="false">IF(F50&lt;&gt;0,F50-K50," ")</f>
        <v> </v>
      </c>
      <c r="M50" s="8" t="str">
        <f aca="false">IF((F50-K50)&lt;&gt;0,M$1-A50,"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L51" s="7" t="str">
        <f aca="false">IF(F51&lt;&gt;0,F51-K51," ")</f>
        <v> </v>
      </c>
      <c r="M51" s="8" t="str">
        <f aca="false">IF((F51-K51)&lt;&gt;0,M$1-A51,"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L52" s="7" t="str">
        <f aca="false">IF(F52&lt;&gt;0,F52-K52," ")</f>
        <v> </v>
      </c>
      <c r="M52" s="8" t="str">
        <f aca="false">IF((F52-K52)&lt;&gt;0,M$1-A52,"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L53" s="7" t="str">
        <f aca="false">IF(F53&lt;&gt;0,F53-K53," ")</f>
        <v> </v>
      </c>
      <c r="M53" s="8" t="str">
        <f aca="false">IF((F53-K53)&lt;&gt;0,M$1-A53,"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L54" s="7" t="str">
        <f aca="false">IF(F54&lt;&gt;0,F54-K54," ")</f>
        <v> </v>
      </c>
      <c r="M54" s="8" t="str">
        <f aca="false">IF((F54-K54)&lt;&gt;0,M$1-A54,"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L55" s="7" t="str">
        <f aca="false">IF(F55&lt;&gt;0,F55-K55," ")</f>
        <v> </v>
      </c>
      <c r="M55" s="8" t="str">
        <f aca="false">IF((F55-K55)&lt;&gt;0,M$1-A55,"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L56" s="7" t="str">
        <f aca="false">IF(F56&lt;&gt;0,F56-K56," ")</f>
        <v> </v>
      </c>
      <c r="M56" s="8" t="str">
        <f aca="false">IF((F56-K56)&lt;&gt;0,M$1-A56,"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L57" s="7" t="str">
        <f aca="false">IF(F57&lt;&gt;0,F57-K57," ")</f>
        <v> </v>
      </c>
      <c r="M57" s="8" t="str">
        <f aca="false">IF((F57-K57)&lt;&gt;0,M$1-A57,"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L58" s="7" t="str">
        <f aca="false">IF(F58&lt;&gt;0,F58-K58," ")</f>
        <v> </v>
      </c>
      <c r="M58" s="8" t="str">
        <f aca="false">IF((F58-K58)&lt;&gt;0,M$1-A58,"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L59" s="7" t="str">
        <f aca="false">IF(F59&lt;&gt;0,F59-K59," ")</f>
        <v> </v>
      </c>
      <c r="M59" s="8" t="str">
        <f aca="false">IF((F59-K59)&lt;&gt;0,M$1-A59,"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L60" s="7" t="str">
        <f aca="false">IF(F60&lt;&gt;0,F60-K60," ")</f>
        <v> </v>
      </c>
      <c r="M60" s="8" t="str">
        <f aca="false">IF((F60-K60)&lt;&gt;0,M$1-A60,"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L61" s="7" t="str">
        <f aca="false">IF(F61&lt;&gt;0,F61-K61," ")</f>
        <v> </v>
      </c>
      <c r="M61" s="8" t="str">
        <f aca="false">IF((F61-K61)&lt;&gt;0,M$1-A61,"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L62" s="7" t="str">
        <f aca="false">IF(F62&lt;&gt;0,F62-K62," ")</f>
        <v> </v>
      </c>
      <c r="M62" s="8" t="str">
        <f aca="false">IF((F62-K62)&lt;&gt;0,M$1-A62,"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L63" s="7" t="str">
        <f aca="false">IF(F63&lt;&gt;0,F63-K63," ")</f>
        <v> </v>
      </c>
      <c r="M63" s="8" t="str">
        <f aca="false">IF((F63-K63)&lt;&gt;0,M$1-A63,"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L64" s="7" t="str">
        <f aca="false">IF(F64&lt;&gt;0,F64-K64," ")</f>
        <v> </v>
      </c>
      <c r="M64" s="8" t="str">
        <f aca="false">IF((F64-K64)&lt;&gt;0,M$1-A64,"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L65" s="7" t="str">
        <f aca="false">IF(F65&lt;&gt;0,F65-K65," ")</f>
        <v> </v>
      </c>
      <c r="M65" s="8" t="str">
        <f aca="false">IF((F65-K65)&lt;&gt;0,M$1-A65,"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L66" s="7" t="str">
        <f aca="false">IF(F66&lt;&gt;0,F66-K66," ")</f>
        <v> </v>
      </c>
      <c r="M66" s="8" t="str">
        <f aca="false">IF((F66-K66)&lt;&gt;0,M$1-A66,"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L67" s="7" t="str">
        <f aca="false">IF(F67&lt;&gt;0,F67-K67," ")</f>
        <v> </v>
      </c>
      <c r="M67" s="8" t="str">
        <f aca="false">IF((F67-K67)&lt;&gt;0,M$1-A67,"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L68" s="7" t="str">
        <f aca="false">IF(F68&lt;&gt;0,F68-K68," ")</f>
        <v> </v>
      </c>
      <c r="M68" s="8" t="str">
        <f aca="false">IF((F68-K68)&lt;&gt;0,M$1-A68,"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</row>
    <row r="70" customFormat="false" ht="12" hidden="false" customHeight="false" outlineLevel="0" collapsed="false"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</row>
    <row r="71" customFormat="false" ht="12" hidden="false" customHeight="false" outlineLevel="0" collapsed="false"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</row>
    <row r="72" customFormat="false" ht="12" hidden="false" customHeight="false" outlineLevel="0" collapsed="false"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</row>
    <row r="73" customFormat="false" ht="12" hidden="false" customHeight="false" outlineLevel="0" collapsed="false"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</row>
    <row r="74" customFormat="false" ht="12" hidden="false" customHeight="false" outlineLevel="0" collapsed="false"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</row>
    <row r="75" customFormat="false" ht="12" hidden="false" customHeight="false" outlineLevel="0" collapsed="false"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</row>
    <row r="76" customFormat="false" ht="12" hidden="false" customHeight="false" outlineLevel="0" collapsed="false"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</row>
    <row r="77" customFormat="false" ht="12" hidden="false" customHeight="false" outlineLevel="0" collapsed="false"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</row>
    <row r="78" customFormat="false" ht="12" hidden="false" customHeight="false" outlineLevel="0" collapsed="false"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</row>
    <row r="79" customFormat="false" ht="12" hidden="false" customHeight="false" outlineLevel="0" collapsed="false"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</row>
    <row r="80" customFormat="false" ht="12" hidden="false" customHeight="false" outlineLevel="0" collapsed="false"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</row>
    <row r="81" customFormat="false" ht="12" hidden="false" customHeight="false" outlineLevel="0" collapsed="false"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</row>
    <row r="82" customFormat="false" ht="12" hidden="false" customHeight="false" outlineLevel="0" collapsed="false"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</row>
    <row r="83" customFormat="false" ht="12" hidden="false" customHeight="false" outlineLevel="0" collapsed="false"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</row>
    <row r="84" customFormat="false" ht="12" hidden="false" customHeight="false" outlineLevel="0" collapsed="false"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</row>
    <row r="85" customFormat="false" ht="12" hidden="false" customHeight="false" outlineLevel="0" collapsed="false"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</row>
    <row r="86" customFormat="false" ht="12" hidden="false" customHeight="false" outlineLevel="0" collapsed="false"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</row>
    <row r="87" customFormat="false" ht="12" hidden="false" customHeight="false" outlineLevel="0" collapsed="false"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</row>
    <row r="88" customFormat="false" ht="12" hidden="false" customHeight="false" outlineLevel="0" collapsed="false"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</row>
    <row r="89" customFormat="false" ht="12" hidden="false" customHeight="false" outlineLevel="0" collapsed="false"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</row>
    <row r="90" customFormat="false" ht="12" hidden="false" customHeight="false" outlineLevel="0" collapsed="false"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</row>
    <row r="91" customFormat="false" ht="12" hidden="false" customHeight="false" outlineLevel="0" collapsed="false"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</row>
    <row r="92" customFormat="false" ht="12" hidden="false" customHeight="false" outlineLevel="0" collapsed="false"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</row>
    <row r="93" customFormat="false" ht="12" hidden="false" customHeight="false" outlineLevel="0" collapsed="false"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</row>
    <row r="94" customFormat="false" ht="12" hidden="false" customHeight="false" outlineLevel="0" collapsed="false"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</row>
    <row r="95" customFormat="false" ht="12" hidden="false" customHeight="false" outlineLevel="0" collapsed="false"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</row>
    <row r="96" customFormat="false" ht="12" hidden="false" customHeight="false" outlineLevel="0" collapsed="false"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</row>
    <row r="97" customFormat="false" ht="12" hidden="false" customHeight="false" outlineLevel="0" collapsed="false"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</row>
    <row r="98" customFormat="false" ht="12" hidden="false" customHeight="false" outlineLevel="0" collapsed="false"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</row>
    <row r="99" customFormat="false" ht="12" hidden="false" customHeight="false" outlineLevel="0" collapsed="false"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</row>
    <row r="100" customFormat="false" ht="12" hidden="false" customHeight="false" outlineLevel="0" collapsed="false"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</row>
    <row r="101" customFormat="false" ht="12" hidden="false" customHeight="false" outlineLevel="0" collapsed="false"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</row>
    <row r="102" customFormat="false" ht="12" hidden="false" customHeight="false" outlineLevel="0" collapsed="false"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</row>
    <row r="103" customFormat="false" ht="12" hidden="false" customHeight="false" outlineLevel="0" collapsed="false"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</row>
    <row r="104" customFormat="false" ht="12" hidden="false" customHeight="false" outlineLevel="0" collapsed="false"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</row>
    <row r="105" customFormat="false" ht="12" hidden="false" customHeight="false" outlineLevel="0" collapsed="false"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</row>
    <row r="106" customFormat="false" ht="12" hidden="false" customHeight="false" outlineLevel="0" collapsed="false"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</row>
    <row r="107" customFormat="false" ht="12" hidden="false" customHeight="false" outlineLevel="0" collapsed="false"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</row>
    <row r="108" customFormat="false" ht="12" hidden="false" customHeight="false" outlineLevel="0" collapsed="false"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</row>
    <row r="109" customFormat="false" ht="12" hidden="false" customHeight="false" outlineLevel="0" collapsed="false"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</row>
    <row r="110" customFormat="false" ht="12" hidden="false" customHeight="false" outlineLevel="0" collapsed="false"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</row>
    <row r="111" customFormat="false" ht="12" hidden="false" customHeight="false" outlineLevel="0" collapsed="false"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</row>
    <row r="112" customFormat="false" ht="12" hidden="false" customHeight="false" outlineLevel="0" collapsed="false"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</row>
    <row r="113" customFormat="false" ht="12" hidden="false" customHeight="false" outlineLevel="0" collapsed="false"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</row>
    <row r="114" customFormat="false" ht="12" hidden="false" customHeight="false" outlineLevel="0" collapsed="false"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</row>
    <row r="115" customFormat="false" ht="12" hidden="false" customHeight="false" outlineLevel="0" collapsed="false"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</row>
    <row r="116" customFormat="false" ht="12" hidden="false" customHeight="false" outlineLevel="0" collapsed="false"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</row>
    <row r="117" customFormat="false" ht="12" hidden="false" customHeight="false" outlineLevel="0" collapsed="false"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</row>
    <row r="118" customFormat="false" ht="12" hidden="false" customHeight="false" outlineLevel="0" collapsed="false"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</row>
    <row r="119" customFormat="false" ht="12" hidden="false" customHeight="false" outlineLevel="0" collapsed="false"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</row>
    <row r="120" customFormat="false" ht="12" hidden="false" customHeight="false" outlineLevel="0" collapsed="false"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</row>
    <row r="121" customFormat="false" ht="12" hidden="false" customHeight="false" outlineLevel="0" collapsed="false"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</row>
    <row r="122" customFormat="false" ht="12" hidden="false" customHeight="false" outlineLevel="0" collapsed="false"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</row>
    <row r="123" customFormat="false" ht="12" hidden="false" customHeight="false" outlineLevel="0" collapsed="false"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</row>
    <row r="124" customFormat="false" ht="12" hidden="false" customHeight="false" outlineLevel="0" collapsed="false"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</row>
    <row r="125" customFormat="false" ht="12" hidden="false" customHeight="false" outlineLevel="0" collapsed="false"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</row>
    <row r="126" customFormat="false" ht="12" hidden="false" customHeight="false" outlineLevel="0" collapsed="false"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</row>
    <row r="127" customFormat="false" ht="12" hidden="false" customHeight="false" outlineLevel="0" collapsed="false"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</row>
    <row r="128" customFormat="false" ht="12" hidden="false" customHeight="false" outlineLevel="0" collapsed="false"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</row>
    <row r="129" customFormat="false" ht="12" hidden="false" customHeight="false" outlineLevel="0" collapsed="false"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</row>
    <row r="130" customFormat="false" ht="12" hidden="false" customHeight="false" outlineLevel="0" collapsed="false"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</row>
    <row r="131" customFormat="false" ht="12" hidden="false" customHeight="false" outlineLevel="0" collapsed="false"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</row>
    <row r="132" customFormat="false" ht="12" hidden="false" customHeight="false" outlineLevel="0" collapsed="false"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</row>
    <row r="133" customFormat="false" ht="12" hidden="false" customHeight="false" outlineLevel="0" collapsed="false"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</row>
    <row r="134" customFormat="false" ht="12" hidden="false" customHeight="false" outlineLevel="0" collapsed="false"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</row>
    <row r="135" customFormat="false" ht="12" hidden="false" customHeight="false" outlineLevel="0" collapsed="false"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</row>
    <row r="136" customFormat="false" ht="12" hidden="false" customHeight="false" outlineLevel="0" collapsed="false"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</row>
    <row r="137" customFormat="false" ht="12" hidden="false" customHeight="false" outlineLevel="0" collapsed="false"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</row>
    <row r="138" customFormat="false" ht="12" hidden="false" customHeight="false" outlineLevel="0" collapsed="false"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</row>
    <row r="139" customFormat="false" ht="12" hidden="false" customHeight="false" outlineLevel="0" collapsed="false"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</row>
    <row r="140" customFormat="false" ht="12" hidden="false" customHeight="false" outlineLevel="0" collapsed="false"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</row>
    <row r="141" customFormat="false" ht="12" hidden="false" customHeight="false" outlineLevel="0" collapsed="false"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</row>
    <row r="142" customFormat="false" ht="12" hidden="false" customHeight="false" outlineLevel="0" collapsed="false"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</row>
    <row r="143" customFormat="false" ht="12" hidden="false" customHeight="false" outlineLevel="0" collapsed="false"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</row>
    <row r="144" customFormat="false" ht="12" hidden="false" customHeight="false" outlineLevel="0" collapsed="false"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</row>
    <row r="145" customFormat="false" ht="12" hidden="false" customHeight="false" outlineLevel="0" collapsed="false"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</row>
    <row r="146" customFormat="false" ht="12" hidden="false" customHeight="false" outlineLevel="0" collapsed="false"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</row>
    <row r="147" customFormat="false" ht="12" hidden="false" customHeight="false" outlineLevel="0" collapsed="false"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</row>
    <row r="148" customFormat="false" ht="12" hidden="false" customHeight="false" outlineLevel="0" collapsed="false"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</row>
    <row r="149" customFormat="false" ht="12" hidden="false" customHeight="false" outlineLevel="0" collapsed="false"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</row>
    <row r="150" customFormat="false" ht="12" hidden="false" customHeight="false" outlineLevel="0" collapsed="false"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</row>
    <row r="151" customFormat="false" ht="12" hidden="false" customHeight="false" outlineLevel="0" collapsed="false"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</row>
    <row r="152" customFormat="false" ht="12" hidden="false" customHeight="false" outlineLevel="0" collapsed="false"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</row>
    <row r="153" customFormat="false" ht="12" hidden="false" customHeight="false" outlineLevel="0" collapsed="false"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</row>
    <row r="154" customFormat="false" ht="12" hidden="false" customHeight="false" outlineLevel="0" collapsed="false"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</row>
    <row r="155" customFormat="false" ht="12" hidden="false" customHeight="false" outlineLevel="0" collapsed="false"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</row>
    <row r="156" customFormat="false" ht="12" hidden="false" customHeight="false" outlineLevel="0" collapsed="false"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</row>
    <row r="157" customFormat="false" ht="12" hidden="false" customHeight="false" outlineLevel="0" collapsed="false"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</row>
    <row r="158" customFormat="false" ht="12" hidden="false" customHeight="false" outlineLevel="0" collapsed="false"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</row>
    <row r="159" customFormat="false" ht="12" hidden="false" customHeight="false" outlineLevel="0" collapsed="false"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</row>
    <row r="160" customFormat="false" ht="12" hidden="false" customHeight="false" outlineLevel="0" collapsed="false"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</row>
    <row r="161" customFormat="false" ht="12" hidden="false" customHeight="false" outlineLevel="0" collapsed="false"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</row>
    <row r="162" customFormat="false" ht="12" hidden="false" customHeight="false" outlineLevel="0" collapsed="false"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</row>
    <row r="163" customFormat="false" ht="12" hidden="false" customHeight="false" outlineLevel="0" collapsed="false"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</row>
    <row r="164" customFormat="false" ht="12" hidden="false" customHeight="false" outlineLevel="0" collapsed="false"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</row>
    <row r="165" customFormat="false" ht="12" hidden="false" customHeight="false" outlineLevel="0" collapsed="false"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</row>
    <row r="166" customFormat="false" ht="12" hidden="false" customHeight="false" outlineLevel="0" collapsed="false"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</row>
    <row r="167" customFormat="false" ht="12" hidden="false" customHeight="false" outlineLevel="0" collapsed="false"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</row>
    <row r="168" customFormat="false" ht="12" hidden="false" customHeight="false" outlineLevel="0" collapsed="false"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</row>
    <row r="169" customFormat="false" ht="12" hidden="false" customHeight="false" outlineLevel="0" collapsed="false"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</row>
    <row r="170" customFormat="false" ht="12" hidden="false" customHeight="false" outlineLevel="0" collapsed="false"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</row>
    <row r="171" customFormat="false" ht="12" hidden="false" customHeight="false" outlineLevel="0" collapsed="false"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</row>
    <row r="172" customFormat="false" ht="12" hidden="false" customHeight="false" outlineLevel="0" collapsed="false"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</row>
    <row r="173" customFormat="false" ht="12" hidden="false" customHeight="false" outlineLevel="0" collapsed="false"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</row>
    <row r="174" customFormat="false" ht="12" hidden="false" customHeight="false" outlineLevel="0" collapsed="false"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</row>
    <row r="175" customFormat="false" ht="12" hidden="false" customHeight="false" outlineLevel="0" collapsed="false"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</row>
    <row r="176" customFormat="false" ht="12" hidden="false" customHeight="false" outlineLevel="0" collapsed="false"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</row>
    <row r="177" customFormat="false" ht="12" hidden="false" customHeight="false" outlineLevel="0" collapsed="false"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</row>
    <row r="178" customFormat="false" ht="12" hidden="false" customHeight="false" outlineLevel="0" collapsed="false"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</row>
    <row r="179" customFormat="false" ht="12" hidden="false" customHeight="false" outlineLevel="0" collapsed="false"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</row>
    <row r="180" customFormat="false" ht="12" hidden="false" customHeight="false" outlineLevel="0" collapsed="false"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</row>
    <row r="181" customFormat="false" ht="12" hidden="false" customHeight="false" outlineLevel="0" collapsed="false"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</row>
    <row r="182" customFormat="false" ht="12" hidden="false" customHeight="false" outlineLevel="0" collapsed="false"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</row>
    <row r="183" customFormat="false" ht="12" hidden="false" customHeight="false" outlineLevel="0" collapsed="false"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</row>
    <row r="184" customFormat="false" ht="12" hidden="false" customHeight="false" outlineLevel="0" collapsed="false"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</row>
    <row r="185" customFormat="false" ht="12" hidden="false" customHeight="false" outlineLevel="0" collapsed="false"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</row>
    <row r="186" customFormat="false" ht="12" hidden="false" customHeight="false" outlineLevel="0" collapsed="false"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</row>
    <row r="187" customFormat="false" ht="12" hidden="false" customHeight="false" outlineLevel="0" collapsed="false"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</row>
    <row r="188" customFormat="false" ht="12" hidden="false" customHeight="false" outlineLevel="0" collapsed="false"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</row>
    <row r="189" customFormat="false" ht="12" hidden="false" customHeight="false" outlineLevel="0" collapsed="false"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</row>
    <row r="190" customFormat="false" ht="12" hidden="false" customHeight="false" outlineLevel="0" collapsed="false"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</row>
    <row r="191" customFormat="false" ht="12" hidden="false" customHeight="false" outlineLevel="0" collapsed="false"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</row>
    <row r="192" customFormat="false" ht="12" hidden="false" customHeight="false" outlineLevel="0" collapsed="false"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</row>
    <row r="193" customFormat="false" ht="12" hidden="false" customHeight="false" outlineLevel="0" collapsed="false"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</row>
    <row r="194" customFormat="false" ht="12" hidden="false" customHeight="false" outlineLevel="0" collapsed="false"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</row>
    <row r="195" customFormat="false" ht="12" hidden="false" customHeight="false" outlineLevel="0" collapsed="false"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</row>
    <row r="196" customFormat="false" ht="12" hidden="false" customHeight="false" outlineLevel="0" collapsed="false"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</row>
    <row r="197" customFormat="false" ht="12" hidden="false" customHeight="false" outlineLevel="0" collapsed="false"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</row>
    <row r="198" customFormat="false" ht="12" hidden="false" customHeight="false" outlineLevel="0" collapsed="false"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</row>
    <row r="199" customFormat="false" ht="12" hidden="false" customHeight="false" outlineLevel="0" collapsed="false"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</row>
    <row r="200" customFormat="false" ht="12" hidden="false" customHeight="false" outlineLevel="0" collapsed="false"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</row>
    <row r="201" customFormat="false" ht="12" hidden="false" customHeight="false" outlineLevel="0" collapsed="false"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</row>
    <row r="202" customFormat="false" ht="12" hidden="false" customHeight="false" outlineLevel="0" collapsed="false"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</row>
    <row r="203" customFormat="false" ht="12" hidden="false" customHeight="false" outlineLevel="0" collapsed="false"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</row>
    <row r="204" customFormat="false" ht="12" hidden="false" customHeight="false" outlineLevel="0" collapsed="false"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</row>
    <row r="205" customFormat="false" ht="12" hidden="false" customHeight="false" outlineLevel="0" collapsed="false"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</row>
    <row r="206" customFormat="false" ht="12" hidden="false" customHeight="false" outlineLevel="0" collapsed="false"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</row>
    <row r="207" customFormat="false" ht="12" hidden="false" customHeight="false" outlineLevel="0" collapsed="false"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</row>
    <row r="208" customFormat="false" ht="12" hidden="false" customHeight="false" outlineLevel="0" collapsed="false"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</row>
    <row r="209" customFormat="false" ht="12" hidden="false" customHeight="false" outlineLevel="0" collapsed="false"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</row>
    <row r="210" customFormat="false" ht="12" hidden="false" customHeight="false" outlineLevel="0" collapsed="false"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</row>
    <row r="211" customFormat="false" ht="12" hidden="false" customHeight="false" outlineLevel="0" collapsed="false"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</row>
    <row r="212" customFormat="false" ht="12" hidden="false" customHeight="false" outlineLevel="0" collapsed="false"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</row>
    <row r="213" customFormat="false" ht="12" hidden="false" customHeight="false" outlineLevel="0" collapsed="false"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</row>
    <row r="214" customFormat="false" ht="12" hidden="false" customHeight="false" outlineLevel="0" collapsed="false"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</row>
    <row r="215" customFormat="false" ht="12" hidden="false" customHeight="false" outlineLevel="0" collapsed="false"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</row>
    <row r="216" customFormat="false" ht="12" hidden="false" customHeight="false" outlineLevel="0" collapsed="false"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</row>
    <row r="217" customFormat="false" ht="12" hidden="false" customHeight="false" outlineLevel="0" collapsed="false"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</row>
    <row r="218" customFormat="false" ht="12" hidden="false" customHeight="false" outlineLevel="0" collapsed="false"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</row>
    <row r="219" customFormat="false" ht="12" hidden="false" customHeight="false" outlineLevel="0" collapsed="false"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</row>
    <row r="220" customFormat="false" ht="12" hidden="false" customHeight="false" outlineLevel="0" collapsed="false"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</row>
    <row r="221" customFormat="false" ht="12" hidden="false" customHeight="false" outlineLevel="0" collapsed="false"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</row>
    <row r="222" customFormat="false" ht="12" hidden="false" customHeight="false" outlineLevel="0" collapsed="false"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</row>
    <row r="223" customFormat="false" ht="12" hidden="false" customHeight="false" outlineLevel="0" collapsed="false"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</row>
    <row r="224" customFormat="false" ht="12" hidden="false" customHeight="false" outlineLevel="0" collapsed="false"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</row>
    <row r="225" customFormat="false" ht="12" hidden="false" customHeight="false" outlineLevel="0" collapsed="false"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</row>
    <row r="226" customFormat="false" ht="12" hidden="false" customHeight="false" outlineLevel="0" collapsed="false"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</row>
    <row r="227" customFormat="false" ht="12" hidden="false" customHeight="false" outlineLevel="0" collapsed="false"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</row>
    <row r="228" customFormat="false" ht="12" hidden="false" customHeight="false" outlineLevel="0" collapsed="false"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</row>
    <row r="229" customFormat="false" ht="12" hidden="false" customHeight="false" outlineLevel="0" collapsed="false"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</row>
    <row r="230" customFormat="false" ht="12" hidden="false" customHeight="false" outlineLevel="0" collapsed="false"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</row>
    <row r="231" customFormat="false" ht="12" hidden="false" customHeight="false" outlineLevel="0" collapsed="false"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</row>
    <row r="232" customFormat="false" ht="12" hidden="false" customHeight="false" outlineLevel="0" collapsed="false"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</row>
    <row r="233" customFormat="false" ht="12" hidden="false" customHeight="false" outlineLevel="0" collapsed="false"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</row>
    <row r="234" customFormat="false" ht="12" hidden="false" customHeight="false" outlineLevel="0" collapsed="false"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</row>
    <row r="235" customFormat="false" ht="12" hidden="false" customHeight="false" outlineLevel="0" collapsed="false"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</row>
    <row r="236" customFormat="false" ht="12" hidden="false" customHeight="false" outlineLevel="0" collapsed="false"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</row>
    <row r="237" customFormat="false" ht="12" hidden="false" customHeight="false" outlineLevel="0" collapsed="false"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</row>
    <row r="238" customFormat="false" ht="12" hidden="false" customHeight="false" outlineLevel="0" collapsed="false"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</row>
    <row r="239" customFormat="false" ht="12" hidden="false" customHeight="false" outlineLevel="0" collapsed="false"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</row>
    <row r="240" customFormat="false" ht="12" hidden="false" customHeight="false" outlineLevel="0" collapsed="false"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</row>
    <row r="241" customFormat="false" ht="12" hidden="false" customHeight="false" outlineLevel="0" collapsed="false"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</row>
    <row r="242" customFormat="false" ht="12" hidden="false" customHeight="false" outlineLevel="0" collapsed="false"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</row>
    <row r="243" customFormat="false" ht="12" hidden="false" customHeight="false" outlineLevel="0" collapsed="false"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</row>
    <row r="244" customFormat="false" ht="12" hidden="false" customHeight="false" outlineLevel="0" collapsed="false"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</row>
    <row r="245" customFormat="false" ht="12" hidden="false" customHeight="false" outlineLevel="0" collapsed="false"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</row>
    <row r="246" customFormat="false" ht="12" hidden="false" customHeight="false" outlineLevel="0" collapsed="false"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</row>
    <row r="247" customFormat="false" ht="12" hidden="false" customHeight="false" outlineLevel="0" collapsed="false"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</row>
    <row r="248" customFormat="false" ht="12" hidden="false" customHeight="false" outlineLevel="0" collapsed="false"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</row>
    <row r="249" customFormat="false" ht="12" hidden="false" customHeight="false" outlineLevel="0" collapsed="false"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</row>
    <row r="250" customFormat="false" ht="12" hidden="false" customHeight="false" outlineLevel="0" collapsed="false"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</row>
    <row r="251" customFormat="false" ht="12" hidden="false" customHeight="false" outlineLevel="0" collapsed="false"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</row>
    <row r="252" customFormat="false" ht="12" hidden="false" customHeight="false" outlineLevel="0" collapsed="false"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</row>
    <row r="253" customFormat="false" ht="12" hidden="false" customHeight="false" outlineLevel="0" collapsed="false"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</row>
    <row r="254" customFormat="false" ht="12" hidden="false" customHeight="false" outlineLevel="0" collapsed="false"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</row>
    <row r="255" customFormat="false" ht="12" hidden="false" customHeight="false" outlineLevel="0" collapsed="false"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</row>
    <row r="256" customFormat="false" ht="12" hidden="false" customHeight="false" outlineLevel="0" collapsed="false"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</row>
    <row r="257" customFormat="false" ht="12" hidden="false" customHeight="false" outlineLevel="0" collapsed="false"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</row>
    <row r="258" customFormat="false" ht="12" hidden="false" customHeight="false" outlineLevel="0" collapsed="false"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</row>
    <row r="259" customFormat="false" ht="12" hidden="false" customHeight="false" outlineLevel="0" collapsed="false"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</row>
    <row r="260" customFormat="false" ht="12" hidden="false" customHeight="false" outlineLevel="0" collapsed="false"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</row>
    <row r="261" customFormat="false" ht="12" hidden="false" customHeight="false" outlineLevel="0" collapsed="false"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</row>
    <row r="262" customFormat="false" ht="12" hidden="false" customHeight="false" outlineLevel="0" collapsed="false"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</row>
    <row r="263" customFormat="false" ht="12" hidden="false" customHeight="false" outlineLevel="0" collapsed="false"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</row>
    <row r="264" customFormat="false" ht="12" hidden="false" customHeight="false" outlineLevel="0" collapsed="false"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</row>
    <row r="265" customFormat="false" ht="12" hidden="false" customHeight="false" outlineLevel="0" collapsed="false"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</row>
    <row r="266" customFormat="false" ht="12" hidden="false" customHeight="false" outlineLevel="0" collapsed="false"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</row>
    <row r="267" customFormat="false" ht="12" hidden="false" customHeight="false" outlineLevel="0" collapsed="false"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</row>
    <row r="268" customFormat="false" ht="12" hidden="false" customHeight="false" outlineLevel="0" collapsed="false"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</row>
    <row r="269" customFormat="false" ht="12" hidden="false" customHeight="false" outlineLevel="0" collapsed="false"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</row>
    <row r="270" customFormat="false" ht="12" hidden="false" customHeight="false" outlineLevel="0" collapsed="false"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</row>
    <row r="271" customFormat="false" ht="12" hidden="false" customHeight="false" outlineLevel="0" collapsed="false"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</row>
    <row r="272" customFormat="false" ht="12" hidden="false" customHeight="false" outlineLevel="0" collapsed="false"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</row>
    <row r="273" customFormat="false" ht="12" hidden="false" customHeight="false" outlineLevel="0" collapsed="false"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</row>
    <row r="274" customFormat="false" ht="12" hidden="false" customHeight="false" outlineLevel="0" collapsed="false"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</row>
    <row r="275" customFormat="false" ht="12" hidden="false" customHeight="false" outlineLevel="0" collapsed="false"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</row>
    <row r="276" customFormat="false" ht="12" hidden="false" customHeight="false" outlineLevel="0" collapsed="false"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</row>
    <row r="277" customFormat="false" ht="12" hidden="false" customHeight="false" outlineLevel="0" collapsed="false"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</row>
    <row r="278" customFormat="false" ht="12" hidden="false" customHeight="false" outlineLevel="0" collapsed="false"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</row>
    <row r="279" customFormat="false" ht="12" hidden="false" customHeight="false" outlineLevel="0" collapsed="false"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</row>
    <row r="280" customFormat="false" ht="12" hidden="false" customHeight="false" outlineLevel="0" collapsed="false"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</row>
    <row r="281" customFormat="false" ht="12" hidden="false" customHeight="false" outlineLevel="0" collapsed="false"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</row>
    <row r="282" customFormat="false" ht="12" hidden="false" customHeight="false" outlineLevel="0" collapsed="false"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</row>
    <row r="283" customFormat="false" ht="12" hidden="false" customHeight="false" outlineLevel="0" collapsed="false"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</row>
    <row r="284" customFormat="false" ht="12" hidden="false" customHeight="false" outlineLevel="0" collapsed="false"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</row>
    <row r="285" customFormat="false" ht="12" hidden="false" customHeight="false" outlineLevel="0" collapsed="false"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</row>
    <row r="286" customFormat="false" ht="12" hidden="false" customHeight="false" outlineLevel="0" collapsed="false"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</row>
    <row r="287" customFormat="false" ht="12" hidden="false" customHeight="false" outlineLevel="0" collapsed="false"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</row>
    <row r="288" customFormat="false" ht="12" hidden="false" customHeight="false" outlineLevel="0" collapsed="false"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</row>
    <row r="289" customFormat="false" ht="12" hidden="false" customHeight="false" outlineLevel="0" collapsed="false"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</row>
    <row r="290" customFormat="false" ht="12" hidden="false" customHeight="false" outlineLevel="0" collapsed="false"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</row>
    <row r="291" customFormat="false" ht="12" hidden="false" customHeight="false" outlineLevel="0" collapsed="false"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</row>
    <row r="292" customFormat="false" ht="12" hidden="false" customHeight="false" outlineLevel="0" collapsed="false"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</row>
    <row r="293" customFormat="false" ht="12" hidden="false" customHeight="false" outlineLevel="0" collapsed="false"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</row>
    <row r="294" customFormat="false" ht="12" hidden="false" customHeight="false" outlineLevel="0" collapsed="false"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</row>
    <row r="295" customFormat="false" ht="12" hidden="false" customHeight="false" outlineLevel="0" collapsed="false"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</row>
    <row r="296" customFormat="false" ht="12" hidden="false" customHeight="false" outlineLevel="0" collapsed="false"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</row>
    <row r="297" customFormat="false" ht="12" hidden="false" customHeight="false" outlineLevel="0" collapsed="false"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</row>
    <row r="298" customFormat="false" ht="12" hidden="false" customHeight="false" outlineLevel="0" collapsed="false"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</row>
    <row r="299" customFormat="false" ht="12" hidden="false" customHeight="false" outlineLevel="0" collapsed="false"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</row>
    <row r="300" customFormat="false" ht="12" hidden="false" customHeight="false" outlineLevel="0" collapsed="false">
      <c r="A300" s="32"/>
      <c r="B300" s="33"/>
      <c r="C300" s="34"/>
      <c r="D300" s="35"/>
      <c r="E300" s="35"/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/>
      <c r="P300" s="33"/>
    </row>
  </sheetData>
  <mergeCells count="19">
    <mergeCell ref="A1:B1"/>
    <mergeCell ref="D1:E1"/>
    <mergeCell ref="I1:I4"/>
    <mergeCell ref="J1:J4"/>
    <mergeCell ref="N1:N4"/>
    <mergeCell ref="A2:A4"/>
    <mergeCell ref="B2:B4"/>
    <mergeCell ref="C2:C4"/>
    <mergeCell ref="D2:D4"/>
    <mergeCell ref="E2:E4"/>
    <mergeCell ref="F2:F4"/>
    <mergeCell ref="H2:H4"/>
    <mergeCell ref="K2:M2"/>
    <mergeCell ref="O2:P2"/>
    <mergeCell ref="K3:K4"/>
    <mergeCell ref="L3:L4"/>
    <mergeCell ref="M3:M4"/>
    <mergeCell ref="O3:O4"/>
    <mergeCell ref="P3:P4"/>
  </mergeCells>
  <dataValidations count="1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</dataValidations>
  <printOptions headings="false" gridLines="false" gridLinesSet="true" horizontalCentered="true" verticalCentered="true"/>
  <pageMargins left="0.354166666666667" right="0.354166666666667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2007-03-02T22:25:05Z</cp:lastPrinted>
  <dcterms:modified xsi:type="dcterms:W3CDTF">2025-04-03T23:05:33Z</dcterms:modified>
  <cp:revision>0</cp:revision>
  <dc:subject/>
  <dc:title>0607 Sales Vat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