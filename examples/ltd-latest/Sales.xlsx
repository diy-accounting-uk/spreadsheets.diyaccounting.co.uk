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Oct" sheetId="2" state="visible" r:id="rId4"/>
    <sheet name="Nov" sheetId="3" state="visible" r:id="rId5"/>
    <sheet name="Dec" sheetId="4" state="visible" r:id="rId6"/>
    <sheet name="Jan" sheetId="5" state="visible" r:id="rId7"/>
    <sheet name="Feb" sheetId="6" state="visible" r:id="rId8"/>
    <sheet name="Mar" sheetId="7" state="visible" r:id="rId9"/>
    <sheet name="Apr" sheetId="8" state="visible" r:id="rId10"/>
    <sheet name="May" sheetId="9" state="visible" r:id="rId11"/>
    <sheet name="Jun" sheetId="10" state="visible" r:id="rId12"/>
    <sheet name="Jul" sheetId="11" state="visible" r:id="rId13"/>
    <sheet name="Aug" sheetId="12" state="visible" r:id="rId14"/>
    <sheet name="Sep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<sst xmlns="http://schemas.openxmlformats.org/spreadsheetml/2006/main" count="1002" uniqueCount="211">
  <si>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</si>
  <si>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</si>
  <si>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</si>
  <si>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</si>
  <si>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</si>
  <si>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</si>
  <si>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</si>
  <si>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</si>
  <si>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</si>
  <si>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</si>
  <si>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</si>
  <si>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</si>
  <si>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</si>
  <si>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</si>
  <si>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</si>
  <si>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</si>
  <si>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</si>
  <si>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</si>
  <si>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</si>
  <si>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</si>
  <si>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</si>
  <si>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</si>
  <si>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</si>
  <si>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</si>
  <si>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</si>
  <si>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</si>
  <si>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</si>
  <si>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</si>
  <si>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</si>
  <si>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</si>
  <si>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</si>
  <si>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</si>
  <si>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</si>
  <si>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</si>
  <si>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</si>
  <si>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</si>
  <si>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</si>
  <si>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</si>
  <si>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</si>
  <si>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</si>
  <si>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</si>
  <si>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</si>
  <si>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INV-1301</t>
  </si>
  <si>
    <t xml:space="preserve">Software licence renewal</t>
  </si>
  <si>
    <t xml:space="preserve">b</t>
  </si>
  <si>
    <t xml:space="preserve">4001</t>
  </si>
  <si>
    <t xml:space="preserve">FreshField Ltd</t>
  </si>
  <si>
    <t xml:space="preserve">INV-2601</t>
  </si>
  <si>
    <t xml:space="preserve">Software monitoring licence</t>
  </si>
  <si>
    <t xml:space="preserve">CloudNine Ltd</t>
  </si>
  <si>
    <t xml:space="preserve">INV-1401</t>
  </si>
  <si>
    <t xml:space="preserve">SaaS licence fee</t>
  </si>
  <si>
    <t xml:space="preserve">Cedar Systems</t>
  </si>
  <si>
    <t xml:space="preserve">INV-2401</t>
  </si>
  <si>
    <t xml:space="preserve">Managed services</t>
  </si>
  <si>
    <t xml:space="preserve">a</t>
  </si>
  <si>
    <t xml:space="preserve">4000</t>
  </si>
  <si>
    <t xml:space="preserve">Pinnacle Group</t>
  </si>
  <si>
    <t xml:space="preserve">INV-2201</t>
  </si>
  <si>
    <t xml:space="preserve">Monthly support contract</t>
  </si>
  <si>
    <t xml:space="preserve">INV-1001</t>
  </si>
  <si>
    <t xml:space="preserve">IT consultancy services</t>
  </si>
  <si>
    <t xml:space="preserve">TechStart Ltd</t>
  </si>
  <si>
    <t xml:space="preserve">INV-1101</t>
  </si>
  <si>
    <t xml:space="preserve">IT consultancy retainer</t>
  </si>
  <si>
    <t xml:space="preserve">DataFlow Inc</t>
  </si>
  <si>
    <t xml:space="preserve">INV-1201</t>
  </si>
  <si>
    <t xml:space="preserve">Ad-hoc consultancy project</t>
  </si>
  <si>
    <t xml:space="preserve">Horizon Analytics</t>
  </si>
  <si>
    <t xml:space="preserve">INV-2701</t>
  </si>
  <si>
    <t xml:space="preserve">Data analytics commission</t>
  </si>
  <si>
    <t xml:space="preserve">d</t>
  </si>
  <si>
    <t xml:space="preserve">4003</t>
  </si>
  <si>
    <t xml:space="preserve">INV-2602</t>
  </si>
  <si>
    <t xml:space="preserve">INV-1402</t>
  </si>
  <si>
    <t xml:space="preserve">INV-2402</t>
  </si>
  <si>
    <t xml:space="preserve">INV-2202</t>
  </si>
  <si>
    <t xml:space="preserve">QuickFix IT</t>
  </si>
  <si>
    <t xml:space="preserve">INV-2001</t>
  </si>
  <si>
    <t xml:space="preserve">IT support consultancy</t>
  </si>
  <si>
    <t xml:space="preserve">INV-1002</t>
  </si>
  <si>
    <t xml:space="preserve">Summit Training</t>
  </si>
  <si>
    <t xml:space="preserve">INV-2801</t>
  </si>
  <si>
    <t xml:space="preserve">Technical training delivery</t>
  </si>
  <si>
    <t xml:space="preserve">c</t>
  </si>
  <si>
    <t xml:space="preserve">4002</t>
  </si>
  <si>
    <t xml:space="preserve">INV-1102</t>
  </si>
  <si>
    <t xml:space="preserve">Oakridge Partners</t>
  </si>
  <si>
    <t xml:space="preserve">INV-2501</t>
  </si>
  <si>
    <t xml:space="preserve">Quarterly consulting engagement</t>
  </si>
  <si>
    <t xml:space="preserve">INV-2603</t>
  </si>
  <si>
    <t xml:space="preserve">INV-1403</t>
  </si>
  <si>
    <t xml:space="preserve">INV-2403</t>
  </si>
  <si>
    <t xml:space="preserve">INV-2203</t>
  </si>
  <si>
    <t xml:space="preserve">INV-1003</t>
  </si>
  <si>
    <t xml:space="preserve">INV-1103</t>
  </si>
  <si>
    <t xml:space="preserve">INV-1202</t>
  </si>
  <si>
    <t xml:space="preserve">INV-1501</t>
  </si>
  <si>
    <t xml:space="preserve">Advanced DevOps training course</t>
  </si>
  <si>
    <t xml:space="preserve">WidgetWorks</t>
  </si>
  <si>
    <t xml:space="preserve">INV-2101</t>
  </si>
  <si>
    <t xml:space="preserve">Project consultancy</t>
  </si>
  <si>
    <t xml:space="preserve">INV-1302</t>
  </si>
  <si>
    <t xml:space="preserve">INV-2604</t>
  </si>
  <si>
    <t xml:space="preserve">INV-1404</t>
  </si>
  <si>
    <t xml:space="preserve">INV-2404</t>
  </si>
  <si>
    <t xml:space="preserve">INV-2204</t>
  </si>
  <si>
    <t xml:space="preserve">NorthStar Digital</t>
  </si>
  <si>
    <t xml:space="preserve">INV-2301</t>
  </si>
  <si>
    <t xml:space="preserve">Project delivery</t>
  </si>
  <si>
    <t xml:space="preserve">INV-1004</t>
  </si>
  <si>
    <t xml:space="preserve">INV-1104</t>
  </si>
  <si>
    <t xml:space="preserve">INV-2702</t>
  </si>
  <si>
    <t xml:space="preserve">Innovate UK</t>
  </si>
  <si>
    <t xml:space="preserve">INV-1701</t>
  </si>
  <si>
    <t xml:space="preserve">Small business innovation grant</t>
  </si>
  <si>
    <t xml:space="preserve">g</t>
  </si>
  <si>
    <t xml:space="preserve">4004</t>
  </si>
  <si>
    <t xml:space="preserve">INV-2605</t>
  </si>
  <si>
    <t xml:space="preserve">INV-1405</t>
  </si>
  <si>
    <t xml:space="preserve">INV-2405</t>
  </si>
  <si>
    <t xml:space="preserve">INV-2205</t>
  </si>
  <si>
    <t xml:space="preserve">INV-2002</t>
  </si>
  <si>
    <t xml:space="preserve">INV-1005</t>
  </si>
  <si>
    <t xml:space="preserve">INV-1105</t>
  </si>
  <si>
    <t xml:space="preserve">INV-1203</t>
  </si>
  <si>
    <t xml:space="preserve">INV-2502</t>
  </si>
  <si>
    <t xml:space="preserve">INV-2606</t>
  </si>
  <si>
    <t xml:space="preserve">INV-1406</t>
  </si>
  <si>
    <t xml:space="preserve">INV-2406</t>
  </si>
  <si>
    <t xml:space="preserve">INV-2206</t>
  </si>
  <si>
    <t xml:space="preserve">INV-1006</t>
  </si>
  <si>
    <t xml:space="preserve">INV-2802</t>
  </si>
  <si>
    <t xml:space="preserve">INV-1106</t>
  </si>
  <si>
    <t xml:space="preserve">StartupHub</t>
  </si>
  <si>
    <t xml:space="preserve">INV-1504</t>
  </si>
  <si>
    <t xml:space="preserve">Agile methodology workshop</t>
  </si>
  <si>
    <t xml:space="preserve">INV-2102</t>
  </si>
  <si>
    <t xml:space="preserve">Epsilon Partners</t>
  </si>
  <si>
    <t xml:space="preserve">INV-1601</t>
  </si>
  <si>
    <t xml:space="preserve">Client referral commission</t>
  </si>
  <si>
    <t xml:space="preserve">INV-1303</t>
  </si>
  <si>
    <t xml:space="preserve">INV-2607</t>
  </si>
  <si>
    <t xml:space="preserve">INV-1407</t>
  </si>
  <si>
    <t xml:space="preserve">INV-2407</t>
  </si>
  <si>
    <t xml:space="preserve">Private buyer</t>
  </si>
  <si>
    <t xml:space="preserve">INV-1901</t>
  </si>
  <si>
    <t xml:space="preserve">Disposal of company van</t>
  </si>
  <si>
    <t xml:space="preserve">fs</t>
  </si>
  <si>
    <t xml:space="preserve">4006</t>
  </si>
  <si>
    <t xml:space="preserve">INV-2207</t>
  </si>
  <si>
    <t xml:space="preserve">INV-2302</t>
  </si>
  <si>
    <t xml:space="preserve">INV-1007</t>
  </si>
  <si>
    <t xml:space="preserve">INV-1107</t>
  </si>
  <si>
    <t xml:space="preserve">INV-1204</t>
  </si>
  <si>
    <t xml:space="preserve">INV-2703</t>
  </si>
  <si>
    <t xml:space="preserve">INV-2608</t>
  </si>
  <si>
    <t xml:space="preserve">INV-1408</t>
  </si>
  <si>
    <t xml:space="preserve">INV-2408</t>
  </si>
  <si>
    <t xml:space="preserve">INV-2208</t>
  </si>
  <si>
    <t xml:space="preserve">INV-2003</t>
  </si>
  <si>
    <t xml:space="preserve">INV-1008</t>
  </si>
  <si>
    <t xml:space="preserve">INV-1108</t>
  </si>
  <si>
    <t xml:space="preserve">Delta PLC</t>
  </si>
  <si>
    <t xml:space="preserve">INV-1502</t>
  </si>
  <si>
    <t xml:space="preserve">Cloud architecture workshop</t>
  </si>
  <si>
    <t xml:space="preserve">INV-2503</t>
  </si>
  <si>
    <t xml:space="preserve">INV-2609</t>
  </si>
  <si>
    <t xml:space="preserve">INV-1409</t>
  </si>
  <si>
    <t xml:space="preserve">INV-2409</t>
  </si>
  <si>
    <t xml:space="preserve">INV-2209</t>
  </si>
  <si>
    <t xml:space="preserve">INV-1009</t>
  </si>
  <si>
    <t xml:space="preserve">INV-1109</t>
  </si>
  <si>
    <t xml:space="preserve">INV-1205</t>
  </si>
  <si>
    <t xml:space="preserve">INV-2103</t>
  </si>
  <si>
    <t xml:space="preserve">INV-1304</t>
  </si>
  <si>
    <t xml:space="preserve">INV-2610</t>
  </si>
  <si>
    <t xml:space="preserve">INV-1410</t>
  </si>
  <si>
    <t xml:space="preserve">INV-2410</t>
  </si>
  <si>
    <t xml:space="preserve">INV-2210</t>
  </si>
  <si>
    <t xml:space="preserve">INV-2303</t>
  </si>
  <si>
    <t xml:space="preserve">INV-1010</t>
  </si>
  <si>
    <t xml:space="preserve">INV-2803</t>
  </si>
  <si>
    <t xml:space="preserve">INV-1110</t>
  </si>
  <si>
    <t xml:space="preserve">Lambda Corp</t>
  </si>
  <si>
    <t xml:space="preserve">INV-1602</t>
  </si>
  <si>
    <t xml:space="preserve">INV-2704</t>
  </si>
  <si>
    <t xml:space="preserve">INV-2611</t>
  </si>
  <si>
    <t xml:space="preserve">INV-1411</t>
  </si>
  <si>
    <t xml:space="preserve">INV-2411</t>
  </si>
  <si>
    <t xml:space="preserve">INV-2211</t>
  </si>
  <si>
    <t xml:space="preserve">INV-1011</t>
  </si>
  <si>
    <t xml:space="preserve">INV-1111</t>
  </si>
  <si>
    <t xml:space="preserve">INV-1206</t>
  </si>
  <si>
    <t xml:space="preserve">MegaCorp</t>
  </si>
  <si>
    <t xml:space="preserve">INV-1503</t>
  </si>
  <si>
    <t xml:space="preserve">Security awareness training</t>
  </si>
  <si>
    <t xml:space="preserve">INV-2504</t>
  </si>
  <si>
    <t xml:space="preserve">INV-2612</t>
  </si>
  <si>
    <t xml:space="preserve">INV-1412</t>
  </si>
  <si>
    <t xml:space="preserve">INV-2412</t>
  </si>
  <si>
    <t xml:space="preserve">INV-2212</t>
  </si>
  <si>
    <t xml:space="preserve">INV-1012</t>
  </si>
  <si>
    <t xml:space="preserve">INV-1112</t>
  </si>
  <si>
    <t xml:space="preserve">INV-2104</t>
  </si>
  <si>
    <t xml:space="preserve">Zeta Corp</t>
  </si>
  <si>
    <t xml:space="preserve">CN-1801</t>
  </si>
  <si>
    <t xml:space="preserve">Bad debt written off</t>
  </si>
  <si>
    <t xml:space="preserve">o</t>
  </si>
  <si>
    <t xml:space="preserve">4005</t>
  </si>
  <si>
    <t xml:space="preserve">Closing Debtors Balance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</si>
</sst>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>
        <row r="16">
          <cell r="E16">
            <v>10800</v>
          </cell>
        </row>
      </sheetData>
      <sheetData sheetId="1">
        <row r="20">
          <cell r="EJ20">
            <v>7900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10800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46264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Oct!G2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46264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19</v>
      </c>
      <c r="C5" s="3" t="s">
        <v>42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333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45933</v>
      </c>
      <c r="B6" s="2" t="s">
        <v>46</v>
      </c>
      <c r="C6" s="3" t="s">
        <v>47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331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45935</v>
      </c>
      <c r="B7" s="2" t="s">
        <v>49</v>
      </c>
      <c r="C7" s="3" t="s">
        <v>50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329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45938</v>
      </c>
      <c r="B8" s="2" t="s">
        <v>52</v>
      </c>
      <c r="C8" s="3" t="s">
        <v>53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326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45940</v>
      </c>
      <c r="B9" s="2" t="s">
        <v>57</v>
      </c>
      <c r="C9" s="3" t="s">
        <v>58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324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45945</v>
      </c>
      <c r="B10" s="2" t="s">
        <v>17</v>
      </c>
      <c r="C10" s="3" t="s">
        <v>60</v>
      </c>
      <c r="D10" s="40" t="s">
        <v>61</v>
      </c>
      <c r="E10" s="4" t="s">
        <v>55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319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45948</v>
      </c>
      <c r="B11" s="2" t="s">
        <v>62</v>
      </c>
      <c r="C11" s="3" t="s">
        <v>63</v>
      </c>
      <c r="D11" s="40" t="s">
        <v>64</v>
      </c>
      <c r="E11" s="4" t="s">
        <v>55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316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45950</v>
      </c>
      <c r="B12" s="2" t="s">
        <v>65</v>
      </c>
      <c r="C12" s="3" t="s">
        <v>66</v>
      </c>
      <c r="D12" s="40" t="s">
        <v>67</v>
      </c>
      <c r="E12" s="4" t="s">
        <v>55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314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45958</v>
      </c>
      <c r="B13" s="2" t="s">
        <v>68</v>
      </c>
      <c r="C13" s="3" t="s">
        <v>69</v>
      </c>
      <c r="D13" s="40" t="s">
        <v>70</v>
      </c>
      <c r="E13" s="4" t="s">
        <v>71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306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72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46264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45964</v>
      </c>
      <c r="B5" s="2" t="s">
        <v>46</v>
      </c>
      <c r="C5" s="3" t="s">
        <v>73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300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45966</v>
      </c>
      <c r="B6" s="2" t="s">
        <v>49</v>
      </c>
      <c r="C6" s="3" t="s">
        <v>74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298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45969</v>
      </c>
      <c r="B7" s="2" t="s">
        <v>52</v>
      </c>
      <c r="C7" s="3" t="s">
        <v>75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295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45971</v>
      </c>
      <c r="B8" s="2" t="s">
        <v>57</v>
      </c>
      <c r="C8" s="3" t="s">
        <v>76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293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45973</v>
      </c>
      <c r="B9" s="2" t="s">
        <v>77</v>
      </c>
      <c r="C9" s="3" t="s">
        <v>78</v>
      </c>
      <c r="D9" s="40" t="s">
        <v>79</v>
      </c>
      <c r="E9" s="4" t="s">
        <v>55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291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45976</v>
      </c>
      <c r="B10" s="2" t="s">
        <v>17</v>
      </c>
      <c r="C10" s="3" t="s">
        <v>80</v>
      </c>
      <c r="D10" s="40" t="s">
        <v>61</v>
      </c>
      <c r="E10" s="4" t="s">
        <v>55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288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45977</v>
      </c>
      <c r="B11" s="2" t="s">
        <v>81</v>
      </c>
      <c r="C11" s="3" t="s">
        <v>82</v>
      </c>
      <c r="D11" s="40" t="s">
        <v>83</v>
      </c>
      <c r="E11" s="4" t="s">
        <v>84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287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85</v>
      </c>
    </row>
    <row r="12" customFormat="false" ht="12" hidden="false" customHeight="false" outlineLevel="0" collapsed="false">
      <c r="A12" s="1" t="n">
        <v>45979</v>
      </c>
      <c r="B12" s="2" t="s">
        <v>62</v>
      </c>
      <c r="C12" s="3" t="s">
        <v>86</v>
      </c>
      <c r="D12" s="40" t="s">
        <v>64</v>
      </c>
      <c r="E12" s="4" t="s">
        <v>55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285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45986</v>
      </c>
      <c r="B13" s="2" t="s">
        <v>87</v>
      </c>
      <c r="C13" s="3" t="s">
        <v>88</v>
      </c>
      <c r="D13" s="40" t="s">
        <v>89</v>
      </c>
      <c r="E13" s="4" t="s">
        <v>55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278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46264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45994</v>
      </c>
      <c r="B5" s="2" t="s">
        <v>46</v>
      </c>
      <c r="C5" s="3" t="s">
        <v>90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270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45996</v>
      </c>
      <c r="B6" s="2" t="s">
        <v>49</v>
      </c>
      <c r="C6" s="3" t="s">
        <v>91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268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45999</v>
      </c>
      <c r="B7" s="2" t="s">
        <v>52</v>
      </c>
      <c r="C7" s="3" t="s">
        <v>92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265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46001</v>
      </c>
      <c r="B8" s="2" t="s">
        <v>57</v>
      </c>
      <c r="C8" s="3" t="s">
        <v>93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263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46006</v>
      </c>
      <c r="B9" s="2" t="s">
        <v>17</v>
      </c>
      <c r="C9" s="3" t="s">
        <v>94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258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46009</v>
      </c>
      <c r="B10" s="2" t="s">
        <v>62</v>
      </c>
      <c r="C10" s="3" t="s">
        <v>95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255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46011</v>
      </c>
      <c r="B11" s="2" t="s">
        <v>65</v>
      </c>
      <c r="C11" s="3" t="s">
        <v>96</v>
      </c>
      <c r="D11" s="40" t="s">
        <v>67</v>
      </c>
      <c r="E11" s="4" t="s">
        <v>55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253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46011</v>
      </c>
      <c r="B12" s="2" t="s">
        <v>21</v>
      </c>
      <c r="C12" s="3" t="s">
        <v>97</v>
      </c>
      <c r="D12" s="40" t="s">
        <v>98</v>
      </c>
      <c r="E12" s="4" t="s">
        <v>84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253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46013</v>
      </c>
      <c r="B13" s="2" t="s">
        <v>99</v>
      </c>
      <c r="C13" s="3" t="s">
        <v>100</v>
      </c>
      <c r="D13" s="40" t="s">
        <v>101</v>
      </c>
      <c r="E13" s="4" t="s">
        <v>55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251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46264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46023</v>
      </c>
      <c r="B5" s="2" t="s">
        <v>19</v>
      </c>
      <c r="C5" s="3" t="s">
        <v>102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241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46025</v>
      </c>
      <c r="B6" s="2" t="s">
        <v>46</v>
      </c>
      <c r="C6" s="3" t="s">
        <v>103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239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46027</v>
      </c>
      <c r="B7" s="2" t="s">
        <v>49</v>
      </c>
      <c r="C7" s="3" t="s">
        <v>104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237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46030</v>
      </c>
      <c r="B8" s="2" t="s">
        <v>52</v>
      </c>
      <c r="C8" s="3" t="s">
        <v>105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234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46032</v>
      </c>
      <c r="B9" s="2" t="s">
        <v>57</v>
      </c>
      <c r="C9" s="3" t="s">
        <v>106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232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46036</v>
      </c>
      <c r="B10" s="2" t="s">
        <v>107</v>
      </c>
      <c r="C10" s="3" t="s">
        <v>108</v>
      </c>
      <c r="D10" s="40" t="s">
        <v>109</v>
      </c>
      <c r="E10" s="4" t="s">
        <v>55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228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46037</v>
      </c>
      <c r="B11" s="2" t="s">
        <v>17</v>
      </c>
      <c r="C11" s="3" t="s">
        <v>110</v>
      </c>
      <c r="D11" s="40" t="s">
        <v>61</v>
      </c>
      <c r="E11" s="4" t="s">
        <v>55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227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46040</v>
      </c>
      <c r="B12" s="2" t="s">
        <v>62</v>
      </c>
      <c r="C12" s="3" t="s">
        <v>111</v>
      </c>
      <c r="D12" s="40" t="s">
        <v>64</v>
      </c>
      <c r="E12" s="4" t="s">
        <v>55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224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46050</v>
      </c>
      <c r="B13" s="2" t="s">
        <v>68</v>
      </c>
      <c r="C13" s="3" t="s">
        <v>112</v>
      </c>
      <c r="D13" s="40" t="s">
        <v>70</v>
      </c>
      <c r="E13" s="4" t="s">
        <v>71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214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72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46264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46054</v>
      </c>
      <c r="B5" s="2" t="s">
        <v>113</v>
      </c>
      <c r="C5" s="3" t="s">
        <v>114</v>
      </c>
      <c r="D5" s="40" t="s">
        <v>115</v>
      </c>
      <c r="E5" s="4" t="s">
        <v>116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210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  <c r="BZ5" s="2" t="s">
        <v>117</v>
      </c>
    </row>
    <row r="6" customFormat="false" ht="12.75" hidden="false" customHeight="true" outlineLevel="0" collapsed="false">
      <c r="A6" s="1" t="n">
        <v>46056</v>
      </c>
      <c r="B6" s="2" t="s">
        <v>46</v>
      </c>
      <c r="C6" s="3" t="s">
        <v>118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208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46058</v>
      </c>
      <c r="B7" s="2" t="s">
        <v>49</v>
      </c>
      <c r="C7" s="3" t="s">
        <v>119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206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46061</v>
      </c>
      <c r="B8" s="2" t="s">
        <v>52</v>
      </c>
      <c r="C8" s="3" t="s">
        <v>120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203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46063</v>
      </c>
      <c r="B9" s="2" t="s">
        <v>57</v>
      </c>
      <c r="C9" s="3" t="s">
        <v>121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201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46065</v>
      </c>
      <c r="B10" s="2" t="s">
        <v>77</v>
      </c>
      <c r="C10" s="3" t="s">
        <v>122</v>
      </c>
      <c r="D10" s="40" t="s">
        <v>79</v>
      </c>
      <c r="E10" s="4" t="s">
        <v>55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199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46068</v>
      </c>
      <c r="B11" s="2" t="s">
        <v>17</v>
      </c>
      <c r="C11" s="3" t="s">
        <v>123</v>
      </c>
      <c r="D11" s="40" t="s">
        <v>61</v>
      </c>
      <c r="E11" s="4" t="s">
        <v>55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196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46071</v>
      </c>
      <c r="B12" s="2" t="s">
        <v>62</v>
      </c>
      <c r="C12" s="3" t="s">
        <v>124</v>
      </c>
      <c r="D12" s="40" t="s">
        <v>64</v>
      </c>
      <c r="E12" s="4" t="s">
        <v>55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193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46073</v>
      </c>
      <c r="B13" s="2" t="s">
        <v>65</v>
      </c>
      <c r="C13" s="3" t="s">
        <v>125</v>
      </c>
      <c r="D13" s="40" t="s">
        <v>67</v>
      </c>
      <c r="E13" s="4" t="s">
        <v>55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191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46078</v>
      </c>
      <c r="B14" s="2" t="s">
        <v>87</v>
      </c>
      <c r="C14" s="3" t="s">
        <v>126</v>
      </c>
      <c r="D14" s="40" t="s">
        <v>89</v>
      </c>
      <c r="E14" s="4" t="s">
        <v>55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186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56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46264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46084</v>
      </c>
      <c r="B5" s="2" t="s">
        <v>46</v>
      </c>
      <c r="C5" s="3" t="s">
        <v>127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180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46086</v>
      </c>
      <c r="B6" s="2" t="s">
        <v>49</v>
      </c>
      <c r="C6" s="3" t="s">
        <v>128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178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46089</v>
      </c>
      <c r="B7" s="2" t="s">
        <v>52</v>
      </c>
      <c r="C7" s="3" t="s">
        <v>129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175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46091</v>
      </c>
      <c r="B8" s="2" t="s">
        <v>57</v>
      </c>
      <c r="C8" s="3" t="s">
        <v>130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173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46096</v>
      </c>
      <c r="B9" s="2" t="s">
        <v>17</v>
      </c>
      <c r="C9" s="3" t="s">
        <v>131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168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46097</v>
      </c>
      <c r="B10" s="2" t="s">
        <v>81</v>
      </c>
      <c r="C10" s="3" t="s">
        <v>132</v>
      </c>
      <c r="D10" s="40" t="s">
        <v>83</v>
      </c>
      <c r="E10" s="4" t="s">
        <v>84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167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85</v>
      </c>
    </row>
    <row r="11" customFormat="false" ht="12" hidden="false" customHeight="false" outlineLevel="0" collapsed="false">
      <c r="A11" s="1" t="n">
        <v>46099</v>
      </c>
      <c r="B11" s="2" t="s">
        <v>62</v>
      </c>
      <c r="C11" s="3" t="s">
        <v>133</v>
      </c>
      <c r="D11" s="40" t="s">
        <v>64</v>
      </c>
      <c r="E11" s="4" t="s">
        <v>55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165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46101</v>
      </c>
      <c r="B12" s="2" t="s">
        <v>134</v>
      </c>
      <c r="C12" s="3" t="s">
        <v>135</v>
      </c>
      <c r="D12" s="40" t="s">
        <v>136</v>
      </c>
      <c r="E12" s="4" t="s">
        <v>84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163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46103</v>
      </c>
      <c r="B13" s="2" t="s">
        <v>99</v>
      </c>
      <c r="C13" s="3" t="s">
        <v>137</v>
      </c>
      <c r="D13" s="40" t="s">
        <v>101</v>
      </c>
      <c r="E13" s="4" t="s">
        <v>55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161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46106</v>
      </c>
      <c r="B14" s="2" t="s">
        <v>138</v>
      </c>
      <c r="C14" s="3" t="s">
        <v>139</v>
      </c>
      <c r="D14" s="40" t="s">
        <v>140</v>
      </c>
      <c r="E14" s="4" t="s">
        <v>71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158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72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46264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46113</v>
      </c>
      <c r="B5" s="2" t="s">
        <v>19</v>
      </c>
      <c r="C5" s="3" t="s">
        <v>141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151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46115</v>
      </c>
      <c r="B6" s="2" t="s">
        <v>46</v>
      </c>
      <c r="C6" s="3" t="s">
        <v>142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149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46117</v>
      </c>
      <c r="B7" s="2" t="s">
        <v>49</v>
      </c>
      <c r="C7" s="3" t="s">
        <v>143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147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46120</v>
      </c>
      <c r="B8" s="2" t="s">
        <v>52</v>
      </c>
      <c r="C8" s="3" t="s">
        <v>144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144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46122</v>
      </c>
      <c r="B9" s="2" t="s">
        <v>145</v>
      </c>
      <c r="C9" s="3" t="s">
        <v>146</v>
      </c>
      <c r="D9" s="40" t="s">
        <v>147</v>
      </c>
      <c r="E9" s="4" t="s">
        <v>148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142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  <c r="BZ9" s="2" t="s">
        <v>149</v>
      </c>
    </row>
    <row r="10" customFormat="false" ht="12" hidden="false" customHeight="false" outlineLevel="0" collapsed="false">
      <c r="A10" s="1" t="n">
        <v>46122</v>
      </c>
      <c r="B10" s="2" t="s">
        <v>57</v>
      </c>
      <c r="C10" s="3" t="s">
        <v>150</v>
      </c>
      <c r="D10" s="40" t="s">
        <v>59</v>
      </c>
      <c r="E10" s="4" t="s">
        <v>55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142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46126</v>
      </c>
      <c r="B11" s="2" t="s">
        <v>107</v>
      </c>
      <c r="C11" s="3" t="s">
        <v>151</v>
      </c>
      <c r="D11" s="40" t="s">
        <v>109</v>
      </c>
      <c r="E11" s="4" t="s">
        <v>55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138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46127</v>
      </c>
      <c r="B12" s="2" t="s">
        <v>17</v>
      </c>
      <c r="C12" s="3" t="s">
        <v>152</v>
      </c>
      <c r="D12" s="40" t="s">
        <v>61</v>
      </c>
      <c r="E12" s="4" t="s">
        <v>55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137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46130</v>
      </c>
      <c r="B13" s="2" t="s">
        <v>62</v>
      </c>
      <c r="C13" s="3" t="s">
        <v>153</v>
      </c>
      <c r="D13" s="40" t="s">
        <v>64</v>
      </c>
      <c r="E13" s="4" t="s">
        <v>55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134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46132</v>
      </c>
      <c r="B14" s="2" t="s">
        <v>65</v>
      </c>
      <c r="C14" s="3" t="s">
        <v>154</v>
      </c>
      <c r="D14" s="40" t="s">
        <v>67</v>
      </c>
      <c r="E14" s="4" t="s">
        <v>55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132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56</v>
      </c>
    </row>
    <row r="15" customFormat="false" ht="12" hidden="false" customHeight="false" outlineLevel="0" collapsed="false">
      <c r="A15" s="1" t="n">
        <v>46140</v>
      </c>
      <c r="B15" s="2" t="s">
        <v>68</v>
      </c>
      <c r="C15" s="3" t="s">
        <v>155</v>
      </c>
      <c r="D15" s="40" t="s">
        <v>70</v>
      </c>
      <c r="E15" s="4" t="s">
        <v>71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124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  <c r="BZ15" s="2" t="s">
        <v>72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46264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46</v>
      </c>
      <c r="C5" s="3" t="s">
        <v>156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119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46147</v>
      </c>
      <c r="B6" s="2" t="s">
        <v>49</v>
      </c>
      <c r="C6" s="3" t="s">
        <v>157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117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46150</v>
      </c>
      <c r="B7" s="2" t="s">
        <v>52</v>
      </c>
      <c r="C7" s="3" t="s">
        <v>158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114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46152</v>
      </c>
      <c r="B8" s="2" t="s">
        <v>57</v>
      </c>
      <c r="C8" s="3" t="s">
        <v>159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112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46154</v>
      </c>
      <c r="B9" s="2" t="s">
        <v>77</v>
      </c>
      <c r="C9" s="3" t="s">
        <v>160</v>
      </c>
      <c r="D9" s="40" t="s">
        <v>79</v>
      </c>
      <c r="E9" s="4" t="s">
        <v>55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110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46157</v>
      </c>
      <c r="B10" s="2" t="s">
        <v>17</v>
      </c>
      <c r="C10" s="3" t="s">
        <v>161</v>
      </c>
      <c r="D10" s="40" t="s">
        <v>61</v>
      </c>
      <c r="E10" s="4" t="s">
        <v>55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107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46160</v>
      </c>
      <c r="B11" s="2" t="s">
        <v>62</v>
      </c>
      <c r="C11" s="3" t="s">
        <v>162</v>
      </c>
      <c r="D11" s="40" t="s">
        <v>64</v>
      </c>
      <c r="E11" s="4" t="s">
        <v>55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104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46162</v>
      </c>
      <c r="B12" s="2" t="s">
        <v>163</v>
      </c>
      <c r="C12" s="3" t="s">
        <v>164</v>
      </c>
      <c r="D12" s="40" t="s">
        <v>165</v>
      </c>
      <c r="E12" s="4" t="s">
        <v>84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102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46167</v>
      </c>
      <c r="B13" s="2" t="s">
        <v>87</v>
      </c>
      <c r="C13" s="3" t="s">
        <v>166</v>
      </c>
      <c r="D13" s="40" t="s">
        <v>89</v>
      </c>
      <c r="E13" s="4" t="s">
        <v>55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97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46264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May!G2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46176</v>
      </c>
      <c r="B5" s="2" t="s">
        <v>46</v>
      </c>
      <c r="C5" s="3" t="s">
        <v>167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88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46178</v>
      </c>
      <c r="B6" s="2" t="s">
        <v>49</v>
      </c>
      <c r="C6" s="3" t="s">
        <v>168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86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46181</v>
      </c>
      <c r="B7" s="2" t="s">
        <v>52</v>
      </c>
      <c r="C7" s="3" t="s">
        <v>169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83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46183</v>
      </c>
      <c r="B8" s="2" t="s">
        <v>57</v>
      </c>
      <c r="C8" s="3" t="s">
        <v>170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81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46188</v>
      </c>
      <c r="B9" s="2" t="s">
        <v>17</v>
      </c>
      <c r="C9" s="3" t="s">
        <v>171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76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46191</v>
      </c>
      <c r="B10" s="2" t="s">
        <v>62</v>
      </c>
      <c r="C10" s="3" t="s">
        <v>172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73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46193</v>
      </c>
      <c r="B11" s="2" t="s">
        <v>65</v>
      </c>
      <c r="C11" s="3" t="s">
        <v>173</v>
      </c>
      <c r="D11" s="40" t="s">
        <v>67</v>
      </c>
      <c r="E11" s="4" t="s">
        <v>55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71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46195</v>
      </c>
      <c r="B12" s="2" t="s">
        <v>99</v>
      </c>
      <c r="C12" s="3" t="s">
        <v>174</v>
      </c>
      <c r="D12" s="40" t="s">
        <v>101</v>
      </c>
      <c r="E12" s="4" t="s">
        <v>55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69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46264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46204</v>
      </c>
      <c r="B5" s="2" t="s">
        <v>19</v>
      </c>
      <c r="C5" s="3" t="s">
        <v>175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60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46206</v>
      </c>
      <c r="B6" s="2" t="s">
        <v>46</v>
      </c>
      <c r="C6" s="3" t="s">
        <v>176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58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46208</v>
      </c>
      <c r="B7" s="2" t="s">
        <v>49</v>
      </c>
      <c r="C7" s="3" t="s">
        <v>177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56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46211</v>
      </c>
      <c r="B8" s="2" t="s">
        <v>52</v>
      </c>
      <c r="C8" s="3" t="s">
        <v>178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53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46213</v>
      </c>
      <c r="B9" s="2" t="s">
        <v>57</v>
      </c>
      <c r="C9" s="3" t="s">
        <v>179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51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46217</v>
      </c>
      <c r="B10" s="2" t="s">
        <v>107</v>
      </c>
      <c r="C10" s="3" t="s">
        <v>180</v>
      </c>
      <c r="D10" s="40" t="s">
        <v>109</v>
      </c>
      <c r="E10" s="4" t="s">
        <v>55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47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46218</v>
      </c>
      <c r="B11" s="2" t="s">
        <v>17</v>
      </c>
      <c r="C11" s="3" t="s">
        <v>181</v>
      </c>
      <c r="D11" s="40" t="s">
        <v>61</v>
      </c>
      <c r="E11" s="4" t="s">
        <v>55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46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46219</v>
      </c>
      <c r="B12" s="2" t="s">
        <v>81</v>
      </c>
      <c r="C12" s="3" t="s">
        <v>182</v>
      </c>
      <c r="D12" s="40" t="s">
        <v>83</v>
      </c>
      <c r="E12" s="4" t="s">
        <v>84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45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46221</v>
      </c>
      <c r="B13" s="2" t="s">
        <v>62</v>
      </c>
      <c r="C13" s="3" t="s">
        <v>183</v>
      </c>
      <c r="D13" s="40" t="s">
        <v>64</v>
      </c>
      <c r="E13" s="4" t="s">
        <v>55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43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46228</v>
      </c>
      <c r="B14" s="2" t="s">
        <v>184</v>
      </c>
      <c r="C14" s="3" t="s">
        <v>185</v>
      </c>
      <c r="D14" s="40" t="s">
        <v>140</v>
      </c>
      <c r="E14" s="4" t="s">
        <v>71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36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72</v>
      </c>
    </row>
    <row r="15" customFormat="false" ht="12" hidden="false" customHeight="false" outlineLevel="0" collapsed="false">
      <c r="A15" s="1" t="n">
        <v>46231</v>
      </c>
      <c r="B15" s="2" t="s">
        <v>68</v>
      </c>
      <c r="C15" s="3" t="s">
        <v>186</v>
      </c>
      <c r="D15" s="40" t="s">
        <v>70</v>
      </c>
      <c r="E15" s="4" t="s">
        <v>71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33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  <c r="BZ15" s="2" t="s">
        <v>72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46264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46237</v>
      </c>
      <c r="B5" s="2" t="s">
        <v>46</v>
      </c>
      <c r="C5" s="3" t="s">
        <v>187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46239</v>
      </c>
      <c r="B6" s="2" t="s">
        <v>49</v>
      </c>
      <c r="C6" s="3" t="s">
        <v>188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46242</v>
      </c>
      <c r="B7" s="2" t="s">
        <v>52</v>
      </c>
      <c r="C7" s="3" t="s">
        <v>189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46244</v>
      </c>
      <c r="B8" s="2" t="s">
        <v>57</v>
      </c>
      <c r="C8" s="3" t="s">
        <v>190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46249</v>
      </c>
      <c r="B9" s="2" t="s">
        <v>17</v>
      </c>
      <c r="C9" s="3" t="s">
        <v>191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15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46252</v>
      </c>
      <c r="B10" s="2" t="s">
        <v>62</v>
      </c>
      <c r="C10" s="3" t="s">
        <v>192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12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46254</v>
      </c>
      <c r="B11" s="2" t="s">
        <v>65</v>
      </c>
      <c r="C11" s="3" t="s">
        <v>193</v>
      </c>
      <c r="D11" s="40" t="s">
        <v>67</v>
      </c>
      <c r="E11" s="4" t="s">
        <v>55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10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46254</v>
      </c>
      <c r="B12" s="2" t="s">
        <v>194</v>
      </c>
      <c r="C12" s="3" t="s">
        <v>195</v>
      </c>
      <c r="D12" s="40" t="s">
        <v>196</v>
      </c>
      <c r="E12" s="4" t="s">
        <v>84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10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46259</v>
      </c>
      <c r="B13" s="2" t="s">
        <v>87</v>
      </c>
      <c r="C13" s="3" t="s">
        <v>197</v>
      </c>
      <c r="D13" s="40" t="s">
        <v>89</v>
      </c>
      <c r="E13" s="4" t="s">
        <v>55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5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31360</v>
      </c>
      <c r="G1" s="12" t="n">
        <f aca="false">SUM(G5:G300)</f>
        <v>5226.66666666667</v>
      </c>
      <c r="H1" s="12" t="n">
        <f aca="false">SUM(H5:H300)</f>
        <v>26133.3333333333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31360</v>
      </c>
      <c r="M1" s="17" t="n">
        <f aca="true">TODAY()</f>
        <v>46264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Oct!U1+Nov!U1+Dec!U1+Jan!U1+Feb!U1+Mar!U1+Apr!U1+May!U1+Jun!U1+Jul!U1+Aug!U1+Sep!U1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46268</v>
      </c>
      <c r="B5" s="2" t="s">
        <v>46</v>
      </c>
      <c r="C5" s="3" t="s">
        <v>198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-4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46270</v>
      </c>
      <c r="B6" s="2" t="s">
        <v>49</v>
      </c>
      <c r="C6" s="3" t="s">
        <v>199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-6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46273</v>
      </c>
      <c r="B7" s="2" t="s">
        <v>52</v>
      </c>
      <c r="C7" s="3" t="s">
        <v>200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-9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46275</v>
      </c>
      <c r="B8" s="2" t="s">
        <v>57</v>
      </c>
      <c r="C8" s="3" t="s">
        <v>201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-11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46280</v>
      </c>
      <c r="B9" s="2" t="s">
        <v>17</v>
      </c>
      <c r="C9" s="3" t="s">
        <v>202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-16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46283</v>
      </c>
      <c r="B10" s="2" t="s">
        <v>62</v>
      </c>
      <c r="C10" s="3" t="s">
        <v>203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-19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46287</v>
      </c>
      <c r="B11" s="2" t="s">
        <v>99</v>
      </c>
      <c r="C11" s="3" t="s">
        <v>204</v>
      </c>
      <c r="D11" s="40" t="s">
        <v>101</v>
      </c>
      <c r="E11" s="4" t="s">
        <v>55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-23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46295</v>
      </c>
      <c r="B12" s="2" t="s">
        <v>205</v>
      </c>
      <c r="C12" s="3" t="s">
        <v>206</v>
      </c>
      <c r="D12" s="40" t="s">
        <v>207</v>
      </c>
      <c r="E12" s="4" t="s">
        <v>208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-31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  <c r="BZ12" s="2" t="s">
        <v>209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210</v>
      </c>
      <c r="B1" s="9"/>
      <c r="C1" s="10" t="n">
        <f aca="false">IF([1]TrialBalance!$EJ$20&gt;0,[1]TrialBalance!$EJ$20,0)</f>
        <v>7900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7900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46264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Sep!G2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202</v>
      </c>
      <c r="G5" s="2" t="str">
        <f aca="false">IF(G$4&gt;0,(IF(F5&lt;&gt;0,F5*G$4/100," ")),IF(F5&lt;&gt;0,F5*G$2/(100+G$2)," "))</f>
        <v> </v>
      </c>
      <c r="H5" s="2" t="n">
        <v>6100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99</v>
      </c>
      <c r="C6" s="3" t="s">
        <v>204</v>
      </c>
      <c r="G6" s="2" t="str">
        <f aca="false">IF(G$4&gt;0,(IF(F6&lt;&gt;0,F6*G$4/100," ")),IF(F6&lt;&gt;0,F6*G$2/(100+G$2)," "))</f>
        <v> </v>
      </c>
      <c r="H6" s="2" t="n">
        <v>1440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205</v>
      </c>
      <c r="C7" s="3" t="s">
        <v>206</v>
      </c>
      <c r="G7" s="2" t="str">
        <f aca="false">IF(G$4&gt;0,(IF(F7&lt;&gt;0,F7*G$4/100," ")),IF(F7&lt;&gt;0,F7*G$2/(100+G$2)," "))</f>
        <v> </v>
      </c>
      <c r="H7" s="2" t="n">
        <v>360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