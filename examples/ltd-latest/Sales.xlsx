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<sst xmlns="http://schemas.openxmlformats.org/spreadsheetml/2006/main" count="654" uniqueCount="67">
  <si>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</si>
  <si>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</si>
  <si>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</si>
  <si>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</si>
  <si>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</si>
  <si>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</si>
  <si>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</si>
  <si>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</si>
  <si>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</si>
  <si>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</si>
  <si>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</si>
  <si>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</si>
  <si>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</si>
  <si>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</si>
  <si>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</si>
  <si>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</si>
  <si>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</si>
  <si>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</si>
  <si>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</si>
  <si>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</si>
  <si>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</si>
  <si>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</si>
  <si>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</si>
  <si>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</si>
  <si>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</si>
  <si>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</si>
  <si>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</si>
  <si>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</si>
  <si>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</si>
  <si>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</si>
  <si>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</si>
  <si>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</si>
  <si>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</si>
  <si>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</si>
  <si>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</si>
  <si>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</si>
  <si>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Beta Systems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</si>
  <si>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</si>
  <si>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</si>
  <si>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</si>
  <si>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</si>
  <si>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</si>
  <si>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</si>
  <si>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Acme Corp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</si>
  <si>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</si>
  <si>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</si>
  <si>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</si>
  <si>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</si>
  <si>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</si>
  <si>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</si>
  <si>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</si>
  <si>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</si>
  <si>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Gamma Ltd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</si>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</sst>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16400</v>
      </c>
      <c r="G1" s="12" t="n">
        <f aca="false">SUM(G5:G300)</f>
        <v>2733.33333333333</v>
      </c>
      <c r="H1" s="12" t="n">
        <f aca="false">SUM(H5:H300)</f>
        <v>13666.6666666667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16400</v>
      </c>
      <c r="M1" s="17" t="n">
        <f aca="true">TODAY()</f>
        <v>46116</v>
      </c>
      <c r="N1" s="18"/>
      <c r="O1" s="12" t="n">
        <f aca="false">SUM(O5:O300)</f>
        <v>11166.6666666667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[1]Admin!$M$19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36</v>
      </c>
      <c r="E5" s="4" t="s">
        <v>37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38</v>
      </c>
      <c r="E6" s="4" t="s">
        <v>37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39</v>
      </c>
      <c r="E7" s="4" t="s">
        <v>37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40</v>
      </c>
      <c r="E8" s="4" t="s">
        <v>41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42</v>
      </c>
      <c r="E9" s="4" t="s">
        <v>41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43</v>
      </c>
      <c r="E10" s="4" t="s">
        <v>41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293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44</v>
      </c>
      <c r="E11" s="4" t="s">
        <v>41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45</v>
      </c>
      <c r="E12" s="4" t="s">
        <v>41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46</v>
      </c>
      <c r="E13" s="4" t="s">
        <v>47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15920</v>
      </c>
      <c r="G1" s="12" t="n">
        <f aca="false">SUM(G5:G300)</f>
        <v>2653.33333333333</v>
      </c>
      <c r="H1" s="12" t="n">
        <f aca="false">SUM(H5:H300)</f>
        <v>13266.6666666667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15920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48</v>
      </c>
      <c r="E9" s="4" t="s">
        <v>41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43</v>
      </c>
      <c r="E10" s="4" t="s">
        <v>41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263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49</v>
      </c>
      <c r="E11" s="4" t="s">
        <v>50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44</v>
      </c>
      <c r="E12" s="4" t="s">
        <v>41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51</v>
      </c>
      <c r="E13" s="4" t="s">
        <v>41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18200</v>
      </c>
      <c r="G1" s="12" t="n">
        <f aca="false">SUM(G5:G300)</f>
        <v>3033.33333333333</v>
      </c>
      <c r="H1" s="12" t="n">
        <f aca="false">SUM(H5:H300)</f>
        <v>15166.6666666667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18200</v>
      </c>
      <c r="M1" s="17" t="n">
        <f aca="true">TODAY()</f>
        <v>46116</v>
      </c>
      <c r="N1" s="18"/>
      <c r="O1" s="12" t="n">
        <f aca="false">SUM(O5:O300)</f>
        <v>12366.6666666667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Jul!G2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43</v>
      </c>
      <c r="E9" s="4" t="s">
        <v>41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232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44</v>
      </c>
      <c r="E10" s="4" t="s">
        <v>41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45</v>
      </c>
      <c r="E11" s="4" t="s">
        <v>41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52</v>
      </c>
      <c r="E12" s="4" t="s">
        <v>50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53</v>
      </c>
      <c r="E13" s="4" t="s">
        <v>41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16760</v>
      </c>
      <c r="G1" s="12" t="n">
        <f aca="false">SUM(G5:G300)</f>
        <v>2793.33333333333</v>
      </c>
      <c r="H1" s="12" t="n">
        <f aca="false">SUM(H5:H300)</f>
        <v>13966.6666666667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16760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Aug!G2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36</v>
      </c>
      <c r="E5" s="4" t="s">
        <v>37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38</v>
      </c>
      <c r="E6" s="4" t="s">
        <v>37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39</v>
      </c>
      <c r="E7" s="4" t="s">
        <v>37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40</v>
      </c>
      <c r="E8" s="4" t="s">
        <v>41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42</v>
      </c>
      <c r="E9" s="4" t="s">
        <v>41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54</v>
      </c>
      <c r="E10" s="4" t="s">
        <v>41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43</v>
      </c>
      <c r="E11" s="4" t="s">
        <v>41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201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44</v>
      </c>
      <c r="E12" s="4" t="s">
        <v>41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46</v>
      </c>
      <c r="E13" s="4" t="s">
        <v>47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19020</v>
      </c>
      <c r="G1" s="12" t="n">
        <f aca="false">SUM(G5:G300)</f>
        <v>3170</v>
      </c>
      <c r="H1" s="12" t="n">
        <f aca="false">SUM(H5:H300)</f>
        <v>15850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19020</v>
      </c>
      <c r="M1" s="17" t="n">
        <f aca="true">TODAY()</f>
        <v>46116</v>
      </c>
      <c r="N1" s="18"/>
      <c r="O1" s="12" t="n">
        <f aca="false">SUM(O5:O300)</f>
        <v>12966.6666666667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Sep!G2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55</v>
      </c>
      <c r="E5" s="4" t="s">
        <v>56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38</v>
      </c>
      <c r="E6" s="4" t="s">
        <v>37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39</v>
      </c>
      <c r="E7" s="4" t="s">
        <v>37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40</v>
      </c>
      <c r="E8" s="4" t="s">
        <v>41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42</v>
      </c>
      <c r="E9" s="4" t="s">
        <v>41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48</v>
      </c>
      <c r="E10" s="4" t="s">
        <v>41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43</v>
      </c>
      <c r="E11" s="4" t="s">
        <v>41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171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44</v>
      </c>
      <c r="E12" s="4" t="s">
        <v>41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45</v>
      </c>
      <c r="E13" s="4" t="s">
        <v>41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51</v>
      </c>
      <c r="E14" s="4" t="s">
        <v>41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16760</v>
      </c>
      <c r="G1" s="12" t="n">
        <f aca="false">SUM(G5:G300)</f>
        <v>2793.33333333333</v>
      </c>
      <c r="H1" s="12" t="n">
        <f aca="false">SUM(H5:H300)</f>
        <v>13966.6666666667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16760</v>
      </c>
      <c r="M1" s="17" t="n">
        <f aca="true">TODAY()</f>
        <v>46116</v>
      </c>
      <c r="N1" s="18"/>
      <c r="O1" s="12" t="n">
        <f aca="false">SUM(O5:O300)</f>
        <v>10866.6666666667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Oct!G2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43</v>
      </c>
      <c r="E9" s="4" t="s">
        <v>41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140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49</v>
      </c>
      <c r="E10" s="4" t="s">
        <v>50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44</v>
      </c>
      <c r="E11" s="4" t="s">
        <v>41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57</v>
      </c>
      <c r="E12" s="4" t="s">
        <v>50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53</v>
      </c>
      <c r="E13" s="4" t="s">
        <v>41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58</v>
      </c>
      <c r="E14" s="4" t="s">
        <v>47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33560</v>
      </c>
      <c r="G1" s="12" t="n">
        <f aca="false">SUM(G5:G300)</f>
        <v>5593.33333333333</v>
      </c>
      <c r="H1" s="12" t="n">
        <f aca="false">SUM(H5:H300)</f>
        <v>27966.6666666667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33560</v>
      </c>
      <c r="M1" s="17" t="n">
        <f aca="true">TODAY()</f>
        <v>46116</v>
      </c>
      <c r="N1" s="18"/>
      <c r="O1" s="12" t="n">
        <f aca="false">SUM(O5:O300)</f>
        <v>12966.6666666667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Nov!G2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36</v>
      </c>
      <c r="E5" s="4" t="s">
        <v>37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38</v>
      </c>
      <c r="E6" s="4" t="s">
        <v>37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39</v>
      </c>
      <c r="E7" s="4" t="s">
        <v>37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40</v>
      </c>
      <c r="E8" s="4" t="s">
        <v>41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59</v>
      </c>
      <c r="E9" s="4" t="s">
        <v>60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42</v>
      </c>
      <c r="E10" s="4" t="s">
        <v>41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54</v>
      </c>
      <c r="E11" s="4" t="s">
        <v>41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43</v>
      </c>
      <c r="E12" s="4" t="s">
        <v>41</v>
      </c>
      <c r="F12" s="2" t="n">
        <v>8000</v>
      </c>
      <c r="G12" s="2" t="n">
        <f aca="false">IF(G$4&gt;0,(IF(F12&lt;&gt;0,F12*G$4/100," ")),IF(F12&lt;&gt;0,F12*G$2/(100+G$2)," "))</f>
        <v>1333.33333333333</v>
      </c>
      <c r="H12" s="2" t="n">
        <f aca="false">IF((F12&lt;&gt;0),F12-G12," ")</f>
        <v>6666.66666666667</v>
      </c>
      <c r="L12" s="7" t="n">
        <f aca="false">IF(F12&lt;&gt;0,F12-K12," ")</f>
        <v>8000</v>
      </c>
      <c r="M12" s="8" t="n">
        <f aca="false">IF((F12-K12)&lt;&gt;0,M$1-A12," ")</f>
        <v>110</v>
      </c>
      <c r="O12" s="2" t="n">
        <f aca="false">IF((E12="a"),H12," ")</f>
        <v>6666.66666666667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44</v>
      </c>
      <c r="E13" s="4" t="s">
        <v>41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45</v>
      </c>
      <c r="E14" s="4" t="s">
        <v>41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46</v>
      </c>
      <c r="E15" s="4" t="s">
        <v>47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18320</v>
      </c>
      <c r="G1" s="12" t="n">
        <f aca="false">SUM(G5:G300)</f>
        <v>3053.33333333333</v>
      </c>
      <c r="H1" s="12" t="n">
        <f aca="false">SUM(H5:H300)</f>
        <v>15266.6666666667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18320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Dec!G2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48</v>
      </c>
      <c r="E9" s="4" t="s">
        <v>41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43</v>
      </c>
      <c r="E10" s="4" t="s">
        <v>41</v>
      </c>
      <c r="F10" s="2" t="n">
        <v>8000</v>
      </c>
      <c r="G10" s="2" t="n">
        <f aca="false">IF(G$4&gt;0,(IF(F10&lt;&gt;0,F10*G$4/100," ")),IF(F10&lt;&gt;0,F10*G$2/(100+G$2)," "))</f>
        <v>1333.33333333333</v>
      </c>
      <c r="H10" s="2" t="n">
        <f aca="false">IF((F10&lt;&gt;0),F10-G10," ")</f>
        <v>6666.66666666667</v>
      </c>
      <c r="L10" s="7" t="n">
        <f aca="false">IF(F10&lt;&gt;0,F10-K10," ")</f>
        <v>8000</v>
      </c>
      <c r="M10" s="8" t="n">
        <f aca="false">IF((F10-K10)&lt;&gt;0,M$1-A10," ")</f>
        <v>79</v>
      </c>
      <c r="O10" s="2" t="n">
        <f aca="false">IF((E10="a"),H10," ")</f>
        <v>6666.66666666667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44</v>
      </c>
      <c r="E11" s="4" t="s">
        <v>41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61</v>
      </c>
      <c r="E12" s="4" t="s">
        <v>50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51</v>
      </c>
      <c r="E13" s="4" t="s">
        <v>41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15800</v>
      </c>
      <c r="G1" s="12" t="n">
        <f aca="false">SUM(G5:G300)</f>
        <v>2633.33333333333</v>
      </c>
      <c r="H1" s="12" t="n">
        <f aca="false">SUM(H5:H300)</f>
        <v>13166.6666666667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15800</v>
      </c>
      <c r="M1" s="17" t="n">
        <f aca="true">TODAY()</f>
        <v>46116</v>
      </c>
      <c r="N1" s="18"/>
      <c r="O1" s="12" t="n">
        <f aca="false">SUM(O5:O300)</f>
        <v>12366.6666666667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Jan!G2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43</v>
      </c>
      <c r="E9" s="4" t="s">
        <v>41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48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44</v>
      </c>
      <c r="E10" s="4" t="s">
        <v>41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45</v>
      </c>
      <c r="E11" s="4" t="s">
        <v>41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53</v>
      </c>
      <c r="E12" s="4" t="s">
        <v>41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18440</v>
      </c>
      <c r="G1" s="12" t="n">
        <f aca="false">SUM(G5:G300)</f>
        <v>3073.33333333333</v>
      </c>
      <c r="H1" s="12" t="n">
        <f aca="false">SUM(H5:H300)</f>
        <v>15366.6666666667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18440</v>
      </c>
      <c r="M1" s="17" t="n">
        <f aca="true">TODAY()</f>
        <v>46116</v>
      </c>
      <c r="N1" s="18"/>
      <c r="O1" s="12" t="n">
        <f aca="false">SUM(O5:O300)</f>
        <v>11466.6666666667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Feb!G2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36</v>
      </c>
      <c r="E5" s="4" t="s">
        <v>37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38</v>
      </c>
      <c r="E6" s="4" t="s">
        <v>37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39</v>
      </c>
      <c r="E7" s="4" t="s">
        <v>37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40</v>
      </c>
      <c r="E8" s="4" t="s">
        <v>41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42</v>
      </c>
      <c r="E9" s="4" t="s">
        <v>41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54</v>
      </c>
      <c r="E10" s="4" t="s">
        <v>41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43</v>
      </c>
      <c r="E11" s="4" t="s">
        <v>41</v>
      </c>
      <c r="F11" s="2" t="n">
        <v>8000</v>
      </c>
      <c r="G11" s="2" t="n">
        <f aca="false">IF(G$4&gt;0,(IF(F11&lt;&gt;0,F11*G$4/100," ")),IF(F11&lt;&gt;0,F11*G$2/(100+G$2)," "))</f>
        <v>1333.33333333333</v>
      </c>
      <c r="H11" s="2" t="n">
        <f aca="false">IF((F11&lt;&gt;0),F11-G11," ")</f>
        <v>6666.66666666667</v>
      </c>
      <c r="L11" s="7" t="n">
        <f aca="false">IF(F11&lt;&gt;0,F11-K11," ")</f>
        <v>8000</v>
      </c>
      <c r="M11" s="8" t="n">
        <f aca="false">IF((F11-K11)&lt;&gt;0,M$1-A11," ")</f>
        <v>20</v>
      </c>
      <c r="O11" s="2" t="n">
        <f aca="false">IF((E11="a"),H11," ")</f>
        <v>6666.66666666667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49</v>
      </c>
      <c r="E12" s="4" t="s">
        <v>50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44</v>
      </c>
      <c r="E13" s="4" t="s">
        <v>41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62</v>
      </c>
      <c r="E14" s="4" t="s">
        <v>47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46</v>
      </c>
      <c r="E15" s="4" t="s">
        <v>47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17360</v>
      </c>
      <c r="G1" s="12" t="n">
        <f aca="false">SUM(G5:G300)</f>
        <v>2893.33333333333</v>
      </c>
      <c r="H1" s="12" t="n">
        <f aca="false">SUM(H5:H300)</f>
        <v>14466.6666666667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17360</v>
      </c>
      <c r="M1" s="17" t="n">
        <f aca="true">TODAY()</f>
        <v>46116</v>
      </c>
      <c r="N1" s="18"/>
      <c r="O1" s="12" t="n">
        <f aca="false">SUM(O5:O300)</f>
        <v>12166.6666666667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Mar!G2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43</v>
      </c>
      <c r="E9" s="4" t="s">
        <v>41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-11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44</v>
      </c>
      <c r="E10" s="4" t="s">
        <v>41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45</v>
      </c>
      <c r="E11" s="4" t="s">
        <v>41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63</v>
      </c>
      <c r="E12" s="4" t="s">
        <v>50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51</v>
      </c>
      <c r="E13" s="4" t="s">
        <v>41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14360</v>
      </c>
      <c r="G1" s="12" t="n">
        <f aca="false">SUM(G5:G300)</f>
        <v>2393.33333333333</v>
      </c>
      <c r="H1" s="12" t="n">
        <f aca="false">SUM(H5:H300)</f>
        <v>11966.6666666667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14360</v>
      </c>
      <c r="M1" s="17" t="n">
        <f aca="true">TODAY()</f>
        <v>46116</v>
      </c>
      <c r="N1" s="18"/>
      <c r="O1" s="12" t="n">
        <f aca="false">SUM(O5:O300)</f>
        <v>10866.6666666667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Apr!G2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 t="s">
        <v>25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38</v>
      </c>
      <c r="E5" s="4" t="s">
        <v>37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39</v>
      </c>
      <c r="E6" s="4" t="s">
        <v>37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40</v>
      </c>
      <c r="E7" s="4" t="s">
        <v>41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42</v>
      </c>
      <c r="E8" s="4" t="s">
        <v>41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43</v>
      </c>
      <c r="E9" s="4" t="s">
        <v>41</v>
      </c>
      <c r="F9" s="2" t="n">
        <v>8000</v>
      </c>
      <c r="G9" s="2" t="n">
        <f aca="false">IF(G$4&gt;0,(IF(F9&lt;&gt;0,F9*G$4/100," ")),IF(F9&lt;&gt;0,F9*G$2/(100+G$2)," "))</f>
        <v>1333.33333333333</v>
      </c>
      <c r="H9" s="2" t="n">
        <f aca="false">IF((F9&lt;&gt;0),F9-G9," ")</f>
        <v>6666.66666666667</v>
      </c>
      <c r="L9" s="7" t="n">
        <f aca="false">IF(F9&lt;&gt;0,F9-K9," ")</f>
        <v>8000</v>
      </c>
      <c r="M9" s="8" t="n">
        <f aca="false">IF((F9-K9)&lt;&gt;0,M$1-A9," ")</f>
        <v>-41</v>
      </c>
      <c r="O9" s="2" t="n">
        <f aca="false">IF((E9="a"),H9," ")</f>
        <v>6666.66666666667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44</v>
      </c>
      <c r="E10" s="4" t="s">
        <v>41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53</v>
      </c>
      <c r="E11" s="4" t="s">
        <v>41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64</v>
      </c>
      <c r="E12" s="4" t="s">
        <v>65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66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