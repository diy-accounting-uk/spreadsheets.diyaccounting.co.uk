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Oct" sheetId="2" state="visible" r:id="rId4"/>
    <sheet name="Nov" sheetId="3" state="visible" r:id="rId5"/>
    <sheet name="Dec" sheetId="4" state="visible" r:id="rId6"/>
    <sheet name="Jan" sheetId="5" state="visible" r:id="rId7"/>
    <sheet name="Feb" sheetId="6" state="visible" r:id="rId8"/>
    <sheet name="Mar" sheetId="7" state="visible" r:id="rId9"/>
    <sheet name="Apr" sheetId="8" state="visible" r:id="rId10"/>
    <sheet name="May" sheetId="9" state="visible" r:id="rId11"/>
    <sheet name="Jun" sheetId="10" state="visible" r:id="rId12"/>
    <sheet name="Jul" sheetId="11" state="visible" r:id="rId13"/>
    <sheet name="Aug" sheetId="12" state="visible" r:id="rId14"/>
    <sheet name="Sep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<sst xmlns="http://schemas.openxmlformats.org/spreadsheetml/2006/main" count="664" uniqueCount="72">
  <si>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</si>
  <si>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</si>
  <si>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</si>
  <si>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</si>
  <si>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</si>
  <si>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</si>
  <si>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</si>
  <si>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</si>
  <si>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</si>
  <si>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</si>
  <si>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</si>
  <si>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</si>
  <si>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</si>
  <si>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</si>
  <si>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</si>
  <si>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</si>
  <si>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</si>
  <si>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</si>
  <si>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</si>
  <si>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</si>
  <si>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</si>
  <si>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</si>
  <si>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</si>
  <si>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</si>
  <si>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</si>
  <si>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</si>
  <si>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</si>
  <si>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</si>
  <si>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</si>
  <si>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</si>
  <si>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</si>
  <si>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</si>
  <si>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</si>
  <si>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</si>
  <si>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</si>
  <si>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</si>
  <si>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</si>
  <si>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</si>
  <si>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</si>
  <si>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</si>
  <si>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</si>
  <si>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</si>
  <si>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</si>
  <si>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</si>
  <si>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</si>
  <si>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</si>
  <si>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</si>
  <si>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</si>
  <si>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</si>
  <si>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</si>
  <si>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</si>
  <si>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</si>
  <si>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Zeta Corp</t>
  </si>
  <si>
    <t xml:space="preserve">o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</si>
  <si>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</si>
  <si>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</si>
  <si>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</si>
  <si>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</si>
  <si>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</si>
  <si>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</si>
  <si>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</si>
  <si>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</si>
  <si>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</si>
  <si>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</si>
  <si>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</si>
  <si>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</si>
  <si>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</si>
  <si>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</si>
  <si>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</si>
  <si>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Closing Debtors Balance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</si>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</sst>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46261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Oct!G2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46261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45931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330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45933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328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45935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326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45938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323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45940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321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45945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316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45948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313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45950</v>
      </c>
      <c r="B12" s="2" t="s">
        <v>49</v>
      </c>
      <c r="E12" s="4" t="s">
        <v>46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311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45958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303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46296</v>
      </c>
      <c r="B14" s="2" t="s">
        <v>52</v>
      </c>
      <c r="E14" s="4" t="s">
        <v>53</v>
      </c>
      <c r="F14" s="2" t="n">
        <v>360</v>
      </c>
      <c r="G14" s="2" t="n">
        <f aca="false">IF(G$4&gt;0,(IF(F14&lt;&gt;0,F14*G$4/100," ")),IF(F14&lt;&gt;0,F14*G$2/(100+G$2)," "))</f>
        <v>60</v>
      </c>
      <c r="H14" s="2" t="n">
        <f aca="false">IF((F14&lt;&gt;0),F14-G14," ")</f>
        <v>300</v>
      </c>
      <c r="L14" s="7" t="n">
        <f aca="false">IF(F14&lt;&gt;0,F14-K14," ")</f>
        <v>360</v>
      </c>
      <c r="M14" s="8" t="n">
        <f aca="false">IF((F14-K14)&lt;&gt;0,M$1-A14," ")</f>
        <v>-35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n">
        <f aca="false">IF((E14="o"),H14," ")</f>
        <v>300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46261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Oct!G2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45964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297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45966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295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45969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292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45971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290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45973</v>
      </c>
      <c r="B9" s="2" t="s">
        <v>54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288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45976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285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45977</v>
      </c>
      <c r="B11" s="2" t="s">
        <v>55</v>
      </c>
      <c r="E11" s="4" t="s">
        <v>56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284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45979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282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45986</v>
      </c>
      <c r="B13" s="2" t="s">
        <v>57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275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46261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45994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267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45996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265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45999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262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46001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260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46006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255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46009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252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46011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250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46011</v>
      </c>
      <c r="B12" s="2" t="s">
        <v>21</v>
      </c>
      <c r="E12" s="4" t="s">
        <v>56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250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46013</v>
      </c>
      <c r="B13" s="2" t="s">
        <v>58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248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46261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46023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238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46025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236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46027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234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46030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231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46032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229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46036</v>
      </c>
      <c r="B10" s="2" t="s">
        <v>59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225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46037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224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46040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221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46050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211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46261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46054</v>
      </c>
      <c r="B5" s="2" t="s">
        <v>60</v>
      </c>
      <c r="E5" s="4" t="s">
        <v>61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207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46056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205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46058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203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46061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200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46063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198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46065</v>
      </c>
      <c r="B10" s="2" t="s">
        <v>54</v>
      </c>
      <c r="E10" s="4" t="s">
        <v>46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196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46068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193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46071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190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46073</v>
      </c>
      <c r="B13" s="2" t="s">
        <v>49</v>
      </c>
      <c r="E13" s="4" t="s">
        <v>46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188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46078</v>
      </c>
      <c r="B14" s="2" t="s">
        <v>57</v>
      </c>
      <c r="E14" s="4" t="s">
        <v>46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183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46261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46084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177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46086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175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46089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172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46091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170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46096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165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46097</v>
      </c>
      <c r="B10" s="2" t="s">
        <v>55</v>
      </c>
      <c r="E10" s="4" t="s">
        <v>56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164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46099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162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46101</v>
      </c>
      <c r="B12" s="2" t="s">
        <v>62</v>
      </c>
      <c r="E12" s="4" t="s">
        <v>56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160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46103</v>
      </c>
      <c r="B13" s="2" t="s">
        <v>58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158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46106</v>
      </c>
      <c r="B14" s="2" t="s">
        <v>63</v>
      </c>
      <c r="E14" s="4" t="s">
        <v>51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155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46261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46113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148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46115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146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46117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144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46120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141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46122</v>
      </c>
      <c r="B9" s="2" t="s">
        <v>64</v>
      </c>
      <c r="E9" s="4" t="s">
        <v>65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139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</row>
    <row r="10" customFormat="false" ht="12" hidden="false" customHeight="false" outlineLevel="0" collapsed="false">
      <c r="A10" s="1" t="n">
        <v>46122</v>
      </c>
      <c r="B10" s="2" t="s">
        <v>47</v>
      </c>
      <c r="E10" s="4" t="s">
        <v>46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139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46126</v>
      </c>
      <c r="B11" s="2" t="s">
        <v>59</v>
      </c>
      <c r="E11" s="4" t="s">
        <v>46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135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46127</v>
      </c>
      <c r="B12" s="2" t="s">
        <v>17</v>
      </c>
      <c r="E12" s="4" t="s">
        <v>46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134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46130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131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46132</v>
      </c>
      <c r="B14" s="2" t="s">
        <v>49</v>
      </c>
      <c r="E14" s="4" t="s">
        <v>46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129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46140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121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46261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46145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116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46147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114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46150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111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46152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109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46154</v>
      </c>
      <c r="B9" s="2" t="s">
        <v>54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107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46157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104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46160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101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46162</v>
      </c>
      <c r="B12" s="2" t="s">
        <v>66</v>
      </c>
      <c r="E12" s="4" t="s">
        <v>56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99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46167</v>
      </c>
      <c r="B13" s="2" t="s">
        <v>57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94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46261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May!G2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46176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85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46178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83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46181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80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46183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78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46188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73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46191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70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46193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68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46195</v>
      </c>
      <c r="B12" s="2" t="s">
        <v>58</v>
      </c>
      <c r="E12" s="4" t="s">
        <v>46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66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46261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46204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57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46206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55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46208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53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46211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50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46213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48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46217</v>
      </c>
      <c r="B10" s="2" t="s">
        <v>59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44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46218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43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46219</v>
      </c>
      <c r="B12" s="2" t="s">
        <v>55</v>
      </c>
      <c r="E12" s="4" t="s">
        <v>56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42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46221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40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46228</v>
      </c>
      <c r="B14" s="2" t="s">
        <v>67</v>
      </c>
      <c r="E14" s="4" t="s">
        <v>51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33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46231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30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46261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46237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24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46239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22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46242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19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46244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17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46249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12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46252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9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46254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7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46254</v>
      </c>
      <c r="B12" s="2" t="s">
        <v>68</v>
      </c>
      <c r="E12" s="4" t="s">
        <v>56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7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46259</v>
      </c>
      <c r="B13" s="2" t="s">
        <v>57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31000</v>
      </c>
      <c r="G1" s="12" t="n">
        <f aca="false">SUM(G5:G300)</f>
        <v>5166.66666666667</v>
      </c>
      <c r="H1" s="12" t="n">
        <f aca="false">SUM(H5:H300)</f>
        <v>25833.3333333333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31000</v>
      </c>
      <c r="M1" s="17" t="n">
        <f aca="true">TODAY()</f>
        <v>46261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Oct!U1+Nov!U1+Dec!U1+Jan!U1+Feb!U1+Mar!U1+Apr!U1+May!U1+Jun!U1+Jul!U1+Aug!U1+Sep!U1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46268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-7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46270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-9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46273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-12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46275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-14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46280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-19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46283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-22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46287</v>
      </c>
      <c r="B11" s="2" t="s">
        <v>58</v>
      </c>
      <c r="E11" s="4" t="s">
        <v>46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-26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H12" s="2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69</v>
      </c>
      <c r="B1" s="9"/>
      <c r="C1" s="10" t="n">
        <f aca="false">IF([1]TrialBalance!$EJ$20&gt;0,[1]TrialBalance!$EJ$20,0)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10400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46261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Sep!G2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70</v>
      </c>
      <c r="G5" s="2" t="str">
        <f aca="false">IF(G$4&gt;0,(IF(F5&lt;&gt;0,F5*G$4/100," ")),IF(F5&lt;&gt;0,F5*G$2/(100+G$2)," "))</f>
        <v> </v>
      </c>
      <c r="H5" s="2" t="n">
        <v>8000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48</v>
      </c>
      <c r="C6" s="3" t="s">
        <v>71</v>
      </c>
      <c r="G6" s="2" t="str">
        <f aca="false">IF(G$4&gt;0,(IF(F6&lt;&gt;0,F6*G$4/100," ")),IF(F6&lt;&gt;0,F6*G$2/(100+G$2)," "))</f>
        <v> </v>
      </c>
      <c r="H6" s="2" t="n">
        <v>2400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