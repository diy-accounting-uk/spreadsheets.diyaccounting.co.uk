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<sst xmlns="http://schemas.openxmlformats.org/spreadsheetml/2006/main" count="1002" uniqueCount="211">
  <si>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</si>
  <si>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</si>
  <si>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</si>
  <si>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</si>
  <si>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</si>
  <si>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</si>
  <si>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</si>
  <si>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</si>
  <si>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</si>
  <si>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</si>
  <si>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</si>
  <si>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</si>
  <si>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</si>
  <si>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</si>
  <si>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</si>
  <si>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</si>
  <si>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</si>
  <si>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</si>
  <si>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</si>
  <si>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</si>
  <si>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</si>
  <si>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</si>
  <si>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</si>
  <si>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</si>
  <si>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</si>
  <si>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</si>
  <si>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</si>
  <si>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</si>
  <si>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</si>
  <si>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</si>
  <si>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</si>
  <si>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</si>
  <si>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</si>
  <si>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</si>
  <si>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</si>
  <si>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</si>
  <si>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</si>
  <si>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</si>
  <si>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</si>
  <si>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</si>
  <si>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</si>
  <si>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</si>
  <si>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</si>
  <si>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</si>
  <si>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</si>
  <si>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</si>
  <si>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</si>
  <si>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</si>
  <si>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</si>
  <si>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</si>
  <si>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</si>
  <si>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</si>
  <si>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</si>
  <si>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</si>
  <si>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</si>
  <si>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</si>
  <si>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</si>
  <si>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</si>
  <si>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</si>
  <si>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</si>
  <si>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</si>
  <si>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</si>
  <si>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</si>
  <si>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</si>
  <si>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</si>
  <si>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</si>
  <si>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</si>
  <si>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</si>
  <si>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</si>
  <si>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</si>
  <si>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</si>
  <si>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</si>
  <si>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</si>
  <si>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</si>
  <si>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</si>
  <si>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</si>
  <si>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</si>
  <si>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</si>
  <si>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</si>
  <si>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</si>
  <si>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</si>
  <si>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</si>
  <si>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</si>
  <si>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</si>
  <si>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</si>
  <si>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</si>
  <si>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</si>
  <si>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</si>
  <si>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</si>
  <si>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</si>
  <si>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</si>
  <si>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</si>
  <si>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</si>
  <si>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</si>
  <si>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</si>
  <si>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</si>
  <si>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</si>
  <si>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</si>
  <si>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</si>
  <si>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</si>
  <si>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</si>
  <si>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</si>
  <si>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</si>
  <si>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</si>
  <si>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</si>
  <si>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</si>
  <si>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</si>
  <si>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</si>
  <si>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</si>
  <si>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</si>
  <si>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</si>
  <si>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</si>
  <si>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</si>
  <si>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</si>
  <si>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</si>
  <si>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</si>
  <si>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</si>
  <si>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</si>
  <si>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</si>
  <si>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</si>
  <si>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</si>
  <si>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</si>
  <si>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</si>
  <si>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</si>
  <si>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</si>
  <si>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</si>
  <si>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</si>
  <si>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</si>
  <si>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</si>
  <si>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</si>
  <si>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</si>
  <si>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</si>
  <si>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</si>
  <si>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</si>
  <si>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</si>
  <si>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</si>
  <si>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</si>
  <si>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</si>
  <si>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</si>
  <si>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</si>
  <si>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</si>
  <si>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</si>
  <si>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</si>
  <si>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</si>
  <si>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</si>
  <si>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</si>
  <si>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</si>
  <si>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</si>
  <si>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</si>
  <si>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</si>
  <si>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</si>
  <si>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</si>
  <si>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</si>
  <si>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</si>
  <si>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</si>
  <si>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</si>
  <si>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</si>
  <si>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</si>
  <si>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</si>
  <si>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</si>
  <si>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</si>
  <si>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</si>
  <si>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</si>
  <si>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</si>
  <si>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</si>
  <si>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</si>
  <si>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</si>
  <si>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</si>
  <si>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</si>
  <si>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</si>
  <si>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</si>
  <si>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</si>
  <si>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</si>
  <si>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</si>
  <si>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</si>
  <si>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</si>
  <si>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</si>
  <si>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</si>
  <si>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</si>
  <si>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</si>
  <si>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</si>
  <si>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</si>
  <si>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</si>
  <si>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</si>
  <si>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</si>
  <si>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</si>
  <si>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</si>
  <si>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</si>
  <si>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</si>
  <si>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</si>
  <si>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</si>
  <si>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</si>
  <si>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</si>
  <si>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</si>
  <si>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</si>
  <si>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</si>
  <si>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</si>
  <si>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</si>
  <si>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</si>
  <si>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</si>
  <si>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</si>
  <si>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</si>
  <si>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</si>
  <si>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</si>
  <si>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</si>
  <si>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</si>
  <si>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</si>
  <si>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</si>
  <si>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</si>
  <si>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</si>
  <si>
    <t xml:space="preserve">Closing Debtors Balance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</si>
</sst>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7900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46265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46265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C5" s="3" t="s">
        <v>42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45933</v>
      </c>
      <c r="B6" s="2" t="s">
        <v>46</v>
      </c>
      <c r="C6" s="3" t="s">
        <v>47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332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45935</v>
      </c>
      <c r="B7" s="2" t="s">
        <v>49</v>
      </c>
      <c r="C7" s="3" t="s">
        <v>50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330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45938</v>
      </c>
      <c r="B8" s="2" t="s">
        <v>52</v>
      </c>
      <c r="C8" s="3" t="s">
        <v>53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45940</v>
      </c>
      <c r="B9" s="2" t="s">
        <v>57</v>
      </c>
      <c r="C9" s="3" t="s">
        <v>58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45945</v>
      </c>
      <c r="B10" s="2" t="s">
        <v>17</v>
      </c>
      <c r="C10" s="3" t="s">
        <v>60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320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45948</v>
      </c>
      <c r="B11" s="2" t="s">
        <v>62</v>
      </c>
      <c r="C11" s="3" t="s">
        <v>63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45950</v>
      </c>
      <c r="B12" s="2" t="s">
        <v>65</v>
      </c>
      <c r="C12" s="3" t="s">
        <v>66</v>
      </c>
      <c r="D12" s="40" t="s">
        <v>67</v>
      </c>
      <c r="E12" s="4" t="s">
        <v>55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315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45958</v>
      </c>
      <c r="B13" s="2" t="s">
        <v>68</v>
      </c>
      <c r="C13" s="3" t="s">
        <v>69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307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46265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46</v>
      </c>
      <c r="C5" s="3" t="s">
        <v>73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301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45966</v>
      </c>
      <c r="B6" s="2" t="s">
        <v>49</v>
      </c>
      <c r="C6" s="3" t="s">
        <v>74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45969</v>
      </c>
      <c r="B7" s="2" t="s">
        <v>52</v>
      </c>
      <c r="C7" s="3" t="s">
        <v>75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45971</v>
      </c>
      <c r="B8" s="2" t="s">
        <v>57</v>
      </c>
      <c r="C8" s="3" t="s">
        <v>76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45973</v>
      </c>
      <c r="B9" s="2" t="s">
        <v>77</v>
      </c>
      <c r="C9" s="3" t="s">
        <v>78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292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45976</v>
      </c>
      <c r="B10" s="2" t="s">
        <v>17</v>
      </c>
      <c r="C10" s="3" t="s">
        <v>80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289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45977</v>
      </c>
      <c r="B11" s="2" t="s">
        <v>81</v>
      </c>
      <c r="C11" s="3" t="s">
        <v>82</v>
      </c>
      <c r="D11" s="40" t="s">
        <v>83</v>
      </c>
      <c r="E11" s="4" t="s">
        <v>84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288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85</v>
      </c>
    </row>
    <row r="12" customFormat="false" ht="12" hidden="false" customHeight="false" outlineLevel="0" collapsed="false">
      <c r="A12" s="1" t="n">
        <v>45979</v>
      </c>
      <c r="B12" s="2" t="s">
        <v>62</v>
      </c>
      <c r="C12" s="3" t="s">
        <v>86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286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45986</v>
      </c>
      <c r="B13" s="2" t="s">
        <v>87</v>
      </c>
      <c r="C13" s="3" t="s">
        <v>88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279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46265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46</v>
      </c>
      <c r="C5" s="3" t="s">
        <v>90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45996</v>
      </c>
      <c r="B6" s="2" t="s">
        <v>49</v>
      </c>
      <c r="C6" s="3" t="s">
        <v>91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45999</v>
      </c>
      <c r="B7" s="2" t="s">
        <v>52</v>
      </c>
      <c r="C7" s="3" t="s">
        <v>92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46001</v>
      </c>
      <c r="B8" s="2" t="s">
        <v>57</v>
      </c>
      <c r="C8" s="3" t="s">
        <v>93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46006</v>
      </c>
      <c r="B9" s="2" t="s">
        <v>17</v>
      </c>
      <c r="C9" s="3" t="s">
        <v>94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46009</v>
      </c>
      <c r="B10" s="2" t="s">
        <v>62</v>
      </c>
      <c r="C10" s="3" t="s">
        <v>95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46011</v>
      </c>
      <c r="B11" s="2" t="s">
        <v>65</v>
      </c>
      <c r="C11" s="3" t="s">
        <v>96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46011</v>
      </c>
      <c r="B12" s="2" t="s">
        <v>21</v>
      </c>
      <c r="C12" s="3" t="s">
        <v>97</v>
      </c>
      <c r="D12" s="40" t="s">
        <v>98</v>
      </c>
      <c r="E12" s="4" t="s">
        <v>84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46013</v>
      </c>
      <c r="B13" s="2" t="s">
        <v>99</v>
      </c>
      <c r="C13" s="3" t="s">
        <v>100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252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46265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C5" s="3" t="s">
        <v>102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242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46025</v>
      </c>
      <c r="B6" s="2" t="s">
        <v>46</v>
      </c>
      <c r="C6" s="3" t="s">
        <v>103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240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46027</v>
      </c>
      <c r="B7" s="2" t="s">
        <v>49</v>
      </c>
      <c r="C7" s="3" t="s">
        <v>104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46030</v>
      </c>
      <c r="B8" s="2" t="s">
        <v>52</v>
      </c>
      <c r="C8" s="3" t="s">
        <v>105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46032</v>
      </c>
      <c r="B9" s="2" t="s">
        <v>57</v>
      </c>
      <c r="C9" s="3" t="s">
        <v>106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233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46036</v>
      </c>
      <c r="B10" s="2" t="s">
        <v>107</v>
      </c>
      <c r="C10" s="3" t="s">
        <v>108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229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46037</v>
      </c>
      <c r="B11" s="2" t="s">
        <v>17</v>
      </c>
      <c r="C11" s="3" t="s">
        <v>110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228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46040</v>
      </c>
      <c r="B12" s="2" t="s">
        <v>62</v>
      </c>
      <c r="C12" s="3" t="s">
        <v>111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46050</v>
      </c>
      <c r="B13" s="2" t="s">
        <v>68</v>
      </c>
      <c r="C13" s="3" t="s">
        <v>112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215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46265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113</v>
      </c>
      <c r="C5" s="3" t="s">
        <v>114</v>
      </c>
      <c r="D5" s="40" t="s">
        <v>115</v>
      </c>
      <c r="E5" s="4" t="s">
        <v>116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211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  <c r="BZ5" s="2" t="s">
        <v>117</v>
      </c>
    </row>
    <row r="6" customFormat="false" ht="12.75" hidden="false" customHeight="true" outlineLevel="0" collapsed="false">
      <c r="A6" s="1" t="n">
        <v>46056</v>
      </c>
      <c r="B6" s="2" t="s">
        <v>46</v>
      </c>
      <c r="C6" s="3" t="s">
        <v>118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46058</v>
      </c>
      <c r="B7" s="2" t="s">
        <v>49</v>
      </c>
      <c r="C7" s="3" t="s">
        <v>119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46061</v>
      </c>
      <c r="B8" s="2" t="s">
        <v>52</v>
      </c>
      <c r="C8" s="3" t="s">
        <v>120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46063</v>
      </c>
      <c r="B9" s="2" t="s">
        <v>57</v>
      </c>
      <c r="C9" s="3" t="s">
        <v>121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46065</v>
      </c>
      <c r="B10" s="2" t="s">
        <v>77</v>
      </c>
      <c r="C10" s="3" t="s">
        <v>122</v>
      </c>
      <c r="D10" s="40" t="s">
        <v>79</v>
      </c>
      <c r="E10" s="4" t="s">
        <v>55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200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46068</v>
      </c>
      <c r="B11" s="2" t="s">
        <v>17</v>
      </c>
      <c r="C11" s="3" t="s">
        <v>123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46071</v>
      </c>
      <c r="B12" s="2" t="s">
        <v>62</v>
      </c>
      <c r="C12" s="3" t="s">
        <v>124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194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46073</v>
      </c>
      <c r="B13" s="2" t="s">
        <v>65</v>
      </c>
      <c r="C13" s="3" t="s">
        <v>125</v>
      </c>
      <c r="D13" s="40" t="s">
        <v>67</v>
      </c>
      <c r="E13" s="4" t="s">
        <v>55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192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46078</v>
      </c>
      <c r="B14" s="2" t="s">
        <v>87</v>
      </c>
      <c r="C14" s="3" t="s">
        <v>126</v>
      </c>
      <c r="D14" s="40" t="s">
        <v>89</v>
      </c>
      <c r="E14" s="4" t="s">
        <v>55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187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46265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46</v>
      </c>
      <c r="C5" s="3" t="s">
        <v>127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181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46086</v>
      </c>
      <c r="B6" s="2" t="s">
        <v>49</v>
      </c>
      <c r="C6" s="3" t="s">
        <v>128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46089</v>
      </c>
      <c r="B7" s="2" t="s">
        <v>52</v>
      </c>
      <c r="C7" s="3" t="s">
        <v>129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46091</v>
      </c>
      <c r="B8" s="2" t="s">
        <v>57</v>
      </c>
      <c r="C8" s="3" t="s">
        <v>130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46096</v>
      </c>
      <c r="B9" s="2" t="s">
        <v>17</v>
      </c>
      <c r="C9" s="3" t="s">
        <v>131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46097</v>
      </c>
      <c r="B10" s="2" t="s">
        <v>81</v>
      </c>
      <c r="C10" s="3" t="s">
        <v>132</v>
      </c>
      <c r="D10" s="40" t="s">
        <v>83</v>
      </c>
      <c r="E10" s="4" t="s">
        <v>84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168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85</v>
      </c>
    </row>
    <row r="11" customFormat="false" ht="12" hidden="false" customHeight="false" outlineLevel="0" collapsed="false">
      <c r="A11" s="1" t="n">
        <v>46099</v>
      </c>
      <c r="B11" s="2" t="s">
        <v>62</v>
      </c>
      <c r="C11" s="3" t="s">
        <v>133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46101</v>
      </c>
      <c r="B12" s="2" t="s">
        <v>134</v>
      </c>
      <c r="C12" s="3" t="s">
        <v>135</v>
      </c>
      <c r="D12" s="40" t="s">
        <v>136</v>
      </c>
      <c r="E12" s="4" t="s">
        <v>84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164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46103</v>
      </c>
      <c r="B13" s="2" t="s">
        <v>99</v>
      </c>
      <c r="C13" s="3" t="s">
        <v>137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162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46106</v>
      </c>
      <c r="B14" s="2" t="s">
        <v>138</v>
      </c>
      <c r="C14" s="3" t="s">
        <v>139</v>
      </c>
      <c r="D14" s="40" t="s">
        <v>140</v>
      </c>
      <c r="E14" s="4" t="s">
        <v>71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159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46265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C5" s="3" t="s">
        <v>141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152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46115</v>
      </c>
      <c r="B6" s="2" t="s">
        <v>46</v>
      </c>
      <c r="C6" s="3" t="s">
        <v>142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150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46117</v>
      </c>
      <c r="B7" s="2" t="s">
        <v>49</v>
      </c>
      <c r="C7" s="3" t="s">
        <v>143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46120</v>
      </c>
      <c r="B8" s="2" t="s">
        <v>52</v>
      </c>
      <c r="C8" s="3" t="s">
        <v>144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46122</v>
      </c>
      <c r="B9" s="2" t="s">
        <v>145</v>
      </c>
      <c r="C9" s="3" t="s">
        <v>146</v>
      </c>
      <c r="D9" s="40" t="s">
        <v>147</v>
      </c>
      <c r="E9" s="4" t="s">
        <v>148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143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  <c r="BZ9" s="2" t="s">
        <v>149</v>
      </c>
    </row>
    <row r="10" customFormat="false" ht="12" hidden="false" customHeight="false" outlineLevel="0" collapsed="false">
      <c r="A10" s="1" t="n">
        <v>46122</v>
      </c>
      <c r="B10" s="2" t="s">
        <v>57</v>
      </c>
      <c r="C10" s="3" t="s">
        <v>150</v>
      </c>
      <c r="D10" s="40" t="s">
        <v>59</v>
      </c>
      <c r="E10" s="4" t="s">
        <v>55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143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46126</v>
      </c>
      <c r="B11" s="2" t="s">
        <v>107</v>
      </c>
      <c r="C11" s="3" t="s">
        <v>151</v>
      </c>
      <c r="D11" s="40" t="s">
        <v>109</v>
      </c>
      <c r="E11" s="4" t="s">
        <v>55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139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46127</v>
      </c>
      <c r="B12" s="2" t="s">
        <v>17</v>
      </c>
      <c r="C12" s="3" t="s">
        <v>152</v>
      </c>
      <c r="D12" s="40" t="s">
        <v>61</v>
      </c>
      <c r="E12" s="4" t="s">
        <v>55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138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46130</v>
      </c>
      <c r="B13" s="2" t="s">
        <v>62</v>
      </c>
      <c r="C13" s="3" t="s">
        <v>153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135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46132</v>
      </c>
      <c r="B14" s="2" t="s">
        <v>65</v>
      </c>
      <c r="C14" s="3" t="s">
        <v>154</v>
      </c>
      <c r="D14" s="40" t="s">
        <v>67</v>
      </c>
      <c r="E14" s="4" t="s">
        <v>55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133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A15" s="1" t="n">
        <v>46140</v>
      </c>
      <c r="B15" s="2" t="s">
        <v>68</v>
      </c>
      <c r="C15" s="3" t="s">
        <v>155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125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46265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46</v>
      </c>
      <c r="C5" s="3" t="s">
        <v>156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120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46147</v>
      </c>
      <c r="B6" s="2" t="s">
        <v>49</v>
      </c>
      <c r="C6" s="3" t="s">
        <v>157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46150</v>
      </c>
      <c r="B7" s="2" t="s">
        <v>52</v>
      </c>
      <c r="C7" s="3" t="s">
        <v>158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115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46152</v>
      </c>
      <c r="B8" s="2" t="s">
        <v>57</v>
      </c>
      <c r="C8" s="3" t="s">
        <v>159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113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46154</v>
      </c>
      <c r="B9" s="2" t="s">
        <v>77</v>
      </c>
      <c r="C9" s="3" t="s">
        <v>160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111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46157</v>
      </c>
      <c r="B10" s="2" t="s">
        <v>17</v>
      </c>
      <c r="C10" s="3" t="s">
        <v>161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46160</v>
      </c>
      <c r="B11" s="2" t="s">
        <v>62</v>
      </c>
      <c r="C11" s="3" t="s">
        <v>162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105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46162</v>
      </c>
      <c r="B12" s="2" t="s">
        <v>163</v>
      </c>
      <c r="C12" s="3" t="s">
        <v>164</v>
      </c>
      <c r="D12" s="40" t="s">
        <v>165</v>
      </c>
      <c r="E12" s="4" t="s">
        <v>84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103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46167</v>
      </c>
      <c r="B13" s="2" t="s">
        <v>87</v>
      </c>
      <c r="C13" s="3" t="s">
        <v>166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98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46265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46</v>
      </c>
      <c r="C5" s="3" t="s">
        <v>167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46178</v>
      </c>
      <c r="B6" s="2" t="s">
        <v>49</v>
      </c>
      <c r="C6" s="3" t="s">
        <v>168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46181</v>
      </c>
      <c r="B7" s="2" t="s">
        <v>52</v>
      </c>
      <c r="C7" s="3" t="s">
        <v>169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46183</v>
      </c>
      <c r="B8" s="2" t="s">
        <v>57</v>
      </c>
      <c r="C8" s="3" t="s">
        <v>170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46188</v>
      </c>
      <c r="B9" s="2" t="s">
        <v>17</v>
      </c>
      <c r="C9" s="3" t="s">
        <v>171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46191</v>
      </c>
      <c r="B10" s="2" t="s">
        <v>62</v>
      </c>
      <c r="C10" s="3" t="s">
        <v>172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46193</v>
      </c>
      <c r="B11" s="2" t="s">
        <v>65</v>
      </c>
      <c r="C11" s="3" t="s">
        <v>173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72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46195</v>
      </c>
      <c r="B12" s="2" t="s">
        <v>99</v>
      </c>
      <c r="C12" s="3" t="s">
        <v>174</v>
      </c>
      <c r="D12" s="40" t="s">
        <v>101</v>
      </c>
      <c r="E12" s="4" t="s">
        <v>55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70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46265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46204</v>
      </c>
      <c r="B5" s="2" t="s">
        <v>19</v>
      </c>
      <c r="C5" s="3" t="s">
        <v>175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61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46206</v>
      </c>
      <c r="B6" s="2" t="s">
        <v>46</v>
      </c>
      <c r="C6" s="3" t="s">
        <v>176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46208</v>
      </c>
      <c r="B7" s="2" t="s">
        <v>49</v>
      </c>
      <c r="C7" s="3" t="s">
        <v>177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46211</v>
      </c>
      <c r="B8" s="2" t="s">
        <v>52</v>
      </c>
      <c r="C8" s="3" t="s">
        <v>178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46213</v>
      </c>
      <c r="B9" s="2" t="s">
        <v>57</v>
      </c>
      <c r="C9" s="3" t="s">
        <v>179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52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46217</v>
      </c>
      <c r="B10" s="2" t="s">
        <v>107</v>
      </c>
      <c r="C10" s="3" t="s">
        <v>180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48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46218</v>
      </c>
      <c r="B11" s="2" t="s">
        <v>17</v>
      </c>
      <c r="C11" s="3" t="s">
        <v>181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46219</v>
      </c>
      <c r="B12" s="2" t="s">
        <v>81</v>
      </c>
      <c r="C12" s="3" t="s">
        <v>182</v>
      </c>
      <c r="D12" s="40" t="s">
        <v>83</v>
      </c>
      <c r="E12" s="4" t="s">
        <v>84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46221</v>
      </c>
      <c r="B13" s="2" t="s">
        <v>62</v>
      </c>
      <c r="C13" s="3" t="s">
        <v>183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44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46228</v>
      </c>
      <c r="B14" s="2" t="s">
        <v>184</v>
      </c>
      <c r="C14" s="3" t="s">
        <v>185</v>
      </c>
      <c r="D14" s="40" t="s">
        <v>140</v>
      </c>
      <c r="E14" s="4" t="s">
        <v>71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A15" s="1" t="n">
        <v>46231</v>
      </c>
      <c r="B15" s="2" t="s">
        <v>68</v>
      </c>
      <c r="C15" s="3" t="s">
        <v>186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34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46265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46237</v>
      </c>
      <c r="B5" s="2" t="s">
        <v>46</v>
      </c>
      <c r="C5" s="3" t="s">
        <v>187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46239</v>
      </c>
      <c r="B6" s="2" t="s">
        <v>49</v>
      </c>
      <c r="C6" s="3" t="s">
        <v>188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46242</v>
      </c>
      <c r="B7" s="2" t="s">
        <v>52</v>
      </c>
      <c r="C7" s="3" t="s">
        <v>189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46244</v>
      </c>
      <c r="B8" s="2" t="s">
        <v>57</v>
      </c>
      <c r="C8" s="3" t="s">
        <v>190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46249</v>
      </c>
      <c r="B9" s="2" t="s">
        <v>17</v>
      </c>
      <c r="C9" s="3" t="s">
        <v>191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46252</v>
      </c>
      <c r="B10" s="2" t="s">
        <v>62</v>
      </c>
      <c r="C10" s="3" t="s">
        <v>192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13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46254</v>
      </c>
      <c r="B11" s="2" t="s">
        <v>65</v>
      </c>
      <c r="C11" s="3" t="s">
        <v>193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11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46254</v>
      </c>
      <c r="B12" s="2" t="s">
        <v>194</v>
      </c>
      <c r="C12" s="3" t="s">
        <v>195</v>
      </c>
      <c r="D12" s="40" t="s">
        <v>196</v>
      </c>
      <c r="E12" s="4" t="s">
        <v>84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11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46259</v>
      </c>
      <c r="B13" s="2" t="s">
        <v>87</v>
      </c>
      <c r="C13" s="3" t="s">
        <v>197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46265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Oct!U1+Nov!U1+Dec!U1+Jan!U1+Feb!U1+Mar!U1+Apr!U1+May!U1+Jun!U1+Jul!U1+Aug!U1+Sep!U1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46</v>
      </c>
      <c r="C5" s="3" t="s">
        <v>198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46270</v>
      </c>
      <c r="B6" s="2" t="s">
        <v>49</v>
      </c>
      <c r="C6" s="3" t="s">
        <v>199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46273</v>
      </c>
      <c r="B7" s="2" t="s">
        <v>52</v>
      </c>
      <c r="C7" s="3" t="s">
        <v>200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46275</v>
      </c>
      <c r="B8" s="2" t="s">
        <v>57</v>
      </c>
      <c r="C8" s="3" t="s">
        <v>201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46280</v>
      </c>
      <c r="B9" s="2" t="s">
        <v>17</v>
      </c>
      <c r="C9" s="3" t="s">
        <v>202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46283</v>
      </c>
      <c r="B10" s="2" t="s">
        <v>62</v>
      </c>
      <c r="C10" s="3" t="s">
        <v>203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-18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46287</v>
      </c>
      <c r="B11" s="2" t="s">
        <v>99</v>
      </c>
      <c r="C11" s="3" t="s">
        <v>204</v>
      </c>
      <c r="D11" s="40" t="s">
        <v>101</v>
      </c>
      <c r="E11" s="4" t="s">
        <v>55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-22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46295</v>
      </c>
      <c r="B12" s="2" t="s">
        <v>205</v>
      </c>
      <c r="C12" s="3" t="s">
        <v>206</v>
      </c>
      <c r="D12" s="40" t="s">
        <v>207</v>
      </c>
      <c r="E12" s="4" t="s">
        <v>208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-30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  <c r="BZ12" s="2" t="s">
        <v>209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210</v>
      </c>
      <c r="B1" s="9"/>
      <c r="C1" s="10" t="n">
        <f aca="false">IF([1]TrialBalance!$EJ$20&gt;0,[1]TrialBalance!$EJ$20,0)</f>
        <v>7900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46265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Sep!G2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202</v>
      </c>
      <c r="G5" s="2" t="str">
        <f aca="false">IF(G$4&gt;0,(IF(F5&lt;&gt;0,F5*G$4/100," ")),IF(F5&lt;&gt;0,F5*G$2/(100+G$2)," "))</f>
        <v> </v>
      </c>
      <c r="H5" s="2" t="n">
        <v>6100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99</v>
      </c>
      <c r="C6" s="3" t="s">
        <v>204</v>
      </c>
      <c r="G6" s="2" t="str">
        <f aca="false">IF(G$4&gt;0,(IF(F6&lt;&gt;0,F6*G$4/100," ")),IF(F6&lt;&gt;0,F6*G$2/(100+G$2)," "))</f>
        <v> </v>
      </c>
      <c r="H6" s="2" t="n">
        <v>1440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205</v>
      </c>
      <c r="C7" s="3" t="s">
        <v>206</v>
      </c>
      <c r="G7" s="2" t="str">
        <f aca="false">IF(G$4&gt;0,(IF(F7&lt;&gt;0,F7*G$4/100," ")),IF(F7&lt;&gt;0,F7*G$2/(100+G$2)," "))</f>
        <v> </v>
      </c>
      <c r="H7" s="2" t="n">
        <v>360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