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<sst xmlns="http://schemas.openxmlformats.org/spreadsheetml/2006/main" count="1507" uniqueCount="189">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</sst>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45991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94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97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99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DATE(2026,12,1)</f>
        <v>46357</v>
      </c>
      <c r="L49" s="149" t="s">
        <v>85</v>
      </c>
      <c r="M49" s="150" t="n">
        <v>46022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105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106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107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DATE(2027,1,1)</f>
        <v>46388</v>
      </c>
      <c r="L59" s="149" t="s">
        <v>85</v>
      </c>
      <c r="M59" s="150" t="n">
        <v>46052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108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109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110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46081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111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112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113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DATE(2027,3,1)</f>
        <v>46447</v>
      </c>
      <c r="L49" s="149" t="s">
        <v>85</v>
      </c>
      <c r="M49" s="150" t="n">
        <v>46112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114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115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116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DATE(2027,4,1)</f>
        <v>46478</v>
      </c>
      <c r="L59" s="149" t="s">
        <v>85</v>
      </c>
      <c r="M59" s="150" t="n">
        <v>46142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117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118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119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DATE(2027,5,1)</f>
        <v>46508</v>
      </c>
      <c r="L49" s="149" t="s">
        <v>85</v>
      </c>
      <c r="M49" s="150" t="n">
        <v>46173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120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121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122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DATE(2027,6,1)</f>
        <v>46539</v>
      </c>
      <c r="L49" s="149" t="s">
        <v>85</v>
      </c>
      <c r="M49" s="150" t="n">
        <v>46203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123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124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125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DATE(2027,7,1)</f>
        <v>46569</v>
      </c>
      <c r="L59" s="149" t="s">
        <v>85</v>
      </c>
      <c r="M59" s="150" t="n">
        <v>46234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126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127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128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DATE(2027,8,1)</f>
        <v>46600</v>
      </c>
      <c r="L49" s="149" t="s">
        <v>85</v>
      </c>
      <c r="M49" s="150" t="n">
        <v>46265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129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130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131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DATE(2027,9,1)</f>
        <v>46631</v>
      </c>
      <c r="L49" s="149" t="s">
        <v>85</v>
      </c>
      <c r="M49" s="150" t="n">
        <v>46293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132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133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134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135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DATE(2027,10,1)</f>
        <v>46661</v>
      </c>
      <c r="L69" s="149" t="s">
        <v>85</v>
      </c>
      <c r="M69" s="150" t="n">
        <v>46326</v>
      </c>
      <c r="N69" s="151"/>
      <c r="O69" s="198" t="s">
        <v>104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86</v>
      </c>
      <c r="E71" s="213" t="n">
        <f aca="false">IF(Employee!D$28="w"," ",IF(Employee!F$24&gt;E$69," ",IF(Employee!F$26&lt;E$69," ",Employee!D$29)))</f>
        <v>1</v>
      </c>
      <c r="F71" s="162" t="s">
        <v>93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136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95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86</v>
      </c>
      <c r="E72" s="214" t="n">
        <f aca="false">IF(Employee!D$54="w"," ",IF(Employee!F$50&gt;E$69," ",IF(Employee!F$52&lt;E$69," ",Employee!D$55)))</f>
        <v>2</v>
      </c>
      <c r="F72" s="175" t="s">
        <v>96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137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95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86</v>
      </c>
      <c r="E73" s="214" t="n">
        <f aca="false">IF(Employee!D$80="w"," ",IF(Employee!F$76&gt;E$69," ",IF(Employee!F$78&lt;E$69," ",Employee!D$81)))</f>
        <v>3</v>
      </c>
      <c r="F73" s="175" t="s">
        <v>98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138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100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101</v>
      </c>
      <c r="G79" s="219"/>
      <c r="H79" s="219"/>
      <c r="M79" s="220" t="s">
        <v>102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103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139</v>
      </c>
      <c r="C3" s="270"/>
      <c r="D3" s="270"/>
      <c r="E3" s="270"/>
      <c r="F3" s="271" t="s">
        <v>6</v>
      </c>
      <c r="G3" s="272" t="s">
        <v>140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141</v>
      </c>
      <c r="C4" s="270"/>
      <c r="D4" s="270"/>
      <c r="E4" s="270"/>
      <c r="F4" s="271" t="n">
        <v>2</v>
      </c>
      <c r="G4" s="272" t="s">
        <v>142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143</v>
      </c>
      <c r="I9" s="296" t="n">
        <f aca="true">INDIRECT(ADDRESS($H$4+1,13,1,TRUE(),$H$3))</f>
        <v>46022</v>
      </c>
      <c r="J9" s="297" t="s">
        <v>55</v>
      </c>
      <c r="K9" s="297"/>
      <c r="L9" s="295" t="s">
        <v>144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145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 </v>
      </c>
      <c r="K10" s="303"/>
      <c r="L10" s="295" t="s">
        <v>146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147</v>
      </c>
      <c r="C12" s="305"/>
      <c r="D12" s="305"/>
      <c r="E12" s="305"/>
      <c r="F12" s="305"/>
      <c r="G12" s="306" t="s">
        <v>148</v>
      </c>
      <c r="H12" s="307" t="s">
        <v>149</v>
      </c>
      <c r="I12" s="307"/>
      <c r="J12" s="307"/>
      <c r="K12" s="307"/>
      <c r="L12" s="307"/>
      <c r="M12" s="308" t="s">
        <v>150</v>
      </c>
      <c r="N12" s="292"/>
    </row>
    <row r="13" s="312" customFormat="true" ht="21" hidden="false" customHeight="true" outlineLevel="0" collapsed="false">
      <c r="A13" s="286"/>
      <c r="B13" s="309" t="s">
        <v>151</v>
      </c>
      <c r="C13" s="309" t="s">
        <v>152</v>
      </c>
      <c r="D13" s="309" t="s">
        <v>153</v>
      </c>
      <c r="E13" s="309" t="s">
        <v>154</v>
      </c>
      <c r="F13" s="310" t="s">
        <v>155</v>
      </c>
      <c r="G13" s="306"/>
      <c r="H13" s="311" t="s">
        <v>156</v>
      </c>
      <c r="I13" s="309" t="s">
        <v>157</v>
      </c>
      <c r="J13" s="309" t="s">
        <v>158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159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160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161</v>
      </c>
      <c r="K18" s="326"/>
      <c r="L18" s="326"/>
      <c r="M18" s="327" t="n">
        <f aca="true">IF(M8=" "," ",INDIRECT(ADDRESS($H$4+1,13,1,TRUE(),$H$3)))</f>
        <v>46022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143</v>
      </c>
      <c r="I23" s="296" t="n">
        <f aca="false">I9</f>
        <v>46022</v>
      </c>
      <c r="J23" s="297" t="s">
        <v>55</v>
      </c>
      <c r="K23" s="297"/>
      <c r="L23" s="295" t="s">
        <v>144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145</v>
      </c>
      <c r="C24" s="298" t="n">
        <f aca="false">Employee!$D$55</f>
        <v>2</v>
      </c>
      <c r="D24" s="333"/>
      <c r="E24" s="334"/>
      <c r="F24" s="304"/>
      <c r="G24" s="304"/>
      <c r="H24" s="301" t="s">
        <v>162</v>
      </c>
      <c r="I24" s="302" t="n">
        <f aca="false">I10</f>
        <v>2</v>
      </c>
      <c r="J24" s="303" t="str">
        <f aca="true">IF(M22=" "," ",INDIRECT(ADDRESS($H$4+2+C24,4,1,TRUE(),$H$3)))</f>
        <v> </v>
      </c>
      <c r="K24" s="303"/>
      <c r="L24" s="295" t="s">
        <v>146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147</v>
      </c>
      <c r="C26" s="305"/>
      <c r="D26" s="305"/>
      <c r="E26" s="305"/>
      <c r="F26" s="305"/>
      <c r="G26" s="306" t="s">
        <v>148</v>
      </c>
      <c r="H26" s="305" t="s">
        <v>149</v>
      </c>
      <c r="I26" s="305"/>
      <c r="J26" s="305"/>
      <c r="K26" s="305"/>
      <c r="L26" s="305"/>
      <c r="M26" s="335" t="s">
        <v>150</v>
      </c>
      <c r="N26" s="292"/>
    </row>
    <row r="27" s="312" customFormat="true" ht="21" hidden="false" customHeight="true" outlineLevel="0" collapsed="false">
      <c r="A27" s="286"/>
      <c r="B27" s="309" t="s">
        <v>151</v>
      </c>
      <c r="C27" s="309" t="s">
        <v>152</v>
      </c>
      <c r="D27" s="309" t="s">
        <v>153</v>
      </c>
      <c r="E27" s="309" t="s">
        <v>154</v>
      </c>
      <c r="F27" s="310" t="s">
        <v>155</v>
      </c>
      <c r="G27" s="306"/>
      <c r="H27" s="309" t="s">
        <v>156</v>
      </c>
      <c r="I27" s="309" t="s">
        <v>157</v>
      </c>
      <c r="J27" s="309" t="s">
        <v>158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159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160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161</v>
      </c>
      <c r="K32" s="326"/>
      <c r="L32" s="326"/>
      <c r="M32" s="327" t="n">
        <f aca="false">M18</f>
        <v>46022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143</v>
      </c>
      <c r="I38" s="296" t="n">
        <f aca="false">I23</f>
        <v>46022</v>
      </c>
      <c r="J38" s="297" t="s">
        <v>55</v>
      </c>
      <c r="K38" s="297"/>
      <c r="L38" s="295" t="s">
        <v>144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145</v>
      </c>
      <c r="C39" s="298" t="n">
        <f aca="false">Employee!$D$81</f>
        <v>3</v>
      </c>
      <c r="D39" s="333"/>
      <c r="E39" s="334"/>
      <c r="F39" s="304"/>
      <c r="G39" s="304"/>
      <c r="H39" s="301" t="s">
        <v>162</v>
      </c>
      <c r="I39" s="302" t="n">
        <f aca="false">I24</f>
        <v>2</v>
      </c>
      <c r="J39" s="303" t="str">
        <f aca="true">IF(M37=" "," ",INDIRECT(ADDRESS($H$4+2+C39,4,1,TRUE(),$H$3)))</f>
        <v> </v>
      </c>
      <c r="K39" s="303"/>
      <c r="L39" s="295" t="s">
        <v>146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147</v>
      </c>
      <c r="C41" s="305"/>
      <c r="D41" s="305"/>
      <c r="E41" s="305"/>
      <c r="F41" s="305"/>
      <c r="G41" s="306" t="s">
        <v>148</v>
      </c>
      <c r="H41" s="305" t="s">
        <v>149</v>
      </c>
      <c r="I41" s="305"/>
      <c r="J41" s="305"/>
      <c r="K41" s="305"/>
      <c r="L41" s="305"/>
      <c r="M41" s="335" t="s">
        <v>150</v>
      </c>
      <c r="N41" s="292"/>
    </row>
    <row r="42" s="312" customFormat="true" ht="21" hidden="false" customHeight="true" outlineLevel="0" collapsed="false">
      <c r="A42" s="286"/>
      <c r="B42" s="309" t="s">
        <v>151</v>
      </c>
      <c r="C42" s="309" t="s">
        <v>152</v>
      </c>
      <c r="D42" s="309" t="s">
        <v>153</v>
      </c>
      <c r="E42" s="309" t="s">
        <v>154</v>
      </c>
      <c r="F42" s="310" t="s">
        <v>155</v>
      </c>
      <c r="G42" s="306"/>
      <c r="H42" s="309" t="s">
        <v>156</v>
      </c>
      <c r="I42" s="309" t="s">
        <v>157</v>
      </c>
      <c r="J42" s="309" t="s">
        <v>158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159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160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161</v>
      </c>
      <c r="K47" s="326"/>
      <c r="L47" s="326"/>
      <c r="M47" s="327" t="n">
        <f aca="false">M32</f>
        <v>46022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143</v>
      </c>
      <c r="I52" s="296" t="n">
        <f aca="false">I38</f>
        <v>46022</v>
      </c>
      <c r="J52" s="297" t="s">
        <v>55</v>
      </c>
      <c r="K52" s="297"/>
      <c r="L52" s="295" t="s">
        <v>144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145</v>
      </c>
      <c r="C53" s="298" t="n">
        <f aca="false">Employee!$D$107</f>
        <v>4</v>
      </c>
      <c r="D53" s="333"/>
      <c r="E53" s="334"/>
      <c r="F53" s="304"/>
      <c r="G53" s="304"/>
      <c r="H53" s="301" t="s">
        <v>162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146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147</v>
      </c>
      <c r="C55" s="305"/>
      <c r="D55" s="305"/>
      <c r="E55" s="305"/>
      <c r="F55" s="305"/>
      <c r="G55" s="306" t="s">
        <v>148</v>
      </c>
      <c r="H55" s="305" t="s">
        <v>149</v>
      </c>
      <c r="I55" s="305"/>
      <c r="J55" s="305"/>
      <c r="K55" s="305"/>
      <c r="L55" s="305"/>
      <c r="M55" s="335" t="s">
        <v>150</v>
      </c>
      <c r="N55" s="292"/>
    </row>
    <row r="56" s="312" customFormat="true" ht="21" hidden="false" customHeight="true" outlineLevel="0" collapsed="false">
      <c r="A56" s="286"/>
      <c r="B56" s="309" t="s">
        <v>151</v>
      </c>
      <c r="C56" s="309" t="s">
        <v>152</v>
      </c>
      <c r="D56" s="309" t="s">
        <v>153</v>
      </c>
      <c r="E56" s="309" t="s">
        <v>154</v>
      </c>
      <c r="F56" s="310" t="s">
        <v>155</v>
      </c>
      <c r="G56" s="306"/>
      <c r="H56" s="309" t="s">
        <v>156</v>
      </c>
      <c r="I56" s="309" t="s">
        <v>157</v>
      </c>
      <c r="J56" s="309" t="s">
        <v>158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159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160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161</v>
      </c>
      <c r="K61" s="326"/>
      <c r="L61" s="326"/>
      <c r="M61" s="327" t="n">
        <f aca="false">M47</f>
        <v>46022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143</v>
      </c>
      <c r="I67" s="296" t="n">
        <f aca="false">I52</f>
        <v>46022</v>
      </c>
      <c r="J67" s="297" t="s">
        <v>55</v>
      </c>
      <c r="K67" s="297"/>
      <c r="L67" s="295" t="s">
        <v>144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145</v>
      </c>
      <c r="C68" s="298" t="n">
        <f aca="false">Employee!$D$133</f>
        <v>5</v>
      </c>
      <c r="D68" s="333"/>
      <c r="E68" s="334"/>
      <c r="F68" s="304"/>
      <c r="G68" s="304"/>
      <c r="H68" s="301" t="s">
        <v>162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146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147</v>
      </c>
      <c r="C70" s="305"/>
      <c r="D70" s="305"/>
      <c r="E70" s="305"/>
      <c r="F70" s="305"/>
      <c r="G70" s="306" t="s">
        <v>148</v>
      </c>
      <c r="H70" s="305" t="s">
        <v>149</v>
      </c>
      <c r="I70" s="305"/>
      <c r="J70" s="305"/>
      <c r="K70" s="305"/>
      <c r="L70" s="305"/>
      <c r="M70" s="335" t="s">
        <v>150</v>
      </c>
      <c r="N70" s="292"/>
    </row>
    <row r="71" s="312" customFormat="true" ht="21" hidden="false" customHeight="true" outlineLevel="0" collapsed="false">
      <c r="A71" s="286"/>
      <c r="B71" s="309" t="s">
        <v>151</v>
      </c>
      <c r="C71" s="309" t="s">
        <v>152</v>
      </c>
      <c r="D71" s="309" t="s">
        <v>153</v>
      </c>
      <c r="E71" s="309" t="s">
        <v>154</v>
      </c>
      <c r="F71" s="310" t="s">
        <v>155</v>
      </c>
      <c r="G71" s="306"/>
      <c r="H71" s="309" t="s">
        <v>163</v>
      </c>
      <c r="I71" s="309" t="s">
        <v>157</v>
      </c>
      <c r="J71" s="309" t="s">
        <v>158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159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160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161</v>
      </c>
      <c r="K76" s="326"/>
      <c r="L76" s="326"/>
      <c r="M76" s="327" t="n">
        <f aca="false">M61</f>
        <v>46022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164</v>
      </c>
      <c r="C2" s="345" t="s">
        <v>165</v>
      </c>
      <c r="D2" s="344" t="s">
        <v>166</v>
      </c>
      <c r="E2" s="344" t="s">
        <v>167</v>
      </c>
      <c r="F2" s="344" t="s">
        <v>168</v>
      </c>
      <c r="G2" s="344" t="s">
        <v>169</v>
      </c>
      <c r="H2" s="344" t="s">
        <v>170</v>
      </c>
      <c r="I2" s="344" t="s">
        <v>171</v>
      </c>
      <c r="J2" s="344" t="s">
        <v>172</v>
      </c>
      <c r="K2" s="344" t="s">
        <v>173</v>
      </c>
      <c r="L2" s="345" t="s">
        <v>174</v>
      </c>
      <c r="M2" s="345" t="s">
        <v>175</v>
      </c>
      <c r="N2" s="344" t="s">
        <v>176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DATE(2027,4,30)</f>
        <v>46507</v>
      </c>
      <c r="C4" s="354" t="n">
        <f aca="false">DATE(2027,5,19)</f>
        <v>46526</v>
      </c>
      <c r="D4" s="355" t="n">
        <f aca="false">Apr!T1+Apr!O1</f>
        <v>873.2</v>
      </c>
      <c r="E4" s="356" t="n">
        <f aca="false">Apr!N1</f>
        <v>800</v>
      </c>
      <c r="F4" s="356" t="n">
        <f aca="false">Apr!AD70+Apr!AE70+Apr!AF70+Apr!AG70</f>
        <v>0</v>
      </c>
      <c r="G4" s="356" t="n">
        <f aca="false">Apr!AE72+Apr!AF72+Apr!AG72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DATE(2027,5,31)</f>
        <v>46538</v>
      </c>
      <c r="C5" s="354" t="n">
        <f aca="false">DATE(2027,6,19)</f>
        <v>46557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DATE(2027,6,30)</f>
        <v>46568</v>
      </c>
      <c r="C6" s="354" t="n">
        <f aca="false">DATE(2027,7,19)</f>
        <v>46587</v>
      </c>
      <c r="D6" s="355" t="n">
        <f aca="false">Jun!T1+Jun!O1</f>
        <v>873.2</v>
      </c>
      <c r="E6" s="356" t="n">
        <f aca="false">Jun!N1</f>
        <v>800</v>
      </c>
      <c r="F6" s="356" t="n">
        <f aca="false">Jun!AD60+Jun!AE60+Jun!AF60+Jun!AG60</f>
        <v>0</v>
      </c>
      <c r="G6" s="356" t="n">
        <f aca="false">Jun!AE62+Jun!AF62+Jun!AG62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DATE(2027,7,31)</f>
        <v>46599</v>
      </c>
      <c r="C7" s="354" t="n">
        <f aca="false">DATE(2027,8,19)</f>
        <v>46618</v>
      </c>
      <c r="D7" s="355" t="n">
        <f aca="false">Jul!T1+Jul!O1</f>
        <v>873.2</v>
      </c>
      <c r="E7" s="356" t="n">
        <f aca="false">Jul!N1</f>
        <v>800</v>
      </c>
      <c r="F7" s="356" t="n">
        <f aca="false">Jul!AD70+Jul!AE70+Jul!AF70+Jul!AG70</f>
        <v>0</v>
      </c>
      <c r="G7" s="356" t="n">
        <f aca="false">Jul!AE72+Jul!AF72+Jul!AG72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DATE(2027,8,31)</f>
        <v>46630</v>
      </c>
      <c r="C8" s="354" t="n">
        <f aca="false">DATE(2027,9,19)</f>
        <v>46649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DATE(2027,9,30)</f>
        <v>46660</v>
      </c>
      <c r="C9" s="354" t="n">
        <f aca="false">DATE(2027,10,19)</f>
        <v>46679</v>
      </c>
      <c r="D9" s="355" t="n">
        <f aca="false">Sep!T1+Sep!O1</f>
        <v>873.2</v>
      </c>
      <c r="E9" s="356" t="n">
        <f aca="false">Sep!N1</f>
        <v>800</v>
      </c>
      <c r="F9" s="356" t="n">
        <f aca="false">Sep!AD60+Sep!AE60+Sep!AF60+Sep!AG60</f>
        <v>0</v>
      </c>
      <c r="G9" s="356" t="n">
        <f aca="false">Sep!AE62+Sep!AF62+Sep!AG62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DATE(2027,10,31)</f>
        <v>46691</v>
      </c>
      <c r="C10" s="354" t="n">
        <f aca="false">DATE(2027,11,19)</f>
        <v>46710</v>
      </c>
      <c r="D10" s="355" t="n">
        <f aca="false">Oct!T1+Oct!O1</f>
        <v>873.2</v>
      </c>
      <c r="E10" s="356" t="n">
        <f aca="false">Oct!N1</f>
        <v>800</v>
      </c>
      <c r="F10" s="356" t="n">
        <f aca="false">Oct!AD80+Oct!AE80+Oct!AF80+Oct!AG80</f>
        <v>0</v>
      </c>
      <c r="G10" s="356" t="n">
        <f aca="false">Oct!AE82+Oct!AF82+Oct!AG82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DATE(2027,11,30)</f>
        <v>46721</v>
      </c>
      <c r="C11" s="354" t="n">
        <f aca="false">DATE(2027,12,19)</f>
        <v>46740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DATE(2027,12,31)</f>
        <v>46752</v>
      </c>
      <c r="C12" s="354" t="n">
        <f aca="false">DATE(2028,1,19)</f>
        <v>46771</v>
      </c>
      <c r="D12" s="355" t="n">
        <f aca="false">Dec!T1+Dec!O1</f>
        <v>873.2</v>
      </c>
      <c r="E12" s="356" t="n">
        <f aca="false">Dec!N1</f>
        <v>800</v>
      </c>
      <c r="F12" s="356" t="n">
        <f aca="false">Dec!AD60+Dec!AE60+Dec!AF60+Dec!AG60</f>
        <v>0</v>
      </c>
      <c r="G12" s="356" t="n">
        <f aca="false">Dec!AE62+Dec!AF62+Dec!AG62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DATE(2028,1,31)</f>
        <v>46783</v>
      </c>
      <c r="C13" s="354" t="n">
        <f aca="false">DATE(2028,2,19)</f>
        <v>46802</v>
      </c>
      <c r="D13" s="355" t="n">
        <f aca="false">Jan!T1+Jan!O1</f>
        <v>873.2</v>
      </c>
      <c r="E13" s="356" t="n">
        <f aca="false">Jan!N1</f>
        <v>800</v>
      </c>
      <c r="F13" s="356" t="n">
        <f aca="false">Jan!AD70+Jan!AE70+Jan!AF70+Jan!AG70</f>
        <v>0</v>
      </c>
      <c r="G13" s="356" t="n">
        <f aca="false">Jan!AE72+Jan!AF72+Jan!AG72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DATE(2028,2,29)</f>
        <v>46812</v>
      </c>
      <c r="C14" s="354" t="n">
        <f aca="false">DATE(2028,3,19)</f>
        <v>46831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DATE(2028,3,31)</f>
        <v>46843</v>
      </c>
      <c r="C15" s="354" t="n">
        <f aca="false">DATE(2028,4,19)</f>
        <v>46862</v>
      </c>
      <c r="D15" s="355" t="n">
        <f aca="false">Mar!T1+Mar!O1</f>
        <v>873.2</v>
      </c>
      <c r="E15" s="356" t="n">
        <f aca="false">Mar!N1</f>
        <v>800</v>
      </c>
      <c r="F15" s="356" t="n">
        <f aca="false">Mar!AD60+Mar!AE60+Mar!AF60+Mar!AG60</f>
        <v>0</v>
      </c>
      <c r="G15" s="356" t="n">
        <f aca="false">Mar!AE62+Mar!AF62+Mar!AG62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177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178</v>
      </c>
      <c r="B1" s="375" t="s">
        <v>179</v>
      </c>
      <c r="C1" s="374" t="s">
        <v>83</v>
      </c>
      <c r="D1" s="374" t="s">
        <v>90</v>
      </c>
      <c r="E1" s="376" t="s">
        <v>180</v>
      </c>
      <c r="F1" s="376" t="s">
        <v>181</v>
      </c>
      <c r="G1" s="377" t="s">
        <v>182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183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184</v>
      </c>
      <c r="I6" s="389" t="s">
        <v>185</v>
      </c>
      <c r="J6" s="389"/>
      <c r="K6" s="389" t="s">
        <v>186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187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188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