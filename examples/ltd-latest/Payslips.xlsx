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<sst xmlns="http://schemas.openxmlformats.org/spreadsheetml/2006/main" count="1507" uniqueCount="190">
  <si>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</si>
  <si>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</si>
  <si>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</si>
  <si>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</si>
  <si>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</si>
  <si>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</si>
  <si>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</si>
  <si>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</si>
  <si>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</si>
  <si>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</si>
  <si>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</si>
  <si>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</si>
  <si>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</si>
  <si>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</si>
  <si>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</si>
  <si>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</si>
  <si>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</si>
  <si>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</si>
  <si>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</si>
  <si>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</si>
  <si>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</si>
  <si>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</si>
  <si>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</si>
  <si>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</si>
  <si>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</si>
  <si>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</si>
  <si>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</si>
  <si>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</si>
  <si>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</si>
  <si>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</si>
  <si>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</si>
  <si>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</si>
  <si>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</si>
  <si>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</si>
  <si>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</si>
  <si>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</si>
  <si>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</si>
  <si>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</si>
  <si>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</si>
  <si>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</si>
  <si>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</si>
  <si>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</si>
  <si>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</si>
  <si>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</si>
  <si>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</si>
  <si>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</si>
  <si>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</si>
  <si>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</si>
  <si>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</si>
  <si>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</si>
  <si>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</si>
  <si>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</si>
  <si>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</si>
  <si>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</si>
  <si>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</si>
  <si>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</si>
  <si>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</si>
  <si>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</si>
  <si>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</si>
  <si>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</si>
  <si>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</si>
  <si>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</si>
  <si>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</si>
  <si>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</si>
  <si>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</si>
  <si>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</si>
  <si>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</si>
  <si>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</si>
  <si>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</si>
  <si>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</si>
  <si>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</si>
  <si>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</si>
  <si>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</si>
  <si>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</si>
  <si>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</si>
  <si>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</si>
  <si>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</si>
  <si>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</si>
  <si>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</si>
  <si>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</si>
  <si>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</si>
  <si>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</si>
  <si>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</si>
  <si>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</si>
  <si>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</si>
  <si>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</si>
  <si>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</si>
  <si>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</si>
  <si>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</si>
  <si>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</si>
  <si>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</si>
  <si>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</si>
  <si>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</si>
  <si>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1257L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</si>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</sst>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46483</v>
      </c>
      <c r="N9" s="13"/>
      <c r="O9" s="25" t="n">
        <f aca="false">Admin!I1</f>
        <v>46848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46497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 t="n">
        <v>46483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46523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 t="n">
        <v>46483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46543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46549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 t="n">
        <v>46483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46569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46483</v>
      </c>
      <c r="L9" s="149" t="s">
        <v>85</v>
      </c>
      <c r="M9" s="150" t="n">
        <f aca="false">K9+(7-WEEKDAY(K9,2))</f>
        <v>46488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46489</v>
      </c>
      <c r="L19" s="149" t="s">
        <v>85</v>
      </c>
      <c r="M19" s="150" t="n">
        <f aca="false">K19+6</f>
        <v>46495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46496</v>
      </c>
      <c r="L29" s="149" t="s">
        <v>85</v>
      </c>
      <c r="M29" s="150" t="n">
        <f aca="false">K29+6</f>
        <v>46502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46503</v>
      </c>
      <c r="L39" s="149" t="s">
        <v>85</v>
      </c>
      <c r="M39" s="150" t="n">
        <f aca="false">K39+6</f>
        <v>46509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DATE(2026,11,1)</f>
        <v>46327</v>
      </c>
      <c r="L49" s="149" t="s">
        <v>85</v>
      </c>
      <c r="M49" s="150" t="n">
        <v>46356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95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98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100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Nov!M39+1</f>
        <v>46510</v>
      </c>
      <c r="L9" s="149" t="s">
        <v>85</v>
      </c>
      <c r="M9" s="150" t="n">
        <f aca="false">K9+6</f>
        <v>46516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46517</v>
      </c>
      <c r="L19" s="149" t="s">
        <v>85</v>
      </c>
      <c r="M19" s="150" t="n">
        <f aca="false">K19+6</f>
        <v>46523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46524</v>
      </c>
      <c r="L29" s="149" t="s">
        <v>85</v>
      </c>
      <c r="M29" s="150" t="n">
        <f aca="false">K29+6</f>
        <v>46530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46531</v>
      </c>
      <c r="L39" s="149" t="s">
        <v>85</v>
      </c>
      <c r="M39" s="150" t="n">
        <f aca="false">K39+6</f>
        <v>46537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DATE(2026,12,1)</f>
        <v>46357</v>
      </c>
      <c r="L49" s="149" t="s">
        <v>85</v>
      </c>
      <c r="M49" s="150" t="n">
        <v>46387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IF(T$49="Y",Nov!H51,0)</f>
        <v>0</v>
      </c>
      <c r="I51" s="168" t="n">
        <f aca="false">IF(T$49="Y",Nov!I51,0)</f>
        <v>0</v>
      </c>
      <c r="J51" s="168" t="n">
        <f aca="false">IF(T$49="Y",Nov!J51,0)</f>
        <v>0</v>
      </c>
      <c r="K51" s="168" t="n">
        <f aca="false">IF(T$49="Y",Nov!K51,I51*J51)</f>
        <v>0</v>
      </c>
      <c r="L51" s="166" t="n">
        <f aca="false">IF(T$49="Y",Nov!L51,0)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106</v>
      </c>
      <c r="T51" s="170" t="n">
        <v>382.5</v>
      </c>
      <c r="U51" s="171"/>
      <c r="V51" s="172" t="n">
        <f aca="false">IF(Employee!H$35=E$49,Employee!D$34+SUM(M51)+Nov!V51,SUM(M51)+Nov!V51)</f>
        <v>7000</v>
      </c>
      <c r="W51" s="172" t="n">
        <f aca="false">IF(Employee!H$35=E$49,Employee!D$35+SUM(N51)+Nov!W51,SUM(N51)+Nov!W51)</f>
        <v>1060</v>
      </c>
      <c r="X51" s="172" t="n">
        <f aca="false">IF(O51=" ",Nov!X51,O51+Nov!X51)</f>
        <v>400</v>
      </c>
      <c r="Y51" s="172" t="n">
        <f aca="false">IF(P51=" ",Nov!Y51,P51+Nov!Y51)</f>
        <v>0</v>
      </c>
      <c r="Z51" s="172" t="n">
        <f aca="false">IF(Q51=" ",Nov!Z51,Q51+Nov!Z51)</f>
        <v>0</v>
      </c>
      <c r="AA51" s="172" t="n">
        <f aca="false">IF(R51=" ",Nov!AA51,R51+Nov!AA51)</f>
        <v>5540</v>
      </c>
      <c r="AC51" s="172" t="n">
        <f aca="false">IF(T51=" ",Nov!AC51,T51+Nov!AC51)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IF(T$49="Y",Nov!H52,0)</f>
        <v>0</v>
      </c>
      <c r="I52" s="177" t="n">
        <f aca="false">IF(T$49="Y",Nov!I52,0)</f>
        <v>0</v>
      </c>
      <c r="J52" s="177" t="n">
        <f aca="false">IF(T$49="Y",Nov!J52,0)</f>
        <v>0</v>
      </c>
      <c r="K52" s="177" t="n">
        <f aca="false">IF(T$49="Y",Nov!K52,I52*J52)</f>
        <v>0</v>
      </c>
      <c r="L52" s="179" t="n">
        <f aca="false">IF(T$49="Y",Nov!L52,0)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107</v>
      </c>
      <c r="T52" s="180" t="n">
        <v>187.5</v>
      </c>
      <c r="U52" s="171"/>
      <c r="V52" s="172" t="n">
        <f aca="false">IF(Employee!H$61=E$49,Employee!D$60+SUM(M52)+Nov!V52,SUM(M52)+Nov!V52)</f>
        <v>4400</v>
      </c>
      <c r="W52" s="172" t="n">
        <f aca="false">IF(Employee!H$61=E$49,Employee!D$61+SUM(N52)+Nov!W52,SUM(N52)+Nov!W52)</f>
        <v>540</v>
      </c>
      <c r="X52" s="172" t="n">
        <f aca="false">IF(O52=" ",Nov!X52,O52+Nov!X52)</f>
        <v>192</v>
      </c>
      <c r="Y52" s="172" t="n">
        <f aca="false">IF(P52=" ",Nov!Y52,P52+Nov!Y52)</f>
        <v>0</v>
      </c>
      <c r="Z52" s="172" t="n">
        <f aca="false">IF(Q52=" ",Nov!Z52,Q52+Nov!Z52)</f>
        <v>0</v>
      </c>
      <c r="AA52" s="172" t="n">
        <f aca="false">IF(R52=" ",Nov!AA52,R52+Nov!AA52)</f>
        <v>3668</v>
      </c>
      <c r="AC52" s="172" t="n">
        <f aca="false">IF(T52=" ",Nov!AC52,T52+Nov!AC52)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IF(T$49="Y",Nov!H53,0)</f>
        <v>0</v>
      </c>
      <c r="I53" s="177" t="n">
        <f aca="false">IF(T$49="Y",Nov!I53,0)</f>
        <v>0</v>
      </c>
      <c r="J53" s="177" t="n">
        <f aca="false">IF(T$49="Y",Nov!J53,0)</f>
        <v>0</v>
      </c>
      <c r="K53" s="177" t="n">
        <f aca="false">IF(T$49="Y",Nov!K53,I53*J53)</f>
        <v>0</v>
      </c>
      <c r="L53" s="179" t="n">
        <f aca="false">IF(T$49="Y",Nov!L53,0)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108</v>
      </c>
      <c r="T53" s="180" t="n">
        <v>7.2</v>
      </c>
      <c r="U53" s="171"/>
      <c r="V53" s="172" t="n">
        <f aca="false">IF(Employee!H$87=E$49,Employee!D$86+SUM(M53)+Nov!V53,SUM(M53)+Nov!V53)</f>
        <v>2096</v>
      </c>
      <c r="W53" s="172" t="n">
        <f aca="false">IF(Employee!H$87=E$49,Employee!D$7+SUM(N53)+Nov!W53,SUM(N53)+Nov!W53)</f>
        <v>0</v>
      </c>
      <c r="X53" s="172" t="n">
        <f aca="false">IF(O53=" ",Nov!X53,O53+Nov!X53)</f>
        <v>0</v>
      </c>
      <c r="Y53" s="172" t="n">
        <f aca="false">IF(P53=" ",Nov!Y53,P53+Nov!Y53)</f>
        <v>0</v>
      </c>
      <c r="Z53" s="172" t="n">
        <f aca="false">IF(Q53=" ",Nov!Z53,Q53+Nov!Z53)</f>
        <v>0</v>
      </c>
      <c r="AA53" s="172" t="n">
        <f aca="false">IF(R53=" ",Nov!AA53,R53+Nov!AA53)</f>
        <v>2096</v>
      </c>
      <c r="AC53" s="172" t="n">
        <f aca="false">IF(T53=" ",Nov!AC53,T53+Nov!AC53)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IF(T$49="Y",Nov!H54,0)</f>
        <v>0</v>
      </c>
      <c r="I54" s="177" t="n">
        <f aca="false">IF(T$49="Y",Nov!I54,0)</f>
        <v>0</v>
      </c>
      <c r="J54" s="177" t="n">
        <f aca="false">IF(T$49="Y",Nov!J54,0)</f>
        <v>0</v>
      </c>
      <c r="K54" s="177" t="n">
        <f aca="false">IF(T$49="Y",Nov!K54,I54*J54)</f>
        <v>0</v>
      </c>
      <c r="L54" s="179" t="n">
        <f aca="false">IF(T$49="Y",Nov!L54,0)</f>
        <v>0</v>
      </c>
      <c r="M54" s="180" t="str">
        <f aca="false">IF(E54=" "," ",IF(T$49="Y",Nov!M54,IF((H54+K54+L54)&gt;0,H54+K54+L54,"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IF(Employee!H$113=E$49,Employee!D$112+SUM(M54)+Nov!V54,SUM(M54)+Nov!V54)</f>
        <v>0</v>
      </c>
      <c r="W54" s="172" t="n">
        <f aca="false">IF(Employee!H$113=E$49,Employee!D$113+SUM(N54)+Nov!W54,SUM(N54)+Nov!W54)</f>
        <v>0</v>
      </c>
      <c r="X54" s="172" t="n">
        <f aca="false">IF(O54=" ",Nov!X54,O54+Nov!X54)</f>
        <v>0</v>
      </c>
      <c r="Y54" s="172" t="n">
        <f aca="false">IF(P54=" ",Nov!Y54,P54+Nov!Y54)</f>
        <v>0</v>
      </c>
      <c r="Z54" s="172" t="n">
        <f aca="false">IF(Q54=" ",Nov!Z54,Q54+Nov!Z54)</f>
        <v>0</v>
      </c>
      <c r="AA54" s="172" t="n">
        <f aca="false">IF(R54=" ",Nov!AA54,R54+Nov!AA54)</f>
        <v>0</v>
      </c>
      <c r="AC54" s="172" t="n">
        <f aca="false">IF(T54=" ",Nov!AC54,T54+Nov!AC54)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IF(T$49="Y",Nov!H55,0)</f>
        <v>0</v>
      </c>
      <c r="I55" s="182" t="n">
        <f aca="false">IF(T$49="Y",Nov!I55,0)</f>
        <v>0</v>
      </c>
      <c r="J55" s="182" t="n">
        <f aca="false">IF(T$49="Y",Nov!J55,0)</f>
        <v>0</v>
      </c>
      <c r="K55" s="182" t="n">
        <f aca="false">IF(T$49="Y",Nov!K55,I55*J55)</f>
        <v>0</v>
      </c>
      <c r="L55" s="183" t="n">
        <f aca="false">IF(T$49="Y",Nov!L55,0)</f>
        <v>0</v>
      </c>
      <c r="M55" s="180" t="str">
        <f aca="false">IF(E55=" "," ",IF(T$49="Y",Nov!M55,IF((H55+K55+L55)&gt;0,H55+K55+L55,"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IF(Employee!H$139=E$49,Employee!D$138+SUM(M55)+Nov!V55,SUM(M55)+Nov!V55)</f>
        <v>0</v>
      </c>
      <c r="W55" s="172" t="n">
        <f aca="false">IF(Employee!H$139=E$49,Employee!D$139+SUM(N55)+Nov!W55,SUM(N55)+Nov!W55)</f>
        <v>0</v>
      </c>
      <c r="X55" s="172" t="n">
        <f aca="false">IF(O55=" ",Nov!X55,O55+Nov!X55)</f>
        <v>0</v>
      </c>
      <c r="Y55" s="172" t="n">
        <f aca="false">IF(P55=" ",Nov!Y55,P55+Nov!Y55)</f>
        <v>0</v>
      </c>
      <c r="Z55" s="172" t="n">
        <f aca="false">IF(Q55=" ",Nov!Z55,Q55+Nov!Z55)</f>
        <v>0</v>
      </c>
      <c r="AA55" s="172" t="n">
        <f aca="false">IF(R55=" ",Nov!AA55,R55+Nov!AA55)</f>
        <v>0</v>
      </c>
      <c r="AC55" s="172" t="n">
        <f aca="false">IF(T55=" ",Nov!AC55,T55+Nov!AC55)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AD60+Nov!AD65</f>
        <v>0</v>
      </c>
      <c r="AE65" s="240" t="n">
        <f aca="false">AE60+Nov!AE65</f>
        <v>0</v>
      </c>
      <c r="AF65" s="240" t="n">
        <f aca="false">AF60+Nov!AF65</f>
        <v>0</v>
      </c>
      <c r="AG65" s="240" t="n">
        <f aca="false">AG60+Nov!AG65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AE62+Nov!AE67</f>
        <v>0</v>
      </c>
      <c r="AF67" s="240" t="n">
        <f aca="false">AF62+Nov!AF67</f>
        <v>0</v>
      </c>
      <c r="AG67" s="240" t="n">
        <f aca="false">AG62+Nov!AG67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Dec!M39+1</f>
        <v>46538</v>
      </c>
      <c r="L9" s="149" t="s">
        <v>85</v>
      </c>
      <c r="M9" s="150" t="n">
        <f aca="false">K9+6</f>
        <v>46544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IF(T$9="Y",Dec!H41,0)</f>
        <v>0</v>
      </c>
      <c r="I11" s="168" t="n">
        <f aca="false">IF(T$9="Y",Dec!I41,0)</f>
        <v>0</v>
      </c>
      <c r="J11" s="168" t="n">
        <f aca="false">IF(T$9="Y",Dec!J41,0)</f>
        <v>0</v>
      </c>
      <c r="K11" s="168" t="n">
        <f aca="false">IF(T$9="Y",Dec!K41,I11*J11)</f>
        <v>0</v>
      </c>
      <c r="L11" s="166" t="n">
        <f aca="false">IF(T$9="Y",Dec!L41,0)</f>
        <v>0</v>
      </c>
      <c r="M11" s="166" t="str">
        <f aca="false">IF(E11=" "," ",IF(T$9="Y",Dec!M41,IF((H11+K11+L11)&gt;0,H11+K11+L11,"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IF(Employee!H$34=E$9,Employee!D$34+SUM(M11)+Dec!V41,SUM(M11)+Dec!V41)</f>
        <v>0</v>
      </c>
      <c r="W11" s="172" t="n">
        <f aca="false">IF(Employee!H$34=E$9,Employee!D$35+SUM(N11)+Dec!W41,SUM(N11)+Dec!W41)</f>
        <v>0</v>
      </c>
      <c r="X11" s="172" t="n">
        <f aca="false">IF(O11=" ",Dec!X41,O11+Dec!X41)</f>
        <v>0</v>
      </c>
      <c r="Y11" s="172" t="n">
        <f aca="false">IF(P11=" ",Dec!Y41,P11+Dec!Y41)</f>
        <v>0</v>
      </c>
      <c r="Z11" s="172" t="n">
        <f aca="false">IF(Q11=" ",Dec!Z41,Q11+Dec!Z41)</f>
        <v>0</v>
      </c>
      <c r="AA11" s="172" t="n">
        <f aca="false">IF(R11=" ",Dec!AA41,R11+Dec!AA41)</f>
        <v>0</v>
      </c>
      <c r="AC11" s="172" t="n">
        <f aca="false">IF(T11=" ",Dec!AC41,T11+Dec!AC41)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IF(T$9="Y",Dec!H42,0)</f>
        <v>0</v>
      </c>
      <c r="I12" s="177" t="n">
        <f aca="false">IF(T$9="Y",Dec!I42,0)</f>
        <v>0</v>
      </c>
      <c r="J12" s="177" t="n">
        <f aca="false">IF(T$9="Y",Dec!J42,0)</f>
        <v>0</v>
      </c>
      <c r="K12" s="177" t="n">
        <f aca="false">IF(T$9="Y",Dec!K42,I12*J12)</f>
        <v>0</v>
      </c>
      <c r="L12" s="179" t="n">
        <f aca="false">IF(T$9="Y",Dec!L42,0)</f>
        <v>0</v>
      </c>
      <c r="M12" s="179" t="str">
        <f aca="false">IF(E12=" "," ",IF(T$9="Y",Dec!M42,IF((H12+K12+L12)&gt;0,H12+K12+L12,"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IF(Employee!H$60=E$9,Employee!D$60+SUM(M12)+Dec!V42,SUM(M12)+Dec!V42)</f>
        <v>0</v>
      </c>
      <c r="W12" s="172" t="n">
        <f aca="false">IF(Employee!H$60=E$9,Employee!D$61+SUM(N12)+Dec!W42,SUM(N12)+Dec!W42)</f>
        <v>0</v>
      </c>
      <c r="X12" s="172" t="n">
        <f aca="false">IF(O12=" ",Dec!X42,O12+Dec!X42)</f>
        <v>0</v>
      </c>
      <c r="Y12" s="172" t="n">
        <f aca="false">IF(P12=" ",Dec!Y42,P12+Dec!Y42)</f>
        <v>0</v>
      </c>
      <c r="Z12" s="172" t="n">
        <f aca="false">IF(Q12=" ",Dec!Z42,Q12+Dec!Z42)</f>
        <v>0</v>
      </c>
      <c r="AA12" s="172" t="n">
        <f aca="false">IF(R12=" ",Dec!AA42,R12+Dec!AA42)</f>
        <v>0</v>
      </c>
      <c r="AC12" s="172" t="n">
        <f aca="false">IF(T12=" ",Dec!AC42,T12+Dec!AC42)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IF(T$9="Y",Dec!H43,0)</f>
        <v>0</v>
      </c>
      <c r="I13" s="177" t="n">
        <f aca="false">IF(T$9="Y",Dec!I43,0)</f>
        <v>0</v>
      </c>
      <c r="J13" s="177" t="n">
        <f aca="false">IF(T$9="Y",Dec!J43,0)</f>
        <v>0</v>
      </c>
      <c r="K13" s="177" t="n">
        <f aca="false">IF(T$9="Y",Dec!K43,I13*J13)</f>
        <v>0</v>
      </c>
      <c r="L13" s="179" t="n">
        <f aca="false">IF(T$9="Y",Dec!L43,0)</f>
        <v>0</v>
      </c>
      <c r="M13" s="179" t="str">
        <f aca="false">IF(E13=" "," ",IF(T$9="Y",Dec!M43,IF((H13+K13+L13)&gt;0,H13+K13+L13,"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IF(Employee!H$86=E$9,Employee!D$86+SUM(M13)+Dec!V43,SUM(M13)+Dec!V43)</f>
        <v>0</v>
      </c>
      <c r="W13" s="172" t="n">
        <f aca="false">IF(Employee!H$86=E$9,Employee!D$87+SUM(N13)+Dec!W43,SUM(N13)+Dec!W43)</f>
        <v>0</v>
      </c>
      <c r="X13" s="172" t="n">
        <f aca="false">IF(O13=" ",Dec!X43,O13+Dec!X43)</f>
        <v>0</v>
      </c>
      <c r="Y13" s="172" t="n">
        <f aca="false">IF(P13=" ",Dec!Y43,P13+Dec!Y43)</f>
        <v>0</v>
      </c>
      <c r="Z13" s="172" t="n">
        <f aca="false">IF(Q13=" ",Dec!Z43,Q13+Dec!Z43)</f>
        <v>0</v>
      </c>
      <c r="AA13" s="172" t="n">
        <f aca="false">IF(R13=" ",Dec!AA43,R13+Dec!AA43)</f>
        <v>0</v>
      </c>
      <c r="AC13" s="172" t="n">
        <f aca="false">IF(T13=" ",Dec!AC43,T13+Dec!AC43)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IF(T$9="Y",Dec!H44,0)</f>
        <v>0</v>
      </c>
      <c r="I14" s="177" t="n">
        <f aca="false">IF(T$9="Y",Dec!I44,0)</f>
        <v>0</v>
      </c>
      <c r="J14" s="177" t="n">
        <f aca="false">IF(T$9="Y",Dec!J44,0)</f>
        <v>0</v>
      </c>
      <c r="K14" s="177" t="n">
        <f aca="false">IF(T$9="Y",Dec!K44,I14*J14)</f>
        <v>0</v>
      </c>
      <c r="L14" s="179" t="n">
        <f aca="false">IF(T$9="Y",Dec!L44,0)</f>
        <v>0</v>
      </c>
      <c r="M14" s="179" t="str">
        <f aca="false">IF(E14=" "," ",IF(T$9="Y",Dec!M44,IF((H14+K14+L14)&gt;0,H14+K14+L14,"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IF(Employee!H$112=E$9,Employee!D$112+SUM(M14)+Dec!V44,SUM(M14)+Dec!V44)</f>
        <v>0</v>
      </c>
      <c r="W14" s="172" t="n">
        <f aca="false">IF(Employee!H$112=E$9,Employee!D$113+SUM(N14)+Dec!W44,SUM(N14)+Dec!W44)</f>
        <v>0</v>
      </c>
      <c r="X14" s="172" t="n">
        <f aca="false">IF(O14=" ",Dec!X44,O14+Dec!X44)</f>
        <v>0</v>
      </c>
      <c r="Y14" s="172" t="n">
        <f aca="false">IF(P14=" ",Dec!Y44,P14+Dec!Y44)</f>
        <v>0</v>
      </c>
      <c r="Z14" s="172" t="n">
        <f aca="false">IF(Q14=" ",Dec!Z44,Q14+Dec!Z44)</f>
        <v>0</v>
      </c>
      <c r="AA14" s="172" t="n">
        <f aca="false">IF(R14=" ",Dec!AA44,R14+Dec!AA44)</f>
        <v>0</v>
      </c>
      <c r="AC14" s="172" t="n">
        <f aca="false">IF(T14=" ",Dec!AC44,T14+Dec!AC44)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IF(T$9="Y",Dec!H45,0)</f>
        <v>0</v>
      </c>
      <c r="I15" s="182" t="n">
        <f aca="false">IF(T$9="Y",Dec!I45,0)</f>
        <v>0</v>
      </c>
      <c r="J15" s="182" t="n">
        <f aca="false">IF(T$9="Y",Dec!J45,0)</f>
        <v>0</v>
      </c>
      <c r="K15" s="182" t="n">
        <f aca="false">IF(T$9="Y",Dec!K45,I15*J15)</f>
        <v>0</v>
      </c>
      <c r="L15" s="183" t="n">
        <f aca="false">IF(T$9="Y",Dec!L45,0)</f>
        <v>0</v>
      </c>
      <c r="M15" s="179" t="str">
        <f aca="false">IF(E15=" "," ",IF(T$9="Y",Dec!M45,IF((H15+K15+L15)&gt;0,H15+K15+L15,"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IF(Employee!H$138=E$9,Employee!D$138+SUM(M15)+Dec!V45,SUM(M15)+Dec!V45)</f>
        <v>0</v>
      </c>
      <c r="W15" s="172" t="n">
        <f aca="false">IF(Employee!H$138=E$9,Employee!D$139+SUM(N15)+Dec!W45,SUM(N15)+Dec!W45)</f>
        <v>0</v>
      </c>
      <c r="X15" s="172" t="n">
        <f aca="false">IF(O15=" ",Dec!X45,O15+Dec!X45)</f>
        <v>0</v>
      </c>
      <c r="Y15" s="172" t="n">
        <f aca="false">IF(P15=" ",Dec!Y45,P15+Dec!Y45)</f>
        <v>0</v>
      </c>
      <c r="Z15" s="172" t="n">
        <f aca="false">IF(Q15=" ",Dec!Z45,Q15+Dec!Z45)</f>
        <v>0</v>
      </c>
      <c r="AA15" s="172" t="n">
        <f aca="false">IF(R15=" ",Dec!AA45,R15+Dec!AA45)</f>
        <v>0</v>
      </c>
      <c r="AC15" s="172" t="n">
        <f aca="false">IF(T15=" ",Dec!AC45,T15+Dec!AC45)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46545</v>
      </c>
      <c r="L19" s="149" t="s">
        <v>85</v>
      </c>
      <c r="M19" s="150" t="n">
        <f aca="false">K19+6</f>
        <v>46551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46552</v>
      </c>
      <c r="L29" s="149" t="s">
        <v>85</v>
      </c>
      <c r="M29" s="150" t="n">
        <f aca="false">K29+6</f>
        <v>46558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46559</v>
      </c>
      <c r="L39" s="149" t="s">
        <v>85</v>
      </c>
      <c r="M39" s="150" t="n">
        <f aca="false">K39+6</f>
        <v>46565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46566</v>
      </c>
      <c r="L49" s="149" t="s">
        <v>85</v>
      </c>
      <c r="M49" s="150" t="n">
        <f aca="false">K49+6</f>
        <v>46572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DATE(2027,1,1)</f>
        <v>46388</v>
      </c>
      <c r="L59" s="149" t="s">
        <v>85</v>
      </c>
      <c r="M59" s="150" t="n">
        <v>46417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IF(T$59="Y",Dec!H51,0)</f>
        <v>0</v>
      </c>
      <c r="I61" s="168" t="n">
        <f aca="false">IF(T$59="Y",Dec!I51,0)</f>
        <v>0</v>
      </c>
      <c r="J61" s="168" t="n">
        <f aca="false">IF(T$59="Y",Dec!J51,0)</f>
        <v>0</v>
      </c>
      <c r="K61" s="168" t="n">
        <f aca="false">IF(T$59="Y",Dec!K51,I61*J61)</f>
        <v>0</v>
      </c>
      <c r="L61" s="166" t="n">
        <f aca="false">IF(T$59="Y",Dec!L51,0)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109</v>
      </c>
      <c r="T61" s="170" t="n">
        <v>382.5</v>
      </c>
      <c r="U61" s="171"/>
      <c r="V61" s="172" t="n">
        <f aca="false">IF(Employee!H$35=E$59,Employee!D$34+SUM(M61)+Dec!V51,SUM(M61)+Dec!V51)</f>
        <v>10500</v>
      </c>
      <c r="W61" s="172" t="n">
        <f aca="false">IF(Employee!H$35=E$59,Employee!D$35+SUM(N61)+Dec!W51,SUM(N61)+Dec!W51)</f>
        <v>1590</v>
      </c>
      <c r="X61" s="172" t="n">
        <f aca="false">IF(O61=" ",Dec!X51,O61+Dec!X51)</f>
        <v>600</v>
      </c>
      <c r="Y61" s="172" t="n">
        <f aca="false">IF(P61=" ",Dec!Y51,P61+Dec!Y51)</f>
        <v>0</v>
      </c>
      <c r="Z61" s="172" t="n">
        <f aca="false">IF(Q61=" ",Dec!Z51,Q61+Dec!Z51)</f>
        <v>0</v>
      </c>
      <c r="AA61" s="172" t="n">
        <f aca="false">IF(R61=" ",Dec!AA51,R61+Dec!AA51)</f>
        <v>8310</v>
      </c>
      <c r="AC61" s="172" t="n">
        <f aca="false">IF(T61=" ",Dec!AC51,T61+Dec!AC51)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IF(T$59="Y",Dec!H52,0)</f>
        <v>0</v>
      </c>
      <c r="I62" s="177" t="n">
        <f aca="false">IF(T$59="Y",Dec!I52,0)</f>
        <v>0</v>
      </c>
      <c r="J62" s="177" t="n">
        <f aca="false">IF(T$59="Y",Dec!J52,0)</f>
        <v>0</v>
      </c>
      <c r="K62" s="177" t="n">
        <f aca="false">IF(T$59="Y",Dec!K52,I62*J62)</f>
        <v>0</v>
      </c>
      <c r="L62" s="179" t="n">
        <f aca="false">IF(T$59="Y",Dec!L52,0)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110</v>
      </c>
      <c r="T62" s="180" t="n">
        <v>187.5</v>
      </c>
      <c r="U62" s="171"/>
      <c r="V62" s="172" t="n">
        <f aca="false">IF(Employee!H$61=E$59,Employee!D$60+SUM(M62)+Dec!V52,SUM(M62)+Dec!V52)</f>
        <v>6600</v>
      </c>
      <c r="W62" s="172" t="n">
        <f aca="false">IF(Employee!H$61=E$59,Employee!D$61+SUM(N62)+Dec!W52,SUM(N62)+Dec!W52)</f>
        <v>810</v>
      </c>
      <c r="X62" s="172" t="n">
        <f aca="false">IF(O62=" ",Dec!X52,O62+Dec!X52)</f>
        <v>288</v>
      </c>
      <c r="Y62" s="172" t="n">
        <f aca="false">IF(P62=" ",Dec!Y52,P62+Dec!Y52)</f>
        <v>0</v>
      </c>
      <c r="Z62" s="172" t="n">
        <f aca="false">IF(Q62=" ",Dec!Z52,Q62+Dec!Z52)</f>
        <v>0</v>
      </c>
      <c r="AA62" s="172" t="n">
        <f aca="false">IF(R62=" ",Dec!AA52,R62+Dec!AA52)</f>
        <v>5502</v>
      </c>
      <c r="AC62" s="172" t="n">
        <f aca="false">IF(T62=" ",Dec!AC52,T62+Dec!AC52)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IF(T$59="Y",Dec!H53,0)</f>
        <v>0</v>
      </c>
      <c r="I63" s="177" t="n">
        <f aca="false">IF(T$59="Y",Dec!I53,0)</f>
        <v>0</v>
      </c>
      <c r="J63" s="177" t="n">
        <f aca="false">IF(T$59="Y",Dec!J53,0)</f>
        <v>0</v>
      </c>
      <c r="K63" s="177" t="n">
        <f aca="false">IF(T$59="Y",Dec!K53,I63*J63)</f>
        <v>0</v>
      </c>
      <c r="L63" s="179" t="n">
        <f aca="false">IF(T$59="Y",Dec!L53,0)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111</v>
      </c>
      <c r="T63" s="180" t="n">
        <v>7.2</v>
      </c>
      <c r="U63" s="171"/>
      <c r="V63" s="172" t="n">
        <f aca="false">IF(Employee!H$87=E$59,Employee!D$86+SUM(M63)+Dec!V53,SUM(M63)+Dec!V53)</f>
        <v>3144</v>
      </c>
      <c r="W63" s="172" t="n">
        <f aca="false">IF(Employee!H$87=E$59,Employee!D$87+SUM(N63)+Dec!W53,SUM(N63)+Dec!W53)</f>
        <v>0</v>
      </c>
      <c r="X63" s="172" t="n">
        <f aca="false">IF(O63=" ",Dec!X53,O63+Dec!X53)</f>
        <v>0</v>
      </c>
      <c r="Y63" s="172" t="n">
        <f aca="false">IF(P63=" ",Dec!Y53,P63+Dec!Y53)</f>
        <v>0</v>
      </c>
      <c r="Z63" s="172" t="n">
        <f aca="false">IF(Q63=" ",Dec!Z53,Q63+Dec!Z53)</f>
        <v>0</v>
      </c>
      <c r="AA63" s="172" t="n">
        <f aca="false">IF(R63=" ",Dec!AA53,R63+Dec!AA53)</f>
        <v>3144</v>
      </c>
      <c r="AC63" s="172" t="n">
        <f aca="false">IF(T63=" ",Dec!AC53,T63+Dec!AC53)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IF(T$59="Y",Dec!H54,0)</f>
        <v>0</v>
      </c>
      <c r="I64" s="177" t="n">
        <f aca="false">IF(T$59="Y",Dec!I54,0)</f>
        <v>0</v>
      </c>
      <c r="J64" s="177" t="n">
        <f aca="false">IF(T$59="Y",Dec!J54,0)</f>
        <v>0</v>
      </c>
      <c r="K64" s="177" t="n">
        <f aca="false">IF(T$59="Y",Dec!K54,I64*J64)</f>
        <v>0</v>
      </c>
      <c r="L64" s="179" t="n">
        <f aca="false">IF(T$59="Y",Dec!L54,0)</f>
        <v>0</v>
      </c>
      <c r="M64" s="180" t="str">
        <f aca="false">IF(E64=" "," ",IF(T$59="Y",Dec!M54,IF((H64+K64+L64)&gt;0,H64+K64+L64,"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IF(Employee!H$113=E$59,Employee!D$112+SUM(M64)+Dec!V54,SUM(M64)+Dec!V54)</f>
        <v>0</v>
      </c>
      <c r="W64" s="172" t="n">
        <f aca="false">IF(Employee!H$113=E$59,Employee!D$113+SUM(N64)+Dec!W54,SUM(N64)+Dec!W54)</f>
        <v>0</v>
      </c>
      <c r="X64" s="172" t="n">
        <f aca="false">IF(O64=" ",Dec!X54,O64+Dec!X54)</f>
        <v>0</v>
      </c>
      <c r="Y64" s="172" t="n">
        <f aca="false">IF(P64=" ",Dec!Y54,P64+Dec!Y54)</f>
        <v>0</v>
      </c>
      <c r="Z64" s="172" t="n">
        <f aca="false">IF(Q64=" ",Dec!Z54,Q64+Dec!Z54)</f>
        <v>0</v>
      </c>
      <c r="AA64" s="172" t="n">
        <f aca="false">IF(R64=" ",Dec!AA54,R64+Dec!AA54)</f>
        <v>0</v>
      </c>
      <c r="AC64" s="172" t="n">
        <f aca="false">IF(T64=" ",Dec!AC54,T64+Dec!AC54)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IF(T$59="Y",Dec!H55,0)</f>
        <v>0</v>
      </c>
      <c r="I65" s="182" t="n">
        <f aca="false">IF(T$59="Y",Dec!I55,0)</f>
        <v>0</v>
      </c>
      <c r="J65" s="182" t="n">
        <f aca="false">IF(T$59="Y",Dec!J55,0)</f>
        <v>0</v>
      </c>
      <c r="K65" s="182" t="n">
        <f aca="false">IF(T$59="Y",Dec!K55,I65*J65)</f>
        <v>0</v>
      </c>
      <c r="L65" s="183" t="n">
        <f aca="false">IF(T$59="Y",Dec!L55,0)</f>
        <v>0</v>
      </c>
      <c r="M65" s="180" t="str">
        <f aca="false">IF(E65=" "," ",IF(T$59="Y",Dec!M55,IF((H65+K65+L65)&gt;0,H65+K65+L65,"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IF(Employee!H$139=E$59,Employee!D$138+SUM(M65)+Dec!V55,SUM(M65)+Dec!V55)</f>
        <v>0</v>
      </c>
      <c r="W65" s="172" t="n">
        <f aca="false">IF(Employee!H$139=E$59,Employee!D$139+SUM(N65)+Dec!W55,SUM(N65)+Dec!W55)</f>
        <v>0</v>
      </c>
      <c r="X65" s="172" t="n">
        <f aca="false">IF(O65=" ",Dec!X55,O65+Dec!X55)</f>
        <v>0</v>
      </c>
      <c r="Y65" s="172" t="n">
        <f aca="false">IF(P65=" ",Dec!Y55,P65+Dec!Y55)</f>
        <v>0</v>
      </c>
      <c r="Z65" s="172" t="n">
        <f aca="false">IF(Q65=" ",Dec!Z55,Q65+Dec!Z55)</f>
        <v>0</v>
      </c>
      <c r="AA65" s="172" t="n">
        <f aca="false">IF(R65=" ",Dec!AA55,R65+Dec!AA55)</f>
        <v>0</v>
      </c>
      <c r="AC65" s="172" t="n">
        <f aca="false">IF(T65=" ",Dec!AC55,T65+Dec!AC55)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AD70+Dec!AD65</f>
        <v>0</v>
      </c>
      <c r="AE75" s="240" t="n">
        <f aca="false">AE70+Dec!AE65</f>
        <v>0</v>
      </c>
      <c r="AF75" s="240" t="n">
        <f aca="false">AF70+Dec!AF65</f>
        <v>0</v>
      </c>
      <c r="AG75" s="240" t="n">
        <f aca="false">AG70+Dec!AG65</f>
        <v>0</v>
      </c>
    </row>
    <row r="77" customFormat="false" ht="12.75" hidden="false" customHeight="false" outlineLevel="0" collapsed="false">
      <c r="AD77" s="233"/>
      <c r="AE77" s="240" t="n">
        <f aca="false">AE72+Dec!AE67</f>
        <v>0</v>
      </c>
      <c r="AF77" s="240" t="n">
        <f aca="false">AF72+Dec!AF67</f>
        <v>0</v>
      </c>
      <c r="AG77" s="240" t="n">
        <f aca="false">AG72+Dec!AG67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46572</v>
      </c>
      <c r="L9" s="149" t="s">
        <v>85</v>
      </c>
      <c r="M9" s="150" t="n">
        <f aca="false">K9+6</f>
        <v>46578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8" t="n">
        <f aca="false">IF(T$9="Y",Jan!L41,0)</f>
        <v>0</v>
      </c>
      <c r="M11" s="170" t="str">
        <f aca="false">IF(E11=" "," ",IF(T$9="Y",Jan!M41,IF((H11+K11+L11)&gt;0,H11+K11+L11,"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IF(Employee!H$34=E$9,Employee!D$34+SUM(M11)+Jan!V51,SUM(M11)+Jan!V51)</f>
        <v>0</v>
      </c>
      <c r="W11" s="172" t="n">
        <f aca="false">IF(Employee!H$34=E$9,Employee!D$35+SUM(N11)+Jan!W51,SUM(N11)+Jan!W51)</f>
        <v>0</v>
      </c>
      <c r="X11" s="172" t="n">
        <f aca="false">IF(O11=" ",Jan!X51,O11+Jan!X51)</f>
        <v>0</v>
      </c>
      <c r="Y11" s="172" t="n">
        <f aca="false">IF(P11=" ",Jan!Y51,P11+Jan!Y51)</f>
        <v>0</v>
      </c>
      <c r="Z11" s="172" t="n">
        <f aca="false">IF(Q11=" ",Jan!Z51,Q11+Jan!Z51)</f>
        <v>0</v>
      </c>
      <c r="AA11" s="172" t="n">
        <f aca="false">IF(R11=" ",Jan!AA51,R11+Jan!AA51)</f>
        <v>0</v>
      </c>
      <c r="AC11" s="172" t="n">
        <f aca="false">IF(T11=" ",Jan!AC51,T11+Jan!AC51)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7" t="n">
        <f aca="false">IF(T$9="Y",Jan!L42,0)</f>
        <v>0</v>
      </c>
      <c r="M12" s="180" t="str">
        <f aca="false">IF(E12=" "," ",IF(T$9="Y",Jan!M42,IF((H12+K12+L12)&gt;0,H12+K12+L12,"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IF(Employee!H$60=E$9,Employee!D$60+SUM(M12)+Jan!V52,SUM(M12)+Jan!V52)</f>
        <v>0</v>
      </c>
      <c r="W12" s="172" t="n">
        <f aca="false">IF(Employee!H$60=E$9,Employee!D$61+SUM(N12)+Jan!W52,SUM(N12)+Jan!W52)</f>
        <v>0</v>
      </c>
      <c r="X12" s="172" t="n">
        <f aca="false">IF(O12=" ",Jan!X52,O12+Jan!X52)</f>
        <v>0</v>
      </c>
      <c r="Y12" s="172" t="n">
        <f aca="false">IF(P12=" ",Jan!Y52,P12+Jan!Y52)</f>
        <v>0</v>
      </c>
      <c r="Z12" s="172" t="n">
        <f aca="false">IF(Q12=" ",Jan!Z52,Q12+Jan!Z52)</f>
        <v>0</v>
      </c>
      <c r="AA12" s="172" t="n">
        <f aca="false">IF(R12=" ",Jan!AA52,R12+Jan!AA52)</f>
        <v>0</v>
      </c>
      <c r="AC12" s="172" t="n">
        <f aca="false">IF(T12=" ",Jan!AC52,T12+Jan!AC52)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7" t="n">
        <f aca="false">IF(T$9="Y",Jan!L43,0)</f>
        <v>0</v>
      </c>
      <c r="M13" s="180" t="str">
        <f aca="false">IF(E13=" "," ",IF(T$9="Y",Jan!M43,IF((H13+K13+L13)&gt;0,H13+K13+L13,"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IF(Employee!H$86=E$9,Employee!D$86+SUM(M13)+Jan!V53,SUM(M13)+Jan!V53)</f>
        <v>0</v>
      </c>
      <c r="W13" s="172" t="n">
        <f aca="false">IF(Employee!H$86=E$9,Employee!D$87+SUM(N13)+Jan!W53,SUM(N13)+Jan!W53)</f>
        <v>0</v>
      </c>
      <c r="X13" s="172" t="n">
        <f aca="false">IF(O13=" ",Jan!X53,O13+Jan!X53)</f>
        <v>0</v>
      </c>
      <c r="Y13" s="172" t="n">
        <f aca="false">IF(P13=" ",Jan!Y53,P13+Jan!Y53)</f>
        <v>0</v>
      </c>
      <c r="Z13" s="172" t="n">
        <f aca="false">IF(Q13=" ",Jan!Z53,Q13+Jan!Z53)</f>
        <v>0</v>
      </c>
      <c r="AA13" s="172" t="n">
        <f aca="false">IF(R13=" ",Jan!AA53,R13+Jan!AA53)</f>
        <v>0</v>
      </c>
      <c r="AC13" s="172" t="n">
        <f aca="false">IF(T13=" ",Jan!AC53,T13+Jan!AC53)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7" t="n">
        <f aca="false">IF(T$9="Y",Jan!L44,0)</f>
        <v>0</v>
      </c>
      <c r="M14" s="180" t="str">
        <f aca="false">IF(E14=" "," ",IF(T$9="Y",Jan!M44,IF((H14+K14+L14)&gt;0,H14+K14+L14,"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IF(Employee!H$112=E$9,Employee!D$112+SUM(M14)+Jan!V54,SUM(M14)+Jan!V54)</f>
        <v>0</v>
      </c>
      <c r="W14" s="172" t="n">
        <f aca="false">IF(Employee!H$112=E$9,Employee!D$113+SUM(N14)+Jan!W54,SUM(N14)+Jan!W54)</f>
        <v>0</v>
      </c>
      <c r="X14" s="172" t="n">
        <f aca="false">IF(O14=" ",Jan!X54,O14+Jan!X54)</f>
        <v>0</v>
      </c>
      <c r="Y14" s="172" t="n">
        <f aca="false">IF(P14=" ",Jan!Y54,P14+Jan!Y54)</f>
        <v>0</v>
      </c>
      <c r="Z14" s="172" t="n">
        <f aca="false">IF(Q14=" ",Jan!Z54,Q14+Jan!Z54)</f>
        <v>0</v>
      </c>
      <c r="AA14" s="172" t="n">
        <f aca="false">IF(R14=" ",Jan!AA54,R14+Jan!AA54)</f>
        <v>0</v>
      </c>
      <c r="AC14" s="172" t="n">
        <f aca="false">IF(T14=" ",Jan!AC54,T14+Jan!AC54)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2" t="n">
        <f aca="false">IF(T$9="Y",Jan!L45,0)</f>
        <v>0</v>
      </c>
      <c r="M15" s="184" t="str">
        <f aca="false">IF(E15=" "," ",IF(T$9="Y",Jan!M45,IF((H15+K15+L15)&gt;0,H15+K15+L15,"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IF(Employee!H$138=E$9,Employee!D$138+SUM(M15)+Jan!V55,SUM(M15)+Jan!V55)</f>
        <v>0</v>
      </c>
      <c r="W15" s="172" t="n">
        <f aca="false">IF(Employee!H$138=E$9,Employee!D$139+SUM(N15)+Jan!W55,SUM(N15)+Jan!W55)</f>
        <v>0</v>
      </c>
      <c r="X15" s="172" t="n">
        <f aca="false">IF(O15=" ",Jan!X55,O15+Jan!X55)</f>
        <v>0</v>
      </c>
      <c r="Y15" s="172" t="n">
        <f aca="false">IF(P15=" ",Jan!Y55,P15+Jan!Y55)</f>
        <v>0</v>
      </c>
      <c r="Z15" s="172" t="n">
        <f aca="false">IF(Q15=" ",Jan!Z55,Q15+Jan!Z55)</f>
        <v>0</v>
      </c>
      <c r="AA15" s="172" t="n">
        <f aca="false">IF(R15=" ",Jan!AA55,R15+Jan!AA55)</f>
        <v>0</v>
      </c>
      <c r="AC15" s="172" t="n">
        <f aca="false">IF(T15=" ",Jan!AC55,T15+Jan!AC55)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46579</v>
      </c>
      <c r="L19" s="149" t="s">
        <v>85</v>
      </c>
      <c r="M19" s="150" t="n">
        <f aca="false">K19+6</f>
        <v>46585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46586</v>
      </c>
      <c r="L29" s="149" t="s">
        <v>85</v>
      </c>
      <c r="M29" s="150" t="n">
        <f aca="false">K29+6</f>
        <v>46592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46593</v>
      </c>
      <c r="L39" s="149" t="s">
        <v>85</v>
      </c>
      <c r="M39" s="150" t="n">
        <f aca="false">K39+6</f>
        <v>46599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DATE(2027,2,1)</f>
        <v>46419</v>
      </c>
      <c r="L49" s="149" t="s">
        <v>85</v>
      </c>
      <c r="M49" s="150" t="n">
        <v>46446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IF(T$49="Y",Jan!H61,0)</f>
        <v>0</v>
      </c>
      <c r="I51" s="168" t="n">
        <f aca="false">IF(T$49="Y",Jan!I61,0)</f>
        <v>0</v>
      </c>
      <c r="J51" s="168" t="n">
        <f aca="false">IF(T$49="Y",Jan!J61,0)</f>
        <v>0</v>
      </c>
      <c r="K51" s="168" t="n">
        <f aca="false">IF(T$49="Y",Jan!K61,I51*J51)</f>
        <v>0</v>
      </c>
      <c r="L51" s="166" t="n">
        <f aca="false">IF(T$49="Y",Jan!L61,0)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112</v>
      </c>
      <c r="T51" s="170" t="n">
        <v>382.5</v>
      </c>
      <c r="U51" s="171"/>
      <c r="V51" s="172" t="n">
        <f aca="false">IF(Employee!H$35=E$49,Employee!D$34+SUM(M51)+Jan!V61,SUM(M51)+Jan!V61)</f>
        <v>14000</v>
      </c>
      <c r="W51" s="172" t="n">
        <f aca="false">IF(Employee!H$35=E$49,Employee!D$35+SUM(N51)+Jan!W61,SUM(N51)+Jan!W61)</f>
        <v>2120</v>
      </c>
      <c r="X51" s="172" t="n">
        <f aca="false">IF(O51=" ",Jan!X61,O51+Jan!X61)</f>
        <v>800</v>
      </c>
      <c r="Y51" s="172" t="n">
        <f aca="false">IF(P51=" ",Jan!Y61,P51+Jan!Y61)</f>
        <v>0</v>
      </c>
      <c r="Z51" s="172" t="n">
        <f aca="false">IF(Q51=" ",Jan!Z61,Q51+Jan!Z61)</f>
        <v>0</v>
      </c>
      <c r="AA51" s="172" t="n">
        <f aca="false">IF(R51=" ",Jan!AA61,R51+Jan!AA61)</f>
        <v>11080</v>
      </c>
      <c r="AC51" s="172" t="n">
        <f aca="false">IF(T51=" ",Jan!AC61,T51+Jan!AC61)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IF(T$49="Y",Jan!H62,0)</f>
        <v>0</v>
      </c>
      <c r="I52" s="177" t="n">
        <f aca="false">IF(T$49="Y",Jan!I62,0)</f>
        <v>0</v>
      </c>
      <c r="J52" s="177" t="n">
        <f aca="false">IF(T$49="Y",Jan!J62,0)</f>
        <v>0</v>
      </c>
      <c r="K52" s="177" t="n">
        <f aca="false">IF(T$49="Y",Jan!K62,I52*J52)</f>
        <v>0</v>
      </c>
      <c r="L52" s="179" t="n">
        <f aca="false">IF(T$49="Y",Jan!L62,0)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113</v>
      </c>
      <c r="T52" s="180" t="n">
        <v>187.5</v>
      </c>
      <c r="U52" s="171"/>
      <c r="V52" s="172" t="n">
        <f aca="false">IF(Employee!H$61=E$49,Employee!D$60+SUM(M52)+Jan!V62,SUM(M52)+Jan!V62)</f>
        <v>8800</v>
      </c>
      <c r="W52" s="172" t="n">
        <f aca="false">IF(Employee!H$61=E$49,Employee!D$61+SUM(N52)+Jan!W62,SUM(N52)+Jan!W62)</f>
        <v>1080</v>
      </c>
      <c r="X52" s="172" t="n">
        <f aca="false">IF(O52=" ",Jan!X62,O52+Jan!X62)</f>
        <v>384</v>
      </c>
      <c r="Y52" s="172" t="n">
        <f aca="false">IF(P52=" ",Jan!Y62,P52+Jan!Y62)</f>
        <v>0</v>
      </c>
      <c r="Z52" s="172" t="n">
        <f aca="false">IF(Q52=" ",Jan!Z62,Q52+Jan!Z62)</f>
        <v>0</v>
      </c>
      <c r="AA52" s="172" t="n">
        <f aca="false">IF(R52=" ",Jan!AA62,R52+Jan!AA62)</f>
        <v>7336</v>
      </c>
      <c r="AC52" s="172" t="n">
        <f aca="false">IF(T52=" ",Jan!AC62,T52+Jan!AC62)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IF(T$49="Y",Jan!H63,0)</f>
        <v>0</v>
      </c>
      <c r="I53" s="177" t="n">
        <f aca="false">IF(T$49="Y",Jan!I63,0)</f>
        <v>0</v>
      </c>
      <c r="J53" s="177" t="n">
        <f aca="false">IF(T$49="Y",Jan!J63,0)</f>
        <v>0</v>
      </c>
      <c r="K53" s="177" t="n">
        <f aca="false">IF(T$49="Y",Jan!K63,I53*J53)</f>
        <v>0</v>
      </c>
      <c r="L53" s="179" t="n">
        <f aca="false">IF(T$49="Y",Jan!L63,0)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114</v>
      </c>
      <c r="T53" s="180" t="n">
        <v>7.2</v>
      </c>
      <c r="U53" s="171"/>
      <c r="V53" s="172" t="n">
        <f aca="false">IF(Employee!H$87=E$49,Employee!D$86+SUM(M53)+Jan!V63,SUM(M53)+Jan!V63)</f>
        <v>4192</v>
      </c>
      <c r="W53" s="172" t="n">
        <f aca="false">IF(Employee!H$87=E$49,Employee!D$87+SUM(N53)+Jan!W63,SUM(N53)+Jan!W63)</f>
        <v>0</v>
      </c>
      <c r="X53" s="172" t="n">
        <f aca="false">IF(O53=" ",Jan!X63,O53+Jan!X63)</f>
        <v>0</v>
      </c>
      <c r="Y53" s="172" t="n">
        <f aca="false">IF(P53=" ",Jan!Y63,P53+Jan!Y63)</f>
        <v>0</v>
      </c>
      <c r="Z53" s="172" t="n">
        <f aca="false">IF(Q53=" ",Jan!Z63,Q53+Jan!Z63)</f>
        <v>0</v>
      </c>
      <c r="AA53" s="172" t="n">
        <f aca="false">IF(R53=" ",Jan!AA63,R53+Jan!AA63)</f>
        <v>4192</v>
      </c>
      <c r="AC53" s="172" t="n">
        <f aca="false">IF(T53=" ",Jan!AC63,T53+Jan!AC63)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IF(T$49="Y",Jan!H64,0)</f>
        <v>0</v>
      </c>
      <c r="I54" s="177" t="n">
        <f aca="false">IF(T$49="Y",Jan!I64,0)</f>
        <v>0</v>
      </c>
      <c r="J54" s="177" t="n">
        <f aca="false">IF(T$49="Y",Jan!J64,0)</f>
        <v>0</v>
      </c>
      <c r="K54" s="177" t="n">
        <f aca="false">IF(T$49="Y",Jan!K64,I54*J54)</f>
        <v>0</v>
      </c>
      <c r="L54" s="179" t="n">
        <f aca="false">IF(T$49="Y",Jan!L64,0)</f>
        <v>0</v>
      </c>
      <c r="M54" s="180" t="str">
        <f aca="false">IF(E54=" "," ",IF(T$49="Y",Jan!M64,IF((H54+K54+L54)&gt;0,H54+K54+L54,"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IF(Employee!H$113=E$49,Employee!D$112+SUM(M54)+Jan!V64,SUM(M54)+Jan!V64)</f>
        <v>0</v>
      </c>
      <c r="W54" s="172" t="n">
        <f aca="false">IF(Employee!H$113=E$49,Employee!D$113+SUM(N54)+Jan!W64,SUM(N54)+Jan!W64)</f>
        <v>0</v>
      </c>
      <c r="X54" s="172" t="n">
        <f aca="false">IF(O54=" ",Jan!X64,O54+Jan!X64)</f>
        <v>0</v>
      </c>
      <c r="Y54" s="172" t="n">
        <f aca="false">IF(P54=" ",Jan!Y64,P54+Jan!Y64)</f>
        <v>0</v>
      </c>
      <c r="Z54" s="172" t="n">
        <f aca="false">IF(Q54=" ",Jan!Z64,Q54+Jan!Z64)</f>
        <v>0</v>
      </c>
      <c r="AA54" s="172" t="n">
        <f aca="false">IF(R54=" ",Jan!AA64,R54+Jan!AA64)</f>
        <v>0</v>
      </c>
      <c r="AC54" s="172" t="n">
        <f aca="false">IF(T54=" ",Jan!AC64,T54+Jan!AC64)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IF(T$49="Y",Jan!H65,0)</f>
        <v>0</v>
      </c>
      <c r="I55" s="182" t="n">
        <f aca="false">IF(T$49="Y",Jan!I65,0)</f>
        <v>0</v>
      </c>
      <c r="J55" s="182" t="n">
        <f aca="false">IF(T$49="Y",Jan!J65,0)</f>
        <v>0</v>
      </c>
      <c r="K55" s="182" t="n">
        <f aca="false">IF(T$49="Y",Jan!K65,I55*J55)</f>
        <v>0</v>
      </c>
      <c r="L55" s="183" t="n">
        <f aca="false">IF(T$49="Y",Jan!L65,0)</f>
        <v>0</v>
      </c>
      <c r="M55" s="180" t="str">
        <f aca="false">IF(E55=" "," ",IF(T$49="Y",Jan!M65,IF((H55+K55+L55)&gt;0,H55+K55+L55,"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IF(Employee!H$139=E$49,Employee!D$138+SUM(M55)+Jan!V65,SUM(M55)+Jan!V65)</f>
        <v>0</v>
      </c>
      <c r="W55" s="172" t="n">
        <f aca="false">IF(Employee!H$139=E$49,Employee!D$139+SUM(N55)+Jan!W65,SUM(N55)+Jan!W65)</f>
        <v>0</v>
      </c>
      <c r="X55" s="172" t="n">
        <f aca="false">IF(O55=" ",Jan!X65,O55+Jan!X65)</f>
        <v>0</v>
      </c>
      <c r="Y55" s="172" t="n">
        <f aca="false">IF(P55=" ",Jan!Y65,P55+Jan!Y65)</f>
        <v>0</v>
      </c>
      <c r="Z55" s="172" t="n">
        <f aca="false">IF(Q55=" ",Jan!Z65,Q55+Jan!Z65)</f>
        <v>0</v>
      </c>
      <c r="AA55" s="172" t="n">
        <f aca="false">IF(R55=" ",Jan!AA65,R55+Jan!AA65)</f>
        <v>0</v>
      </c>
      <c r="AC55" s="172" t="n">
        <f aca="false">IF(T55=" ",Jan!AC65,T55+Jan!AC65)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AD60+Jan!AD75</f>
        <v>0</v>
      </c>
      <c r="AE65" s="240" t="n">
        <f aca="false">AE60+Jan!AE75</f>
        <v>0</v>
      </c>
      <c r="AF65" s="240" t="n">
        <f aca="false">AF60+Jan!AF75</f>
        <v>0</v>
      </c>
      <c r="AG65" s="240" t="n">
        <f aca="false">AG60+Jan!AG75</f>
        <v>0</v>
      </c>
    </row>
    <row r="67" customFormat="false" ht="12.75" hidden="false" customHeight="false" outlineLevel="0" collapsed="false">
      <c r="AD67" s="233"/>
      <c r="AE67" s="240" t="n">
        <f aca="false">AE62+Jan!AE77</f>
        <v>0</v>
      </c>
      <c r="AF67" s="240" t="n">
        <f aca="false">AF62+Jan!AF77</f>
        <v>0</v>
      </c>
      <c r="AG67" s="240" t="n">
        <f aca="false">AG62+Jan!AG77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46600</v>
      </c>
      <c r="L9" s="149" t="s">
        <v>85</v>
      </c>
      <c r="M9" s="150" t="n">
        <f aca="false">K9+6</f>
        <v>46606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IF(T$9="Y",Feb!H41,0)</f>
        <v>0</v>
      </c>
      <c r="I12" s="177" t="n">
        <f aca="false">IF(T$9="Y",Feb!I41,0)</f>
        <v>0</v>
      </c>
      <c r="J12" s="177" t="n">
        <f aca="false">IF(T$9="Y",Feb!J41,0)</f>
        <v>0</v>
      </c>
      <c r="K12" s="177" t="n">
        <f aca="false">IF(T$9="Y",Feb!K41,I12*J12)</f>
        <v>0</v>
      </c>
      <c r="L12" s="179" t="n">
        <f aca="false">IF(T$9="Y",Feb!L41,0)</f>
        <v>0</v>
      </c>
      <c r="M12" s="179" t="str">
        <f aca="false">IF(E12=" "," ",IF(T$9="Y",Feb!M41,IF((H12+K12+L12)&gt;0,H12+K12+L12,"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IF(T$9="Y",Feb!H41,0)</f>
        <v>0</v>
      </c>
      <c r="I13" s="177" t="n">
        <f aca="false">IF(T$9="Y",Feb!I41,0)</f>
        <v>0</v>
      </c>
      <c r="J13" s="177" t="n">
        <f aca="false">IF(T$9="Y",Feb!J41,0)</f>
        <v>0</v>
      </c>
      <c r="K13" s="177" t="n">
        <f aca="false">IF(T$9="Y",Feb!K41,I13*J13)</f>
        <v>0</v>
      </c>
      <c r="L13" s="179" t="n">
        <f aca="false">IF(T$9="Y",Feb!L41,0)</f>
        <v>0</v>
      </c>
      <c r="M13" s="179" t="str">
        <f aca="false">IF(E13=" "," ",IF(T$9="Y",Feb!M41,IF((H13+K13+L13)&gt;0,H13+K13+L13,"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IF(T$9="Y",Feb!H41,0)</f>
        <v>0</v>
      </c>
      <c r="I14" s="177" t="n">
        <f aca="false">IF(T$9="Y",Feb!I41,0)</f>
        <v>0</v>
      </c>
      <c r="J14" s="177" t="n">
        <f aca="false">IF(T$9="Y",Feb!J41,0)</f>
        <v>0</v>
      </c>
      <c r="K14" s="177" t="n">
        <f aca="false">IF(T$9="Y",Feb!K41,I14*J14)</f>
        <v>0</v>
      </c>
      <c r="L14" s="179" t="n">
        <f aca="false">IF(T$9="Y",Feb!L41,0)</f>
        <v>0</v>
      </c>
      <c r="M14" s="179" t="str">
        <f aca="false">IF(E14=" "," ",IF(T$9="Y",Feb!M41,IF((H14+K14+L14)&gt;0,H14+K14+L14,"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IF(T$9="Y",Feb!H41,0)</f>
        <v>0</v>
      </c>
      <c r="I15" s="182" t="n">
        <f aca="false">IF(T$9="Y",Feb!I41,0)</f>
        <v>0</v>
      </c>
      <c r="J15" s="182" t="n">
        <f aca="false">IF(T$9="Y",Feb!J41,0)</f>
        <v>0</v>
      </c>
      <c r="K15" s="182" t="n">
        <f aca="false">IF(T$9="Y",Feb!K41,I15*J15)</f>
        <v>0</v>
      </c>
      <c r="L15" s="183" t="n">
        <f aca="false">IF(T$9="Y",Feb!L41,0)</f>
        <v>0</v>
      </c>
      <c r="M15" s="183" t="str">
        <f aca="false">IF(E15=" "," ",IF(T$9="Y",Feb!M41,IF((H15+K15+L15)&gt;0,H15+K15+L15,"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46607</v>
      </c>
      <c r="L19" s="149" t="s">
        <v>85</v>
      </c>
      <c r="M19" s="150" t="n">
        <f aca="false">K19+6</f>
        <v>46613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46614</v>
      </c>
      <c r="L29" s="149" t="s">
        <v>85</v>
      </c>
      <c r="M29" s="150" t="n">
        <f aca="false">K29+6</f>
        <v>46620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46621</v>
      </c>
      <c r="L39" s="149" t="s">
        <v>85</v>
      </c>
      <c r="M39" s="150" t="n">
        <f aca="false">K39+6</f>
        <v>46627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DATE(2027,3,1)</f>
        <v>46447</v>
      </c>
      <c r="L49" s="149" t="s">
        <v>85</v>
      </c>
      <c r="M49" s="150" t="n">
        <v>46477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IF(T$49="Y",Feb!H51,0)</f>
        <v>0</v>
      </c>
      <c r="I51" s="168" t="n">
        <f aca="false">IF(T$49="Y",Feb!I51,0)</f>
        <v>0</v>
      </c>
      <c r="J51" s="168" t="n">
        <f aca="false">IF(T$49="Y",Feb!J51,0)</f>
        <v>0</v>
      </c>
      <c r="K51" s="168" t="n">
        <f aca="false">IF(T$49="Y",Feb!K51,I51*J51)</f>
        <v>0</v>
      </c>
      <c r="L51" s="168" t="n">
        <f aca="false">IF(T$49="Y",Feb!L51,0)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115</v>
      </c>
      <c r="T51" s="170" t="n">
        <v>382.5</v>
      </c>
      <c r="U51" s="171"/>
      <c r="V51" s="172" t="n">
        <f aca="false">IF(Employee!H$35=E$49,Employee!D$34+SUM(M51)+Feb!V51,SUM(M51)+Feb!V51)</f>
        <v>17500</v>
      </c>
      <c r="W51" s="172" t="n">
        <f aca="false">IF(Employee!H$35=E$49,Employee!D$35+SUM(N51)+Feb!W51,SUM(N51)+Feb!W51)</f>
        <v>2650</v>
      </c>
      <c r="X51" s="172" t="n">
        <f aca="false">IF(O51=" ",Feb!X51,O51+Feb!X51)</f>
        <v>1000</v>
      </c>
      <c r="Y51" s="172" t="n">
        <f aca="false">IF(P51=" ",Feb!Y51,P51+Feb!Y51)</f>
        <v>0</v>
      </c>
      <c r="Z51" s="172" t="n">
        <f aca="false">IF(Q51=" ",Feb!Z51,Q51+Feb!Z51)</f>
        <v>0</v>
      </c>
      <c r="AA51" s="172" t="n">
        <f aca="false">IF(R51=" ",Feb!AA51,R51+Feb!AA51)</f>
        <v>13850</v>
      </c>
      <c r="AC51" s="172" t="n">
        <f aca="false">IF(T51=" ",Feb!AC51,T51+Feb!AC51)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IF(T$49="Y",Feb!H52,0)</f>
        <v>0</v>
      </c>
      <c r="I52" s="177" t="n">
        <f aca="false">IF(T$49="Y",Feb!I52,0)</f>
        <v>0</v>
      </c>
      <c r="J52" s="177" t="n">
        <f aca="false">IF(T$49="Y",Feb!J52,0)</f>
        <v>0</v>
      </c>
      <c r="K52" s="177" t="n">
        <f aca="false">IF(T$49="Y",Feb!K52,I52*J52)</f>
        <v>0</v>
      </c>
      <c r="L52" s="177" t="n">
        <f aca="false">IF(T$49="Y",Feb!L52,0)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116</v>
      </c>
      <c r="T52" s="180" t="n">
        <v>187.5</v>
      </c>
      <c r="U52" s="171"/>
      <c r="V52" s="172" t="n">
        <f aca="false">IF(Employee!H$61=E$49,Employee!D$60+SUM(M52)+Feb!V52,SUM(M52)+Feb!V52)</f>
        <v>11000</v>
      </c>
      <c r="W52" s="172" t="n">
        <f aca="false">IF(Employee!H$61=E$49,Employee!D$61+SUM(N52)+Feb!W52,SUM(N52)+Feb!W52)</f>
        <v>1350</v>
      </c>
      <c r="X52" s="172" t="n">
        <f aca="false">IF(O52=" ",Feb!X52,O52+Feb!X52)</f>
        <v>480</v>
      </c>
      <c r="Y52" s="172" t="n">
        <f aca="false">IF(P52=" ",Feb!Y52,P52+Feb!Y52)</f>
        <v>0</v>
      </c>
      <c r="Z52" s="172" t="n">
        <f aca="false">IF(Q52=" ",Feb!Z52,Q52+Feb!Z52)</f>
        <v>0</v>
      </c>
      <c r="AA52" s="172" t="n">
        <f aca="false">IF(R52=" ",Feb!AA52,R52+Feb!AA52)</f>
        <v>9170</v>
      </c>
      <c r="AC52" s="172" t="n">
        <f aca="false">IF(T52=" ",Feb!AC52,T52+Feb!AC52)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IF(T$49="Y",Feb!H53,0)</f>
        <v>0</v>
      </c>
      <c r="I53" s="177" t="n">
        <f aca="false">IF(T$49="Y",Feb!I53,0)</f>
        <v>0</v>
      </c>
      <c r="J53" s="177" t="n">
        <f aca="false">IF(T$49="Y",Feb!J53,0)</f>
        <v>0</v>
      </c>
      <c r="K53" s="177" t="n">
        <f aca="false">IF(T$49="Y",Feb!K53,I53*J53)</f>
        <v>0</v>
      </c>
      <c r="L53" s="177" t="n">
        <f aca="false">IF(T$49="Y",Feb!L53,0)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117</v>
      </c>
      <c r="T53" s="180" t="n">
        <v>7.2</v>
      </c>
      <c r="U53" s="171"/>
      <c r="V53" s="172" t="n">
        <f aca="false">IF(Employee!H$87=E$49,Employee!D$86+SUM(M53)+Feb!V53,SUM(M53)+Feb!V53)</f>
        <v>5240</v>
      </c>
      <c r="W53" s="172" t="n">
        <f aca="false">IF(Employee!H$87=E$49,Employee!D$87+SUM(N53)+Feb!W53,SUM(N53)+Feb!W53)</f>
        <v>0</v>
      </c>
      <c r="X53" s="172" t="n">
        <f aca="false">IF(O53=" ",Feb!X53,O53+Feb!X53)</f>
        <v>0</v>
      </c>
      <c r="Y53" s="172" t="n">
        <f aca="false">IF(P53=" ",Feb!Y53,P53+Feb!Y53)</f>
        <v>0</v>
      </c>
      <c r="Z53" s="172" t="n">
        <f aca="false">IF(Q53=" ",Feb!Z53,Q53+Feb!Z53)</f>
        <v>0</v>
      </c>
      <c r="AA53" s="172" t="n">
        <f aca="false">IF(R53=" ",Feb!AA53,R53+Feb!AA53)</f>
        <v>5240</v>
      </c>
      <c r="AC53" s="172" t="n">
        <f aca="false">IF(T53=" ",Feb!AC53,T53+Feb!AC53)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IF(T$49="Y",Feb!H54,0)</f>
        <v>0</v>
      </c>
      <c r="I54" s="177" t="n">
        <f aca="false">IF(T$49="Y",Feb!I54,0)</f>
        <v>0</v>
      </c>
      <c r="J54" s="177" t="n">
        <f aca="false">IF(T$49="Y",Feb!J54,0)</f>
        <v>0</v>
      </c>
      <c r="K54" s="177" t="n">
        <f aca="false">IF(T$49="Y",Feb!K54,I54*J54)</f>
        <v>0</v>
      </c>
      <c r="L54" s="177" t="n">
        <f aca="false">IF(T$49="Y",Feb!L54,0)</f>
        <v>0</v>
      </c>
      <c r="M54" s="180" t="str">
        <f aca="false">IF(E54=" "," ",IF(T$49="Y",Feb!M54,IF((H54+K54+L54)&gt;0,H54+K54+L54,"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IF(Employee!H$113=E$49,Employee!D$112+SUM(M54)+Feb!V54,SUM(M54)+Feb!V54)</f>
        <v>0</v>
      </c>
      <c r="W54" s="172" t="n">
        <f aca="false">IF(Employee!H$113=E$49,Employee!D$113+SUM(N54)+Feb!W54,SUM(N54)+Feb!W54)</f>
        <v>0</v>
      </c>
      <c r="X54" s="172" t="n">
        <f aca="false">IF(O54=" ",Feb!X54,O54+Feb!X54)</f>
        <v>0</v>
      </c>
      <c r="Y54" s="172" t="n">
        <f aca="false">IF(P54=" ",Feb!Y54,P54+Feb!Y54)</f>
        <v>0</v>
      </c>
      <c r="Z54" s="172" t="n">
        <f aca="false">IF(Q54=" ",Feb!Z54,Q54+Feb!Z54)</f>
        <v>0</v>
      </c>
      <c r="AA54" s="172" t="n">
        <f aca="false">IF(R54=" ",Feb!AA54,R54+Feb!AA54)</f>
        <v>0</v>
      </c>
      <c r="AC54" s="172" t="n">
        <f aca="false">IF(T54=" ",Feb!AC54,T54+Feb!AC54)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IF(T$49="Y",Feb!H55,0)</f>
        <v>0</v>
      </c>
      <c r="I55" s="177" t="n">
        <f aca="false">IF(T$49="Y",Feb!I55,0)</f>
        <v>0</v>
      </c>
      <c r="J55" s="177" t="n">
        <f aca="false">IF(T$49="Y",Feb!J55,0)</f>
        <v>0</v>
      </c>
      <c r="K55" s="177" t="n">
        <f aca="false">IF(T$49="Y",Feb!K55,I55*J55)</f>
        <v>0</v>
      </c>
      <c r="L55" s="177" t="n">
        <f aca="false">IF(T$49="Y",Feb!L55,0)</f>
        <v>0</v>
      </c>
      <c r="M55" s="180" t="str">
        <f aca="false">IF(E55=" "," ",IF(T$49="Y",Feb!M55,IF((H55+K55+L55)&gt;0,H55+K55+L55,"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IF(Employee!H$139=E$49,Employee!D$138+SUM(M55)+Feb!V55,SUM(M55)+Feb!V55)</f>
        <v>0</v>
      </c>
      <c r="W55" s="172" t="n">
        <f aca="false">IF(Employee!H$139=E$49,Employee!D$139+SUM(N55)+Feb!W55,SUM(N55)+Feb!W55)</f>
        <v>0</v>
      </c>
      <c r="X55" s="172" t="n">
        <f aca="false">IF(O55=" ",Feb!X55,O55+Feb!X55)</f>
        <v>0</v>
      </c>
      <c r="Y55" s="172" t="n">
        <f aca="false">IF(P55=" ",Feb!Y55,P55+Feb!Y55)</f>
        <v>0</v>
      </c>
      <c r="Z55" s="172" t="n">
        <f aca="false">IF(Q55=" ",Feb!Z55,Q55+Feb!Z55)</f>
        <v>0</v>
      </c>
      <c r="AA55" s="172" t="n">
        <f aca="false">IF(R55=" ",Feb!AA55,R55+Feb!AA55)</f>
        <v>0</v>
      </c>
      <c r="AC55" s="172" t="n">
        <f aca="false">IF(T55=" ",Feb!AC55,T55+Feb!AC55)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AD60+Feb!AD65</f>
        <v>0</v>
      </c>
      <c r="AE65" s="240" t="n">
        <f aca="false">AE60+Feb!AE65</f>
        <v>0</v>
      </c>
      <c r="AF65" s="240" t="n">
        <f aca="false">AF60+Feb!AF65</f>
        <v>0</v>
      </c>
      <c r="AG65" s="240" t="n">
        <f aca="false">AG60+Feb!AG65</f>
        <v>0</v>
      </c>
    </row>
    <row r="67" customFormat="false" ht="12.75" hidden="false" customHeight="false" outlineLevel="0" collapsed="false">
      <c r="AD67" s="233"/>
      <c r="AE67" s="240" t="n">
        <f aca="false">AE62+Feb!AE67</f>
        <v>0</v>
      </c>
      <c r="AF67" s="240" t="n">
        <f aca="false">AF62+Feb!AF67</f>
        <v>0</v>
      </c>
      <c r="AG67" s="240" t="n">
        <f aca="false">AG62+Feb!AG67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Mar!M39+1</f>
        <v>46628</v>
      </c>
      <c r="L9" s="149" t="s">
        <v>85</v>
      </c>
      <c r="M9" s="150" t="n">
        <f aca="false">K9+6</f>
        <v>46634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IF(T$9="Y",Mar!H41,0)</f>
        <v>0</v>
      </c>
      <c r="I11" s="168" t="n">
        <f aca="false">IF(T$9="Y",Mar!I41,0)</f>
        <v>0</v>
      </c>
      <c r="J11" s="168" t="n">
        <f aca="false">IF(T$9="Y",Mar!J41,0)</f>
        <v>0</v>
      </c>
      <c r="K11" s="168" t="n">
        <f aca="false">IF(T$9="Y",Mar!K41,I11*J11)</f>
        <v>0</v>
      </c>
      <c r="L11" s="166" t="n">
        <f aca="false">IF(T$9="Y",Mar!L41,0)</f>
        <v>0</v>
      </c>
      <c r="M11" s="166" t="str">
        <f aca="false">IF(E11=" "," ",IF(T$9="Y",Mar!M41,IF((H11+K11+L11)&gt;0,H11+K11+L11,"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IF(Employee!H$34=E$9,Employee!D$34+SUM(M11)+Mar!V41,SUM(M11)+Mar!V41)</f>
        <v>0</v>
      </c>
      <c r="W11" s="172" t="n">
        <f aca="false">IF(Employee!H$34=E$9,Employee!D$35+SUM(N11)+Mar!W41,SUM(N11)+Mar!W41)</f>
        <v>0</v>
      </c>
      <c r="X11" s="172" t="n">
        <f aca="false">IF(O11=" ",Mar!X41,O11+Mar!X41)</f>
        <v>0</v>
      </c>
      <c r="Y11" s="172" t="n">
        <f aca="false">IF(P11=" ",Mar!Y41,P11+Mar!Y41)</f>
        <v>0</v>
      </c>
      <c r="Z11" s="172" t="n">
        <f aca="false">IF(Q11=" ",Mar!Z41,Q11+Mar!Z41)</f>
        <v>0</v>
      </c>
      <c r="AA11" s="172" t="n">
        <f aca="false">IF(R11=" ",Mar!AA41,R11+Mar!AA41)</f>
        <v>0</v>
      </c>
      <c r="AC11" s="172" t="n">
        <f aca="false">IF(T11=" ",Mar!AC41,T11+Mar!AC41)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IF(T$9="Y",Mar!H42,0)</f>
        <v>0</v>
      </c>
      <c r="I12" s="177" t="n">
        <f aca="false">IF(T$9="Y",Mar!I42,0)</f>
        <v>0</v>
      </c>
      <c r="J12" s="177" t="n">
        <f aca="false">IF(T$9="Y",Mar!J42,0)</f>
        <v>0</v>
      </c>
      <c r="K12" s="177" t="n">
        <f aca="false">IF(T$9="Y",Mar!K42,I12*J12)</f>
        <v>0</v>
      </c>
      <c r="L12" s="179" t="n">
        <f aca="false">IF(T$9="Y",Mar!L42,0)</f>
        <v>0</v>
      </c>
      <c r="M12" s="179" t="str">
        <f aca="false">IF(E12=" "," ",IF(T$9="Y",Mar!M42,IF((H12+K12+L12)&gt;0,H12+K12+L12,"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IF(Employee!H$60=E$9,Employee!D$60+SUM(M12)+Mar!V42,SUM(M12)+Mar!V42)</f>
        <v>0</v>
      </c>
      <c r="W12" s="172" t="n">
        <f aca="false">IF(Employee!H$60=E$9,Employee!D$61+SUM(N12)+Mar!W42,SUM(N12)+Mar!W42)</f>
        <v>0</v>
      </c>
      <c r="X12" s="172" t="n">
        <f aca="false">IF(O12=" ",Mar!X42,O12+Mar!X42)</f>
        <v>0</v>
      </c>
      <c r="Y12" s="172" t="n">
        <f aca="false">IF(P12=" ",Mar!Y42,P12+Mar!Y42)</f>
        <v>0</v>
      </c>
      <c r="Z12" s="172" t="n">
        <f aca="false">IF(Q12=" ",Mar!Z42,Q12+Mar!Z42)</f>
        <v>0</v>
      </c>
      <c r="AA12" s="172" t="n">
        <f aca="false">IF(R12=" ",Mar!AA42,R12+Mar!AA42)</f>
        <v>0</v>
      </c>
      <c r="AC12" s="172" t="n">
        <f aca="false">IF(T12=" ",Mar!AC42,T12+Mar!AC42)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IF(T$9="Y",Mar!H43,0)</f>
        <v>0</v>
      </c>
      <c r="I13" s="177" t="n">
        <f aca="false">IF(T$9="Y",Mar!I43,0)</f>
        <v>0</v>
      </c>
      <c r="J13" s="177" t="n">
        <f aca="false">IF(T$9="Y",Mar!J43,0)</f>
        <v>0</v>
      </c>
      <c r="K13" s="177" t="n">
        <f aca="false">IF(T$9="Y",Mar!K43,I13*J13)</f>
        <v>0</v>
      </c>
      <c r="L13" s="179" t="n">
        <f aca="false">IF(T$9="Y",Mar!L43,0)</f>
        <v>0</v>
      </c>
      <c r="M13" s="179" t="str">
        <f aca="false">IF(E13=" "," ",IF(T$9="Y",Mar!M43,IF((H13+K13+L13)&gt;0,H13+K13+L13,"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IF(Employee!H$86=E$9,Employee!D$86+SUM(M13)+Mar!V43,SUM(M13)+Mar!V43)</f>
        <v>0</v>
      </c>
      <c r="W13" s="172" t="n">
        <f aca="false">IF(Employee!H$86=E$9,Employee!D$87+SUM(N13)+Mar!W43,SUM(N13)+Mar!W43)</f>
        <v>0</v>
      </c>
      <c r="X13" s="172" t="n">
        <f aca="false">IF(O13=" ",Mar!X43,O13+Mar!X43)</f>
        <v>0</v>
      </c>
      <c r="Y13" s="172" t="n">
        <f aca="false">IF(P13=" ",Mar!Y43,P13+Mar!Y43)</f>
        <v>0</v>
      </c>
      <c r="Z13" s="172" t="n">
        <f aca="false">IF(Q13=" ",Mar!Z43,Q13+Mar!Z43)</f>
        <v>0</v>
      </c>
      <c r="AA13" s="172" t="n">
        <f aca="false">IF(R13=" ",Mar!AA43,R13+Mar!AA43)</f>
        <v>0</v>
      </c>
      <c r="AC13" s="172" t="n">
        <f aca="false">IF(T13=" ",Mar!AC43,T13+Mar!AC43)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IF(T$9="Y",Mar!H44,0)</f>
        <v>0</v>
      </c>
      <c r="I14" s="177" t="n">
        <f aca="false">IF(T$9="Y",Mar!I44,0)</f>
        <v>0</v>
      </c>
      <c r="J14" s="177" t="n">
        <f aca="false">IF(T$9="Y",Mar!J44,0)</f>
        <v>0</v>
      </c>
      <c r="K14" s="177" t="n">
        <f aca="false">IF(T$9="Y",Mar!K44,I14*J14)</f>
        <v>0</v>
      </c>
      <c r="L14" s="179" t="n">
        <f aca="false">IF(T$9="Y",Mar!L44,0)</f>
        <v>0</v>
      </c>
      <c r="M14" s="179" t="str">
        <f aca="false">IF(E14=" "," ",IF(T$9="Y",Mar!M44,IF((H14+K14+L14)&gt;0,H14+K14+L14,"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IF(Employee!H$112=E$9,Employee!D$112+SUM(M14)+Mar!V44,SUM(M14)+Mar!V44)</f>
        <v>0</v>
      </c>
      <c r="W14" s="172" t="n">
        <f aca="false">IF(Employee!H$112=E$9,Employee!D$113+SUM(N14)+Mar!W44,SUM(N14)+Mar!W44)</f>
        <v>0</v>
      </c>
      <c r="X14" s="172" t="n">
        <f aca="false">IF(O14=" ",Mar!X44,O14+Mar!X44)</f>
        <v>0</v>
      </c>
      <c r="Y14" s="172" t="n">
        <f aca="false">IF(P14=" ",Mar!Y44,P14+Mar!Y44)</f>
        <v>0</v>
      </c>
      <c r="Z14" s="172" t="n">
        <f aca="false">IF(Q14=" ",Mar!Z44,Q14+Mar!Z44)</f>
        <v>0</v>
      </c>
      <c r="AA14" s="172" t="n">
        <f aca="false">IF(R14=" ",Mar!AA44,R14+Mar!AA44)</f>
        <v>0</v>
      </c>
      <c r="AC14" s="172" t="n">
        <f aca="false">IF(T14=" ",Mar!AC44,T14+Mar!AC44)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IF(T$9="Y",Mar!H45,0)</f>
        <v>0</v>
      </c>
      <c r="I15" s="182" t="n">
        <f aca="false">IF(T$9="Y",Mar!I45,0)</f>
        <v>0</v>
      </c>
      <c r="J15" s="182" t="n">
        <f aca="false">IF(T$9="Y",Mar!J45,0)</f>
        <v>0</v>
      </c>
      <c r="K15" s="182" t="n">
        <f aca="false">IF(T$9="Y",Mar!K45,I15*J15)</f>
        <v>0</v>
      </c>
      <c r="L15" s="183" t="n">
        <f aca="false">IF(T$9="Y",Mar!L45,0)</f>
        <v>0</v>
      </c>
      <c r="M15" s="179" t="str">
        <f aca="false">IF(E15=" "," ",IF(T$9="Y",Mar!M45,IF((H15+K15+L15)&gt;0,H15+K15+L15,"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IF(Employee!H$138=E$9,Employee!D$138+SUM(M15)+Mar!V45,SUM(M15)+Mar!V45)</f>
        <v>0</v>
      </c>
      <c r="W15" s="172" t="n">
        <f aca="false">IF(Employee!H$138=E$9,Employee!D$139+SUM(N15)+Mar!W45,SUM(N15)+Mar!W45)</f>
        <v>0</v>
      </c>
      <c r="X15" s="172" t="n">
        <f aca="false">IF(O15=" ",Mar!X45,O15+Mar!X45)</f>
        <v>0</v>
      </c>
      <c r="Y15" s="172" t="n">
        <f aca="false">IF(P15=" ",Mar!Y45,P15+Mar!Y45)</f>
        <v>0</v>
      </c>
      <c r="Z15" s="172" t="n">
        <f aca="false">IF(Q15=" ",Mar!Z45,Q15+Mar!Z45)</f>
        <v>0</v>
      </c>
      <c r="AA15" s="172" t="n">
        <f aca="false">IF(R15=" ",Mar!AA45,R15+Mar!AA45)</f>
        <v>0</v>
      </c>
      <c r="AC15" s="172" t="n">
        <f aca="false">IF(T15=" ",Mar!AC45,T15+Mar!AC45)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46635</v>
      </c>
      <c r="L19" s="149" t="s">
        <v>85</v>
      </c>
      <c r="M19" s="150" t="n">
        <f aca="false">K19+6</f>
        <v>46641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46642</v>
      </c>
      <c r="L29" s="149" t="s">
        <v>85</v>
      </c>
      <c r="M29" s="150" t="n">
        <f aca="false">K29+6</f>
        <v>46648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46649</v>
      </c>
      <c r="L39" s="149" t="s">
        <v>85</v>
      </c>
      <c r="M39" s="150" t="n">
        <f aca="false">K39+6</f>
        <v>46655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46656</v>
      </c>
      <c r="L49" s="149" t="s">
        <v>85</v>
      </c>
      <c r="M49" s="150" t="n">
        <f aca="false">K49+6</f>
        <v>46662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DATE(2027,4,1)</f>
        <v>46478</v>
      </c>
      <c r="L59" s="149" t="s">
        <v>85</v>
      </c>
      <c r="M59" s="150" t="n">
        <v>46507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IF(T$59="Y",Mar!H51,0)</f>
        <v>0</v>
      </c>
      <c r="I61" s="168" t="n">
        <f aca="false">IF(T$59="Y",Mar!I51,0)</f>
        <v>0</v>
      </c>
      <c r="J61" s="168" t="n">
        <f aca="false">IF(T$59="Y",Mar!J51,0)</f>
        <v>0</v>
      </c>
      <c r="K61" s="168" t="n">
        <f aca="false">IF(T$59="Y",Mar!K51,I61*J61)</f>
        <v>0</v>
      </c>
      <c r="L61" s="166" t="n">
        <f aca="false">IF(T$59="Y",Mar!L51,0)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118</v>
      </c>
      <c r="T61" s="170" t="n">
        <v>382.5</v>
      </c>
      <c r="U61" s="171"/>
      <c r="V61" s="172" t="n">
        <f aca="false">IF(Employee!H$35=E$59,Employee!D$34+SUM(M61)+Mar!V51,SUM(M61)+Mar!V51)</f>
        <v>21000</v>
      </c>
      <c r="W61" s="172" t="n">
        <f aca="false">IF(Employee!H$35=E$59,Employee!D$35+SUM(N61)+Mar!W51,SUM(N61)+Mar!W51)</f>
        <v>3180</v>
      </c>
      <c r="X61" s="172" t="n">
        <f aca="false">IF(O61=" ",Mar!X51,O61+Mar!X51)</f>
        <v>1200</v>
      </c>
      <c r="Y61" s="172" t="n">
        <f aca="false">IF(P61=" ",Mar!Y51,P61+Mar!Y51)</f>
        <v>0</v>
      </c>
      <c r="Z61" s="172" t="n">
        <f aca="false">IF(Q61=" ",Mar!Z51,Q61+Mar!Z51)</f>
        <v>0</v>
      </c>
      <c r="AA61" s="172" t="n">
        <f aca="false">IF(R61=" ",Mar!AA51,R61+Mar!AA51)</f>
        <v>16620</v>
      </c>
      <c r="AC61" s="172" t="n">
        <f aca="false">IF(T61=" ",Mar!AC51,T61+Mar!AC51)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IF(T$59="Y",Mar!H52,0)</f>
        <v>0</v>
      </c>
      <c r="I62" s="177" t="n">
        <f aca="false">IF(T$59="Y",Mar!I52,0)</f>
        <v>0</v>
      </c>
      <c r="J62" s="177" t="n">
        <f aca="false">IF(T$59="Y",Mar!J52,0)</f>
        <v>0</v>
      </c>
      <c r="K62" s="177" t="n">
        <f aca="false">IF(T$59="Y",Mar!K52,I62*J62)</f>
        <v>0</v>
      </c>
      <c r="L62" s="179" t="n">
        <f aca="false">IF(T$59="Y",Mar!L52,0)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119</v>
      </c>
      <c r="T62" s="180" t="n">
        <v>187.5</v>
      </c>
      <c r="U62" s="171"/>
      <c r="V62" s="172" t="n">
        <f aca="false">IF(Employee!H$61=E$59,Employee!D$60+SUM(M62)+Mar!V52,SUM(M62)+Mar!V52)</f>
        <v>13200</v>
      </c>
      <c r="W62" s="172" t="n">
        <f aca="false">IF(Employee!H$61=E$59,Employee!D$61+SUM(N62)+Mar!W52,SUM(N62)+Mar!W52)</f>
        <v>1620</v>
      </c>
      <c r="X62" s="172" t="n">
        <f aca="false">IF(O62=" ",Mar!X52,O62+Mar!X52)</f>
        <v>576</v>
      </c>
      <c r="Y62" s="172" t="n">
        <f aca="false">IF(P62=" ",Mar!Y52,P62+Mar!Y52)</f>
        <v>0</v>
      </c>
      <c r="Z62" s="172" t="n">
        <f aca="false">IF(Q62=" ",Mar!Z52,Q62+Mar!Z52)</f>
        <v>0</v>
      </c>
      <c r="AA62" s="172" t="n">
        <f aca="false">IF(R62=" ",Mar!AA52,R62+Mar!AA52)</f>
        <v>11004</v>
      </c>
      <c r="AC62" s="172" t="n">
        <f aca="false">IF(T62=" ",Mar!AC52,T62+Mar!AC52)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IF(T$59="Y",Mar!H53,0)</f>
        <v>0</v>
      </c>
      <c r="I63" s="177" t="n">
        <f aca="false">IF(T$59="Y",Mar!I53,0)</f>
        <v>0</v>
      </c>
      <c r="J63" s="177" t="n">
        <f aca="false">IF(T$59="Y",Mar!J53,0)</f>
        <v>0</v>
      </c>
      <c r="K63" s="177" t="n">
        <f aca="false">IF(T$59="Y",Mar!K53,I63*J63)</f>
        <v>0</v>
      </c>
      <c r="L63" s="179" t="n">
        <f aca="false">IF(T$59="Y",Mar!L53,0)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120</v>
      </c>
      <c r="T63" s="180" t="n">
        <v>7.2</v>
      </c>
      <c r="U63" s="171"/>
      <c r="V63" s="172" t="n">
        <f aca="false">IF(Employee!H$87=E$59,Employee!D$86+SUM(M63)+Mar!V53,SUM(M63)+Mar!V53)</f>
        <v>6288</v>
      </c>
      <c r="W63" s="172" t="n">
        <f aca="false">IF(Employee!H$87=E$59,Employee!D$87+SUM(N63)+Mar!W53,SUM(N63)+Mar!W53)</f>
        <v>0</v>
      </c>
      <c r="X63" s="172" t="n">
        <f aca="false">IF(O63=" ",Mar!X53,O63+Mar!X53)</f>
        <v>0</v>
      </c>
      <c r="Y63" s="172" t="n">
        <f aca="false">IF(P63=" ",Mar!Y53,P63+Mar!Y53)</f>
        <v>0</v>
      </c>
      <c r="Z63" s="172" t="n">
        <f aca="false">IF(Q63=" ",Mar!Z53,Q63+Mar!Z53)</f>
        <v>0</v>
      </c>
      <c r="AA63" s="172" t="n">
        <f aca="false">IF(R63=" ",Mar!AA53,R63+Mar!AA53)</f>
        <v>6288</v>
      </c>
      <c r="AC63" s="172" t="n">
        <f aca="false">IF(T63=" ",Mar!AC53,T63+Mar!AC53)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IF(T$59="Y",Mar!H54,0)</f>
        <v>0</v>
      </c>
      <c r="I64" s="177" t="n">
        <f aca="false">IF(T$59="Y",Mar!I54,0)</f>
        <v>0</v>
      </c>
      <c r="J64" s="177" t="n">
        <f aca="false">IF(T$59="Y",Mar!J54,0)</f>
        <v>0</v>
      </c>
      <c r="K64" s="177" t="n">
        <f aca="false">IF(T$59="Y",Mar!K54,I64*J64)</f>
        <v>0</v>
      </c>
      <c r="L64" s="179" t="n">
        <f aca="false">IF(T$59="Y",Mar!L54,0)</f>
        <v>0</v>
      </c>
      <c r="M64" s="180" t="str">
        <f aca="false">IF(E64=" "," ",IF(T$59="Y",Mar!M54,IF((H64+K64+L64)&gt;0,H64+K64+L64,"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IF(Employee!H$113=E$59,Employee!D$112+SUM(M64)+Mar!V54,SUM(M64)+Mar!V54)</f>
        <v>0</v>
      </c>
      <c r="W64" s="172" t="n">
        <f aca="false">IF(Employee!H$113=E$59,Employee!D$113+SUM(N64)+Mar!W54,SUM(N64)+Mar!W54)</f>
        <v>0</v>
      </c>
      <c r="X64" s="172" t="n">
        <f aca="false">IF(O64=" ",Mar!X54,O64+Mar!X54)</f>
        <v>0</v>
      </c>
      <c r="Y64" s="172" t="n">
        <f aca="false">IF(P64=" ",Mar!Y54,P64+Mar!Y54)</f>
        <v>0</v>
      </c>
      <c r="Z64" s="172" t="n">
        <f aca="false">IF(Q64=" ",Mar!Z54,Q64+Mar!Z54)</f>
        <v>0</v>
      </c>
      <c r="AA64" s="172" t="n">
        <f aca="false">IF(R64=" ",Mar!AA54,R64+Mar!AA54)</f>
        <v>0</v>
      </c>
      <c r="AC64" s="172" t="n">
        <f aca="false">IF(T64=" ",Mar!AC54,T64+Mar!AC54)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IF(T$59="Y",Mar!H55,0)</f>
        <v>0</v>
      </c>
      <c r="I65" s="182" t="n">
        <f aca="false">IF(T$59="Y",Mar!I55,0)</f>
        <v>0</v>
      </c>
      <c r="J65" s="182" t="n">
        <f aca="false">IF(T$59="Y",Mar!J55,0)</f>
        <v>0</v>
      </c>
      <c r="K65" s="182" t="n">
        <f aca="false">IF(T$59="Y",Mar!K55,I65*J65)</f>
        <v>0</v>
      </c>
      <c r="L65" s="183" t="n">
        <f aca="false">IF(T$59="Y",Mar!L55,0)</f>
        <v>0</v>
      </c>
      <c r="M65" s="180" t="str">
        <f aca="false">IF(E65=" "," ",IF(T$59="Y",Mar!M55,IF((H65+K65+L65)&gt;0,H65+K65+L65,"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IF(Employee!H$139=E$59,Employee!D$138+SUM(M65)+Mar!V55,SUM(M65)+Mar!V55)</f>
        <v>0</v>
      </c>
      <c r="W65" s="172" t="n">
        <f aca="false">IF(Employee!H$139=E$59,Employee!D$139+SUM(N65)+Mar!W55,SUM(N65)+Mar!W55)</f>
        <v>0</v>
      </c>
      <c r="X65" s="172" t="n">
        <f aca="false">IF(O65=" ",Mar!X55,O65+Mar!X55)</f>
        <v>0</v>
      </c>
      <c r="Y65" s="172" t="n">
        <f aca="false">IF(P65=" ",Mar!Y55,P65+Mar!Y55)</f>
        <v>0</v>
      </c>
      <c r="Z65" s="172" t="n">
        <f aca="false">IF(Q65=" ",Mar!Z55,Q65+Mar!Z55)</f>
        <v>0</v>
      </c>
      <c r="AA65" s="172" t="n">
        <f aca="false">IF(R65=" ",Mar!AA55,R65+Mar!AA55)</f>
        <v>0</v>
      </c>
      <c r="AC65" s="172" t="n">
        <f aca="false">IF(T65=" ",Mar!AC55,T65+Mar!AC55)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AD70+Mar!AD65</f>
        <v>0</v>
      </c>
      <c r="AE75" s="240" t="n">
        <f aca="false">AE70+Mar!AE65</f>
        <v>0</v>
      </c>
      <c r="AF75" s="240" t="n">
        <f aca="false">AF70+Mar!AF65</f>
        <v>0</v>
      </c>
      <c r="AG75" s="240" t="n">
        <f aca="false">AG70+Mar!AG65</f>
        <v>0</v>
      </c>
    </row>
    <row r="77" customFormat="false" ht="12.75" hidden="false" customHeight="false" outlineLevel="0" collapsed="false">
      <c r="AD77" s="233"/>
      <c r="AE77" s="240" t="n">
        <f aca="false">AE72+Mar!AE67</f>
        <v>0</v>
      </c>
      <c r="AF77" s="240" t="n">
        <f aca="false">AF72+Mar!AF67</f>
        <v>0</v>
      </c>
      <c r="AG77" s="240" t="n">
        <f aca="false">AG72+Mar!AG67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46663</v>
      </c>
      <c r="L9" s="149" t="s">
        <v>85</v>
      </c>
      <c r="M9" s="150" t="n">
        <f aca="false">Admin!B188</f>
        <v>46669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IF(T$9="Y",Apr!H51,0)</f>
        <v>0</v>
      </c>
      <c r="I11" s="168" t="n">
        <f aca="false">IF(T$9="Y",Apr!I51,0)</f>
        <v>0</v>
      </c>
      <c r="J11" s="168" t="n">
        <f aca="false">IF(T$9="Y",Apr!J51,0)</f>
        <v>0</v>
      </c>
      <c r="K11" s="168" t="n">
        <f aca="false">IF(T$9="Y",Apr!K51,I11*J11)</f>
        <v>0</v>
      </c>
      <c r="L11" s="166" t="n">
        <f aca="false">IF(T$9="Y",Apr!L51,0)</f>
        <v>0</v>
      </c>
      <c r="M11" s="170" t="str">
        <f aca="false">IF(E11=" "," ",IF(T$9="Y",Apr!M51,IF((H11+K11+L11)&gt;0,H11+K11+L11,"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IF(Employee!H$34=E$9,Employee!D$34+SUM(M11)+Apr!V51,SUM(M11)+Apr!V51)</f>
        <v>0</v>
      </c>
      <c r="W11" s="172" t="n">
        <f aca="false">IF(Employee!H$34=E$9,Employee!D$35+SUM(N11)+Apr!W51,SUM(N11)+Apr!W51)</f>
        <v>0</v>
      </c>
      <c r="X11" s="172" t="n">
        <f aca="false">IF(O11=" ",Apr!X51,O11+Apr!X51)</f>
        <v>0</v>
      </c>
      <c r="Y11" s="172" t="n">
        <f aca="false">IF(P11=" ",Apr!Y51,P11+Apr!Y51)</f>
        <v>0</v>
      </c>
      <c r="Z11" s="172" t="n">
        <f aca="false">IF(Q11=" ",Apr!Z51,Q11+Apr!Z51)</f>
        <v>0</v>
      </c>
      <c r="AA11" s="172" t="n">
        <f aca="false">IF(R11=" ",Apr!AA51,R11+Apr!AA51)</f>
        <v>0</v>
      </c>
      <c r="AC11" s="172" t="n">
        <f aca="false">IF(T11=" ",Apr!AC51,T11+Apr!AC51)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IF(T$9="Y",Apr!H52,0)</f>
        <v>0</v>
      </c>
      <c r="I12" s="177" t="n">
        <f aca="false">IF(T$9="Y",Apr!I52,0)</f>
        <v>0</v>
      </c>
      <c r="J12" s="177" t="n">
        <f aca="false">IF(T$9="Y",Apr!J52,0)</f>
        <v>0</v>
      </c>
      <c r="K12" s="177" t="n">
        <f aca="false">IF(T$9="Y",Apr!K52,I12*J12)</f>
        <v>0</v>
      </c>
      <c r="L12" s="179" t="n">
        <f aca="false">IF(T$9="Y",Apr!L52,0)</f>
        <v>0</v>
      </c>
      <c r="M12" s="180" t="str">
        <f aca="false">IF(E12=" "," ",IF(T$9="Y",Apr!M52,IF((H12+K12+L12)&gt;0,H12+K12+L12,"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IF(Employee!H$60=E$9,Employee!D$60+SUM(M12)+Apr!V52,SUM(M12)+Apr!V52)</f>
        <v>0</v>
      </c>
      <c r="W12" s="172" t="n">
        <f aca="false">IF(Employee!H$60=E$9,Employee!D$61+SUM(N12)+Apr!W52,SUM(N12)+Apr!W52)</f>
        <v>0</v>
      </c>
      <c r="X12" s="172" t="n">
        <f aca="false">IF(O12=" ",Apr!X52,O12+Apr!X52)</f>
        <v>0</v>
      </c>
      <c r="Y12" s="172" t="n">
        <f aca="false">IF(P12=" ",Apr!Y52,P12+Apr!Y52)</f>
        <v>0</v>
      </c>
      <c r="Z12" s="172" t="n">
        <f aca="false">IF(Q12=" ",Apr!Z52,Q12+Apr!Z52)</f>
        <v>0</v>
      </c>
      <c r="AA12" s="172" t="n">
        <f aca="false">IF(R12=" ",Apr!AA52,R12+Apr!AA52)</f>
        <v>0</v>
      </c>
      <c r="AC12" s="172" t="n">
        <f aca="false">IF(T12=" ",Apr!AC52,T12+Apr!AC52)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IF(T$9="Y",Apr!H53,0)</f>
        <v>0</v>
      </c>
      <c r="I13" s="177" t="n">
        <f aca="false">IF(T$9="Y",Apr!I53,0)</f>
        <v>0</v>
      </c>
      <c r="J13" s="177" t="n">
        <f aca="false">IF(T$9="Y",Apr!J53,0)</f>
        <v>0</v>
      </c>
      <c r="K13" s="177" t="n">
        <f aca="false">IF(T$9="Y",Apr!K53,I13*J13)</f>
        <v>0</v>
      </c>
      <c r="L13" s="179" t="n">
        <f aca="false">IF(T$9="Y",Apr!L53,0)</f>
        <v>0</v>
      </c>
      <c r="M13" s="180" t="str">
        <f aca="false">IF(E13=" "," ",IF(T$9="Y",Apr!M53,IF((H13+K13+L13)&gt;0,H13+K13+L13,"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IF(Employee!H$86=E$9,Employee!D$86+SUM(M13)+Apr!V53,SUM(M13)+Apr!V53)</f>
        <v>0</v>
      </c>
      <c r="W13" s="172" t="n">
        <f aca="false">IF(Employee!H$86=E$9,Employee!D$87+SUM(N13)+Apr!W53,SUM(N13)+Apr!W53)</f>
        <v>0</v>
      </c>
      <c r="X13" s="172" t="n">
        <f aca="false">IF(O13=" ",Apr!X53,O13+Apr!X53)</f>
        <v>0</v>
      </c>
      <c r="Y13" s="172" t="n">
        <f aca="false">IF(P13=" ",Apr!Y53,P13+Apr!Y53)</f>
        <v>0</v>
      </c>
      <c r="Z13" s="172" t="n">
        <f aca="false">IF(Q13=" ",Apr!Z53,Q13+Apr!Z53)</f>
        <v>0</v>
      </c>
      <c r="AA13" s="172" t="n">
        <f aca="false">IF(R13=" ",Apr!AA53,R13+Apr!AA53)</f>
        <v>0</v>
      </c>
      <c r="AC13" s="172" t="n">
        <f aca="false">IF(T13=" ",Apr!AC53,T13+Apr!AC53)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IF(T$9="Y",Apr!H54,0)</f>
        <v>0</v>
      </c>
      <c r="I14" s="177" t="n">
        <f aca="false">IF(T$9="Y",Apr!I54,0)</f>
        <v>0</v>
      </c>
      <c r="J14" s="177" t="n">
        <f aca="false">IF(T$9="Y",Apr!J54,0)</f>
        <v>0</v>
      </c>
      <c r="K14" s="177" t="n">
        <f aca="false">IF(T$9="Y",Apr!K54,I14*J14)</f>
        <v>0</v>
      </c>
      <c r="L14" s="179" t="n">
        <f aca="false">IF(T$9="Y",Apr!L54,0)</f>
        <v>0</v>
      </c>
      <c r="M14" s="180" t="str">
        <f aca="false">IF(E14=" "," ",IF(T$9="Y",Apr!M54,IF((H14+K14+L14)&gt;0,H14+K14+L14,"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IF(Employee!H$112=E$9,Employee!D$112+SUM(M14)+Apr!V54,SUM(M14)+Apr!V54)</f>
        <v>0</v>
      </c>
      <c r="W14" s="172" t="n">
        <f aca="false">IF(Employee!H$112=E$9,Employee!D$113+SUM(N14)+Apr!W54,SUM(N14)+Apr!W54)</f>
        <v>0</v>
      </c>
      <c r="X14" s="172" t="n">
        <f aca="false">IF(O14=" ",Apr!X54,O14+Apr!X54)</f>
        <v>0</v>
      </c>
      <c r="Y14" s="172" t="n">
        <f aca="false">IF(P14=" ",Apr!Y54,P14+Apr!Y54)</f>
        <v>0</v>
      </c>
      <c r="Z14" s="172" t="n">
        <f aca="false">IF(Q14=" ",Apr!Z54,Q14+Apr!Z54)</f>
        <v>0</v>
      </c>
      <c r="AA14" s="172" t="n">
        <f aca="false">IF(R14=" ",Apr!AA54,R14+Apr!AA54)</f>
        <v>0</v>
      </c>
      <c r="AC14" s="172" t="n">
        <f aca="false">IF(T14=" ",Apr!AC54,T14+Apr!AC54)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IF(T$9="Y",Apr!H55,0)</f>
        <v>0</v>
      </c>
      <c r="I15" s="182" t="n">
        <f aca="false">IF(T$9="Y",Apr!I55,0)</f>
        <v>0</v>
      </c>
      <c r="J15" s="182" t="n">
        <f aca="false">IF(T$9="Y",Apr!J55,0)</f>
        <v>0</v>
      </c>
      <c r="K15" s="182" t="n">
        <f aca="false">IF(T$9="Y",Apr!K55,I15*J15)</f>
        <v>0</v>
      </c>
      <c r="L15" s="183" t="n">
        <f aca="false">IF(T$9="Y",Apr!L55,0)</f>
        <v>0</v>
      </c>
      <c r="M15" s="184" t="str">
        <f aca="false">IF(E15=" "," ",IF(T$9="Y",Apr!M55,IF((H15+K15+L15)&gt;0,H15+K15+L15,"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IF(Employee!H$138=E$9,Employee!D$138+SUM(M15)+Apr!V55,SUM(M15)+Apr!V55)</f>
        <v>0</v>
      </c>
      <c r="W15" s="172" t="n">
        <f aca="false">IF(Employee!H$138=E$9,Employee!D$139+SUM(N15)+Apr!W55,SUM(N15)+Apr!W55)</f>
        <v>0</v>
      </c>
      <c r="X15" s="172" t="n">
        <f aca="false">IF(O15=" ",Apr!X55,O15+Apr!X55)</f>
        <v>0</v>
      </c>
      <c r="Y15" s="172" t="n">
        <f aca="false">IF(P15=" ",Apr!Y55,P15+Apr!Y55)</f>
        <v>0</v>
      </c>
      <c r="Z15" s="172" t="n">
        <f aca="false">IF(Q15=" ",Apr!Z55,Q15+Apr!Z55)</f>
        <v>0</v>
      </c>
      <c r="AA15" s="172" t="n">
        <f aca="false">IF(R15=" ",Apr!AA55,R15+Apr!AA55)</f>
        <v>0</v>
      </c>
      <c r="AC15" s="172" t="n">
        <f aca="false">IF(T15=" ",Apr!AC55,T15+Apr!AC55)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46670</v>
      </c>
      <c r="L19" s="149" t="s">
        <v>85</v>
      </c>
      <c r="M19" s="150" t="n">
        <f aca="false">K19+6</f>
        <v>46676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46677</v>
      </c>
      <c r="L29" s="149" t="s">
        <v>85</v>
      </c>
      <c r="M29" s="150" t="n">
        <f aca="false">K29+6</f>
        <v>46683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46684</v>
      </c>
      <c r="L39" s="149" t="s">
        <v>85</v>
      </c>
      <c r="M39" s="150" t="n">
        <f aca="false">K39+6</f>
        <v>46690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DATE(2027,5,1)</f>
        <v>46508</v>
      </c>
      <c r="L49" s="149" t="s">
        <v>85</v>
      </c>
      <c r="M49" s="150" t="n">
        <v>46538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IF(T$49="Y",Apr!H61,0)</f>
        <v>0</v>
      </c>
      <c r="I51" s="168" t="n">
        <f aca="false">IF(T$49="Y",Apr!I61,0)</f>
        <v>0</v>
      </c>
      <c r="J51" s="168" t="n">
        <f aca="false">IF(T$49="Y",Apr!J61,0)</f>
        <v>0</v>
      </c>
      <c r="K51" s="168" t="n">
        <f aca="false">IF(T$49="Y",Apr!K61,I51*J51)</f>
        <v>0</v>
      </c>
      <c r="L51" s="166" t="n">
        <f aca="false">IF(T$49="Y",Apr!L61,0)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121</v>
      </c>
      <c r="T51" s="170" t="n">
        <v>382.5</v>
      </c>
      <c r="U51" s="171"/>
      <c r="V51" s="172" t="n">
        <f aca="false">IF(Employee!H$35=E$49,Employee!D$34+SUM(M51)+Apr!V61,SUM(M51)+Apr!V61)</f>
        <v>24500</v>
      </c>
      <c r="W51" s="172" t="n">
        <f aca="false">IF(Employee!H$35=E$49,Employee!D$35+SUM(N51)+Apr!W61,SUM(N51)+Apr!W61)</f>
        <v>3710</v>
      </c>
      <c r="X51" s="172" t="n">
        <f aca="false">IF(O51=" ",Apr!X61,O51+Apr!X61)</f>
        <v>1400</v>
      </c>
      <c r="Y51" s="172" t="n">
        <f aca="false">IF(P51=" ",Apr!Y61,P51+Apr!Y61)</f>
        <v>0</v>
      </c>
      <c r="Z51" s="172" t="n">
        <f aca="false">IF(Q51=" ",Apr!Z61,Q51+Apr!Z61)</f>
        <v>0</v>
      </c>
      <c r="AA51" s="172" t="n">
        <f aca="false">IF(R51=" ",Apr!AA61,R51+Apr!AA61)</f>
        <v>19390</v>
      </c>
      <c r="AC51" s="172" t="n">
        <f aca="false">IF(T51=" ",Apr!AC61,T51+Apr!AC61)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IF(T$49="Y",Apr!H62,0)</f>
        <v>0</v>
      </c>
      <c r="I52" s="177" t="n">
        <f aca="false">IF(T$49="Y",Apr!I62,0)</f>
        <v>0</v>
      </c>
      <c r="J52" s="177" t="n">
        <f aca="false">IF(T$49="Y",Apr!J62,0)</f>
        <v>0</v>
      </c>
      <c r="K52" s="177" t="n">
        <f aca="false">IF(T$49="Y",Apr!K62,I52*J52)</f>
        <v>0</v>
      </c>
      <c r="L52" s="179" t="n">
        <f aca="false">IF(T$49="Y",Apr!L62,0)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122</v>
      </c>
      <c r="T52" s="180" t="n">
        <v>187.5</v>
      </c>
      <c r="U52" s="171"/>
      <c r="V52" s="172" t="n">
        <f aca="false">IF(Employee!H$61=E$49,Employee!D$60+SUM(M52)+Apr!V62,SUM(M52)+Apr!V62)</f>
        <v>15400</v>
      </c>
      <c r="W52" s="172" t="n">
        <f aca="false">IF(Employee!H$61=E$49,Employee!D$61+SUM(N52)+Apr!W62,SUM(N52)+Apr!W62)</f>
        <v>1890</v>
      </c>
      <c r="X52" s="172" t="n">
        <f aca="false">IF(O52=" ",Apr!X62,O52+Apr!X62)</f>
        <v>672</v>
      </c>
      <c r="Y52" s="172" t="n">
        <f aca="false">IF(P52=" ",Apr!Y62,P52+Apr!Y62)</f>
        <v>0</v>
      </c>
      <c r="Z52" s="172" t="n">
        <f aca="false">IF(Q52=" ",Apr!Z62,Q52+Apr!Z62)</f>
        <v>0</v>
      </c>
      <c r="AA52" s="172" t="n">
        <f aca="false">IF(R52=" ",Apr!AA62,R52+Apr!AA62)</f>
        <v>12838</v>
      </c>
      <c r="AC52" s="172" t="n">
        <f aca="false">IF(T52=" ",Apr!AC62,T52+Apr!AC62)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IF(T$49="Y",Apr!H63,0)</f>
        <v>0</v>
      </c>
      <c r="I53" s="177" t="n">
        <f aca="false">IF(T$49="Y",Apr!I63,0)</f>
        <v>0</v>
      </c>
      <c r="J53" s="177" t="n">
        <f aca="false">IF(T$49="Y",Apr!J63,0)</f>
        <v>0</v>
      </c>
      <c r="K53" s="177" t="n">
        <f aca="false">IF(T$49="Y",Apr!K63,I53*J53)</f>
        <v>0</v>
      </c>
      <c r="L53" s="179" t="n">
        <f aca="false">IF(T$49="Y",Apr!L63,0)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123</v>
      </c>
      <c r="T53" s="180" t="n">
        <v>7.2</v>
      </c>
      <c r="U53" s="171"/>
      <c r="V53" s="172" t="n">
        <f aca="false">IF(Employee!H$87=E$49,Employee!D$86+SUM(M53)+Apr!V63,SUM(M53)+Apr!V63)</f>
        <v>7336</v>
      </c>
      <c r="W53" s="172" t="n">
        <f aca="false">IF(Employee!H$87=E$49,Employee!D$87+SUM(N53)+Apr!W63,SUM(N53)+Apr!W63)</f>
        <v>0</v>
      </c>
      <c r="X53" s="172" t="n">
        <f aca="false">IF(O53=" ",Apr!X63,O53+Apr!X63)</f>
        <v>0</v>
      </c>
      <c r="Y53" s="172" t="n">
        <f aca="false">IF(P53=" ",Apr!Y63,P53+Apr!Y63)</f>
        <v>0</v>
      </c>
      <c r="Z53" s="172" t="n">
        <f aca="false">IF(Q53=" ",Apr!Z63,Q53+Apr!Z63)</f>
        <v>0</v>
      </c>
      <c r="AA53" s="172" t="n">
        <f aca="false">IF(R53=" ",Apr!AA63,R53+Apr!AA63)</f>
        <v>7336</v>
      </c>
      <c r="AC53" s="172" t="n">
        <f aca="false">IF(T53=" ",Apr!AC63,T53+Apr!AC63)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IF(T$49="Y",Apr!H64,0)</f>
        <v>0</v>
      </c>
      <c r="I54" s="177" t="n">
        <f aca="false">IF(T$49="Y",Apr!I64,0)</f>
        <v>0</v>
      </c>
      <c r="J54" s="177" t="n">
        <f aca="false">IF(T$49="Y",Apr!J64,0)</f>
        <v>0</v>
      </c>
      <c r="K54" s="177" t="n">
        <f aca="false">IF(T$49="Y",Apr!K64,I54*J54)</f>
        <v>0</v>
      </c>
      <c r="L54" s="179" t="n">
        <f aca="false">IF(T$49="Y",Apr!L64,0)</f>
        <v>0</v>
      </c>
      <c r="M54" s="180" t="str">
        <f aca="false">IF(E54=" "," ",IF(T$49="Y",Apr!M64,IF((H54+K54+L54)&gt;0,H54+K54+L54,"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IF(Employee!H$113=E$49,Employee!D$112+SUM(M54)+Apr!V64,SUM(M54)+Apr!V64)</f>
        <v>0</v>
      </c>
      <c r="W54" s="172" t="n">
        <f aca="false">IF(Employee!H$113=E$49,Employee!D$113+SUM(N54)+Apr!W64,SUM(N54)+Apr!W64)</f>
        <v>0</v>
      </c>
      <c r="X54" s="172" t="n">
        <f aca="false">IF(O54=" ",Apr!X64,O54+Apr!X64)</f>
        <v>0</v>
      </c>
      <c r="Y54" s="172" t="n">
        <f aca="false">IF(P54=" ",Apr!Y64,P54+Apr!Y64)</f>
        <v>0</v>
      </c>
      <c r="Z54" s="172" t="n">
        <f aca="false">IF(Q54=" ",Apr!Z64,Q54+Apr!Z64)</f>
        <v>0</v>
      </c>
      <c r="AA54" s="172" t="n">
        <f aca="false">IF(R54=" ",Apr!AA64,R54+Apr!AA64)</f>
        <v>0</v>
      </c>
      <c r="AC54" s="172" t="n">
        <f aca="false">IF(T54=" ",Apr!AC64,T54+Apr!AC64)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IF(T$49="Y",Apr!H65,0)</f>
        <v>0</v>
      </c>
      <c r="I55" s="182" t="n">
        <f aca="false">IF(T$49="Y",Apr!I65,0)</f>
        <v>0</v>
      </c>
      <c r="J55" s="182" t="n">
        <f aca="false">IF(T$49="Y",Apr!J65,0)</f>
        <v>0</v>
      </c>
      <c r="K55" s="182" t="n">
        <f aca="false">IF(T$49="Y",Apr!K65,I55*J55)</f>
        <v>0</v>
      </c>
      <c r="L55" s="183" t="n">
        <f aca="false">IF(T$49="Y",Apr!L65,0)</f>
        <v>0</v>
      </c>
      <c r="M55" s="180" t="str">
        <f aca="false">IF(E55=" "," ",IF(T$49="Y",Apr!M65,IF((H55+K55+L55)&gt;0,H55+K55+L55,"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IF(Employee!H$139=E$49,Employee!D$138+SUM(M55)+Apr!V65,SUM(M55)+Apr!V65)</f>
        <v>0</v>
      </c>
      <c r="W55" s="172" t="n">
        <f aca="false">IF(Employee!H$139=E$49,Employee!D$139+SUM(N55)+Apr!W65,SUM(N55)+Apr!W65)</f>
        <v>0</v>
      </c>
      <c r="X55" s="172" t="n">
        <f aca="false">IF(O55=" ",Apr!X65,O55+Apr!X65)</f>
        <v>0</v>
      </c>
      <c r="Y55" s="172" t="n">
        <f aca="false">IF(P55=" ",Apr!Y65,P55+Apr!Y65)</f>
        <v>0</v>
      </c>
      <c r="Z55" s="172" t="n">
        <f aca="false">IF(Q55=" ",Apr!Z65,Q55+Apr!Z65)</f>
        <v>0</v>
      </c>
      <c r="AA55" s="172" t="n">
        <f aca="false">IF(R55=" ",Apr!AA65,R55+Apr!AA65)</f>
        <v>0</v>
      </c>
      <c r="AC55" s="172" t="n">
        <f aca="false">IF(T55=" ",Apr!AC65,T55+Apr!AC65)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AD60+Apr!AD75</f>
        <v>0</v>
      </c>
      <c r="AE65" s="240" t="n">
        <f aca="false">AE60+Apr!AE75</f>
        <v>0</v>
      </c>
      <c r="AF65" s="240" t="n">
        <f aca="false">AF60+Apr!AF75</f>
        <v>0</v>
      </c>
      <c r="AG65" s="240" t="n">
        <f aca="false">AG60+Apr!AG75</f>
        <v>0</v>
      </c>
    </row>
    <row r="67" customFormat="false" ht="12.75" hidden="false" customHeight="false" outlineLevel="0" collapsed="false">
      <c r="AD67" s="233"/>
      <c r="AE67" s="240" t="n">
        <f aca="false">AE62+Apr!AE77</f>
        <v>0</v>
      </c>
      <c r="AF67" s="240" t="n">
        <f aca="false">AF62+Apr!AF77</f>
        <v>0</v>
      </c>
      <c r="AG67" s="240" t="n">
        <f aca="false">AG62+Apr!AG77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46691</v>
      </c>
      <c r="L9" s="149" t="s">
        <v>85</v>
      </c>
      <c r="M9" s="150" t="n">
        <f aca="false">K9+6</f>
        <v>46697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70" t="str">
        <f aca="false">IF(E11=" "," ",IF(T$9="Y",May!M41,IF((H11+K11+L11)&gt;0,H11+K11+L11,"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80" t="str">
        <f aca="false">IF(E12=" "," ",IF(T$9="Y",May!M42,IF((H12+K12+L12)&gt;0,H12+K12+L12,"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80" t="str">
        <f aca="false">IF(E13=" "," ",IF(T$9="Y",May!M43,IF((H13+K13+L13)&gt;0,H13+K13+L13,"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80" t="str">
        <f aca="false">IF(E14=" "," ",IF(T$9="Y",May!M44,IF((H14+K14+L14)&gt;0,H14+K14+L14,"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84" t="str">
        <f aca="false">IF(E15=" "," ",IF(T$9="Y",May!M45,IF((H15+K15+L15)&gt;0,H15+K15+L15,"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46698</v>
      </c>
      <c r="L19" s="149" t="s">
        <v>85</v>
      </c>
      <c r="M19" s="150" t="n">
        <f aca="false">K19+6</f>
        <v>46704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46705</v>
      </c>
      <c r="L29" s="149" t="s">
        <v>85</v>
      </c>
      <c r="M29" s="150" t="n">
        <f aca="false">K29+6</f>
        <v>46711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46712</v>
      </c>
      <c r="L39" s="149" t="s">
        <v>85</v>
      </c>
      <c r="M39" s="150" t="n">
        <f aca="false">K39+6</f>
        <v>46718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DATE(2027,6,1)</f>
        <v>46539</v>
      </c>
      <c r="L49" s="149" t="s">
        <v>85</v>
      </c>
      <c r="M49" s="150" t="n">
        <v>46568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IF(T$49="Y",May!H51,0)</f>
        <v>0</v>
      </c>
      <c r="I51" s="168" t="n">
        <f aca="false">IF(T$49="Y",May!I51,0)</f>
        <v>0</v>
      </c>
      <c r="J51" s="168" t="n">
        <f aca="false">IF(T$49="Y",May!J51,0)</f>
        <v>0</v>
      </c>
      <c r="K51" s="168" t="n">
        <f aca="false">IF(T$49="Y",May!K51,I51*J51)</f>
        <v>0</v>
      </c>
      <c r="L51" s="166" t="n">
        <f aca="false">IF(T$49="Y",May!L51,0)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124</v>
      </c>
      <c r="T51" s="170" t="n">
        <v>382.5</v>
      </c>
      <c r="U51" s="171"/>
      <c r="V51" s="172" t="n">
        <f aca="false">IF(Employee!H$35=E$49,Employee!D$34+SUM(M51)+May!V51,SUM(M51)+May!V51)</f>
        <v>28000</v>
      </c>
      <c r="W51" s="172" t="n">
        <f aca="false">IF(Employee!H$35=E$49,Employee!D$35+SUM(N51)+May!W51,SUM(N51)+May!W51)</f>
        <v>4240</v>
      </c>
      <c r="X51" s="172" t="n">
        <f aca="false">IF(O51=" ",May!X51,O51+May!X51)</f>
        <v>1600</v>
      </c>
      <c r="Y51" s="172" t="n">
        <f aca="false">IF(P51=" ",May!Y51,P51+May!Y51)</f>
        <v>0</v>
      </c>
      <c r="Z51" s="172" t="n">
        <f aca="false">IF(Q51=" ",May!Z51,Q51+May!Z51)</f>
        <v>0</v>
      </c>
      <c r="AA51" s="172" t="n">
        <f aca="false">IF(R51=" ",May!AA51,R51+May!AA51)</f>
        <v>22160</v>
      </c>
      <c r="AC51" s="172" t="n">
        <f aca="false">IF(T51=" ",May!AC51,T51+May!AC51)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IF(T$49="Y",May!H52,0)</f>
        <v>0</v>
      </c>
      <c r="I52" s="177" t="n">
        <f aca="false">IF(T$49="Y",May!I52,0)</f>
        <v>0</v>
      </c>
      <c r="J52" s="177" t="n">
        <f aca="false">IF(T$49="Y",May!J52,0)</f>
        <v>0</v>
      </c>
      <c r="K52" s="177" t="n">
        <f aca="false">IF(T$49="Y",May!K52,I52*J52)</f>
        <v>0</v>
      </c>
      <c r="L52" s="179" t="n">
        <f aca="false">IF(T$49="Y",May!L52,0)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125</v>
      </c>
      <c r="T52" s="180" t="n">
        <v>187.5</v>
      </c>
      <c r="U52" s="171"/>
      <c r="V52" s="172" t="n">
        <f aca="false">IF(Employee!H$61=E$49,Employee!D$60+SUM(M52)+May!V52,SUM(M52)+May!V52)</f>
        <v>17600</v>
      </c>
      <c r="W52" s="172" t="n">
        <f aca="false">IF(Employee!H$61=E$49,Employee!D$61+SUM(N52)+May!W52,SUM(N52)+May!W52)</f>
        <v>2160</v>
      </c>
      <c r="X52" s="172" t="n">
        <f aca="false">IF(O52=" ",May!X52,O52+May!X52)</f>
        <v>768</v>
      </c>
      <c r="Y52" s="172" t="n">
        <f aca="false">IF(P52=" ",May!Y52,P52+May!Y52)</f>
        <v>0</v>
      </c>
      <c r="Z52" s="172" t="n">
        <f aca="false">IF(Q52=" ",May!Z52,Q52+May!Z52)</f>
        <v>0</v>
      </c>
      <c r="AA52" s="172" t="n">
        <f aca="false">IF(R52=" ",May!AA52,R52+May!AA52)</f>
        <v>14672</v>
      </c>
      <c r="AC52" s="172" t="n">
        <f aca="false">IF(T52=" ",May!AC52,T52+May!AC52)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IF(T$49="Y",May!H53,0)</f>
        <v>0</v>
      </c>
      <c r="I53" s="177" t="n">
        <f aca="false">IF(T$49="Y",May!I53,0)</f>
        <v>0</v>
      </c>
      <c r="J53" s="177" t="n">
        <f aca="false">IF(T$49="Y",May!J53,0)</f>
        <v>0</v>
      </c>
      <c r="K53" s="177" t="n">
        <f aca="false">IF(T$49="Y",May!K53,I53*J53)</f>
        <v>0</v>
      </c>
      <c r="L53" s="179" t="n">
        <f aca="false">IF(T$49="Y",May!L53,0)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126</v>
      </c>
      <c r="T53" s="180" t="n">
        <v>7.2</v>
      </c>
      <c r="U53" s="171"/>
      <c r="V53" s="172" t="n">
        <f aca="false">IF(Employee!H$87=E$49,Employee!D$86+SUM(M53)+May!V53,SUM(M53)+May!V53)</f>
        <v>8384</v>
      </c>
      <c r="W53" s="172" t="n">
        <f aca="false">IF(Employee!H$87=E$49,Employee!D$87+SUM(N53)+May!W53,SUM(N53)+May!W53)</f>
        <v>0</v>
      </c>
      <c r="X53" s="172" t="n">
        <f aca="false">IF(O53=" ",May!X53,O53+May!X53)</f>
        <v>0</v>
      </c>
      <c r="Y53" s="172" t="n">
        <f aca="false">IF(P53=" ",May!Y53,P53+May!Y53)</f>
        <v>0</v>
      </c>
      <c r="Z53" s="172" t="n">
        <f aca="false">IF(Q53=" ",May!Z53,Q53+May!Z53)</f>
        <v>0</v>
      </c>
      <c r="AA53" s="172" t="n">
        <f aca="false">IF(R53=" ",May!AA53,R53+May!AA53)</f>
        <v>8384</v>
      </c>
      <c r="AC53" s="172" t="n">
        <f aca="false">IF(T53=" ",May!AC53,T53+May!AC53)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IF(T$49="Y",May!H54,0)</f>
        <v>0</v>
      </c>
      <c r="I54" s="177" t="n">
        <f aca="false">IF(T$49="Y",May!I54,0)</f>
        <v>0</v>
      </c>
      <c r="J54" s="177" t="n">
        <f aca="false">IF(T$49="Y",May!J54,0)</f>
        <v>0</v>
      </c>
      <c r="K54" s="177" t="n">
        <f aca="false">IF(T$49="Y",May!K54,I54*J54)</f>
        <v>0</v>
      </c>
      <c r="L54" s="179" t="n">
        <f aca="false">IF(T$49="Y",May!L54,0)</f>
        <v>0</v>
      </c>
      <c r="M54" s="180" t="str">
        <f aca="false">IF(E54=" "," ",IF(T$49="Y",May!M54,IF((H54+K54+L54)&gt;0,H54+K54+L54,"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IF(Employee!H$113=E$49,Employee!D$112+SUM(M54)+May!V54,SUM(M54)+May!V54)</f>
        <v>0</v>
      </c>
      <c r="W54" s="172" t="n">
        <f aca="false">IF(Employee!H$113=E$49,Employee!D$113+SUM(N54)+May!W54,SUM(N54)+May!W54)</f>
        <v>0</v>
      </c>
      <c r="X54" s="172" t="n">
        <f aca="false">IF(O54=" ",May!X54,O54+May!X54)</f>
        <v>0</v>
      </c>
      <c r="Y54" s="172" t="n">
        <f aca="false">IF(P54=" ",May!Y54,P54+May!Y54)</f>
        <v>0</v>
      </c>
      <c r="Z54" s="172" t="n">
        <f aca="false">IF(Q54=" ",May!Z54,Q54+May!Z54)</f>
        <v>0</v>
      </c>
      <c r="AA54" s="172" t="n">
        <f aca="false">IF(R54=" ",May!AA54,R54+May!AA54)</f>
        <v>0</v>
      </c>
      <c r="AC54" s="172" t="n">
        <f aca="false">IF(T54=" ",May!AC54,T54+May!AC54)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IF(T$49="Y",May!H55,0)</f>
        <v>0</v>
      </c>
      <c r="I55" s="182" t="n">
        <f aca="false">IF(T$49="Y",May!I55,0)</f>
        <v>0</v>
      </c>
      <c r="J55" s="182" t="n">
        <f aca="false">IF(T$49="Y",May!J55,0)</f>
        <v>0</v>
      </c>
      <c r="K55" s="182" t="n">
        <f aca="false">IF(T$49="Y",May!K55,I55*J55)</f>
        <v>0</v>
      </c>
      <c r="L55" s="183" t="n">
        <f aca="false">IF(T$49="Y",May!L55,0)</f>
        <v>0</v>
      </c>
      <c r="M55" s="180" t="str">
        <f aca="false">IF(E55=" "," ",IF(T$49="Y",May!M55,IF((H55+K55+L55)&gt;0,H55+K55+L55,"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IF(Employee!H$139=E$49,Employee!D$138+SUM(M55)+May!V55,SUM(M55)+May!V55)</f>
        <v>0</v>
      </c>
      <c r="W55" s="172" t="n">
        <f aca="false">IF(Employee!H$139=E$49,Employee!D$139+SUM(N55)+May!W55,SUM(N55)+May!W55)</f>
        <v>0</v>
      </c>
      <c r="X55" s="172" t="n">
        <f aca="false">IF(O55=" ",May!X55,O55+May!X55)</f>
        <v>0</v>
      </c>
      <c r="Y55" s="172" t="n">
        <f aca="false">IF(P55=" ",May!Y55,P55+May!Y55)</f>
        <v>0</v>
      </c>
      <c r="Z55" s="172" t="n">
        <f aca="false">IF(Q55=" ",May!Z55,Q55+May!Z55)</f>
        <v>0</v>
      </c>
      <c r="AA55" s="172" t="n">
        <f aca="false">IF(R55=" ",May!AA55,R55+May!AA55)</f>
        <v>0</v>
      </c>
      <c r="AC55" s="172" t="n">
        <f aca="false">IF(T55=" ",May!AC55,T55+May!AC55)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AD60+May!AD65</f>
        <v>0</v>
      </c>
      <c r="AE65" s="240" t="n">
        <f aca="false">AE60+May!AE65</f>
        <v>0</v>
      </c>
      <c r="AF65" s="240" t="n">
        <f aca="false">AF60+May!AF65</f>
        <v>0</v>
      </c>
      <c r="AG65" s="240" t="n">
        <f aca="false">AG60+May!AG65</f>
        <v>0</v>
      </c>
    </row>
    <row r="67" customFormat="false" ht="12.75" hidden="false" customHeight="false" outlineLevel="0" collapsed="false">
      <c r="AD67" s="233"/>
      <c r="AE67" s="240" t="n">
        <f aca="false">AE62+May!AE67</f>
        <v>0</v>
      </c>
      <c r="AF67" s="240" t="n">
        <f aca="false">AF62+May!AF67</f>
        <v>0</v>
      </c>
      <c r="AG67" s="240" t="n">
        <f aca="false">AG62+May!AG67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Jun!M39+1</f>
        <v>46719</v>
      </c>
      <c r="L9" s="149" t="s">
        <v>85</v>
      </c>
      <c r="M9" s="150" t="n">
        <f aca="false">K9+6</f>
        <v>46725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6" t="n">
        <f aca="false">IF(T$9="Y",Jun!L41,0)</f>
        <v>0</v>
      </c>
      <c r="M11" s="166" t="str">
        <f aca="false">IF(E11=" "," ",IF(T$9="Y",Jun!M41,IF((H11+K11+L11)&gt;0,H11+K11+L11,"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IF(Employee!H$34=E$9,Employee!D$34+SUM(M11)+Jun!V41,SUM(M11)+Jun!V41)</f>
        <v>0</v>
      </c>
      <c r="W11" s="172" t="n">
        <f aca="false">IF(Employee!H$34=E$9,Employee!D$35+SUM(N11)+Jun!W41,SUM(N11)+Jun!W41)</f>
        <v>0</v>
      </c>
      <c r="X11" s="172" t="n">
        <f aca="false">IF(O11=" ",Jun!X41,O11+Jun!X41)</f>
        <v>0</v>
      </c>
      <c r="Y11" s="172" t="n">
        <f aca="false">IF(P11=" ",Jun!Y41,P11+Jun!Y41)</f>
        <v>0</v>
      </c>
      <c r="Z11" s="172" t="n">
        <f aca="false">IF(Q11=" ",Jun!Z41,Q11+Jun!Z41)</f>
        <v>0</v>
      </c>
      <c r="AA11" s="172" t="n">
        <f aca="false">IF(R11=" ",Jun!AA41,R11+Jun!AA41)</f>
        <v>0</v>
      </c>
      <c r="AC11" s="172" t="n">
        <f aca="false">IF(T11=" ",Jun!AC41,T11+Jun!AC41)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9" t="n">
        <f aca="false">IF(T$9="Y",Jun!L42,0)</f>
        <v>0</v>
      </c>
      <c r="M12" s="179" t="str">
        <f aca="false">IF(E12=" "," ",IF(T$9="Y",Jun!M42,IF((H12+K12+L12)&gt;0,H12+K12+L12,"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IF(Employee!H$60=E$9,Employee!D$60+SUM(M12)+Jun!V42,SUM(M12)+Jun!V42)</f>
        <v>0</v>
      </c>
      <c r="W12" s="172" t="n">
        <f aca="false">IF(Employee!H$60=E$9,Employee!D$61+SUM(N12)+Jun!W42,SUM(N12)+Jun!W42)</f>
        <v>0</v>
      </c>
      <c r="X12" s="172" t="n">
        <f aca="false">IF(O12=" ",Jun!X42,O12+Jun!X42)</f>
        <v>0</v>
      </c>
      <c r="Y12" s="172" t="n">
        <f aca="false">IF(P12=" ",Jun!Y42,P12+Jun!Y42)</f>
        <v>0</v>
      </c>
      <c r="Z12" s="172" t="n">
        <f aca="false">IF(Q12=" ",Jun!Z42,Q12+Jun!Z42)</f>
        <v>0</v>
      </c>
      <c r="AA12" s="172" t="n">
        <f aca="false">IF(R12=" ",Jun!AA42,R12+Jun!AA42)</f>
        <v>0</v>
      </c>
      <c r="AC12" s="172" t="n">
        <f aca="false">IF(T12=" ",Jun!AC42,T12+Jun!AC42)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9" t="n">
        <f aca="false">IF(T$9="Y",Jun!L43,0)</f>
        <v>0</v>
      </c>
      <c r="M13" s="179" t="str">
        <f aca="false">IF(E13=" "," ",IF(T$9="Y",Jun!M43,IF((H13+K13+L13)&gt;0,H13+K13+L13,"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IF(Employee!H$86=E$9,Employee!D$86+SUM(M13)+Jun!V43,SUM(M13)+Jun!V43)</f>
        <v>0</v>
      </c>
      <c r="W13" s="172" t="n">
        <f aca="false">IF(Employee!H$86=E$9,Employee!D$87+SUM(N13)+Jun!W43,SUM(N13)+Jun!W43)</f>
        <v>0</v>
      </c>
      <c r="X13" s="172" t="n">
        <f aca="false">IF(O13=" ",Jun!X43,O13+Jun!X43)</f>
        <v>0</v>
      </c>
      <c r="Y13" s="172" t="n">
        <f aca="false">IF(P13=" ",Jun!Y43,P13+Jun!Y43)</f>
        <v>0</v>
      </c>
      <c r="Z13" s="172" t="n">
        <f aca="false">IF(Q13=" ",Jun!Z43,Q13+Jun!Z43)</f>
        <v>0</v>
      </c>
      <c r="AA13" s="172" t="n">
        <f aca="false">IF(R13=" ",Jun!AA43,R13+Jun!AA43)</f>
        <v>0</v>
      </c>
      <c r="AC13" s="172" t="n">
        <f aca="false">IF(T13=" ",Jun!AC43,T13+Jun!AC43)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9" t="n">
        <f aca="false">IF(T$9="Y",Jun!L44,0)</f>
        <v>0</v>
      </c>
      <c r="M14" s="179" t="str">
        <f aca="false">IF(E14=" "," ",IF(T$9="Y",Jun!M44,IF((H14+K14+L14)&gt;0,H14+K14+L14,"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IF(Employee!H$112=E$9,Employee!D$112+SUM(M14)+Jun!V44,SUM(M14)+Jun!V44)</f>
        <v>0</v>
      </c>
      <c r="W14" s="172" t="n">
        <f aca="false">IF(Employee!H$112=E$9,Employee!D$113+SUM(N14)+Jun!W44,SUM(N14)+Jun!W44)</f>
        <v>0</v>
      </c>
      <c r="X14" s="172" t="n">
        <f aca="false">IF(O14=" ",Jun!X44,O14+Jun!X44)</f>
        <v>0</v>
      </c>
      <c r="Y14" s="172" t="n">
        <f aca="false">IF(P14=" ",Jun!Y44,P14+Jun!Y44)</f>
        <v>0</v>
      </c>
      <c r="Z14" s="172" t="n">
        <f aca="false">IF(Q14=" ",Jun!Z44,Q14+Jun!Z44)</f>
        <v>0</v>
      </c>
      <c r="AA14" s="172" t="n">
        <f aca="false">IF(R14=" ",Jun!AA44,R14+Jun!AA44)</f>
        <v>0</v>
      </c>
      <c r="AC14" s="172" t="n">
        <f aca="false">IF(T14=" ",Jun!AC44,T14+Jun!AC44)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3" t="n">
        <f aca="false">IF(T$9="Y",Jun!L45,0)</f>
        <v>0</v>
      </c>
      <c r="M15" s="179" t="str">
        <f aca="false">IF(E15=" "," ",IF(T$9="Y",Jun!M45,IF((H15+K15+L15)&gt;0,H15+K15+L15,"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IF(Employee!H$138=E$9,Employee!D$138+SUM(M15)+Jun!V45,SUM(M15)+Jun!V45)</f>
        <v>0</v>
      </c>
      <c r="W15" s="172" t="n">
        <f aca="false">IF(Employee!H$138=E$9,Employee!D$139+SUM(N15)+Jun!W45,SUM(N15)+Jun!W45)</f>
        <v>0</v>
      </c>
      <c r="X15" s="172" t="n">
        <f aca="false">IF(O15=" ",Jun!X45,O15+Jun!X45)</f>
        <v>0</v>
      </c>
      <c r="Y15" s="172" t="n">
        <f aca="false">IF(P15=" ",Jun!Y45,P15+Jun!Y45)</f>
        <v>0</v>
      </c>
      <c r="Z15" s="172" t="n">
        <f aca="false">IF(Q15=" ",Jun!Z45,Q15+Jun!Z45)</f>
        <v>0</v>
      </c>
      <c r="AA15" s="172" t="n">
        <f aca="false">IF(R15=" ",Jun!AA45,R15+Jun!AA45)</f>
        <v>0</v>
      </c>
      <c r="AC15" s="172" t="n">
        <f aca="false">IF(T15=" ",Jun!AC45,T15+Jun!AC45)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46726</v>
      </c>
      <c r="L19" s="149" t="s">
        <v>85</v>
      </c>
      <c r="M19" s="150" t="n">
        <f aca="false">K19+6</f>
        <v>46732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46733</v>
      </c>
      <c r="L29" s="149" t="s">
        <v>85</v>
      </c>
      <c r="M29" s="150" t="n">
        <f aca="false">K29+6</f>
        <v>46739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46740</v>
      </c>
      <c r="L39" s="149" t="s">
        <v>85</v>
      </c>
      <c r="M39" s="150" t="n">
        <f aca="false">K39+6</f>
        <v>46746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46747</v>
      </c>
      <c r="L49" s="149" t="s">
        <v>85</v>
      </c>
      <c r="M49" s="150" t="n">
        <f aca="false">K49+6</f>
        <v>46753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DATE(2027,7,1)</f>
        <v>46569</v>
      </c>
      <c r="L59" s="149" t="s">
        <v>85</v>
      </c>
      <c r="M59" s="150" t="n">
        <v>46599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IF(T$59="Y",Jun!H51,0)</f>
        <v>0</v>
      </c>
      <c r="I61" s="168" t="n">
        <f aca="false">IF(T$59="Y",Jun!I51,0)</f>
        <v>0</v>
      </c>
      <c r="J61" s="168" t="n">
        <f aca="false">IF(T$59="Y",Jun!J51,0)</f>
        <v>0</v>
      </c>
      <c r="K61" s="168" t="n">
        <f aca="false">IF(T$59="Y",Jun!K51,I61*J61)</f>
        <v>0</v>
      </c>
      <c r="L61" s="166" t="n">
        <f aca="false">IF(T$59="Y",Jun!L51,0)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127</v>
      </c>
      <c r="T61" s="170" t="n">
        <v>382.5</v>
      </c>
      <c r="U61" s="171"/>
      <c r="V61" s="172" t="n">
        <f aca="false">IF(Employee!H$35=E$59,Employee!D$34+SUM(M61)+Jun!V51,SUM(M61)+Jun!V51)</f>
        <v>31500</v>
      </c>
      <c r="W61" s="172" t="n">
        <f aca="false">IF(Employee!H$35=E$59,Employee!D$35+SUM(N61)+Jun!W51,SUM(N61)+Jun!W51)</f>
        <v>4770</v>
      </c>
      <c r="X61" s="172" t="n">
        <f aca="false">IF(O61=" ",Jun!X51,O61+Jun!X51)</f>
        <v>1800</v>
      </c>
      <c r="Y61" s="172" t="n">
        <f aca="false">IF(P61=" ",Jun!Y51,P61+Jun!Y51)</f>
        <v>0</v>
      </c>
      <c r="Z61" s="172" t="n">
        <f aca="false">IF(Q61=" ",Jun!Z51,Q61+Jun!Z51)</f>
        <v>0</v>
      </c>
      <c r="AA61" s="172" t="n">
        <f aca="false">IF(R61=" ",Jun!AA51,R61+Jun!AA51)</f>
        <v>24930</v>
      </c>
      <c r="AC61" s="172" t="n">
        <f aca="false">IF(T61=" ",Jun!AC51,T61+Jun!AC51)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IF(T$59="Y",Jun!H52,0)</f>
        <v>0</v>
      </c>
      <c r="I62" s="177" t="n">
        <f aca="false">IF(T$59="Y",Jun!I52,0)</f>
        <v>0</v>
      </c>
      <c r="J62" s="177" t="n">
        <f aca="false">IF(T$59="Y",Jun!J52,0)</f>
        <v>0</v>
      </c>
      <c r="K62" s="177" t="n">
        <f aca="false">IF(T$59="Y",Jun!K52,I62*J62)</f>
        <v>0</v>
      </c>
      <c r="L62" s="179" t="n">
        <f aca="false">IF(T$59="Y",Jun!L52,0)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128</v>
      </c>
      <c r="T62" s="180" t="n">
        <v>187.5</v>
      </c>
      <c r="U62" s="171"/>
      <c r="V62" s="172" t="n">
        <f aca="false">IF(Employee!H$61=E$59,Employee!D$60+SUM(M62)+Jun!V52,SUM(M62)+Jun!V52)</f>
        <v>19800</v>
      </c>
      <c r="W62" s="172" t="n">
        <f aca="false">IF(Employee!H$61=E$59,Employee!D$61+SUM(N62)+Jun!W52,SUM(N62)+Jun!W52)</f>
        <v>2430</v>
      </c>
      <c r="X62" s="172" t="n">
        <f aca="false">IF(O62=" ",Jun!X52,O62+Jun!X52)</f>
        <v>864</v>
      </c>
      <c r="Y62" s="172" t="n">
        <f aca="false">IF(P62=" ",Jun!Y52,P62+Jun!Y52)</f>
        <v>0</v>
      </c>
      <c r="Z62" s="172" t="n">
        <f aca="false">IF(Q62=" ",Jun!Z52,Q62+Jun!Z52)</f>
        <v>0</v>
      </c>
      <c r="AA62" s="172" t="n">
        <f aca="false">IF(R62=" ",Jun!AA52,R62+Jun!AA52)</f>
        <v>16506</v>
      </c>
      <c r="AC62" s="172" t="n">
        <f aca="false">IF(T62=" ",Jun!AC52,T62+Jun!AC52)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IF(T$59="Y",Jun!H53,0)</f>
        <v>0</v>
      </c>
      <c r="I63" s="177" t="n">
        <f aca="false">IF(T$59="Y",Jun!I53,0)</f>
        <v>0</v>
      </c>
      <c r="J63" s="177" t="n">
        <f aca="false">IF(T$59="Y",Jun!J53,0)</f>
        <v>0</v>
      </c>
      <c r="K63" s="177" t="n">
        <f aca="false">IF(T$59="Y",Jun!K53,I63*J63)</f>
        <v>0</v>
      </c>
      <c r="L63" s="179" t="n">
        <f aca="false">IF(T$59="Y",Jun!L53,0)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129</v>
      </c>
      <c r="T63" s="180" t="n">
        <v>7.2</v>
      </c>
      <c r="U63" s="171"/>
      <c r="V63" s="172" t="n">
        <f aca="false">IF(Employee!H$87=E$59,Employee!D$86+SUM(M63)+Jun!V53,SUM(M63)+Jun!V53)</f>
        <v>9432</v>
      </c>
      <c r="W63" s="172" t="n">
        <f aca="false">IF(Employee!H$87=E$59,Employee!D$87+SUM(N63)+Jun!W53,SUM(N63)+Jun!W53)</f>
        <v>0</v>
      </c>
      <c r="X63" s="172" t="n">
        <f aca="false">IF(O63=" ",Jun!X53,O63+Jun!X53)</f>
        <v>0</v>
      </c>
      <c r="Y63" s="172" t="n">
        <f aca="false">IF(P63=" ",Jun!Y53,P63+Jun!Y53)</f>
        <v>0</v>
      </c>
      <c r="Z63" s="172" t="n">
        <f aca="false">IF(Q63=" ",Jun!Z53,Q63+Jun!Z53)</f>
        <v>0</v>
      </c>
      <c r="AA63" s="172" t="n">
        <f aca="false">IF(R63=" ",Jun!AA53,R63+Jun!AA53)</f>
        <v>9432</v>
      </c>
      <c r="AC63" s="172" t="n">
        <f aca="false">IF(T63=" ",Jun!AC53,T63+Jun!AC53)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IF(T$59="Y",Jun!H54,0)</f>
        <v>0</v>
      </c>
      <c r="I64" s="177" t="n">
        <f aca="false">IF(T$59="Y",Jun!I54,0)</f>
        <v>0</v>
      </c>
      <c r="J64" s="177" t="n">
        <f aca="false">IF(T$59="Y",Jun!J54,0)</f>
        <v>0</v>
      </c>
      <c r="K64" s="177" t="n">
        <f aca="false">IF(T$59="Y",Jun!K54,I64*J64)</f>
        <v>0</v>
      </c>
      <c r="L64" s="179" t="n">
        <f aca="false">IF(T$59="Y",Jun!L54,0)</f>
        <v>0</v>
      </c>
      <c r="M64" s="180" t="str">
        <f aca="false">IF(E64=" "," ",IF(T$59="Y",Jun!M54,IF((H64+K64+L64)&gt;0,H64+K64+L64,"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IF(Employee!H$113=E$59,Employee!D$112+SUM(M64)+Jun!V54,SUM(M64)+Jun!V54)</f>
        <v>0</v>
      </c>
      <c r="W64" s="172" t="n">
        <f aca="false">IF(Employee!H$113=E$59,Employee!D$113+SUM(N64)+Jun!W54,SUM(N64)+Jun!W54)</f>
        <v>0</v>
      </c>
      <c r="X64" s="172" t="n">
        <f aca="false">IF(O64=" ",Jun!X54,O64+Jun!X54)</f>
        <v>0</v>
      </c>
      <c r="Y64" s="172" t="n">
        <f aca="false">IF(P64=" ",Jun!Y54,P64+Jun!Y54)</f>
        <v>0</v>
      </c>
      <c r="Z64" s="172" t="n">
        <f aca="false">IF(Q64=" ",Jun!Z54,Q64+Jun!Z54)</f>
        <v>0</v>
      </c>
      <c r="AA64" s="172" t="n">
        <f aca="false">IF(R64=" ",Jun!AA54,R64+Jun!AA54)</f>
        <v>0</v>
      </c>
      <c r="AC64" s="172" t="n">
        <f aca="false">IF(T64=" ",Jun!AC54,T64+Jun!AC54)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IF(T$59="Y",Jun!H55,0)</f>
        <v>0</v>
      </c>
      <c r="I65" s="182" t="n">
        <f aca="false">IF(T$59="Y",Jun!I55,0)</f>
        <v>0</v>
      </c>
      <c r="J65" s="182" t="n">
        <f aca="false">IF(T$59="Y",Jun!J55,0)</f>
        <v>0</v>
      </c>
      <c r="K65" s="182" t="n">
        <f aca="false">IF(T$59="Y",Jun!K55,I65*J65)</f>
        <v>0</v>
      </c>
      <c r="L65" s="183" t="n">
        <f aca="false">IF(T$59="Y",Jun!L55,0)</f>
        <v>0</v>
      </c>
      <c r="M65" s="180" t="str">
        <f aca="false">IF(E65=" "," ",IF(T$59="Y",Jun!M55,IF((H65+K65+L65)&gt;0,H65+K65+L65,"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IF(Employee!H$139=E$59,Employee!D$138+SUM(M65)+Jun!V55,SUM(M65)+Jun!V55)</f>
        <v>0</v>
      </c>
      <c r="W65" s="172" t="n">
        <f aca="false">IF(Employee!H$139=E$59,Employee!D$139+SUM(N65)+Jun!W55,SUM(N65)+Jun!W55)</f>
        <v>0</v>
      </c>
      <c r="X65" s="172" t="n">
        <f aca="false">IF(O65=" ",Jun!X55,O65+Jun!X55)</f>
        <v>0</v>
      </c>
      <c r="Y65" s="172" t="n">
        <f aca="false">IF(P65=" ",Jun!Y55,P65+Jun!Y55)</f>
        <v>0</v>
      </c>
      <c r="Z65" s="172" t="n">
        <f aca="false">IF(Q65=" ",Jun!Z55,Q65+Jun!Z55)</f>
        <v>0</v>
      </c>
      <c r="AA65" s="172" t="n">
        <f aca="false">IF(R65=" ",Jun!AA55,R65+Jun!AA55)</f>
        <v>0</v>
      </c>
      <c r="AC65" s="172" t="n">
        <f aca="false">IF(T65=" ",Jun!AC55,T65+Jun!AC55)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AD70+Jun!AD65</f>
        <v>0</v>
      </c>
      <c r="AE75" s="240" t="n">
        <f aca="false">AE70+Jun!AE65</f>
        <v>0</v>
      </c>
      <c r="AF75" s="240" t="n">
        <f aca="false">AF70+Jun!AF65</f>
        <v>0</v>
      </c>
      <c r="AG75" s="240" t="n">
        <f aca="false">AG70+Jun!AG65</f>
        <v>0</v>
      </c>
    </row>
    <row r="77" customFormat="false" ht="12.75" hidden="false" customHeight="false" outlineLevel="0" collapsed="false">
      <c r="AD77" s="233"/>
      <c r="AE77" s="240" t="n">
        <f aca="false">AE72+Jun!AE67</f>
        <v>0</v>
      </c>
      <c r="AF77" s="240" t="n">
        <f aca="false">AF72+Jun!AF67</f>
        <v>0</v>
      </c>
      <c r="AG77" s="240" t="n">
        <f aca="false">AG72+Jun!AG67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Jul!M49+1</f>
        <v>46754</v>
      </c>
      <c r="L9" s="149" t="s">
        <v>85</v>
      </c>
      <c r="M9" s="150" t="n">
        <f aca="false">K9+6</f>
        <v>46760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IF(T$9="Y",Jul!H51,0)</f>
        <v>0</v>
      </c>
      <c r="I11" s="168" t="n">
        <f aca="false">IF(T$9="Y",Jul!I51,0)</f>
        <v>0</v>
      </c>
      <c r="J11" s="168" t="n">
        <f aca="false">IF(T$9="Y",Jul!J51,0)</f>
        <v>0</v>
      </c>
      <c r="K11" s="168" t="n">
        <f aca="false">IF(T$9="Y",Jul!K51,I11*J11)</f>
        <v>0</v>
      </c>
      <c r="L11" s="166" t="n">
        <f aca="false">IF(T$9="Y",Jul!L51,0)</f>
        <v>0</v>
      </c>
      <c r="M11" s="166" t="str">
        <f aca="false">IF(E11=" "," ",IF(T$9="Y",Jul!M51,IF((H11+K11+L11)&gt;0,H11+K11+L11,"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IF(Employee!H$34=E$9,Employee!D$34+SUM(M11)+Jul!V51,SUM(M11)+Jul!V51)</f>
        <v>0</v>
      </c>
      <c r="W11" s="172" t="n">
        <f aca="false">IF(Employee!H$34=E$9,Employee!D$35+SUM(N11)+Jul!W51,SUM(N11)+Jul!W51)</f>
        <v>0</v>
      </c>
      <c r="X11" s="172" t="n">
        <f aca="false">IF(O11=" ",Jul!X51,O11+Jul!X51)</f>
        <v>0</v>
      </c>
      <c r="Y11" s="172" t="n">
        <f aca="false">IF(P11=" ",Jul!Y51,P11+Jul!Y51)</f>
        <v>0</v>
      </c>
      <c r="Z11" s="172" t="n">
        <f aca="false">IF(Q11=" ",Jul!Z51,Q11+Jul!Z51)</f>
        <v>0</v>
      </c>
      <c r="AA11" s="172" t="n">
        <f aca="false">IF(R11=" ",Jul!AA51,R11+Jul!AA51)</f>
        <v>0</v>
      </c>
      <c r="AC11" s="172" t="n">
        <f aca="false">IF(T11=" ",Jul!AC51,T11+Jul!AC51)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IF(T$9="Y",Jul!H52,0)</f>
        <v>0</v>
      </c>
      <c r="I12" s="177" t="n">
        <f aca="false">IF(T$9="Y",Jul!I52,0)</f>
        <v>0</v>
      </c>
      <c r="J12" s="177" t="n">
        <f aca="false">IF(T$9="Y",Jul!J52,0)</f>
        <v>0</v>
      </c>
      <c r="K12" s="177" t="n">
        <f aca="false">IF(T$9="Y",Jul!K52,I12*J12)</f>
        <v>0</v>
      </c>
      <c r="L12" s="179" t="n">
        <f aca="false">IF(T$9="Y",Jul!L52,0)</f>
        <v>0</v>
      </c>
      <c r="M12" s="179" t="str">
        <f aca="false">IF(E12=" "," ",IF(T$9="Y",Jul!M52,IF((H12+K12+L12)&gt;0,H12+K12+L12,"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IF(Employee!H$60=E$9,Employee!D$60+SUM(M12)+Jul!V52,SUM(M12)+Jul!V52)</f>
        <v>0</v>
      </c>
      <c r="W12" s="172" t="n">
        <f aca="false">IF(Employee!H$60=E$9,Employee!D$61+SUM(N12)+Jul!W52,SUM(N12)+Jul!W52)</f>
        <v>0</v>
      </c>
      <c r="X12" s="172" t="n">
        <f aca="false">IF(O12=" ",Jul!X52,O12+Jul!X52)</f>
        <v>0</v>
      </c>
      <c r="Y12" s="172" t="n">
        <f aca="false">IF(P12=" ",Jul!Y52,P12+Jul!Y52)</f>
        <v>0</v>
      </c>
      <c r="Z12" s="172" t="n">
        <f aca="false">IF(Q12=" ",Jul!Z52,Q12+Jul!Z52)</f>
        <v>0</v>
      </c>
      <c r="AA12" s="172" t="n">
        <f aca="false">IF(R12=" ",Jul!AA52,R12+Jul!AA52)</f>
        <v>0</v>
      </c>
      <c r="AC12" s="172" t="n">
        <f aca="false">IF(T12=" ",Jul!AC52,T12+Jul!AC52)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IF(T$9="Y",Jul!H53,0)</f>
        <v>0</v>
      </c>
      <c r="I13" s="177" t="n">
        <f aca="false">IF(T$9="Y",Jul!I53,0)</f>
        <v>0</v>
      </c>
      <c r="J13" s="177" t="n">
        <f aca="false">IF(T$9="Y",Jul!J53,0)</f>
        <v>0</v>
      </c>
      <c r="K13" s="177" t="n">
        <f aca="false">IF(T$9="Y",Jul!K53,I13*J13)</f>
        <v>0</v>
      </c>
      <c r="L13" s="179" t="n">
        <f aca="false">IF(T$9="Y",Jul!L53,0)</f>
        <v>0</v>
      </c>
      <c r="M13" s="179" t="str">
        <f aca="false">IF(E13=" "," ",IF(T$9="Y",Jul!M53,IF((H13+K13+L13)&gt;0,H13+K13+L13,"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IF(Employee!H$86=E$9,Employee!D$86+SUM(M13)+Jul!V53,SUM(M13)+Jul!V53)</f>
        <v>0</v>
      </c>
      <c r="W13" s="172" t="n">
        <f aca="false">IF(Employee!H$86=E$9,Employee!D$87+SUM(N13)+Jul!W53,SUM(N13)+Jul!W53)</f>
        <v>0</v>
      </c>
      <c r="X13" s="172" t="n">
        <f aca="false">IF(O13=" ",Jul!X53,O13+Jul!X53)</f>
        <v>0</v>
      </c>
      <c r="Y13" s="172" t="n">
        <f aca="false">IF(P13=" ",Jul!Y53,P13+Jul!Y53)</f>
        <v>0</v>
      </c>
      <c r="Z13" s="172" t="n">
        <f aca="false">IF(Q13=" ",Jul!Z53,Q13+Jul!Z53)</f>
        <v>0</v>
      </c>
      <c r="AA13" s="172" t="n">
        <f aca="false">IF(R13=" ",Jul!AA53,R13+Jul!AA53)</f>
        <v>0</v>
      </c>
      <c r="AC13" s="172" t="n">
        <f aca="false">IF(T13=" ",Jul!AC53,T13+Jul!AC53)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IF(T$9="Y",Jul!H54,0)</f>
        <v>0</v>
      </c>
      <c r="I14" s="177" t="n">
        <f aca="false">IF(T$9="Y",Jul!I54,0)</f>
        <v>0</v>
      </c>
      <c r="J14" s="177" t="n">
        <f aca="false">IF(T$9="Y",Jul!J54,0)</f>
        <v>0</v>
      </c>
      <c r="K14" s="177" t="n">
        <f aca="false">IF(T$9="Y",Jul!K54,I14*J14)</f>
        <v>0</v>
      </c>
      <c r="L14" s="179" t="n">
        <f aca="false">IF(T$9="Y",Jul!L54,0)</f>
        <v>0</v>
      </c>
      <c r="M14" s="179" t="str">
        <f aca="false">IF(E14=" "," ",IF(T$9="Y",Jul!M54,IF((H14+K14+L14)&gt;0,H14+K14+L14,"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IF(Employee!H$112=E$9,Employee!D$112+SUM(M14)+Jul!V54,SUM(M14)+Jul!V54)</f>
        <v>0</v>
      </c>
      <c r="W14" s="172" t="n">
        <f aca="false">IF(Employee!H$112=E$9,Employee!D$113+SUM(N14)+Jul!W54,SUM(N14)+Jul!W54)</f>
        <v>0</v>
      </c>
      <c r="X14" s="172" t="n">
        <f aca="false">IF(O14=" ",Jul!X54,O14+Jul!X54)</f>
        <v>0</v>
      </c>
      <c r="Y14" s="172" t="n">
        <f aca="false">IF(P14=" ",Jul!Y54,P14+Jul!Y54)</f>
        <v>0</v>
      </c>
      <c r="Z14" s="172" t="n">
        <f aca="false">IF(Q14=" ",Jul!Z54,Q14+Jul!Z54)</f>
        <v>0</v>
      </c>
      <c r="AA14" s="172" t="n">
        <f aca="false">IF(R14=" ",Jul!AA54,R14+Jul!AA54)</f>
        <v>0</v>
      </c>
      <c r="AC14" s="172" t="n">
        <f aca="false">IF(T14=" ",Jul!AC54,T14+Jul!AC54)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IF(T$9="Y",Jul!H55,0)</f>
        <v>0</v>
      </c>
      <c r="I15" s="182" t="n">
        <f aca="false">IF(T$9="Y",Jul!I55,0)</f>
        <v>0</v>
      </c>
      <c r="J15" s="182" t="n">
        <f aca="false">IF(T$9="Y",Jul!J55,0)</f>
        <v>0</v>
      </c>
      <c r="K15" s="182" t="n">
        <f aca="false">IF(T$9="Y",Jul!K55,I15*J15)</f>
        <v>0</v>
      </c>
      <c r="L15" s="183" t="n">
        <f aca="false">IF(T$9="Y",Jul!L55,0)</f>
        <v>0</v>
      </c>
      <c r="M15" s="179" t="str">
        <f aca="false">IF(E15=" "," ",IF(T$9="Y",Jul!M55,IF((H15+K15+L15)&gt;0,H15+K15+L15,"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IF(Employee!H$138=E$9,Employee!D$138+SUM(M15)+Jul!V55,SUM(M15)+Jul!V55)</f>
        <v>0</v>
      </c>
      <c r="W15" s="172" t="n">
        <f aca="false">IF(Employee!H$138=E$9,Employee!D$139+SUM(N15)+Jul!W55,SUM(N15)+Jul!W55)</f>
        <v>0</v>
      </c>
      <c r="X15" s="172" t="n">
        <f aca="false">IF(O15=" ",Jul!X55,O15+Jul!X55)</f>
        <v>0</v>
      </c>
      <c r="Y15" s="172" t="n">
        <f aca="false">IF(P15=" ",Jul!Y55,P15+Jul!Y55)</f>
        <v>0</v>
      </c>
      <c r="Z15" s="172" t="n">
        <f aca="false">IF(Q15=" ",Jul!Z55,Q15+Jul!Z55)</f>
        <v>0</v>
      </c>
      <c r="AA15" s="172" t="n">
        <f aca="false">IF(R15=" ",Jul!AA55,R15+Jul!AA55)</f>
        <v>0</v>
      </c>
      <c r="AC15" s="172" t="n">
        <f aca="false">IF(T15=" ",Jul!AC55,T15+Jul!AC55)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46761</v>
      </c>
      <c r="L19" s="149" t="s">
        <v>85</v>
      </c>
      <c r="M19" s="150" t="n">
        <f aca="false">K19+6</f>
        <v>46767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46768</v>
      </c>
      <c r="L29" s="149" t="s">
        <v>85</v>
      </c>
      <c r="M29" s="150" t="n">
        <f aca="false">K29+6</f>
        <v>46774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46775</v>
      </c>
      <c r="L39" s="149" t="s">
        <v>85</v>
      </c>
      <c r="M39" s="150" t="n">
        <f aca="false">K39+6</f>
        <v>46781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DATE(2027,8,1)</f>
        <v>46600</v>
      </c>
      <c r="L49" s="149" t="s">
        <v>85</v>
      </c>
      <c r="M49" s="150" t="n">
        <v>46630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IF(T$49="Y",Jul!H61,0)</f>
        <v>0</v>
      </c>
      <c r="I51" s="168" t="n">
        <f aca="false">IF(T$49="Y",Jul!I61,0)</f>
        <v>0</v>
      </c>
      <c r="J51" s="168" t="n">
        <f aca="false">IF(T$49="Y",Jul!J61,0)</f>
        <v>0</v>
      </c>
      <c r="K51" s="168" t="n">
        <f aca="false">IF(T$49="Y",Jul!K61,I51*J51)</f>
        <v>0</v>
      </c>
      <c r="L51" s="166" t="n">
        <f aca="false">IF(T$49="Y",Jul!L61,0)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130</v>
      </c>
      <c r="T51" s="170" t="n">
        <v>382.5</v>
      </c>
      <c r="U51" s="171"/>
      <c r="V51" s="172" t="n">
        <f aca="false">IF(Employee!H$35=E$49,Employee!D$34+SUM(M51)+Jul!V61,SUM(M51)+Jul!V61)</f>
        <v>35000</v>
      </c>
      <c r="W51" s="172" t="n">
        <f aca="false">IF(Employee!H$35=E$49,Employee!D$35+SUM(N51)+Jul!W61,SUM(N51)+Jul!W61)</f>
        <v>5300</v>
      </c>
      <c r="X51" s="172" t="n">
        <f aca="false">IF(O51=" ",Jul!X61,O51+Jul!X61)</f>
        <v>2000</v>
      </c>
      <c r="Y51" s="172" t="n">
        <f aca="false">IF(P51=" ",Jul!Y61,P51+Jul!Y61)</f>
        <v>0</v>
      </c>
      <c r="Z51" s="172" t="n">
        <f aca="false">IF(Q51=" ",Jul!Z61,Q51+Jul!Z61)</f>
        <v>0</v>
      </c>
      <c r="AA51" s="172" t="n">
        <f aca="false">IF(R51=" ",Jul!AA61,R51+Jul!AA61)</f>
        <v>27700</v>
      </c>
      <c r="AC51" s="172" t="n">
        <f aca="false">IF(T51=" ",Jul!AC61,T51+Jul!AC61)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IF(T$49="Y",Jul!H62,0)</f>
        <v>0</v>
      </c>
      <c r="I52" s="177" t="n">
        <f aca="false">IF(T$49="Y",Jul!I62,0)</f>
        <v>0</v>
      </c>
      <c r="J52" s="177" t="n">
        <f aca="false">IF(T$49="Y",Jul!J62,0)</f>
        <v>0</v>
      </c>
      <c r="K52" s="177" t="n">
        <f aca="false">IF(T$49="Y",Jul!K62,I52*J52)</f>
        <v>0</v>
      </c>
      <c r="L52" s="179" t="n">
        <f aca="false">IF(T$49="Y",Jul!L62,0)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131</v>
      </c>
      <c r="T52" s="180" t="n">
        <v>187.5</v>
      </c>
      <c r="U52" s="171"/>
      <c r="V52" s="172" t="n">
        <f aca="false">IF(Employee!H$61=E$49,Employee!D$60+SUM(M52)+Jul!V62,SUM(M52)+Jul!V62)</f>
        <v>22000</v>
      </c>
      <c r="W52" s="172" t="n">
        <f aca="false">IF(Employee!H$61=E$49,Employee!D$61+SUM(N52)+Jul!W62,SUM(N52)+Jul!W62)</f>
        <v>2700</v>
      </c>
      <c r="X52" s="172" t="n">
        <f aca="false">IF(O52=" ",Jul!X62,O52+Jul!X62)</f>
        <v>960</v>
      </c>
      <c r="Y52" s="172" t="n">
        <f aca="false">IF(P52=" ",Jul!Y62,P52+Jul!Y62)</f>
        <v>0</v>
      </c>
      <c r="Z52" s="172" t="n">
        <f aca="false">IF(Q52=" ",Jul!Z62,Q52+Jul!Z62)</f>
        <v>0</v>
      </c>
      <c r="AA52" s="172" t="n">
        <f aca="false">IF(R52=" ",Jul!AA62,R52+Jul!AA62)</f>
        <v>18340</v>
      </c>
      <c r="AC52" s="172" t="n">
        <f aca="false">IF(T52=" ",Jul!AC62,T52+Jul!AC62)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IF(T$49="Y",Jul!H63,0)</f>
        <v>0</v>
      </c>
      <c r="I53" s="177" t="n">
        <f aca="false">IF(T$49="Y",Jul!I63,0)</f>
        <v>0</v>
      </c>
      <c r="J53" s="177" t="n">
        <f aca="false">IF(T$49="Y",Jul!J63,0)</f>
        <v>0</v>
      </c>
      <c r="K53" s="177" t="n">
        <f aca="false">IF(T$49="Y",Jul!K63,I53*J53)</f>
        <v>0</v>
      </c>
      <c r="L53" s="179" t="n">
        <f aca="false">IF(T$49="Y",Jul!L63,0)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132</v>
      </c>
      <c r="T53" s="180" t="n">
        <v>7.2</v>
      </c>
      <c r="U53" s="171"/>
      <c r="V53" s="172" t="n">
        <f aca="false">IF(Employee!H$87=E$49,Employee!D$86+SUM(M53)+Jul!V63,SUM(M53)+Jul!V63)</f>
        <v>10480</v>
      </c>
      <c r="W53" s="172" t="n">
        <f aca="false">IF(Employee!H$87=E$49,Employee!D$87+SUM(N53)+Jul!W63,SUM(N53)+Jul!W63)</f>
        <v>0</v>
      </c>
      <c r="X53" s="172" t="n">
        <f aca="false">IF(O53=" ",Jul!X63,O53+Jul!X63)</f>
        <v>0</v>
      </c>
      <c r="Y53" s="172" t="n">
        <f aca="false">IF(P53=" ",Jul!Y63,P53+Jul!Y63)</f>
        <v>0</v>
      </c>
      <c r="Z53" s="172" t="n">
        <f aca="false">IF(Q53=" ",Jul!Z63,Q53+Jul!Z63)</f>
        <v>0</v>
      </c>
      <c r="AA53" s="172" t="n">
        <f aca="false">IF(R53=" ",Jul!AA63,R53+Jul!AA63)</f>
        <v>10480</v>
      </c>
      <c r="AC53" s="172" t="n">
        <f aca="false">IF(T53=" ",Jul!AC63,T53+Jul!AC63)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IF(T$49="Y",Jul!H64,0)</f>
        <v>0</v>
      </c>
      <c r="I54" s="177" t="n">
        <f aca="false">IF(T$49="Y",Jul!I64,0)</f>
        <v>0</v>
      </c>
      <c r="J54" s="177" t="n">
        <f aca="false">IF(T$49="Y",Jul!J64,0)</f>
        <v>0</v>
      </c>
      <c r="K54" s="177" t="n">
        <f aca="false">IF(T$49="Y",Jul!K64,I54*J54)</f>
        <v>0</v>
      </c>
      <c r="L54" s="179" t="n">
        <f aca="false">IF(T$49="Y",Jul!L64,0)</f>
        <v>0</v>
      </c>
      <c r="M54" s="180" t="str">
        <f aca="false">IF(E54=" "," ",IF(T$49="Y",Jul!M64,IF((H54+K54+L54)&gt;0,H54+K54+L54,"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IF(Employee!H$113=E$49,Employee!D$112+SUM(M54)+Jul!V64,SUM(M54)+Jul!V64)</f>
        <v>0</v>
      </c>
      <c r="W54" s="172" t="n">
        <f aca="false">IF(Employee!H$113=E$49,Employee!D$113+SUM(N54)+Jul!W64,SUM(N54)+Jul!W64)</f>
        <v>0</v>
      </c>
      <c r="X54" s="172" t="n">
        <f aca="false">IF(O54=" ",Jul!X64,O54+Jul!X64)</f>
        <v>0</v>
      </c>
      <c r="Y54" s="172" t="n">
        <f aca="false">IF(P54=" ",Jul!Y64,P54+Jul!Y64)</f>
        <v>0</v>
      </c>
      <c r="Z54" s="172" t="n">
        <f aca="false">IF(Q54=" ",Jul!Z64,Q54+Jul!Z64)</f>
        <v>0</v>
      </c>
      <c r="AA54" s="172" t="n">
        <f aca="false">IF(R54=" ",Jul!AA64,R54+Jul!AA64)</f>
        <v>0</v>
      </c>
      <c r="AC54" s="172" t="n">
        <f aca="false">IF(T54=" ",Jul!AC64,T54+Jul!AC64)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IF(T$49="Y",Jul!H65,0)</f>
        <v>0</v>
      </c>
      <c r="I55" s="182" t="n">
        <f aca="false">IF(T$49="Y",Jul!I65,0)</f>
        <v>0</v>
      </c>
      <c r="J55" s="182" t="n">
        <f aca="false">IF(T$49="Y",Jul!J65,0)</f>
        <v>0</v>
      </c>
      <c r="K55" s="182" t="n">
        <f aca="false">IF(T$49="Y",Jul!K65,I55*J55)</f>
        <v>0</v>
      </c>
      <c r="L55" s="183" t="n">
        <f aca="false">IF(T$49="Y",Jul!L65,0)</f>
        <v>0</v>
      </c>
      <c r="M55" s="180" t="str">
        <f aca="false">IF(E55=" "," ",IF(T$49="Y",Jul!M65,IF((H55+K55+L55)&gt;0,H55+K55+L55,"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IF(Employee!H$139=E$49,Employee!D$138+SUM(M55)+Jul!V65,SUM(M55)+Jul!V65)</f>
        <v>0</v>
      </c>
      <c r="W55" s="172" t="n">
        <f aca="false">IF(Employee!H$139=E$49,Employee!D$139+SUM(N55)+Jul!W65,SUM(N55)+Jul!W65)</f>
        <v>0</v>
      </c>
      <c r="X55" s="172" t="n">
        <f aca="false">IF(O55=" ",Jul!X65,O55+Jul!X65)</f>
        <v>0</v>
      </c>
      <c r="Y55" s="172" t="n">
        <f aca="false">IF(P55=" ",Jul!Y65,P55+Jul!Y65)</f>
        <v>0</v>
      </c>
      <c r="Z55" s="172" t="n">
        <f aca="false">IF(Q55=" ",Jul!Z65,Q55+Jul!Z65)</f>
        <v>0</v>
      </c>
      <c r="AA55" s="172" t="n">
        <f aca="false">IF(R55=" ",Jul!AA65,R55+Jul!AA65)</f>
        <v>0</v>
      </c>
      <c r="AC55" s="172" t="n">
        <f aca="false">IF(T55=" ",Jul!AC65,T55+Jul!AC65)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AD60+Jul!AD75</f>
        <v>0</v>
      </c>
      <c r="AE65" s="240" t="n">
        <f aca="false">AE60+Jul!AE75</f>
        <v>0</v>
      </c>
      <c r="AF65" s="240" t="n">
        <f aca="false">AF60+Jul!AF75</f>
        <v>0</v>
      </c>
      <c r="AG65" s="240" t="n">
        <f aca="false">AG60+Jul!AG75</f>
        <v>0</v>
      </c>
    </row>
    <row r="67" customFormat="false" ht="12.75" hidden="false" customHeight="false" outlineLevel="0" collapsed="false">
      <c r="AD67" s="233"/>
      <c r="AE67" s="240" t="n">
        <f aca="false">AE62+Jul!AE77</f>
        <v>0</v>
      </c>
      <c r="AF67" s="240" t="n">
        <f aca="false">AF62+Jul!AF77</f>
        <v>0</v>
      </c>
      <c r="AG67" s="240" t="n">
        <f aca="false">AG62+Jul!AG77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Aug!M39+1</f>
        <v>46782</v>
      </c>
      <c r="L9" s="149" t="s">
        <v>85</v>
      </c>
      <c r="M9" s="150" t="n">
        <f aca="false">K9+6</f>
        <v>46788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IF(T$19="Y",Aug!L45,0)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46789</v>
      </c>
      <c r="L19" s="149" t="s">
        <v>85</v>
      </c>
      <c r="M19" s="150" t="n">
        <f aca="false">K19+6</f>
        <v>46795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46796</v>
      </c>
      <c r="L29" s="149" t="s">
        <v>85</v>
      </c>
      <c r="M29" s="150" t="n">
        <f aca="false">K29+6</f>
        <v>46802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46803</v>
      </c>
      <c r="L39" s="149" t="s">
        <v>85</v>
      </c>
      <c r="M39" s="150" t="n">
        <f aca="false">K39+6</f>
        <v>46809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DATE(2027,9,1)</f>
        <v>46631</v>
      </c>
      <c r="L49" s="149" t="s">
        <v>85</v>
      </c>
      <c r="M49" s="150" t="n">
        <v>46658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IF(T$49="Y",Aug!H51,0)</f>
        <v>0</v>
      </c>
      <c r="I51" s="168" t="n">
        <f aca="false">IF(T$49="Y",Aug!I51,0)</f>
        <v>0</v>
      </c>
      <c r="J51" s="168" t="n">
        <f aca="false">IF(T$49="Y",Aug!J51,0)</f>
        <v>0</v>
      </c>
      <c r="K51" s="168" t="n">
        <f aca="false">IF(T$49="Y",Aug!K51,I51*J51)</f>
        <v>0</v>
      </c>
      <c r="L51" s="166" t="n">
        <f aca="false">IF(T$49="Y",Aug!L51,0)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133</v>
      </c>
      <c r="T51" s="170" t="n">
        <v>382.5</v>
      </c>
      <c r="U51" s="171"/>
      <c r="V51" s="172" t="n">
        <f aca="false">IF(Employee!H$35=E$49,Employee!D$34+SUM(M51)+Aug!V51,SUM(M51)+Aug!V51)</f>
        <v>38500</v>
      </c>
      <c r="W51" s="172" t="n">
        <f aca="false">IF(Employee!H$35=E$49,Employee!D$35+SUM(N51)+Aug!W51,SUM(N51)+Aug!W51)</f>
        <v>5830</v>
      </c>
      <c r="X51" s="172" t="n">
        <f aca="false">IF(O51=" ",Aug!X51,O51+Aug!X51)</f>
        <v>2200</v>
      </c>
      <c r="Y51" s="172" t="n">
        <f aca="false">IF(P51=" ",Aug!Y51,P51+Aug!Y51)</f>
        <v>0</v>
      </c>
      <c r="Z51" s="172" t="n">
        <f aca="false">IF(Q51=" ",Aug!Z51,Q51+Aug!Z51)</f>
        <v>0</v>
      </c>
      <c r="AA51" s="172" t="n">
        <f aca="false">IF(R51=" ",Aug!AA51,R51+Aug!AA51)</f>
        <v>30470</v>
      </c>
      <c r="AC51" s="172" t="n">
        <f aca="false">IF(T51=" ",Aug!AC51,T51+Aug!AC51)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IF(T$49="Y",Aug!H52,0)</f>
        <v>0</v>
      </c>
      <c r="I52" s="177" t="n">
        <f aca="false">IF(T$49="Y",Aug!I52,0)</f>
        <v>0</v>
      </c>
      <c r="J52" s="177" t="n">
        <f aca="false">IF(T$49="Y",Aug!J52,0)</f>
        <v>0</v>
      </c>
      <c r="K52" s="177" t="n">
        <f aca="false">IF(T$49="Y",Aug!K52,I52*J52)</f>
        <v>0</v>
      </c>
      <c r="L52" s="179" t="n">
        <f aca="false">IF(T$49="Y",Aug!L52,0)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134</v>
      </c>
      <c r="T52" s="180" t="n">
        <v>187.5</v>
      </c>
      <c r="U52" s="171"/>
      <c r="V52" s="172" t="n">
        <f aca="false">IF(Employee!H$61=E$49,Employee!D$60+SUM(M52)+Aug!V52,SUM(M52)+Aug!V52)</f>
        <v>24200</v>
      </c>
      <c r="W52" s="172" t="n">
        <f aca="false">IF(Employee!H$61=E$49,Employee!D$61+SUM(N52)+Aug!W52,SUM(N52)+Aug!W52)</f>
        <v>2970</v>
      </c>
      <c r="X52" s="172" t="n">
        <f aca="false">IF(O52=" ",Aug!X52,O52+Aug!X52)</f>
        <v>1056</v>
      </c>
      <c r="Y52" s="172" t="n">
        <f aca="false">IF(P52=" ",Aug!Y52,P52+Aug!Y52)</f>
        <v>0</v>
      </c>
      <c r="Z52" s="172" t="n">
        <f aca="false">IF(Q52=" ",Aug!Z52,Q52+Aug!Z52)</f>
        <v>0</v>
      </c>
      <c r="AA52" s="172" t="n">
        <f aca="false">IF(R52=" ",Aug!AA52,R52+Aug!AA52)</f>
        <v>20174</v>
      </c>
      <c r="AC52" s="172" t="n">
        <f aca="false">IF(T52=" ",Aug!AC52,T52+Aug!AC52)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IF(T$49="Y",Aug!H53,0)</f>
        <v>0</v>
      </c>
      <c r="I53" s="177" t="n">
        <f aca="false">IF(T$49="Y",Aug!I53,0)</f>
        <v>0</v>
      </c>
      <c r="J53" s="177" t="n">
        <f aca="false">IF(T$49="Y",Aug!J53,0)</f>
        <v>0</v>
      </c>
      <c r="K53" s="177" t="n">
        <f aca="false">IF(T$49="Y",Aug!K53,I53*J53)</f>
        <v>0</v>
      </c>
      <c r="L53" s="179" t="n">
        <f aca="false">IF(T$49="Y",Aug!L53,0)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135</v>
      </c>
      <c r="T53" s="180" t="n">
        <v>7.2</v>
      </c>
      <c r="U53" s="171"/>
      <c r="V53" s="172" t="n">
        <f aca="false">IF(Employee!H$87=E$49,Employee!D$86+SUM(M53)+Aug!V53,SUM(M53)+Aug!V53)</f>
        <v>11528</v>
      </c>
      <c r="W53" s="172" t="n">
        <f aca="false">IF(Employee!H$87=E$49,Employee!D$87+SUM(N53)+Aug!W53,SUM(N53)+Aug!W53)</f>
        <v>0</v>
      </c>
      <c r="X53" s="172" t="n">
        <f aca="false">IF(O53=" ",Aug!X53,O53+Aug!X53)</f>
        <v>0</v>
      </c>
      <c r="Y53" s="172" t="n">
        <f aca="false">IF(P53=" ",Aug!Y53,P53+Aug!Y53)</f>
        <v>0</v>
      </c>
      <c r="Z53" s="172" t="n">
        <f aca="false">IF(Q53=" ",Aug!Z53,Q53+Aug!Z53)</f>
        <v>0</v>
      </c>
      <c r="AA53" s="172" t="n">
        <f aca="false">IF(R53=" ",Aug!AA53,R53+Aug!AA53)</f>
        <v>11528</v>
      </c>
      <c r="AC53" s="172" t="n">
        <f aca="false">IF(T53=" ",Aug!AC53,T53+Aug!AC53)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IF(T$49="Y",Aug!H54,0)</f>
        <v>0</v>
      </c>
      <c r="I54" s="177" t="n">
        <f aca="false">IF(T$49="Y",Aug!I54,0)</f>
        <v>0</v>
      </c>
      <c r="J54" s="177" t="n">
        <f aca="false">IF(T$49="Y",Aug!J54,0)</f>
        <v>0</v>
      </c>
      <c r="K54" s="177" t="n">
        <f aca="false">IF(T$49="Y",Aug!K54,I54*J54)</f>
        <v>0</v>
      </c>
      <c r="L54" s="179" t="n">
        <f aca="false">IF(T$49="Y",Aug!L54,0)</f>
        <v>0</v>
      </c>
      <c r="M54" s="180" t="str">
        <f aca="false">IF(E54=" "," ",IF(T$49="Y",Aug!M54,IF((H54+K54+L54)&gt;0,H54+K54+L54,"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IF(Employee!H$113=E$49,Employee!D$112+SUM(M54)+Aug!V54,SUM(M54)+Aug!V54)</f>
        <v>0</v>
      </c>
      <c r="W54" s="172" t="n">
        <f aca="false">IF(Employee!H$113=E$49,Employee!D$113+SUM(N54)+Aug!W54,SUM(N54)+Aug!W54)</f>
        <v>0</v>
      </c>
      <c r="X54" s="172" t="n">
        <f aca="false">IF(O54=" ",Aug!X54,O54+Aug!X54)</f>
        <v>0</v>
      </c>
      <c r="Y54" s="172" t="n">
        <f aca="false">IF(P54=" ",Aug!Y54,P54+Aug!Y54)</f>
        <v>0</v>
      </c>
      <c r="Z54" s="172" t="n">
        <f aca="false">IF(Q54=" ",Aug!Z54,Q54+Aug!Z54)</f>
        <v>0</v>
      </c>
      <c r="AA54" s="172" t="n">
        <f aca="false">IF(R54=" ",Aug!AA54,R54+Aug!AA54)</f>
        <v>0</v>
      </c>
      <c r="AC54" s="172" t="n">
        <f aca="false">IF(T54=" ",Aug!AC54,T54+Aug!AC54)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IF(T$49="Y",Aug!H55,0)</f>
        <v>0</v>
      </c>
      <c r="I55" s="182" t="n">
        <f aca="false">IF(T$49="Y",Aug!I55,0)</f>
        <v>0</v>
      </c>
      <c r="J55" s="182" t="n">
        <f aca="false">IF(T$49="Y",Aug!J55,0)</f>
        <v>0</v>
      </c>
      <c r="K55" s="182" t="n">
        <f aca="false">IF(T$49="Y",Aug!K55,I55*J55)</f>
        <v>0</v>
      </c>
      <c r="L55" s="183" t="n">
        <f aca="false">IF(T$49="Y",Aug!L55,0)</f>
        <v>0</v>
      </c>
      <c r="M55" s="180" t="str">
        <f aca="false">IF(E55=" "," ",IF(T$49="Y",Aug!M55,IF((H55+K55+L55)&gt;0,H55+K55+L55,"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IF(Employee!H$139=E$49,Employee!D$138+SUM(M55)+Aug!V55,SUM(M55)+Aug!V55)</f>
        <v>0</v>
      </c>
      <c r="W55" s="172" t="n">
        <f aca="false">IF(Employee!H$139=E$49,Employee!D$139+SUM(N55)+Aug!W55,SUM(N55)+Aug!W55)</f>
        <v>0</v>
      </c>
      <c r="X55" s="172" t="n">
        <f aca="false">IF(O55=" ",Aug!X55,O55+Aug!X55)</f>
        <v>0</v>
      </c>
      <c r="Y55" s="172" t="n">
        <f aca="false">IF(P55=" ",Aug!Y55,P55+Aug!Y55)</f>
        <v>0</v>
      </c>
      <c r="Z55" s="172" t="n">
        <f aca="false">IF(Q55=" ",Aug!Z55,Q55+Aug!Z55)</f>
        <v>0</v>
      </c>
      <c r="AA55" s="172" t="n">
        <f aca="false">IF(R55=" ",Aug!AA55,R55+Aug!AA55)</f>
        <v>0</v>
      </c>
      <c r="AC55" s="172" t="n">
        <f aca="false">IF(T55=" ",Aug!AC55,T55+Aug!AC55)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AD60+Aug!AD65</f>
        <v>0</v>
      </c>
      <c r="AE65" s="240" t="n">
        <f aca="false">AE60+Aug!AE65</f>
        <v>0</v>
      </c>
      <c r="AF65" s="240" t="n">
        <f aca="false">AF60+Aug!AF65</f>
        <v>0</v>
      </c>
      <c r="AG65" s="240" t="n">
        <f aca="false">AG60+Aug!AG65</f>
        <v>0</v>
      </c>
    </row>
    <row r="67" customFormat="false" ht="12.75" hidden="false" customHeight="false" outlineLevel="0" collapsed="false">
      <c r="AD67" s="233"/>
      <c r="AE67" s="240" t="n">
        <f aca="false">AE62+Aug!AE67</f>
        <v>0</v>
      </c>
      <c r="AF67" s="240" t="n">
        <f aca="false">AF62+Aug!AF67</f>
        <v>0</v>
      </c>
      <c r="AG67" s="240" t="n">
        <f aca="false">AG62+Aug!AG67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Sep!M39+1</f>
        <v>46810</v>
      </c>
      <c r="L9" s="149" t="s">
        <v>85</v>
      </c>
      <c r="M9" s="150" t="n">
        <f aca="false">K9+6</f>
        <v>46816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IF(T$9="Y",Sep!H41,0)</f>
        <v>0</v>
      </c>
      <c r="I11" s="168" t="n">
        <f aca="false">IF(T$9="Y",Sep!I41,0)</f>
        <v>0</v>
      </c>
      <c r="J11" s="168" t="n">
        <f aca="false">IF(T$9="Y",Sep!J41,0)</f>
        <v>0</v>
      </c>
      <c r="K11" s="168" t="n">
        <f aca="false">IF(T$9="Y",Sep!K41,I11*J11)</f>
        <v>0</v>
      </c>
      <c r="L11" s="166" t="n">
        <f aca="false">IF(T$9="Y",Sep!L41,0)</f>
        <v>0</v>
      </c>
      <c r="M11" s="166" t="str">
        <f aca="false">IF(E11=" "," ",IF(T$9="Y",Sep!M41,IF((H11+K11+L11)&gt;0,H11+K11+L11,"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IF(Employee!H$34=E$9,Employee!D$34+SUM(M11)+Sep!V41,SUM(M11)+Sep!V41)</f>
        <v>0</v>
      </c>
      <c r="W11" s="172" t="n">
        <f aca="false">IF(Employee!H$34=E$9,Employee!D$35+SUM(N11)+Sep!W41,SUM(N11)+Sep!W41)</f>
        <v>0</v>
      </c>
      <c r="X11" s="172" t="n">
        <f aca="false">IF(O11=" ",Sep!X41,O11+Sep!X41)</f>
        <v>0</v>
      </c>
      <c r="Y11" s="172" t="n">
        <f aca="false">IF(P11=" ",Sep!Y41,P11+Sep!Y41)</f>
        <v>0</v>
      </c>
      <c r="Z11" s="172" t="n">
        <f aca="false">IF(Q11=" ",Sep!Z41,Q11+Sep!Z41)</f>
        <v>0</v>
      </c>
      <c r="AA11" s="172" t="n">
        <f aca="false">IF(R11=" ",Sep!AA41,R11+Sep!AA41)</f>
        <v>0</v>
      </c>
      <c r="AC11" s="172" t="n">
        <f aca="false">IF(T11=" ",Sep!AC41,T11+Sep!AC41)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IF(T$9="Y",Sep!H42,0)</f>
        <v>0</v>
      </c>
      <c r="I12" s="177" t="n">
        <f aca="false">IF(T$9="Y",Sep!I42,0)</f>
        <v>0</v>
      </c>
      <c r="J12" s="177" t="n">
        <f aca="false">IF(T$9="Y",Sep!J42,0)</f>
        <v>0</v>
      </c>
      <c r="K12" s="177" t="n">
        <f aca="false">IF(T$9="Y",Sep!K42,I12*J12)</f>
        <v>0</v>
      </c>
      <c r="L12" s="179" t="n">
        <f aca="false">IF(T$9="Y",Sep!L42,0)</f>
        <v>0</v>
      </c>
      <c r="M12" s="179" t="str">
        <f aca="false">IF(E12=" "," ",IF(T$9="Y",Sep!M42,IF((H12+K12+L12)&gt;0,H12+K12+L12,"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IF(Employee!H$60=E$9,Employee!D$60+SUM(M12)+Sep!V42,SUM(M12)+Sep!V42)</f>
        <v>0</v>
      </c>
      <c r="W12" s="172" t="n">
        <f aca="false">IF(Employee!H$60=E$9,Employee!D$61+SUM(N12)+Sep!W42,SUM(N12)+Sep!W42)</f>
        <v>0</v>
      </c>
      <c r="X12" s="172" t="n">
        <f aca="false">IF(O12=" ",Sep!X42,O12+Sep!X42)</f>
        <v>0</v>
      </c>
      <c r="Y12" s="172" t="n">
        <f aca="false">IF(P12=" ",Sep!Y42,P12+Sep!Y42)</f>
        <v>0</v>
      </c>
      <c r="Z12" s="172" t="n">
        <f aca="false">IF(Q12=" ",Sep!Z42,Q12+Sep!Z42)</f>
        <v>0</v>
      </c>
      <c r="AA12" s="172" t="n">
        <f aca="false">IF(R12=" ",Sep!AA42,R12+Sep!AA42)</f>
        <v>0</v>
      </c>
      <c r="AC12" s="172" t="n">
        <f aca="false">IF(T12=" ",Sep!AC42,T12+Sep!AC42)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IF(T$9="Y",Sep!H43,0)</f>
        <v>0</v>
      </c>
      <c r="I13" s="177" t="n">
        <f aca="false">IF(T$9="Y",Sep!I43,0)</f>
        <v>0</v>
      </c>
      <c r="J13" s="177" t="n">
        <f aca="false">IF(T$9="Y",Sep!J43,0)</f>
        <v>0</v>
      </c>
      <c r="K13" s="177" t="n">
        <f aca="false">IF(T$9="Y",Sep!K43,I13*J13)</f>
        <v>0</v>
      </c>
      <c r="L13" s="179" t="n">
        <f aca="false">IF(T$9="Y",Sep!L43,0)</f>
        <v>0</v>
      </c>
      <c r="M13" s="179" t="str">
        <f aca="false">IF(E13=" "," ",IF(T$9="Y",Sep!M43,IF((H13+K13+L13)&gt;0,H13+K13+L13,"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IF(Employee!H$86=E$9,Employee!D$86+SUM(M13)+Sep!V43,SUM(M13)+Sep!V43)</f>
        <v>0</v>
      </c>
      <c r="W13" s="172" t="n">
        <f aca="false">IF(Employee!H$86=E$9,Employee!D$87+SUM(N13)+Sep!W43,SUM(N13)+Sep!W43)</f>
        <v>0</v>
      </c>
      <c r="X13" s="172" t="n">
        <f aca="false">IF(O13=" ",Sep!X43,O13+Sep!X43)</f>
        <v>0</v>
      </c>
      <c r="Y13" s="172" t="n">
        <f aca="false">IF(P13=" ",Sep!Y43,P13+Sep!Y43)</f>
        <v>0</v>
      </c>
      <c r="Z13" s="172" t="n">
        <f aca="false">IF(Q13=" ",Sep!Z43,Q13+Sep!Z43)</f>
        <v>0</v>
      </c>
      <c r="AA13" s="172" t="n">
        <f aca="false">IF(R13=" ",Sep!AA43,R13+Sep!AA43)</f>
        <v>0</v>
      </c>
      <c r="AC13" s="172" t="n">
        <f aca="false">IF(T13=" ",Sep!AC43,T13+Sep!AC43)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IF(T$9="Y",Sep!H44,0)</f>
        <v>0</v>
      </c>
      <c r="I14" s="177" t="n">
        <f aca="false">IF(T$9="Y",Sep!I44,0)</f>
        <v>0</v>
      </c>
      <c r="J14" s="177" t="n">
        <f aca="false">IF(T$9="Y",Sep!J44,0)</f>
        <v>0</v>
      </c>
      <c r="K14" s="177" t="n">
        <f aca="false">IF(T$9="Y",Sep!K44,I14*J14)</f>
        <v>0</v>
      </c>
      <c r="L14" s="179" t="n">
        <f aca="false">IF(T$9="Y",Sep!L44,0)</f>
        <v>0</v>
      </c>
      <c r="M14" s="179" t="str">
        <f aca="false">IF(E14=" "," ",IF(T$9="Y",Sep!M44,IF((H14+K14+L14)&gt;0,H14+K14+L14,"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IF(Employee!H$112=E$9,Employee!D$112+SUM(M14)+Sep!V44,SUM(M14)+Sep!V44)</f>
        <v>0</v>
      </c>
      <c r="W14" s="172" t="n">
        <f aca="false">IF(Employee!H$112=E$9,Employee!D$113+SUM(N14)+Sep!W44,SUM(N14)+Sep!W44)</f>
        <v>0</v>
      </c>
      <c r="X14" s="172" t="n">
        <f aca="false">IF(O14=" ",Sep!X44,O14+Sep!X44)</f>
        <v>0</v>
      </c>
      <c r="Y14" s="172" t="n">
        <f aca="false">IF(P14=" ",Sep!Y44,P14+Sep!Y44)</f>
        <v>0</v>
      </c>
      <c r="Z14" s="172" t="n">
        <f aca="false">IF(Q14=" ",Sep!Z44,Q14+Sep!Z44)</f>
        <v>0</v>
      </c>
      <c r="AA14" s="172" t="n">
        <f aca="false">IF(R14=" ",Sep!AA44,R14+Sep!AA44)</f>
        <v>0</v>
      </c>
      <c r="AC14" s="172" t="n">
        <f aca="false">IF(T14=" ",Sep!AC44,T14+Sep!AC44)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IF(T$9="Y",Sep!H45,0)</f>
        <v>0</v>
      </c>
      <c r="I15" s="182" t="n">
        <f aca="false">IF(T$9="Y",Sep!I45,0)</f>
        <v>0</v>
      </c>
      <c r="J15" s="182" t="n">
        <f aca="false">IF(T$9="Y",Sep!J45,0)</f>
        <v>0</v>
      </c>
      <c r="K15" s="182" t="n">
        <f aca="false">IF(T$9="Y",Sep!K45,I15*J15)</f>
        <v>0</v>
      </c>
      <c r="L15" s="183" t="n">
        <f aca="false">IF(T$9="Y",Sep!L45,0)</f>
        <v>0</v>
      </c>
      <c r="M15" s="179" t="str">
        <f aca="false">IF(E15=" "," ",IF(T$9="Y",Sep!M45,IF((H15+K15+L15)&gt;0,H15+K15+L15,"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IF(Employee!H$138=E$9,Employee!D$138+SUM(M15)+Sep!V45,SUM(M15)+Sep!V45)</f>
        <v>0</v>
      </c>
      <c r="W15" s="172" t="n">
        <f aca="false">IF(Employee!H$138=E$9,Employee!D$139+SUM(N15)+Sep!W45,SUM(N15)+Sep!W45)</f>
        <v>0</v>
      </c>
      <c r="X15" s="172" t="n">
        <f aca="false">IF(O15=" ",Sep!X45,O15+Sep!X45)</f>
        <v>0</v>
      </c>
      <c r="Y15" s="172" t="n">
        <f aca="false">IF(P15=" ",Sep!Y45,P15+Sep!Y45)</f>
        <v>0</v>
      </c>
      <c r="Z15" s="172" t="n">
        <f aca="false">IF(Q15=" ",Sep!Z45,Q15+Sep!Z45)</f>
        <v>0</v>
      </c>
      <c r="AA15" s="172" t="n">
        <f aca="false">IF(R15=" ",Sep!AA45,R15+Sep!AA45)</f>
        <v>0</v>
      </c>
      <c r="AC15" s="172" t="n">
        <f aca="false">IF(T15=" ",Sep!AC45,T15+Sep!AC45)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46817</v>
      </c>
      <c r="L19" s="149" t="s">
        <v>85</v>
      </c>
      <c r="M19" s="150" t="n">
        <f aca="false">K19+6</f>
        <v>46823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46824</v>
      </c>
      <c r="L29" s="149" t="s">
        <v>85</v>
      </c>
      <c r="M29" s="150" t="n">
        <f aca="false">K29+6</f>
        <v>46830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46831</v>
      </c>
      <c r="L39" s="149" t="s">
        <v>85</v>
      </c>
      <c r="M39" s="150" t="n">
        <f aca="false">K39+6</f>
        <v>46837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46838</v>
      </c>
      <c r="L49" s="149" t="s">
        <v>85</v>
      </c>
      <c r="M49" s="150" t="n">
        <f aca="false">K49+6</f>
        <v>46844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46845</v>
      </c>
      <c r="L59" s="149" t="s">
        <v>85</v>
      </c>
      <c r="M59" s="150" t="n">
        <f aca="false">K59+4</f>
        <v>46849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136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DATE(2027,10,1)</f>
        <v>46661</v>
      </c>
      <c r="L69" s="149" t="s">
        <v>85</v>
      </c>
      <c r="M69" s="150" t="n">
        <v>46691</v>
      </c>
      <c r="N69" s="151"/>
      <c r="O69" s="198" t="s">
        <v>105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93</v>
      </c>
      <c r="E71" s="213" t="n">
        <f aca="false">IF(Employee!D$28="w"," ",IF(Employee!F$24&gt;E$69," ",IF(Employee!F$26&lt;E$69," ",Employee!D$29)))</f>
        <v>1</v>
      </c>
      <c r="F71" s="162" t="s">
        <v>94</v>
      </c>
      <c r="G71" s="212"/>
      <c r="H71" s="164" t="n">
        <f aca="false">IF(T$69="Y",Sep!H51,0)</f>
        <v>0</v>
      </c>
      <c r="I71" s="168" t="n">
        <f aca="false">IF(T$69="Y",Sep!I51,0)</f>
        <v>0</v>
      </c>
      <c r="J71" s="168" t="n">
        <f aca="false">IF(T$69="Y",Sep!J51,0)</f>
        <v>0</v>
      </c>
      <c r="K71" s="168" t="n">
        <f aca="false">IF(T$69="Y",Sep!K51,I71*J71)</f>
        <v>0</v>
      </c>
      <c r="L71" s="166" t="n">
        <f aca="false">IF(T$69="Y",Sep!L51,0)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137</v>
      </c>
      <c r="T71" s="170" t="n">
        <v>382.5</v>
      </c>
      <c r="U71" s="171"/>
      <c r="V71" s="172" t="n">
        <f aca="false">IF(Employee!H$35=E$69,Employee!D$34+SUM(M71)+Sep!V51,SUM(M71)+Sep!V51)</f>
        <v>42000</v>
      </c>
      <c r="W71" s="172" t="n">
        <f aca="false">IF(Employee!H$35=E$69,Employee!D$35+SUM(N71)+Sep!W51,SUM(N71)+Sep!W51)</f>
        <v>6360</v>
      </c>
      <c r="X71" s="172" t="n">
        <f aca="false">IF(O71=" ",Sep!X51,O71+Sep!X51)</f>
        <v>2400</v>
      </c>
      <c r="Y71" s="172" t="n">
        <f aca="false">IF(P71=" ",Sep!Y51,P71+Sep!Y51)</f>
        <v>0</v>
      </c>
      <c r="Z71" s="172" t="n">
        <f aca="false">IF(Q71=" ",Sep!Z51,Q71+Sep!Z51)</f>
        <v>0</v>
      </c>
      <c r="AA71" s="172" t="n">
        <f aca="false">IF(R71=" ",Sep!AA51,R71+Sep!AA51)</f>
        <v>33240</v>
      </c>
      <c r="AC71" s="172" t="n">
        <f aca="false">IF(T71=" ",Sep!AC51,T71+Sep!AC51)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96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93</v>
      </c>
      <c r="E72" s="214" t="n">
        <f aca="false">IF(Employee!D$54="w"," ",IF(Employee!F$50&gt;E$69," ",IF(Employee!F$52&lt;E$69," ",Employee!D$55)))</f>
        <v>2</v>
      </c>
      <c r="F72" s="175" t="s">
        <v>97</v>
      </c>
      <c r="G72" s="212"/>
      <c r="H72" s="176" t="n">
        <f aca="false">IF(T$69="Y",Sep!H52,0)</f>
        <v>0</v>
      </c>
      <c r="I72" s="177" t="n">
        <f aca="false">IF(T$69="Y",Sep!I52,0)</f>
        <v>0</v>
      </c>
      <c r="J72" s="177" t="n">
        <f aca="false">IF(T$69="Y",Sep!J52,0)</f>
        <v>0</v>
      </c>
      <c r="K72" s="177" t="n">
        <f aca="false">IF(T$69="Y",Sep!K52,I72*J72)</f>
        <v>0</v>
      </c>
      <c r="L72" s="179" t="n">
        <f aca="false">IF(T$69="Y",Sep!L52,0)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138</v>
      </c>
      <c r="T72" s="180" t="n">
        <v>187.5</v>
      </c>
      <c r="U72" s="171"/>
      <c r="V72" s="172" t="n">
        <f aca="false">IF(Employee!H$61=E$69,Employee!D$60+SUM(M72)+Sep!V52,SUM(M72)+Sep!V52)</f>
        <v>26400</v>
      </c>
      <c r="W72" s="172" t="n">
        <f aca="false">IF(Employee!H$61=E$69,Employee!D$61+SUM(N72)+Sep!W52,SUM(N72)+Sep!W52)</f>
        <v>3240</v>
      </c>
      <c r="X72" s="172" t="n">
        <f aca="false">IF(O72=" ",Sep!X52,O72+Sep!X52)</f>
        <v>1152</v>
      </c>
      <c r="Y72" s="172" t="n">
        <f aca="false">IF(P72=" ",Sep!Y52,P72+Sep!Y52)</f>
        <v>0</v>
      </c>
      <c r="Z72" s="172" t="n">
        <f aca="false">IF(Q72=" ",Sep!Z52,Q72+Sep!Z52)</f>
        <v>0</v>
      </c>
      <c r="AA72" s="172" t="n">
        <f aca="false">IF(R72=" ",Sep!AA52,R72+Sep!AA52)</f>
        <v>22008</v>
      </c>
      <c r="AC72" s="172" t="n">
        <f aca="false">IF(T72=" ",Sep!AC52,T72+Sep!AC52)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96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93</v>
      </c>
      <c r="E73" s="214" t="n">
        <f aca="false">IF(Employee!D$80="w"," ",IF(Employee!F$76&gt;E$69," ",IF(Employee!F$78&lt;E$69," ",Employee!D$81)))</f>
        <v>3</v>
      </c>
      <c r="F73" s="175" t="s">
        <v>99</v>
      </c>
      <c r="G73" s="212"/>
      <c r="H73" s="176" t="n">
        <f aca="false">IF(T$69="Y",Sep!H53,0)</f>
        <v>0</v>
      </c>
      <c r="I73" s="177" t="n">
        <f aca="false">IF(T$69="Y",Sep!I53,0)</f>
        <v>0</v>
      </c>
      <c r="J73" s="177" t="n">
        <f aca="false">IF(T$69="Y",Sep!J53,0)</f>
        <v>0</v>
      </c>
      <c r="K73" s="177" t="n">
        <f aca="false">IF(T$69="Y",Sep!K53,I73*J73)</f>
        <v>0</v>
      </c>
      <c r="L73" s="179" t="n">
        <f aca="false">IF(T$69="Y",Sep!L53,0)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139</v>
      </c>
      <c r="T73" s="180" t="n">
        <v>7.2</v>
      </c>
      <c r="U73" s="171"/>
      <c r="V73" s="172" t="n">
        <f aca="false">IF(Employee!H$87=E$69,Employee!D$86+SUM(M73)+Sep!V53,SUM(M73)+Sep!V53)</f>
        <v>12576</v>
      </c>
      <c r="W73" s="172" t="n">
        <f aca="false">IF(Employee!H$87=E$69,Employee!D$87+SUM(N73)+Sep!W53,SUM(N73)+Sep!W53)</f>
        <v>0</v>
      </c>
      <c r="X73" s="172" t="n">
        <f aca="false">IF(O73=" ",Sep!X53,O73+Sep!X53)</f>
        <v>0</v>
      </c>
      <c r="Y73" s="172" t="n">
        <f aca="false">IF(P73=" ",Sep!Y53,P73+Sep!Y53)</f>
        <v>0</v>
      </c>
      <c r="Z73" s="172" t="n">
        <f aca="false">IF(Q73=" ",Sep!Z53,Q73+Sep!Z53)</f>
        <v>0</v>
      </c>
      <c r="AA73" s="172" t="n">
        <f aca="false">IF(R73=" ",Sep!AA53,R73+Sep!AA53)</f>
        <v>12576</v>
      </c>
      <c r="AC73" s="172" t="n">
        <f aca="false">IF(T73=" ",Sep!AC53,T73+Sep!AC53)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101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IF(T$69="Y",Sep!H54,0)</f>
        <v>0</v>
      </c>
      <c r="I74" s="177" t="n">
        <f aca="false">IF(T$69="Y",Sep!I54,0)</f>
        <v>0</v>
      </c>
      <c r="J74" s="177" t="n">
        <f aca="false">IF(T$69="Y",Sep!J54,0)</f>
        <v>0</v>
      </c>
      <c r="K74" s="177" t="n">
        <f aca="false">IF(T$69="Y",Sep!K54,I74*J74)</f>
        <v>0</v>
      </c>
      <c r="L74" s="179" t="n">
        <f aca="false">IF(T$69="Y",Sep!L54,0)</f>
        <v>0</v>
      </c>
      <c r="M74" s="180" t="str">
        <f aca="false">IF(E74=" "," ",IF(T$69="Y",Sep!M54,IF((H74+K74+L74)&gt;0,H74+K74+L74,"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IF(Employee!H$113=E$69,Employee!D$112+SUM(M74)+Sep!V54,SUM(M74)+Sep!V54)</f>
        <v>0</v>
      </c>
      <c r="W74" s="172" t="n">
        <f aca="false">IF(Employee!H$113=E$69,Employee!D$113+SUM(N74)+Sep!W54,SUM(N74)+Sep!W54)</f>
        <v>0</v>
      </c>
      <c r="X74" s="172" t="n">
        <f aca="false">IF(O74=" ",Sep!X54,O74+Sep!X54)</f>
        <v>0</v>
      </c>
      <c r="Y74" s="172" t="n">
        <f aca="false">IF(P74=" ",Sep!Y54,P74+Sep!Y54)</f>
        <v>0</v>
      </c>
      <c r="Z74" s="172" t="n">
        <f aca="false">IF(Q74=" ",Sep!Z54,Q74+Sep!Z54)</f>
        <v>0</v>
      </c>
      <c r="AA74" s="172" t="n">
        <f aca="false">IF(R74=" ",Sep!AA54,R74+Sep!AA54)</f>
        <v>0</v>
      </c>
      <c r="AC74" s="172" t="n">
        <f aca="false">IF(T74=" ",Sep!AC54,T74+Sep!AC54)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IF(T$69="Y",Sep!H55,0)</f>
        <v>0</v>
      </c>
      <c r="I75" s="182" t="n">
        <f aca="false">IF(T$69="Y",Sep!I55,0)</f>
        <v>0</v>
      </c>
      <c r="J75" s="182" t="n">
        <f aca="false">IF(T$69="Y",Sep!J55,0)</f>
        <v>0</v>
      </c>
      <c r="K75" s="182" t="n">
        <f aca="false">IF(T$69="Y",Sep!K55,I75*J75)</f>
        <v>0</v>
      </c>
      <c r="L75" s="183" t="n">
        <f aca="false">IF(T$69="Y",Sep!L55,0)</f>
        <v>0</v>
      </c>
      <c r="M75" s="180" t="str">
        <f aca="false">IF(E75=" "," ",IF(T$69="Y",Sep!M55,IF((H75+K75+L75)&gt;0,H75+K75+L75,"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IF(Employee!H$139=E$69,Employee!D$138+SUM(M75)+Sep!V55,SUM(M75)+Sep!V55)</f>
        <v>0</v>
      </c>
      <c r="W75" s="172" t="n">
        <f aca="false">IF(Employee!H$139=E$69,Employee!D$139+SUM(N75)+Sep!W55,SUM(N75)+Sep!W55)</f>
        <v>0</v>
      </c>
      <c r="X75" s="172" t="n">
        <f aca="false">IF(O75=" ",Sep!X55,O75+Sep!X55)</f>
        <v>0</v>
      </c>
      <c r="Y75" s="172" t="n">
        <f aca="false">IF(P75=" ",Sep!Y55,P75+Sep!Y55)</f>
        <v>0</v>
      </c>
      <c r="Z75" s="172" t="n">
        <f aca="false">IF(Q75=" ",Sep!Z55,Q75+Sep!Z55)</f>
        <v>0</v>
      </c>
      <c r="AA75" s="172" t="n">
        <f aca="false">IF(R75=" ",Sep!AA55,R75+Sep!AA55)</f>
        <v>0</v>
      </c>
      <c r="AC75" s="172" t="n">
        <f aca="false">IF(T75=" ",Sep!AC55,T75+Sep!AC55)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102</v>
      </c>
      <c r="G79" s="219"/>
      <c r="H79" s="219"/>
      <c r="M79" s="220" t="s">
        <v>103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104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AD80+Sep!AD65</f>
        <v>0</v>
      </c>
      <c r="AE85" s="240" t="n">
        <f aca="false">AE80+Sep!AE65</f>
        <v>0</v>
      </c>
      <c r="AF85" s="240" t="n">
        <f aca="false">AF80+Sep!AF65</f>
        <v>0</v>
      </c>
      <c r="AG85" s="240" t="n">
        <f aca="false">AG80+Sep!AG65</f>
        <v>0</v>
      </c>
    </row>
    <row r="87" customFormat="false" ht="12.75" hidden="false" customHeight="false" outlineLevel="0" collapsed="false">
      <c r="AD87" s="233"/>
      <c r="AE87" s="240" t="n">
        <f aca="false">AE82+Sep!AE67</f>
        <v>0</v>
      </c>
      <c r="AF87" s="240" t="n">
        <f aca="false">AF82+Sep!AF67</f>
        <v>0</v>
      </c>
      <c r="AG87" s="240" t="n">
        <f aca="false">AG82+Sep!AG67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s="268" customFormat="true" ht="12.65" hidden="false" customHeight="false" outlineLevel="0" collapsed="false">
      <c r="B3" s="269" t="s">
        <v>140</v>
      </c>
      <c r="C3" s="270"/>
      <c r="D3" s="270"/>
      <c r="E3" s="270"/>
      <c r="F3" s="271" t="s">
        <v>6</v>
      </c>
      <c r="G3" s="272" t="s">
        <v>141</v>
      </c>
      <c r="H3" s="272" t="str">
        <f aca="false">LOOKUP(F4,IF(F3="W",Admin!C2:C381,IF(F3="M",Admin!D2:D381," ")),Admin!A2:A381)</f>
        <v>Dec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</row>
    <row r="4" s="268" customFormat="true" ht="12.65" hidden="false" customHeight="false" outlineLevel="0" collapsed="false">
      <c r="B4" s="269" t="s">
        <v>142</v>
      </c>
      <c r="C4" s="270"/>
      <c r="D4" s="270"/>
      <c r="E4" s="270"/>
      <c r="F4" s="271" t="n">
        <v>2</v>
      </c>
      <c r="G4" s="272" t="s">
        <v>143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</row>
    <row r="5" s="268" customFormat="true" ht="12.65" hidden="false" customHeight="false" outlineLevel="0" collapsed="false"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Ltd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144</v>
      </c>
      <c r="I9" s="296" t="n">
        <f aca="true">INDIRECT(ADDRESS($H$4+1,13,1,TRUE(),$H$3))</f>
        <v>46387</v>
      </c>
      <c r="J9" s="297" t="s">
        <v>55</v>
      </c>
      <c r="K9" s="297"/>
      <c r="L9" s="295" t="s">
        <v>145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146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1257L</v>
      </c>
      <c r="K10" s="303"/>
      <c r="L10" s="295" t="s">
        <v>147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148</v>
      </c>
      <c r="C12" s="305"/>
      <c r="D12" s="305"/>
      <c r="E12" s="305"/>
      <c r="F12" s="305"/>
      <c r="G12" s="306" t="s">
        <v>149</v>
      </c>
      <c r="H12" s="307" t="s">
        <v>150</v>
      </c>
      <c r="I12" s="307"/>
      <c r="J12" s="307"/>
      <c r="K12" s="307"/>
      <c r="L12" s="307"/>
      <c r="M12" s="308" t="s">
        <v>151</v>
      </c>
      <c r="N12" s="292"/>
    </row>
    <row r="13" s="312" customFormat="true" ht="21" hidden="false" customHeight="true" outlineLevel="0" collapsed="false">
      <c r="A13" s="286"/>
      <c r="B13" s="309" t="s">
        <v>152</v>
      </c>
      <c r="C13" s="309" t="s">
        <v>153</v>
      </c>
      <c r="D13" s="309" t="s">
        <v>154</v>
      </c>
      <c r="E13" s="309" t="s">
        <v>155</v>
      </c>
      <c r="F13" s="310" t="s">
        <v>156</v>
      </c>
      <c r="G13" s="306"/>
      <c r="H13" s="311" t="s">
        <v>157</v>
      </c>
      <c r="I13" s="309" t="s">
        <v>158</v>
      </c>
      <c r="J13" s="309" t="s">
        <v>159</v>
      </c>
      <c r="K13" s="309"/>
      <c r="L13" s="310" t="s">
        <v>68</v>
      </c>
      <c r="M13" s="308"/>
      <c r="N13" s="292"/>
    </row>
    <row r="14" s="320" customFormat="tru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</row>
    <row r="15" s="323" customFormat="true" ht="21" hidden="false" customHeight="true" outlineLevel="0" collapsed="false">
      <c r="A15" s="286"/>
      <c r="B15" s="321" t="s">
        <v>160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</row>
    <row r="16" s="323" customFormat="true" ht="21" hidden="false" customHeight="true" outlineLevel="0" collapsed="false">
      <c r="A16" s="286"/>
      <c r="B16" s="324"/>
      <c r="C16" s="324"/>
      <c r="D16" s="322"/>
      <c r="E16" s="325" t="s">
        <v>161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162</v>
      </c>
      <c r="K18" s="326"/>
      <c r="L18" s="326"/>
      <c r="M18" s="327" t="n">
        <f aca="true">IF(M8=" "," ",INDIRECT(ADDRESS($H$4+1,13,1,TRUE(),$H$3)))</f>
        <v>46387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Ltd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144</v>
      </c>
      <c r="I23" s="296" t="n">
        <f aca="false">I9</f>
        <v>46387</v>
      </c>
      <c r="J23" s="297" t="s">
        <v>55</v>
      </c>
      <c r="K23" s="297"/>
      <c r="L23" s="295" t="s">
        <v>145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146</v>
      </c>
      <c r="C24" s="298" t="n">
        <f aca="false">Employee!$D$55</f>
        <v>2</v>
      </c>
      <c r="D24" s="333"/>
      <c r="E24" s="334"/>
      <c r="F24" s="304"/>
      <c r="G24" s="304"/>
      <c r="H24" s="301" t="s">
        <v>163</v>
      </c>
      <c r="I24" s="302" t="n">
        <f aca="false">I10</f>
        <v>2</v>
      </c>
      <c r="J24" s="303" t="str">
        <f aca="true">IF(M22=" "," ",INDIRECT(ADDRESS($H$4+2+C24,4,1,TRUE(),$H$3)))</f>
        <v>1257L</v>
      </c>
      <c r="K24" s="303"/>
      <c r="L24" s="295" t="s">
        <v>147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148</v>
      </c>
      <c r="C26" s="305"/>
      <c r="D26" s="305"/>
      <c r="E26" s="305"/>
      <c r="F26" s="305"/>
      <c r="G26" s="306" t="s">
        <v>149</v>
      </c>
      <c r="H26" s="305" t="s">
        <v>150</v>
      </c>
      <c r="I26" s="305"/>
      <c r="J26" s="305"/>
      <c r="K26" s="305"/>
      <c r="L26" s="305"/>
      <c r="M26" s="335" t="s">
        <v>151</v>
      </c>
      <c r="N26" s="292"/>
    </row>
    <row r="27" s="312" customFormat="true" ht="21" hidden="false" customHeight="true" outlineLevel="0" collapsed="false">
      <c r="A27" s="286"/>
      <c r="B27" s="309" t="s">
        <v>152</v>
      </c>
      <c r="C27" s="309" t="s">
        <v>153</v>
      </c>
      <c r="D27" s="309" t="s">
        <v>154</v>
      </c>
      <c r="E27" s="309" t="s">
        <v>155</v>
      </c>
      <c r="F27" s="310" t="s">
        <v>156</v>
      </c>
      <c r="G27" s="306"/>
      <c r="H27" s="309" t="s">
        <v>157</v>
      </c>
      <c r="I27" s="309" t="s">
        <v>158</v>
      </c>
      <c r="J27" s="309" t="s">
        <v>159</v>
      </c>
      <c r="K27" s="309"/>
      <c r="L27" s="310" t="s">
        <v>68</v>
      </c>
      <c r="M27" s="335"/>
      <c r="N27" s="292"/>
    </row>
    <row r="28" s="323" customFormat="tru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</row>
    <row r="29" s="323" customFormat="true" ht="21" hidden="false" customHeight="true" outlineLevel="0" collapsed="false">
      <c r="A29" s="286"/>
      <c r="B29" s="321" t="s">
        <v>160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</row>
    <row r="30" s="323" customFormat="true" ht="21" hidden="false" customHeight="true" outlineLevel="0" collapsed="false">
      <c r="A30" s="286"/>
      <c r="B30" s="324"/>
      <c r="C30" s="324"/>
      <c r="D30" s="322"/>
      <c r="E30" s="325" t="s">
        <v>161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162</v>
      </c>
      <c r="K32" s="326"/>
      <c r="L32" s="326"/>
      <c r="M32" s="327" t="n">
        <f aca="false">M18</f>
        <v>46387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Ltd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144</v>
      </c>
      <c r="I38" s="296" t="n">
        <f aca="false">I23</f>
        <v>46387</v>
      </c>
      <c r="J38" s="297" t="s">
        <v>55</v>
      </c>
      <c r="K38" s="297"/>
      <c r="L38" s="295" t="s">
        <v>145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146</v>
      </c>
      <c r="C39" s="298" t="n">
        <f aca="false">Employee!$D$81</f>
        <v>3</v>
      </c>
      <c r="D39" s="333"/>
      <c r="E39" s="334"/>
      <c r="F39" s="304"/>
      <c r="G39" s="304"/>
      <c r="H39" s="301" t="s">
        <v>163</v>
      </c>
      <c r="I39" s="302" t="n">
        <f aca="false">I24</f>
        <v>2</v>
      </c>
      <c r="J39" s="303" t="str">
        <f aca="true">IF(M37=" "," ",INDIRECT(ADDRESS($H$4+2+C39,4,1,TRUE(),$H$3)))</f>
        <v>1257L</v>
      </c>
      <c r="K39" s="303"/>
      <c r="L39" s="295" t="s">
        <v>147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148</v>
      </c>
      <c r="C41" s="305"/>
      <c r="D41" s="305"/>
      <c r="E41" s="305"/>
      <c r="F41" s="305"/>
      <c r="G41" s="306" t="s">
        <v>149</v>
      </c>
      <c r="H41" s="305" t="s">
        <v>150</v>
      </c>
      <c r="I41" s="305"/>
      <c r="J41" s="305"/>
      <c r="K41" s="305"/>
      <c r="L41" s="305"/>
      <c r="M41" s="335" t="s">
        <v>151</v>
      </c>
      <c r="N41" s="292"/>
    </row>
    <row r="42" s="312" customFormat="true" ht="21" hidden="false" customHeight="true" outlineLevel="0" collapsed="false">
      <c r="A42" s="286"/>
      <c r="B42" s="309" t="s">
        <v>152</v>
      </c>
      <c r="C42" s="309" t="s">
        <v>153</v>
      </c>
      <c r="D42" s="309" t="s">
        <v>154</v>
      </c>
      <c r="E42" s="309" t="s">
        <v>155</v>
      </c>
      <c r="F42" s="310" t="s">
        <v>156</v>
      </c>
      <c r="G42" s="306"/>
      <c r="H42" s="309" t="s">
        <v>157</v>
      </c>
      <c r="I42" s="309" t="s">
        <v>158</v>
      </c>
      <c r="J42" s="309" t="s">
        <v>159</v>
      </c>
      <c r="K42" s="309"/>
      <c r="L42" s="310" t="s">
        <v>68</v>
      </c>
      <c r="M42" s="335"/>
      <c r="N42" s="292"/>
    </row>
    <row r="43" s="323" customFormat="tru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</row>
    <row r="44" s="323" customFormat="true" ht="21" hidden="false" customHeight="true" outlineLevel="0" collapsed="false">
      <c r="A44" s="286"/>
      <c r="B44" s="321" t="s">
        <v>160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</row>
    <row r="45" s="323" customFormat="true" ht="21" hidden="false" customHeight="true" outlineLevel="0" collapsed="false">
      <c r="A45" s="286"/>
      <c r="B45" s="324"/>
      <c r="C45" s="324"/>
      <c r="D45" s="322"/>
      <c r="E45" s="325" t="s">
        <v>161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162</v>
      </c>
      <c r="K47" s="326"/>
      <c r="L47" s="326"/>
      <c r="M47" s="327" t="n">
        <f aca="false">M32</f>
        <v>46387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144</v>
      </c>
      <c r="I52" s="296" t="n">
        <f aca="false">I38</f>
        <v>46387</v>
      </c>
      <c r="J52" s="297" t="s">
        <v>55</v>
      </c>
      <c r="K52" s="297"/>
      <c r="L52" s="295" t="s">
        <v>145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146</v>
      </c>
      <c r="C53" s="298" t="n">
        <f aca="false">Employee!$D$107</f>
        <v>4</v>
      </c>
      <c r="D53" s="333"/>
      <c r="E53" s="334"/>
      <c r="F53" s="304"/>
      <c r="G53" s="304"/>
      <c r="H53" s="301" t="s">
        <v>163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147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148</v>
      </c>
      <c r="C55" s="305"/>
      <c r="D55" s="305"/>
      <c r="E55" s="305"/>
      <c r="F55" s="305"/>
      <c r="G55" s="306" t="s">
        <v>149</v>
      </c>
      <c r="H55" s="305" t="s">
        <v>150</v>
      </c>
      <c r="I55" s="305"/>
      <c r="J55" s="305"/>
      <c r="K55" s="305"/>
      <c r="L55" s="305"/>
      <c r="M55" s="335" t="s">
        <v>151</v>
      </c>
      <c r="N55" s="292"/>
    </row>
    <row r="56" s="312" customFormat="true" ht="21" hidden="false" customHeight="true" outlineLevel="0" collapsed="false">
      <c r="A56" s="286"/>
      <c r="B56" s="309" t="s">
        <v>152</v>
      </c>
      <c r="C56" s="309" t="s">
        <v>153</v>
      </c>
      <c r="D56" s="309" t="s">
        <v>154</v>
      </c>
      <c r="E56" s="309" t="s">
        <v>155</v>
      </c>
      <c r="F56" s="310" t="s">
        <v>156</v>
      </c>
      <c r="G56" s="306"/>
      <c r="H56" s="309" t="s">
        <v>157</v>
      </c>
      <c r="I56" s="309" t="s">
        <v>158</v>
      </c>
      <c r="J56" s="309" t="s">
        <v>159</v>
      </c>
      <c r="K56" s="309"/>
      <c r="L56" s="310" t="s">
        <v>68</v>
      </c>
      <c r="M56" s="335"/>
      <c r="N56" s="292"/>
    </row>
    <row r="57" s="323" customFormat="tru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</row>
    <row r="58" s="323" customFormat="true" ht="21" hidden="false" customHeight="true" outlineLevel="0" collapsed="false">
      <c r="A58" s="286"/>
      <c r="B58" s="321" t="s">
        <v>160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</row>
    <row r="59" s="323" customFormat="true" ht="21" hidden="false" customHeight="true" outlineLevel="0" collapsed="false">
      <c r="A59" s="286"/>
      <c r="B59" s="324"/>
      <c r="C59" s="324"/>
      <c r="D59" s="322"/>
      <c r="E59" s="325" t="s">
        <v>161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162</v>
      </c>
      <c r="K61" s="326"/>
      <c r="L61" s="326"/>
      <c r="M61" s="327" t="n">
        <f aca="false">M47</f>
        <v>46387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144</v>
      </c>
      <c r="I67" s="296" t="n">
        <f aca="false">I52</f>
        <v>46387</v>
      </c>
      <c r="J67" s="297" t="s">
        <v>55</v>
      </c>
      <c r="K67" s="297"/>
      <c r="L67" s="295" t="s">
        <v>145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146</v>
      </c>
      <c r="C68" s="298" t="n">
        <f aca="false">Employee!$D$133</f>
        <v>5</v>
      </c>
      <c r="D68" s="333"/>
      <c r="E68" s="334"/>
      <c r="F68" s="304"/>
      <c r="G68" s="304"/>
      <c r="H68" s="301" t="s">
        <v>163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147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148</v>
      </c>
      <c r="C70" s="305"/>
      <c r="D70" s="305"/>
      <c r="E70" s="305"/>
      <c r="F70" s="305"/>
      <c r="G70" s="306" t="s">
        <v>149</v>
      </c>
      <c r="H70" s="305" t="s">
        <v>150</v>
      </c>
      <c r="I70" s="305"/>
      <c r="J70" s="305"/>
      <c r="K70" s="305"/>
      <c r="L70" s="305"/>
      <c r="M70" s="335" t="s">
        <v>151</v>
      </c>
      <c r="N70" s="292"/>
    </row>
    <row r="71" s="312" customFormat="true" ht="21" hidden="false" customHeight="true" outlineLevel="0" collapsed="false">
      <c r="A71" s="286"/>
      <c r="B71" s="309" t="s">
        <v>152</v>
      </c>
      <c r="C71" s="309" t="s">
        <v>153</v>
      </c>
      <c r="D71" s="309" t="s">
        <v>154</v>
      </c>
      <c r="E71" s="309" t="s">
        <v>155</v>
      </c>
      <c r="F71" s="310" t="s">
        <v>156</v>
      </c>
      <c r="G71" s="306"/>
      <c r="H71" s="309" t="s">
        <v>164</v>
      </c>
      <c r="I71" s="309" t="s">
        <v>158</v>
      </c>
      <c r="J71" s="309" t="s">
        <v>159</v>
      </c>
      <c r="K71" s="309"/>
      <c r="L71" s="310" t="s">
        <v>68</v>
      </c>
      <c r="M71" s="335"/>
      <c r="N71" s="292"/>
    </row>
    <row r="72" s="323" customFormat="tru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</row>
    <row r="73" s="323" customFormat="true" ht="21" hidden="false" customHeight="true" outlineLevel="0" collapsed="false">
      <c r="A73" s="286"/>
      <c r="B73" s="321" t="s">
        <v>160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</row>
    <row r="74" s="323" customFormat="true" ht="21" hidden="false" customHeight="true" outlineLevel="0" collapsed="false">
      <c r="A74" s="286"/>
      <c r="B74" s="324"/>
      <c r="C74" s="324"/>
      <c r="D74" s="322"/>
      <c r="E74" s="325" t="s">
        <v>161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162</v>
      </c>
      <c r="K76" s="326"/>
      <c r="L76" s="326"/>
      <c r="M76" s="327" t="n">
        <f aca="false">M61</f>
        <v>46387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s="347" customFormat="true" ht="32.8" hidden="false" customHeight="false" outlineLevel="0" collapsed="false">
      <c r="A2" s="343"/>
      <c r="B2" s="344" t="s">
        <v>165</v>
      </c>
      <c r="C2" s="345" t="s">
        <v>166</v>
      </c>
      <c r="D2" s="344" t="s">
        <v>167</v>
      </c>
      <c r="E2" s="344" t="s">
        <v>168</v>
      </c>
      <c r="F2" s="344" t="s">
        <v>169</v>
      </c>
      <c r="G2" s="344" t="s">
        <v>170</v>
      </c>
      <c r="H2" s="344" t="s">
        <v>171</v>
      </c>
      <c r="I2" s="344" t="s">
        <v>172</v>
      </c>
      <c r="J2" s="344" t="s">
        <v>173</v>
      </c>
      <c r="K2" s="344" t="s">
        <v>174</v>
      </c>
      <c r="L2" s="345" t="s">
        <v>175</v>
      </c>
      <c r="M2" s="345" t="s">
        <v>176</v>
      </c>
      <c r="N2" s="344" t="s">
        <v>177</v>
      </c>
      <c r="O2" s="346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DATE(2027,4,30)</f>
        <v>46507</v>
      </c>
      <c r="C4" s="354" t="n">
        <f aca="false">DATE(2027,5,19)</f>
        <v>46526</v>
      </c>
      <c r="D4" s="355" t="n">
        <f aca="false">Apr!T1+Apr!O1</f>
        <v>873.2</v>
      </c>
      <c r="E4" s="356" t="n">
        <f aca="false">Apr!N1</f>
        <v>800</v>
      </c>
      <c r="F4" s="356" t="n">
        <f aca="false">Apr!AD70+Apr!AE70+Apr!AF70+Apr!AG70</f>
        <v>0</v>
      </c>
      <c r="G4" s="356" t="n">
        <f aca="false">Apr!AE72+Apr!AF72+Apr!AG72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2801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DATE(2027,5,31)</f>
        <v>46538</v>
      </c>
      <c r="C5" s="354" t="n">
        <f aca="false">DATE(2027,6,19)</f>
        <v>46557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2802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DATE(2027,6,30)</f>
        <v>46568</v>
      </c>
      <c r="C6" s="354" t="n">
        <f aca="false">DATE(2027,7,19)</f>
        <v>46587</v>
      </c>
      <c r="D6" s="355" t="n">
        <f aca="false">Jun!T1+Jun!O1</f>
        <v>873.2</v>
      </c>
      <c r="E6" s="356" t="n">
        <f aca="false">Jun!N1</f>
        <v>800</v>
      </c>
      <c r="F6" s="356" t="n">
        <f aca="false">Jun!AD60+Jun!AE60+Jun!AF60+Jun!AG60</f>
        <v>0</v>
      </c>
      <c r="G6" s="356" t="n">
        <f aca="false">Jun!AE62+Jun!AF62+Jun!AG62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2803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DATE(2027,7,31)</f>
        <v>46599</v>
      </c>
      <c r="C7" s="354" t="n">
        <f aca="false">DATE(2027,8,19)</f>
        <v>46618</v>
      </c>
      <c r="D7" s="355" t="n">
        <f aca="false">Jul!T1+Jul!O1</f>
        <v>873.2</v>
      </c>
      <c r="E7" s="356" t="n">
        <f aca="false">Jul!N1</f>
        <v>800</v>
      </c>
      <c r="F7" s="356" t="n">
        <f aca="false">Jul!AD70+Jul!AE70+Jul!AF70+Jul!AG70</f>
        <v>0</v>
      </c>
      <c r="G7" s="356" t="n">
        <f aca="false">Jul!AE72+Jul!AF72+Jul!AG72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2804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DATE(2027,8,31)</f>
        <v>46630</v>
      </c>
      <c r="C8" s="354" t="n">
        <f aca="false">DATE(2027,9,19)</f>
        <v>46649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2805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DATE(2027,9,30)</f>
        <v>46660</v>
      </c>
      <c r="C9" s="354" t="n">
        <f aca="false">DATE(2027,10,19)</f>
        <v>46679</v>
      </c>
      <c r="D9" s="355" t="n">
        <f aca="false">Sep!T1+Sep!O1</f>
        <v>873.2</v>
      </c>
      <c r="E9" s="356" t="n">
        <f aca="false">Sep!N1</f>
        <v>800</v>
      </c>
      <c r="F9" s="356" t="n">
        <f aca="false">Sep!AD60+Sep!AE60+Sep!AF60+Sep!AG60</f>
        <v>0</v>
      </c>
      <c r="G9" s="356" t="n">
        <f aca="false">Sep!AE62+Sep!AF62+Sep!AG62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2806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DATE(2027,10,31)</f>
        <v>46691</v>
      </c>
      <c r="C10" s="354" t="n">
        <f aca="false">DATE(2027,11,19)</f>
        <v>46710</v>
      </c>
      <c r="D10" s="355" t="n">
        <f aca="false">Oct!T1+Oct!O1</f>
        <v>873.2</v>
      </c>
      <c r="E10" s="356" t="n">
        <f aca="false">Oct!N1</f>
        <v>800</v>
      </c>
      <c r="F10" s="356" t="n">
        <f aca="false">Oct!AD80+Oct!AE80+Oct!AF80+Oct!AG80</f>
        <v>0</v>
      </c>
      <c r="G10" s="356" t="n">
        <f aca="false">Oct!AE82+Oct!AF82+Oct!AG82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2807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DATE(2027,11,30)</f>
        <v>46721</v>
      </c>
      <c r="C11" s="354" t="n">
        <f aca="false">DATE(2027,12,19)</f>
        <v>46740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2808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DATE(2027,12,31)</f>
        <v>46752</v>
      </c>
      <c r="C12" s="354" t="n">
        <f aca="false">DATE(2028,1,19)</f>
        <v>46771</v>
      </c>
      <c r="D12" s="355" t="n">
        <f aca="false">Dec!T1+Dec!O1</f>
        <v>873.2</v>
      </c>
      <c r="E12" s="356" t="n">
        <f aca="false">Dec!N1</f>
        <v>800</v>
      </c>
      <c r="F12" s="356" t="n">
        <f aca="false">Dec!AD60+Dec!AE60+Dec!AF60+Dec!AG60</f>
        <v>0</v>
      </c>
      <c r="G12" s="356" t="n">
        <f aca="false">Dec!AE62+Dec!AF62+Dec!AG62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2809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DATE(2028,1,31)</f>
        <v>46783</v>
      </c>
      <c r="C13" s="354" t="n">
        <f aca="false">DATE(2028,2,19)</f>
        <v>46802</v>
      </c>
      <c r="D13" s="355" t="n">
        <f aca="false">Jan!T1+Jan!O1</f>
        <v>873.2</v>
      </c>
      <c r="E13" s="356" t="n">
        <f aca="false">Jan!N1</f>
        <v>800</v>
      </c>
      <c r="F13" s="356" t="n">
        <f aca="false">Jan!AD70+Jan!AE70+Jan!AF70+Jan!AG70</f>
        <v>0</v>
      </c>
      <c r="G13" s="356" t="n">
        <f aca="false">Jan!AE72+Jan!AF72+Jan!AG72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2810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DATE(2028,2,29)</f>
        <v>46812</v>
      </c>
      <c r="C14" s="354" t="n">
        <f aca="false">DATE(2028,3,19)</f>
        <v>46831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2811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DATE(2028,3,31)</f>
        <v>46843</v>
      </c>
      <c r="C15" s="354" t="n">
        <f aca="false">DATE(2028,4,19)</f>
        <v>46862</v>
      </c>
      <c r="D15" s="355" t="n">
        <f aca="false">Mar!T1+Mar!O1</f>
        <v>873.2</v>
      </c>
      <c r="E15" s="356" t="n">
        <f aca="false">Mar!N1</f>
        <v>800</v>
      </c>
      <c r="F15" s="356" t="n">
        <f aca="false">Mar!AD60+Mar!AE60+Mar!AF60+Mar!AG60</f>
        <v>0</v>
      </c>
      <c r="G15" s="356" t="n">
        <f aca="false">Mar!AE62+Mar!AF62+Mar!AG62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2812</v>
      </c>
      <c r="N15" s="357" t="n">
        <f aca="false">N14+I15-L15</f>
        <v>20078.4</v>
      </c>
      <c r="O15" s="352"/>
    </row>
    <row r="16" s="338" customFormat="tru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178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179</v>
      </c>
      <c r="B1" s="375" t="s">
        <v>180</v>
      </c>
      <c r="C1" s="374" t="s">
        <v>83</v>
      </c>
      <c r="D1" s="374" t="s">
        <v>90</v>
      </c>
      <c r="E1" s="376" t="s">
        <v>181</v>
      </c>
      <c r="F1" s="376" t="s">
        <v>182</v>
      </c>
      <c r="G1" s="377" t="s">
        <v>183</v>
      </c>
      <c r="H1" s="377"/>
      <c r="I1" s="378" t="n">
        <f aca="false">DATE(YEAR(B2)+1,MONTH(B2),DAY(B2))-1</f>
        <v>46848</v>
      </c>
      <c r="J1" s="378"/>
      <c r="K1" s="379"/>
      <c r="L1" s="379"/>
      <c r="M1" s="380"/>
      <c r="N1" s="381" t="str">
        <f aca="false">TEXT(YEAR(I1)-1,"0")&amp;"-"&amp;TEXT(YEAR(I1)-2000,"0")</f>
        <v>2027-28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TEXT(DATE(YEAR(B$2),MONTH(B$2)+(D2-1)+7,1),"Mmm")</f>
        <v>Nov</v>
      </c>
      <c r="B2" s="383" t="n">
        <v>46483</v>
      </c>
      <c r="C2" s="384" t="n">
        <v>1</v>
      </c>
      <c r="D2" s="384" t="n">
        <v>1</v>
      </c>
      <c r="E2" s="385" t="n">
        <f aca="false">B2</f>
        <v>46483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TEXT(DATE(YEAR(B$2),MONTH(B$2)+(D3-1)+7,1),"Mmm")</f>
        <v>Nov</v>
      </c>
      <c r="B3" s="383" t="n">
        <f aca="false">B2+1</f>
        <v>46484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184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TEXT(DATE(YEAR(B$2),MONTH(B$2)+(D4-1)+7,1),"Mmm")</f>
        <v>Nov</v>
      </c>
      <c r="B4" s="383" t="n">
        <f aca="false">B3+1</f>
        <v>46485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TEXT(DATE(YEAR(B$2),MONTH(B$2)+(D5-1)+7,1),"Mmm")</f>
        <v>Nov</v>
      </c>
      <c r="B5" s="383" t="n">
        <f aca="false">B4+1</f>
        <v>46486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TEXT(DATE(YEAR(B$2),MONTH(B$2)+(D6-1)+7,1),"Mmm")</f>
        <v>Nov</v>
      </c>
      <c r="B6" s="383" t="n">
        <f aca="false">B5+1</f>
        <v>46487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185</v>
      </c>
      <c r="I6" s="389" t="s">
        <v>186</v>
      </c>
      <c r="J6" s="389"/>
      <c r="K6" s="389" t="s">
        <v>187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TEXT(DATE(YEAR(B$2),MONTH(B$2)+(D7-1)+7,1),"Mmm")</f>
        <v>Nov</v>
      </c>
      <c r="B7" s="383" t="n">
        <f aca="false">B6+1</f>
        <v>46488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TEXT(DATE(YEAR(B$2),MONTH(B$2)+(D8-1)+7,1),"Mmm")</f>
        <v>Nov</v>
      </c>
      <c r="B8" s="383" t="n">
        <f aca="false">B7+1</f>
        <v>46489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TEXT(DATE(YEAR(B$2),MONTH(B$2)+(D9-1)+7,1),"Mmm")</f>
        <v>Nov</v>
      </c>
      <c r="B9" s="383" t="n">
        <f aca="false">B8+1</f>
        <v>46490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TEXT(DATE(YEAR(B$2),MONTH(B$2)+(D10-1)+7,1),"Mmm")</f>
        <v>Nov</v>
      </c>
      <c r="B10" s="383" t="n">
        <f aca="false">B9+1</f>
        <v>46491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TEXT(DATE(YEAR(B$2),MONTH(B$2)+(D11-1)+7,1),"Mmm")</f>
        <v>Nov</v>
      </c>
      <c r="B11" s="383" t="n">
        <f aca="false">B10+1</f>
        <v>46492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188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TEXT(DATE(YEAR(B$2),MONTH(B$2)+(D12-1)+7,1),"Mmm")</f>
        <v>Nov</v>
      </c>
      <c r="B12" s="383" t="n">
        <f aca="false">B11+1</f>
        <v>46493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189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TEXT(DATE(YEAR(B$2),MONTH(B$2)+(D13-1)+7,1),"Mmm")</f>
        <v>Nov</v>
      </c>
      <c r="B13" s="383" t="n">
        <f aca="false">B12+1</f>
        <v>46494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TEXT(DATE(YEAR(B$2),MONTH(B$2)+(D14-1)+7,1),"Mmm")</f>
        <v>Nov</v>
      </c>
      <c r="B14" s="383" t="n">
        <f aca="false">B13+1</f>
        <v>46495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TEXT(DATE(YEAR(B$2),MONTH(B$2)+(D15-1)+7,1),"Mmm")</f>
        <v>Nov</v>
      </c>
      <c r="B15" s="383" t="n">
        <f aca="false">B14+1</f>
        <v>46496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TEXT(DATE(YEAR(B$2),MONTH(B$2)+(D16-1)+7,1),"Mmm")</f>
        <v>Nov</v>
      </c>
      <c r="B16" s="383" t="n">
        <f aca="false">B15+1</f>
        <v>46497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TEXT(DATE(YEAR(B$2),MONTH(B$2)+(D17-1)+7,1),"Mmm")</f>
        <v>Nov</v>
      </c>
      <c r="B17" s="383" t="n">
        <f aca="false">B16+1</f>
        <v>46498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TEXT(DATE(YEAR(B$2),MONTH(B$2)+(D18-1)+7,1),"Mmm")</f>
        <v>Nov</v>
      </c>
      <c r="B18" s="383" t="n">
        <f aca="false">B17+1</f>
        <v>46499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TEXT(DATE(YEAR(B$2),MONTH(B$2)+(D19-1)+7,1),"Mmm")</f>
        <v>Nov</v>
      </c>
      <c r="B19" s="383" t="n">
        <f aca="false">B18+1</f>
        <v>46500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TEXT(DATE(YEAR(B$2),MONTH(B$2)+(D20-1)+7,1),"Mmm")</f>
        <v>Nov</v>
      </c>
      <c r="B20" s="383" t="n">
        <f aca="false">B19+1</f>
        <v>46501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TEXT(DATE(YEAR(B$2),MONTH(B$2)+(D21-1)+7,1),"Mmm")</f>
        <v>Nov</v>
      </c>
      <c r="B21" s="383" t="n">
        <f aca="false">B20+1</f>
        <v>46502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TEXT(DATE(YEAR(B$2),MONTH(B$2)+(D22-1)+7,1),"Mmm")</f>
        <v>Nov</v>
      </c>
      <c r="B22" s="383" t="n">
        <f aca="false">B21+1</f>
        <v>46503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TEXT(DATE(YEAR(B$2),MONTH(B$2)+(D23-1)+7,1),"Mmm")</f>
        <v>Nov</v>
      </c>
      <c r="B23" s="383" t="n">
        <f aca="false">B22+1</f>
        <v>46504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TEXT(DATE(YEAR(B$2),MONTH(B$2)+(D24-1)+7,1),"Mmm")</f>
        <v>Nov</v>
      </c>
      <c r="B24" s="383" t="n">
        <f aca="false">B23+1</f>
        <v>46505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TEXT(DATE(YEAR(B$2),MONTH(B$2)+(D25-1)+7,1),"Mmm")</f>
        <v>Nov</v>
      </c>
      <c r="B25" s="383" t="n">
        <f aca="false">B24+1</f>
        <v>46506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TEXT(DATE(YEAR(B$2),MONTH(B$2)+(D26-1)+7,1),"Mmm")</f>
        <v>Nov</v>
      </c>
      <c r="B26" s="383" t="n">
        <f aca="false">B25+1</f>
        <v>46507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TEXT(DATE(YEAR(B$2),MONTH(B$2)+(D27-1)+7,1),"Mmm")</f>
        <v>Nov</v>
      </c>
      <c r="B27" s="383" t="n">
        <f aca="false">B26+1</f>
        <v>46508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TEXT(DATE(YEAR(B$2),MONTH(B$2)+(D28-1)+7,1),"Mmm")</f>
        <v>Dec</v>
      </c>
      <c r="B28" s="383" t="n">
        <f aca="false">B27+1</f>
        <v>46509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TEXT(DATE(YEAR(B$2),MONTH(B$2)+(D29-1)+7,1),"Mmm")</f>
        <v>Dec</v>
      </c>
      <c r="B29" s="383" t="n">
        <f aca="false">B28+1</f>
        <v>46510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TEXT(DATE(YEAR(B$2),MONTH(B$2)+(D30-1)+7,1),"Mmm")</f>
        <v>Dec</v>
      </c>
      <c r="B30" s="383" t="n">
        <f aca="false">B29+1</f>
        <v>46511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TEXT(DATE(YEAR(B$2),MONTH(B$2)+(D31-1)+7,1),"Mmm")</f>
        <v>Dec</v>
      </c>
      <c r="B31" s="383" t="n">
        <f aca="false">B30+1</f>
        <v>46512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TEXT(DATE(YEAR(B$2),MONTH(B$2)+(D32-1)+7,1),"Mmm")</f>
        <v>Dec</v>
      </c>
      <c r="B32" s="383" t="n">
        <f aca="false">B31+1</f>
        <v>46513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TEXT(DATE(YEAR(B$2),MONTH(B$2)+(D33-1)+7,1),"Mmm")</f>
        <v>Dec</v>
      </c>
      <c r="B33" s="383" t="n">
        <f aca="false">B32+1</f>
        <v>46514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TEXT(DATE(YEAR(B$2),MONTH(B$2)+(D34-1)+7,1),"Mmm")</f>
        <v>Dec</v>
      </c>
      <c r="B34" s="383" t="n">
        <f aca="false">B33+1</f>
        <v>46515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TEXT(DATE(YEAR(B$2),MONTH(B$2)+(D35-1)+7,1),"Mmm")</f>
        <v>Dec</v>
      </c>
      <c r="B35" s="383" t="n">
        <f aca="false">B34+1</f>
        <v>46516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TEXT(DATE(YEAR(B$2),MONTH(B$2)+(D36-1)+7,1),"Mmm")</f>
        <v>Dec</v>
      </c>
      <c r="B36" s="383" t="n">
        <f aca="false">B35+1</f>
        <v>46517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TEXT(DATE(YEAR(B$2),MONTH(B$2)+(D37-1)+7,1),"Mmm")</f>
        <v>Dec</v>
      </c>
      <c r="B37" s="383" t="n">
        <f aca="false">B36+1</f>
        <v>46518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TEXT(DATE(YEAR(B$2),MONTH(B$2)+(D38-1)+7,1),"Mmm")</f>
        <v>Dec</v>
      </c>
      <c r="B38" s="383" t="n">
        <f aca="false">B37+1</f>
        <v>46519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TEXT(DATE(YEAR(B$2),MONTH(B$2)+(D39-1)+7,1),"Mmm")</f>
        <v>Dec</v>
      </c>
      <c r="B39" s="383" t="n">
        <f aca="false">B38+1</f>
        <v>46520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TEXT(DATE(YEAR(B$2),MONTH(B$2)+(D40-1)+7,1),"Mmm")</f>
        <v>Dec</v>
      </c>
      <c r="B40" s="383" t="n">
        <f aca="false">B39+1</f>
        <v>46521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TEXT(DATE(YEAR(B$2),MONTH(B$2)+(D41-1)+7,1),"Mmm")</f>
        <v>Dec</v>
      </c>
      <c r="B41" s="383" t="n">
        <f aca="false">B40+1</f>
        <v>46522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TEXT(DATE(YEAR(B$2),MONTH(B$2)+(D42-1)+7,1),"Mmm")</f>
        <v>Dec</v>
      </c>
      <c r="B42" s="383" t="n">
        <f aca="false">B41+1</f>
        <v>46523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TEXT(DATE(YEAR(B$2),MONTH(B$2)+(D43-1)+7,1),"Mmm")</f>
        <v>Dec</v>
      </c>
      <c r="B43" s="383" t="n">
        <f aca="false">B42+1</f>
        <v>46524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TEXT(DATE(YEAR(B$2),MONTH(B$2)+(D44-1)+7,1),"Mmm")</f>
        <v>Dec</v>
      </c>
      <c r="B44" s="383" t="n">
        <f aca="false">B43+1</f>
        <v>46525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TEXT(DATE(YEAR(B$2),MONTH(B$2)+(D45-1)+7,1),"Mmm")</f>
        <v>Dec</v>
      </c>
      <c r="B45" s="383" t="n">
        <f aca="false">B44+1</f>
        <v>46526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TEXT(DATE(YEAR(B$2),MONTH(B$2)+(D46-1)+7,1),"Mmm")</f>
        <v>Dec</v>
      </c>
      <c r="B46" s="383" t="n">
        <f aca="false">B45+1</f>
        <v>46527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TEXT(DATE(YEAR(B$2),MONTH(B$2)+(D47-1)+7,1),"Mmm")</f>
        <v>Dec</v>
      </c>
      <c r="B47" s="383" t="n">
        <f aca="false">B46+1</f>
        <v>46528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TEXT(DATE(YEAR(B$2),MONTH(B$2)+(D48-1)+7,1),"Mmm")</f>
        <v>Dec</v>
      </c>
      <c r="B48" s="383" t="n">
        <f aca="false">B47+1</f>
        <v>46529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TEXT(DATE(YEAR(B$2),MONTH(B$2)+(D49-1)+7,1),"Mmm")</f>
        <v>Dec</v>
      </c>
      <c r="B49" s="383" t="n">
        <f aca="false">B48+1</f>
        <v>46530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TEXT(DATE(YEAR(B$2),MONTH(B$2)+(D50-1)+7,1),"Mmm")</f>
        <v>Dec</v>
      </c>
      <c r="B50" s="383" t="n">
        <f aca="false">B49+1</f>
        <v>46531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TEXT(DATE(YEAR(B$2),MONTH(B$2)+(D51-1)+7,1),"Mmm")</f>
        <v>Dec</v>
      </c>
      <c r="B51" s="383" t="n">
        <f aca="false">B50+1</f>
        <v>46532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TEXT(DATE(YEAR(B$2),MONTH(B$2)+(D52-1)+7,1),"Mmm")</f>
        <v>Dec</v>
      </c>
      <c r="B52" s="383" t="n">
        <f aca="false">B51+1</f>
        <v>46533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TEXT(DATE(YEAR(B$2),MONTH(B$2)+(D53-1)+7,1),"Mmm")</f>
        <v>Dec</v>
      </c>
      <c r="B53" s="383" t="n">
        <f aca="false">B52+1</f>
        <v>46534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TEXT(DATE(YEAR(B$2),MONTH(B$2)+(D54-1)+7,1),"Mmm")</f>
        <v>Dec</v>
      </c>
      <c r="B54" s="383" t="n">
        <f aca="false">B53+1</f>
        <v>46535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TEXT(DATE(YEAR(B$2),MONTH(B$2)+(D55-1)+7,1),"Mmm")</f>
        <v>Dec</v>
      </c>
      <c r="B55" s="383" t="n">
        <f aca="false">B54+1</f>
        <v>46536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TEXT(DATE(YEAR(B$2),MONTH(B$2)+(D56-1)+7,1),"Mmm")</f>
        <v>Jan</v>
      </c>
      <c r="B56" s="383" t="n">
        <f aca="false">B55+1</f>
        <v>46537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TEXT(DATE(YEAR(B$2),MONTH(B$2)+(D57-1)+7,1),"Mmm")</f>
        <v>Jan</v>
      </c>
      <c r="B57" s="383" t="n">
        <f aca="false">B56+1</f>
        <v>46538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TEXT(DATE(YEAR(B$2),MONTH(B$2)+(D58-1)+7,1),"Mmm")</f>
        <v>Jan</v>
      </c>
      <c r="B58" s="383" t="n">
        <f aca="false">B57+1</f>
        <v>46539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TEXT(DATE(YEAR(B$2),MONTH(B$2)+(D59-1)+7,1),"Mmm")</f>
        <v>Jan</v>
      </c>
      <c r="B59" s="383" t="n">
        <f aca="false">B58+1</f>
        <v>46540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TEXT(DATE(YEAR(B$2),MONTH(B$2)+(D60-1)+7,1),"Mmm")</f>
        <v>Jan</v>
      </c>
      <c r="B60" s="383" t="n">
        <f aca="false">B59+1</f>
        <v>46541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TEXT(DATE(YEAR(B$2),MONTH(B$2)+(D61-1)+7,1),"Mmm")</f>
        <v>Jan</v>
      </c>
      <c r="B61" s="383" t="n">
        <f aca="false">B60+1</f>
        <v>46542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TEXT(DATE(YEAR(B$2),MONTH(B$2)+(D62-1)+7,1),"Mmm")</f>
        <v>Jan</v>
      </c>
      <c r="B62" s="383" t="n">
        <f aca="false">B61+1</f>
        <v>46543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TEXT(DATE(YEAR(B$2),MONTH(B$2)+(D63-1)+7,1),"Mmm")</f>
        <v>Jan</v>
      </c>
      <c r="B63" s="383" t="n">
        <f aca="false">B62+1</f>
        <v>46544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TEXT(DATE(YEAR(B$2),MONTH(B$2)+(D64-1)+7,1),"Mmm")</f>
        <v>Jan</v>
      </c>
      <c r="B64" s="383" t="n">
        <f aca="false">B63+1</f>
        <v>46545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TEXT(DATE(YEAR(B$2),MONTH(B$2)+(D65-1)+7,1),"Mmm")</f>
        <v>Jan</v>
      </c>
      <c r="B65" s="383" t="n">
        <f aca="false">B64+1</f>
        <v>46546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TEXT(DATE(YEAR(B$2),MONTH(B$2)+(D66-1)+7,1),"Mmm")</f>
        <v>Jan</v>
      </c>
      <c r="B66" s="383" t="n">
        <f aca="false">B65+1</f>
        <v>46547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TEXT(DATE(YEAR(B$2),MONTH(B$2)+(D67-1)+7,1),"Mmm")</f>
        <v>Jan</v>
      </c>
      <c r="B67" s="383" t="n">
        <f aca="false">B66+1</f>
        <v>46548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TEXT(DATE(YEAR(B$2),MONTH(B$2)+(D68-1)+7,1),"Mmm")</f>
        <v>Jan</v>
      </c>
      <c r="B68" s="383" t="n">
        <f aca="false">B67+1</f>
        <v>46549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TEXT(DATE(YEAR(B$2),MONTH(B$2)+(D69-1)+7,1),"Mmm")</f>
        <v>Jan</v>
      </c>
      <c r="B69" s="383" t="n">
        <f aca="false">B68+1</f>
        <v>46550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TEXT(DATE(YEAR(B$2),MONTH(B$2)+(D70-1)+7,1),"Mmm")</f>
        <v>Jan</v>
      </c>
      <c r="B70" s="383" t="n">
        <f aca="false">B69+1</f>
        <v>46551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TEXT(DATE(YEAR(B$2),MONTH(B$2)+(D71-1)+7,1),"Mmm")</f>
        <v>Jan</v>
      </c>
      <c r="B71" s="383" t="n">
        <f aca="false">B70+1</f>
        <v>46552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TEXT(DATE(YEAR(B$2),MONTH(B$2)+(D72-1)+7,1),"Mmm")</f>
        <v>Jan</v>
      </c>
      <c r="B72" s="383" t="n">
        <f aca="false">B71+1</f>
        <v>46553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TEXT(DATE(YEAR(B$2),MONTH(B$2)+(D73-1)+7,1),"Mmm")</f>
        <v>Jan</v>
      </c>
      <c r="B73" s="383" t="n">
        <f aca="false">B72+1</f>
        <v>46554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TEXT(DATE(YEAR(B$2),MONTH(B$2)+(D74-1)+7,1),"Mmm")</f>
        <v>Jan</v>
      </c>
      <c r="B74" s="383" t="n">
        <f aca="false">B73+1</f>
        <v>46555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TEXT(DATE(YEAR(B$2),MONTH(B$2)+(D75-1)+7,1),"Mmm")</f>
        <v>Jan</v>
      </c>
      <c r="B75" s="383" t="n">
        <f aca="false">B74+1</f>
        <v>46556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TEXT(DATE(YEAR(B$2),MONTH(B$2)+(D76-1)+7,1),"Mmm")</f>
        <v>Jan</v>
      </c>
      <c r="B76" s="383" t="n">
        <f aca="false">B75+1</f>
        <v>46557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TEXT(DATE(YEAR(B$2),MONTH(B$2)+(D77-1)+7,1),"Mmm")</f>
        <v>Jan</v>
      </c>
      <c r="B77" s="383" t="n">
        <f aca="false">B76+1</f>
        <v>46558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TEXT(DATE(YEAR(B$2),MONTH(B$2)+(D78-1)+7,1),"Mmm")</f>
        <v>Jan</v>
      </c>
      <c r="B78" s="383" t="n">
        <f aca="false">B77+1</f>
        <v>46559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TEXT(DATE(YEAR(B$2),MONTH(B$2)+(D79-1)+7,1),"Mmm")</f>
        <v>Jan</v>
      </c>
      <c r="B79" s="383" t="n">
        <f aca="false">B78+1</f>
        <v>46560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TEXT(DATE(YEAR(B$2),MONTH(B$2)+(D80-1)+7,1),"Mmm")</f>
        <v>Jan</v>
      </c>
      <c r="B80" s="383" t="n">
        <f aca="false">B79+1</f>
        <v>46561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TEXT(DATE(YEAR(B$2),MONTH(B$2)+(D81-1)+7,1),"Mmm")</f>
        <v>Jan</v>
      </c>
      <c r="B81" s="383" t="n">
        <f aca="false">B80+1</f>
        <v>46562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TEXT(DATE(YEAR(B$2),MONTH(B$2)+(D82-1)+7,1),"Mmm")</f>
        <v>Jan</v>
      </c>
      <c r="B82" s="383" t="n">
        <f aca="false">B81+1</f>
        <v>46563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TEXT(DATE(YEAR(B$2),MONTH(B$2)+(D83-1)+7,1),"Mmm")</f>
        <v>Jan</v>
      </c>
      <c r="B83" s="383" t="n">
        <f aca="false">B82+1</f>
        <v>46564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TEXT(DATE(YEAR(B$2),MONTH(B$2)+(D84-1)+7,1),"Mmm")</f>
        <v>Jan</v>
      </c>
      <c r="B84" s="383" t="n">
        <f aca="false">B83+1</f>
        <v>46565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TEXT(DATE(YEAR(B$2),MONTH(B$2)+(D85-1)+7,1),"Mmm")</f>
        <v>Jan</v>
      </c>
      <c r="B85" s="383" t="n">
        <f aca="false">B84+1</f>
        <v>46566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TEXT(DATE(YEAR(B$2),MONTH(B$2)+(D86-1)+7,1),"Mmm")</f>
        <v>Jan</v>
      </c>
      <c r="B86" s="383" t="n">
        <f aca="false">B85+1</f>
        <v>46567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TEXT(DATE(YEAR(B$2),MONTH(B$2)+(D87-1)+7,1),"Mmm")</f>
        <v>Jan</v>
      </c>
      <c r="B87" s="383" t="n">
        <f aca="false">B86+1</f>
        <v>46568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TEXT(DATE(YEAR(B$2),MONTH(B$2)+(D88-1)+7,1),"Mmm")</f>
        <v>Jan</v>
      </c>
      <c r="B88" s="383" t="n">
        <f aca="false">B87+1</f>
        <v>46569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TEXT(DATE(YEAR(B$2),MONTH(B$2)+(D89-1)+7,1),"Mmm")</f>
        <v>Jan</v>
      </c>
      <c r="B89" s="383" t="n">
        <f aca="false">B88+1</f>
        <v>46570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TEXT(DATE(YEAR(B$2),MONTH(B$2)+(D90-1)+7,1),"Mmm")</f>
        <v>Jan</v>
      </c>
      <c r="B90" s="383" t="n">
        <f aca="false">B89+1</f>
        <v>46571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TEXT(DATE(YEAR(B$2),MONTH(B$2)+(D91-1)+7,1),"Mmm")</f>
        <v>Feb</v>
      </c>
      <c r="B91" s="383" t="n">
        <f aca="false">B90+1</f>
        <v>46572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TEXT(DATE(YEAR(B$2),MONTH(B$2)+(D92-1)+7,1),"Mmm")</f>
        <v>Feb</v>
      </c>
      <c r="B92" s="383" t="n">
        <f aca="false">B91+1</f>
        <v>46573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TEXT(DATE(YEAR(B$2),MONTH(B$2)+(D93-1)+7,1),"Mmm")</f>
        <v>Feb</v>
      </c>
      <c r="B93" s="383" t="n">
        <f aca="false">B92+1</f>
        <v>46574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TEXT(DATE(YEAR(B$2),MONTH(B$2)+(D94-1)+7,1),"Mmm")</f>
        <v>Feb</v>
      </c>
      <c r="B94" s="383" t="n">
        <f aca="false">B93+1</f>
        <v>46575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TEXT(DATE(YEAR(B$2),MONTH(B$2)+(D95-1)+7,1),"Mmm")</f>
        <v>Feb</v>
      </c>
      <c r="B95" s="383" t="n">
        <f aca="false">B94+1</f>
        <v>46576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TEXT(DATE(YEAR(B$2),MONTH(B$2)+(D96-1)+7,1),"Mmm")</f>
        <v>Feb</v>
      </c>
      <c r="B96" s="383" t="n">
        <f aca="false">B95+1</f>
        <v>46577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TEXT(DATE(YEAR(B$2),MONTH(B$2)+(D97-1)+7,1),"Mmm")</f>
        <v>Feb</v>
      </c>
      <c r="B97" s="383" t="n">
        <f aca="false">B96+1</f>
        <v>46578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TEXT(DATE(YEAR(B$2),MONTH(B$2)+(D98-1)+7,1),"Mmm")</f>
        <v>Feb</v>
      </c>
      <c r="B98" s="383" t="n">
        <f aca="false">B97+1</f>
        <v>46579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TEXT(DATE(YEAR(B$2),MONTH(B$2)+(D99-1)+7,1),"Mmm")</f>
        <v>Feb</v>
      </c>
      <c r="B99" s="383" t="n">
        <f aca="false">B98+1</f>
        <v>46580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TEXT(DATE(YEAR(B$2),MONTH(B$2)+(D100-1)+7,1),"Mmm")</f>
        <v>Feb</v>
      </c>
      <c r="B100" s="383" t="n">
        <f aca="false">B99+1</f>
        <v>46581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TEXT(DATE(YEAR(B$2),MONTH(B$2)+(D101-1)+7,1),"Mmm")</f>
        <v>Feb</v>
      </c>
      <c r="B101" s="383" t="n">
        <f aca="false">B100+1</f>
        <v>46582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TEXT(DATE(YEAR(B$2),MONTH(B$2)+(D102-1)+7,1),"Mmm")</f>
        <v>Feb</v>
      </c>
      <c r="B102" s="383" t="n">
        <f aca="false">B101+1</f>
        <v>46583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TEXT(DATE(YEAR(B$2),MONTH(B$2)+(D103-1)+7,1),"Mmm")</f>
        <v>Feb</v>
      </c>
      <c r="B103" s="383" t="n">
        <f aca="false">B102+1</f>
        <v>46584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TEXT(DATE(YEAR(B$2),MONTH(B$2)+(D104-1)+7,1),"Mmm")</f>
        <v>Feb</v>
      </c>
      <c r="B104" s="383" t="n">
        <f aca="false">B103+1</f>
        <v>46585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TEXT(DATE(YEAR(B$2),MONTH(B$2)+(D105-1)+7,1),"Mmm")</f>
        <v>Feb</v>
      </c>
      <c r="B105" s="383" t="n">
        <f aca="false">B104+1</f>
        <v>46586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TEXT(DATE(YEAR(B$2),MONTH(B$2)+(D106-1)+7,1),"Mmm")</f>
        <v>Feb</v>
      </c>
      <c r="B106" s="383" t="n">
        <f aca="false">B105+1</f>
        <v>46587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TEXT(DATE(YEAR(B$2),MONTH(B$2)+(D107-1)+7,1),"Mmm")</f>
        <v>Feb</v>
      </c>
      <c r="B107" s="383" t="n">
        <f aca="false">B106+1</f>
        <v>46588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TEXT(DATE(YEAR(B$2),MONTH(B$2)+(D108-1)+7,1),"Mmm")</f>
        <v>Feb</v>
      </c>
      <c r="B108" s="383" t="n">
        <f aca="false">B107+1</f>
        <v>46589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TEXT(DATE(YEAR(B$2),MONTH(B$2)+(D109-1)+7,1),"Mmm")</f>
        <v>Feb</v>
      </c>
      <c r="B109" s="383" t="n">
        <f aca="false">B108+1</f>
        <v>46590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TEXT(DATE(YEAR(B$2),MONTH(B$2)+(D110-1)+7,1),"Mmm")</f>
        <v>Feb</v>
      </c>
      <c r="B110" s="383" t="n">
        <f aca="false">B109+1</f>
        <v>46591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TEXT(DATE(YEAR(B$2),MONTH(B$2)+(D111-1)+7,1),"Mmm")</f>
        <v>Feb</v>
      </c>
      <c r="B111" s="383" t="n">
        <f aca="false">B110+1</f>
        <v>46592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TEXT(DATE(YEAR(B$2),MONTH(B$2)+(D112-1)+7,1),"Mmm")</f>
        <v>Feb</v>
      </c>
      <c r="B112" s="383" t="n">
        <f aca="false">B111+1</f>
        <v>46593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TEXT(DATE(YEAR(B$2),MONTH(B$2)+(D113-1)+7,1),"Mmm")</f>
        <v>Feb</v>
      </c>
      <c r="B113" s="383" t="n">
        <f aca="false">B112+1</f>
        <v>46594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TEXT(DATE(YEAR(B$2),MONTH(B$2)+(D114-1)+7,1),"Mmm")</f>
        <v>Feb</v>
      </c>
      <c r="B114" s="383" t="n">
        <f aca="false">B113+1</f>
        <v>46595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TEXT(DATE(YEAR(B$2),MONTH(B$2)+(D115-1)+7,1),"Mmm")</f>
        <v>Feb</v>
      </c>
      <c r="B115" s="383" t="n">
        <f aca="false">B114+1</f>
        <v>46596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TEXT(DATE(YEAR(B$2),MONTH(B$2)+(D116-1)+7,1),"Mmm")</f>
        <v>Feb</v>
      </c>
      <c r="B116" s="383" t="n">
        <f aca="false">B115+1</f>
        <v>46597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TEXT(DATE(YEAR(B$2),MONTH(B$2)+(D117-1)+7,1),"Mmm")</f>
        <v>Feb</v>
      </c>
      <c r="B117" s="383" t="n">
        <f aca="false">B116+1</f>
        <v>46598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TEXT(DATE(YEAR(B$2),MONTH(B$2)+(D118-1)+7,1),"Mmm")</f>
        <v>Feb</v>
      </c>
      <c r="B118" s="383" t="n">
        <f aca="false">B117+1</f>
        <v>46599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TEXT(DATE(YEAR(B$2),MONTH(B$2)+(D119-1)+7,1),"Mmm")</f>
        <v>Mar</v>
      </c>
      <c r="B119" s="383" t="n">
        <f aca="false">B118+1</f>
        <v>46600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TEXT(DATE(YEAR(B$2),MONTH(B$2)+(D120-1)+7,1),"Mmm")</f>
        <v>Mar</v>
      </c>
      <c r="B120" s="383" t="n">
        <f aca="false">B119+1</f>
        <v>46601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TEXT(DATE(YEAR(B$2),MONTH(B$2)+(D121-1)+7,1),"Mmm")</f>
        <v>Mar</v>
      </c>
      <c r="B121" s="383" t="n">
        <f aca="false">B120+1</f>
        <v>46602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TEXT(DATE(YEAR(B$2),MONTH(B$2)+(D122-1)+7,1),"Mmm")</f>
        <v>Mar</v>
      </c>
      <c r="B122" s="383" t="n">
        <f aca="false">B121+1</f>
        <v>46603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TEXT(DATE(YEAR(B$2),MONTH(B$2)+(D123-1)+7,1),"Mmm")</f>
        <v>Mar</v>
      </c>
      <c r="B123" s="383" t="n">
        <f aca="false">B122+1</f>
        <v>46604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TEXT(DATE(YEAR(B$2),MONTH(B$2)+(D124-1)+7,1),"Mmm")</f>
        <v>Mar</v>
      </c>
      <c r="B124" s="383" t="n">
        <f aca="false">B123+1</f>
        <v>46605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TEXT(DATE(YEAR(B$2),MONTH(B$2)+(D125-1)+7,1),"Mmm")</f>
        <v>Mar</v>
      </c>
      <c r="B125" s="383" t="n">
        <f aca="false">B124+1</f>
        <v>46606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TEXT(DATE(YEAR(B$2),MONTH(B$2)+(D126-1)+7,1),"Mmm")</f>
        <v>Mar</v>
      </c>
      <c r="B126" s="383" t="n">
        <f aca="false">B125+1</f>
        <v>46607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TEXT(DATE(YEAR(B$2),MONTH(B$2)+(D127-1)+7,1),"Mmm")</f>
        <v>Mar</v>
      </c>
      <c r="B127" s="383" t="n">
        <f aca="false">B126+1</f>
        <v>46608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TEXT(DATE(YEAR(B$2),MONTH(B$2)+(D128-1)+7,1),"Mmm")</f>
        <v>Mar</v>
      </c>
      <c r="B128" s="383" t="n">
        <f aca="false">B127+1</f>
        <v>46609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TEXT(DATE(YEAR(B$2),MONTH(B$2)+(D129-1)+7,1),"Mmm")</f>
        <v>Mar</v>
      </c>
      <c r="B129" s="383" t="n">
        <f aca="false">B128+1</f>
        <v>46610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TEXT(DATE(YEAR(B$2),MONTH(B$2)+(D130-1)+7,1),"Mmm")</f>
        <v>Mar</v>
      </c>
      <c r="B130" s="383" t="n">
        <f aca="false">B129+1</f>
        <v>46611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TEXT(DATE(YEAR(B$2),MONTH(B$2)+(D131-1)+7,1),"Mmm")</f>
        <v>Mar</v>
      </c>
      <c r="B131" s="383" t="n">
        <f aca="false">B130+1</f>
        <v>46612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TEXT(DATE(YEAR(B$2),MONTH(B$2)+(D132-1)+7,1),"Mmm")</f>
        <v>Mar</v>
      </c>
      <c r="B132" s="383" t="n">
        <f aca="false">B131+1</f>
        <v>46613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TEXT(DATE(YEAR(B$2),MONTH(B$2)+(D133-1)+7,1),"Mmm")</f>
        <v>Mar</v>
      </c>
      <c r="B133" s="383" t="n">
        <f aca="false">B132+1</f>
        <v>46614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TEXT(DATE(YEAR(B$2),MONTH(B$2)+(D134-1)+7,1),"Mmm")</f>
        <v>Mar</v>
      </c>
      <c r="B134" s="383" t="n">
        <f aca="false">B133+1</f>
        <v>46615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TEXT(DATE(YEAR(B$2),MONTH(B$2)+(D135-1)+7,1),"Mmm")</f>
        <v>Mar</v>
      </c>
      <c r="B135" s="383" t="n">
        <f aca="false">B134+1</f>
        <v>46616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TEXT(DATE(YEAR(B$2),MONTH(B$2)+(D136-1)+7,1),"Mmm")</f>
        <v>Mar</v>
      </c>
      <c r="B136" s="383" t="n">
        <f aca="false">B135+1</f>
        <v>46617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TEXT(DATE(YEAR(B$2),MONTH(B$2)+(D137-1)+7,1),"Mmm")</f>
        <v>Mar</v>
      </c>
      <c r="B137" s="383" t="n">
        <f aca="false">B136+1</f>
        <v>46618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TEXT(DATE(YEAR(B$2),MONTH(B$2)+(D138-1)+7,1),"Mmm")</f>
        <v>Mar</v>
      </c>
      <c r="B138" s="383" t="n">
        <f aca="false">B137+1</f>
        <v>46619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TEXT(DATE(YEAR(B$2),MONTH(B$2)+(D139-1)+7,1),"Mmm")</f>
        <v>Mar</v>
      </c>
      <c r="B139" s="383" t="n">
        <f aca="false">B138+1</f>
        <v>46620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TEXT(DATE(YEAR(B$2),MONTH(B$2)+(D140-1)+7,1),"Mmm")</f>
        <v>Mar</v>
      </c>
      <c r="B140" s="383" t="n">
        <f aca="false">B139+1</f>
        <v>46621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TEXT(DATE(YEAR(B$2),MONTH(B$2)+(D141-1)+7,1),"Mmm")</f>
        <v>Mar</v>
      </c>
      <c r="B141" s="383" t="n">
        <f aca="false">B140+1</f>
        <v>46622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TEXT(DATE(YEAR(B$2),MONTH(B$2)+(D142-1)+7,1),"Mmm")</f>
        <v>Mar</v>
      </c>
      <c r="B142" s="383" t="n">
        <f aca="false">B141+1</f>
        <v>46623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TEXT(DATE(YEAR(B$2),MONTH(B$2)+(D143-1)+7,1),"Mmm")</f>
        <v>Mar</v>
      </c>
      <c r="B143" s="383" t="n">
        <f aca="false">B142+1</f>
        <v>46624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TEXT(DATE(YEAR(B$2),MONTH(B$2)+(D144-1)+7,1),"Mmm")</f>
        <v>Mar</v>
      </c>
      <c r="B144" s="383" t="n">
        <f aca="false">B143+1</f>
        <v>46625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TEXT(DATE(YEAR(B$2),MONTH(B$2)+(D145-1)+7,1),"Mmm")</f>
        <v>Mar</v>
      </c>
      <c r="B145" s="383" t="n">
        <f aca="false">B144+1</f>
        <v>46626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TEXT(DATE(YEAR(B$2),MONTH(B$2)+(D146-1)+7,1),"Mmm")</f>
        <v>Mar</v>
      </c>
      <c r="B146" s="383" t="n">
        <f aca="false">B145+1</f>
        <v>46627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TEXT(DATE(YEAR(B$2),MONTH(B$2)+(D147-1)+7,1),"Mmm")</f>
        <v>Apr</v>
      </c>
      <c r="B147" s="383" t="n">
        <f aca="false">B146+1</f>
        <v>46628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TEXT(DATE(YEAR(B$2),MONTH(B$2)+(D148-1)+7,1),"Mmm")</f>
        <v>Apr</v>
      </c>
      <c r="B148" s="383" t="n">
        <f aca="false">B147+1</f>
        <v>46629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TEXT(DATE(YEAR(B$2),MONTH(B$2)+(D149-1)+7,1),"Mmm")</f>
        <v>Apr</v>
      </c>
      <c r="B149" s="383" t="n">
        <f aca="false">B148+1</f>
        <v>46630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TEXT(DATE(YEAR(B$2),MONTH(B$2)+(D150-1)+7,1),"Mmm")</f>
        <v>Apr</v>
      </c>
      <c r="B150" s="383" t="n">
        <f aca="false">B149+1</f>
        <v>46631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TEXT(DATE(YEAR(B$2),MONTH(B$2)+(D151-1)+7,1),"Mmm")</f>
        <v>Apr</v>
      </c>
      <c r="B151" s="383" t="n">
        <f aca="false">B150+1</f>
        <v>46632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TEXT(DATE(YEAR(B$2),MONTH(B$2)+(D152-1)+7,1),"Mmm")</f>
        <v>Apr</v>
      </c>
      <c r="B152" s="383" t="n">
        <f aca="false">B151+1</f>
        <v>46633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TEXT(DATE(YEAR(B$2),MONTH(B$2)+(D153-1)+7,1),"Mmm")</f>
        <v>Apr</v>
      </c>
      <c r="B153" s="383" t="n">
        <f aca="false">B152+1</f>
        <v>46634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TEXT(DATE(YEAR(B$2),MONTH(B$2)+(D154-1)+7,1),"Mmm")</f>
        <v>Apr</v>
      </c>
      <c r="B154" s="383" t="n">
        <f aca="false">B153+1</f>
        <v>46635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TEXT(DATE(YEAR(B$2),MONTH(B$2)+(D155-1)+7,1),"Mmm")</f>
        <v>Apr</v>
      </c>
      <c r="B155" s="383" t="n">
        <f aca="false">B154+1</f>
        <v>46636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TEXT(DATE(YEAR(B$2),MONTH(B$2)+(D156-1)+7,1),"Mmm")</f>
        <v>Apr</v>
      </c>
      <c r="B156" s="383" t="n">
        <f aca="false">B155+1</f>
        <v>46637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TEXT(DATE(YEAR(B$2),MONTH(B$2)+(D157-1)+7,1),"Mmm")</f>
        <v>Apr</v>
      </c>
      <c r="B157" s="383" t="n">
        <f aca="false">B156+1</f>
        <v>46638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TEXT(DATE(YEAR(B$2),MONTH(B$2)+(D158-1)+7,1),"Mmm")</f>
        <v>Apr</v>
      </c>
      <c r="B158" s="383" t="n">
        <f aca="false">B157+1</f>
        <v>46639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TEXT(DATE(YEAR(B$2),MONTH(B$2)+(D159-1)+7,1),"Mmm")</f>
        <v>Apr</v>
      </c>
      <c r="B159" s="383" t="n">
        <f aca="false">B158+1</f>
        <v>46640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TEXT(DATE(YEAR(B$2),MONTH(B$2)+(D160-1)+7,1),"Mmm")</f>
        <v>Apr</v>
      </c>
      <c r="B160" s="383" t="n">
        <f aca="false">B159+1</f>
        <v>46641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TEXT(DATE(YEAR(B$2),MONTH(B$2)+(D161-1)+7,1),"Mmm")</f>
        <v>Apr</v>
      </c>
      <c r="B161" s="383" t="n">
        <f aca="false">B160+1</f>
        <v>46642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TEXT(DATE(YEAR(B$2),MONTH(B$2)+(D162-1)+7,1),"Mmm")</f>
        <v>Apr</v>
      </c>
      <c r="B162" s="383" t="n">
        <f aca="false">B161+1</f>
        <v>46643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TEXT(DATE(YEAR(B$2),MONTH(B$2)+(D163-1)+7,1),"Mmm")</f>
        <v>Apr</v>
      </c>
      <c r="B163" s="383" t="n">
        <f aca="false">B162+1</f>
        <v>46644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TEXT(DATE(YEAR(B$2),MONTH(B$2)+(D164-1)+7,1),"Mmm")</f>
        <v>Apr</v>
      </c>
      <c r="B164" s="383" t="n">
        <f aca="false">B163+1</f>
        <v>46645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TEXT(DATE(YEAR(B$2),MONTH(B$2)+(D165-1)+7,1),"Mmm")</f>
        <v>Apr</v>
      </c>
      <c r="B165" s="383" t="n">
        <f aca="false">B164+1</f>
        <v>46646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TEXT(DATE(YEAR(B$2),MONTH(B$2)+(D166-1)+7,1),"Mmm")</f>
        <v>Apr</v>
      </c>
      <c r="B166" s="383" t="n">
        <f aca="false">B165+1</f>
        <v>46647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TEXT(DATE(YEAR(B$2),MONTH(B$2)+(D167-1)+7,1),"Mmm")</f>
        <v>Apr</v>
      </c>
      <c r="B167" s="383" t="n">
        <f aca="false">B166+1</f>
        <v>46648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TEXT(DATE(YEAR(B$2),MONTH(B$2)+(D168-1)+7,1),"Mmm")</f>
        <v>Apr</v>
      </c>
      <c r="B168" s="383" t="n">
        <f aca="false">B167+1</f>
        <v>46649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TEXT(DATE(YEAR(B$2),MONTH(B$2)+(D169-1)+7,1),"Mmm")</f>
        <v>Apr</v>
      </c>
      <c r="B169" s="383" t="n">
        <f aca="false">B168+1</f>
        <v>46650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TEXT(DATE(YEAR(B$2),MONTH(B$2)+(D170-1)+7,1),"Mmm")</f>
        <v>Apr</v>
      </c>
      <c r="B170" s="383" t="n">
        <f aca="false">B169+1</f>
        <v>46651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TEXT(DATE(YEAR(B$2),MONTH(B$2)+(D171-1)+7,1),"Mmm")</f>
        <v>Apr</v>
      </c>
      <c r="B171" s="383" t="n">
        <f aca="false">B170+1</f>
        <v>46652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TEXT(DATE(YEAR(B$2),MONTH(B$2)+(D172-1)+7,1),"Mmm")</f>
        <v>Apr</v>
      </c>
      <c r="B172" s="383" t="n">
        <f aca="false">B171+1</f>
        <v>46653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TEXT(DATE(YEAR(B$2),MONTH(B$2)+(D173-1)+7,1),"Mmm")</f>
        <v>Apr</v>
      </c>
      <c r="B173" s="383" t="n">
        <f aca="false">B172+1</f>
        <v>46654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TEXT(DATE(YEAR(B$2),MONTH(B$2)+(D174-1)+7,1),"Mmm")</f>
        <v>Apr</v>
      </c>
      <c r="B174" s="383" t="n">
        <f aca="false">B173+1</f>
        <v>46655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TEXT(DATE(YEAR(B$2),MONTH(B$2)+(D175-1)+7,1),"Mmm")</f>
        <v>Apr</v>
      </c>
      <c r="B175" s="383" t="n">
        <f aca="false">B174+1</f>
        <v>46656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TEXT(DATE(YEAR(B$2),MONTH(B$2)+(D176-1)+7,1),"Mmm")</f>
        <v>Apr</v>
      </c>
      <c r="B176" s="383" t="n">
        <f aca="false">B175+1</f>
        <v>46657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TEXT(DATE(YEAR(B$2),MONTH(B$2)+(D177-1)+7,1),"Mmm")</f>
        <v>Apr</v>
      </c>
      <c r="B177" s="383" t="n">
        <f aca="false">B176+1</f>
        <v>46658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TEXT(DATE(YEAR(B$2),MONTH(B$2)+(D178-1)+7,1),"Mmm")</f>
        <v>Apr</v>
      </c>
      <c r="B178" s="383" t="n">
        <f aca="false">B177+1</f>
        <v>46659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TEXT(DATE(YEAR(B$2),MONTH(B$2)+(D179-1)+7,1),"Mmm")</f>
        <v>Apr</v>
      </c>
      <c r="B179" s="383" t="n">
        <f aca="false">B178+1</f>
        <v>46660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TEXT(DATE(YEAR(B$2),MONTH(B$2)+(D180-1)+7,1),"Mmm")</f>
        <v>Apr</v>
      </c>
      <c r="B180" s="383" t="n">
        <f aca="false">B179+1</f>
        <v>46661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TEXT(DATE(YEAR(B$2),MONTH(B$2)+(D181-1)+7,1),"Mmm")</f>
        <v>Apr</v>
      </c>
      <c r="B181" s="383" t="n">
        <f aca="false">B180+1</f>
        <v>46662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TEXT(DATE(YEAR(B$2),MONTH(B$2)+(D182-1)+7,1),"Mmm")</f>
        <v>May</v>
      </c>
      <c r="B182" s="383" t="n">
        <f aca="false">B181+1</f>
        <v>46663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TEXT(DATE(YEAR(B$2),MONTH(B$2)+(D183-1)+7,1),"Mmm")</f>
        <v>May</v>
      </c>
      <c r="B183" s="383" t="n">
        <f aca="false">B182+1</f>
        <v>46664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TEXT(DATE(YEAR(B$2),MONTH(B$2)+(D184-1)+7,1),"Mmm")</f>
        <v>May</v>
      </c>
      <c r="B184" s="383" t="n">
        <f aca="false">B183+1</f>
        <v>46665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TEXT(DATE(YEAR(B$2),MONTH(B$2)+(D185-1)+7,1),"Mmm")</f>
        <v>May</v>
      </c>
      <c r="B185" s="383" t="n">
        <f aca="false">B184+1</f>
        <v>46666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TEXT(DATE(YEAR(B$2),MONTH(B$2)+(D186-1)+7,1),"Mmm")</f>
        <v>May</v>
      </c>
      <c r="B186" s="383" t="n">
        <f aca="false">B185+1</f>
        <v>46667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TEXT(DATE(YEAR(B$2),MONTH(B$2)+(D187-1)+7,1),"Mmm")</f>
        <v>May</v>
      </c>
      <c r="B187" s="383" t="n">
        <f aca="false">B186+1</f>
        <v>46668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TEXT(DATE(YEAR(B$2),MONTH(B$2)+(D188-1)+7,1),"Mmm")</f>
        <v>May</v>
      </c>
      <c r="B188" s="383" t="n">
        <f aca="false">B187+1</f>
        <v>46669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TEXT(DATE(YEAR(B$2),MONTH(B$2)+(D189-1)+7,1),"Mmm")</f>
        <v>May</v>
      </c>
      <c r="B189" s="383" t="n">
        <f aca="false">B188+1</f>
        <v>46670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TEXT(DATE(YEAR(B$2),MONTH(B$2)+(D190-1)+7,1),"Mmm")</f>
        <v>May</v>
      </c>
      <c r="B190" s="383" t="n">
        <f aca="false">B189+1</f>
        <v>46671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TEXT(DATE(YEAR(B$2),MONTH(B$2)+(D191-1)+7,1),"Mmm")</f>
        <v>May</v>
      </c>
      <c r="B191" s="383" t="n">
        <f aca="false">B190+1</f>
        <v>46672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TEXT(DATE(YEAR(B$2),MONTH(B$2)+(D192-1)+7,1),"Mmm")</f>
        <v>May</v>
      </c>
      <c r="B192" s="383" t="n">
        <f aca="false">B191+1</f>
        <v>46673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TEXT(DATE(YEAR(B$2),MONTH(B$2)+(D193-1)+7,1),"Mmm")</f>
        <v>May</v>
      </c>
      <c r="B193" s="383" t="n">
        <f aca="false">B192+1</f>
        <v>46674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TEXT(DATE(YEAR(B$2),MONTH(B$2)+(D194-1)+7,1),"Mmm")</f>
        <v>May</v>
      </c>
      <c r="B194" s="383" t="n">
        <f aca="false">B193+1</f>
        <v>46675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TEXT(DATE(YEAR(B$2),MONTH(B$2)+(D195-1)+7,1),"Mmm")</f>
        <v>May</v>
      </c>
      <c r="B195" s="383" t="n">
        <f aca="false">B194+1</f>
        <v>46676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TEXT(DATE(YEAR(B$2),MONTH(B$2)+(D196-1)+7,1),"Mmm")</f>
        <v>May</v>
      </c>
      <c r="B196" s="383" t="n">
        <f aca="false">B195+1</f>
        <v>46677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TEXT(DATE(YEAR(B$2),MONTH(B$2)+(D197-1)+7,1),"Mmm")</f>
        <v>May</v>
      </c>
      <c r="B197" s="383" t="n">
        <f aca="false">B196+1</f>
        <v>46678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TEXT(DATE(YEAR(B$2),MONTH(B$2)+(D198-1)+7,1),"Mmm")</f>
        <v>May</v>
      </c>
      <c r="B198" s="383" t="n">
        <f aca="false">B197+1</f>
        <v>46679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TEXT(DATE(YEAR(B$2),MONTH(B$2)+(D199-1)+7,1),"Mmm")</f>
        <v>May</v>
      </c>
      <c r="B199" s="383" t="n">
        <f aca="false">B198+1</f>
        <v>46680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TEXT(DATE(YEAR(B$2),MONTH(B$2)+(D200-1)+7,1),"Mmm")</f>
        <v>May</v>
      </c>
      <c r="B200" s="383" t="n">
        <f aca="false">B199+1</f>
        <v>46681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TEXT(DATE(YEAR(B$2),MONTH(B$2)+(D201-1)+7,1),"Mmm")</f>
        <v>May</v>
      </c>
      <c r="B201" s="383" t="n">
        <f aca="false">B200+1</f>
        <v>46682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TEXT(DATE(YEAR(B$2),MONTH(B$2)+(D202-1)+7,1),"Mmm")</f>
        <v>May</v>
      </c>
      <c r="B202" s="383" t="n">
        <f aca="false">B201+1</f>
        <v>46683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TEXT(DATE(YEAR(B$2),MONTH(B$2)+(D203-1)+7,1),"Mmm")</f>
        <v>May</v>
      </c>
      <c r="B203" s="383" t="n">
        <f aca="false">B202+1</f>
        <v>46684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TEXT(DATE(YEAR(B$2),MONTH(B$2)+(D204-1)+7,1),"Mmm")</f>
        <v>May</v>
      </c>
      <c r="B204" s="383" t="n">
        <f aca="false">B203+1</f>
        <v>46685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TEXT(DATE(YEAR(B$2),MONTH(B$2)+(D205-1)+7,1),"Mmm")</f>
        <v>May</v>
      </c>
      <c r="B205" s="383" t="n">
        <f aca="false">B204+1</f>
        <v>46686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TEXT(DATE(YEAR(B$2),MONTH(B$2)+(D206-1)+7,1),"Mmm")</f>
        <v>May</v>
      </c>
      <c r="B206" s="383" t="n">
        <f aca="false">B205+1</f>
        <v>46687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TEXT(DATE(YEAR(B$2),MONTH(B$2)+(D207-1)+7,1),"Mmm")</f>
        <v>May</v>
      </c>
      <c r="B207" s="383" t="n">
        <f aca="false">B206+1</f>
        <v>46688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TEXT(DATE(YEAR(B$2),MONTH(B$2)+(D208-1)+7,1),"Mmm")</f>
        <v>May</v>
      </c>
      <c r="B208" s="383" t="n">
        <f aca="false">B207+1</f>
        <v>46689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TEXT(DATE(YEAR(B$2),MONTH(B$2)+(D209-1)+7,1),"Mmm")</f>
        <v>May</v>
      </c>
      <c r="B209" s="383" t="n">
        <f aca="false">B208+1</f>
        <v>46690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TEXT(DATE(YEAR(B$2),MONTH(B$2)+(D210-1)+7,1),"Mmm")</f>
        <v>Jun</v>
      </c>
      <c r="B210" s="383" t="n">
        <f aca="false">B209+1</f>
        <v>46691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TEXT(DATE(YEAR(B$2),MONTH(B$2)+(D211-1)+7,1),"Mmm")</f>
        <v>Jun</v>
      </c>
      <c r="B211" s="383" t="n">
        <f aca="false">B210+1</f>
        <v>46692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TEXT(DATE(YEAR(B$2),MONTH(B$2)+(D212-1)+7,1),"Mmm")</f>
        <v>Jun</v>
      </c>
      <c r="B212" s="383" t="n">
        <f aca="false">B211+1</f>
        <v>46693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TEXT(DATE(YEAR(B$2),MONTH(B$2)+(D213-1)+7,1),"Mmm")</f>
        <v>Jun</v>
      </c>
      <c r="B213" s="383" t="n">
        <f aca="false">B212+1</f>
        <v>46694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TEXT(DATE(YEAR(B$2),MONTH(B$2)+(D214-1)+7,1),"Mmm")</f>
        <v>Jun</v>
      </c>
      <c r="B214" s="383" t="n">
        <f aca="false">B213+1</f>
        <v>46695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TEXT(DATE(YEAR(B$2),MONTH(B$2)+(D215-1)+7,1),"Mmm")</f>
        <v>Jun</v>
      </c>
      <c r="B215" s="383" t="n">
        <f aca="false">B214+1</f>
        <v>46696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TEXT(DATE(YEAR(B$2),MONTH(B$2)+(D216-1)+7,1),"Mmm")</f>
        <v>Jun</v>
      </c>
      <c r="B216" s="383" t="n">
        <f aca="false">B215+1</f>
        <v>46697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TEXT(DATE(YEAR(B$2),MONTH(B$2)+(D217-1)+7,1),"Mmm")</f>
        <v>Jun</v>
      </c>
      <c r="B217" s="383" t="n">
        <f aca="false">B216+1</f>
        <v>46698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TEXT(DATE(YEAR(B$2),MONTH(B$2)+(D218-1)+7,1),"Mmm")</f>
        <v>Jun</v>
      </c>
      <c r="B218" s="383" t="n">
        <f aca="false">B217+1</f>
        <v>46699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TEXT(DATE(YEAR(B$2),MONTH(B$2)+(D219-1)+7,1),"Mmm")</f>
        <v>Jun</v>
      </c>
      <c r="B219" s="383" t="n">
        <f aca="false">B218+1</f>
        <v>46700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TEXT(DATE(YEAR(B$2),MONTH(B$2)+(D220-1)+7,1),"Mmm")</f>
        <v>Jun</v>
      </c>
      <c r="B220" s="383" t="n">
        <f aca="false">B219+1</f>
        <v>46701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TEXT(DATE(YEAR(B$2),MONTH(B$2)+(D221-1)+7,1),"Mmm")</f>
        <v>Jun</v>
      </c>
      <c r="B221" s="383" t="n">
        <f aca="false">B220+1</f>
        <v>46702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TEXT(DATE(YEAR(B$2),MONTH(B$2)+(D222-1)+7,1),"Mmm")</f>
        <v>Jun</v>
      </c>
      <c r="B222" s="383" t="n">
        <f aca="false">B221+1</f>
        <v>46703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TEXT(DATE(YEAR(B$2),MONTH(B$2)+(D223-1)+7,1),"Mmm")</f>
        <v>Jun</v>
      </c>
      <c r="B223" s="383" t="n">
        <f aca="false">B222+1</f>
        <v>46704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TEXT(DATE(YEAR(B$2),MONTH(B$2)+(D224-1)+7,1),"Mmm")</f>
        <v>Jun</v>
      </c>
      <c r="B224" s="383" t="n">
        <f aca="false">B223+1</f>
        <v>46705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TEXT(DATE(YEAR(B$2),MONTH(B$2)+(D225-1)+7,1),"Mmm")</f>
        <v>Jun</v>
      </c>
      <c r="B225" s="383" t="n">
        <f aca="false">B224+1</f>
        <v>46706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TEXT(DATE(YEAR(B$2),MONTH(B$2)+(D226-1)+7,1),"Mmm")</f>
        <v>Jun</v>
      </c>
      <c r="B226" s="383" t="n">
        <f aca="false">B225+1</f>
        <v>46707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TEXT(DATE(YEAR(B$2),MONTH(B$2)+(D227-1)+7,1),"Mmm")</f>
        <v>Jun</v>
      </c>
      <c r="B227" s="383" t="n">
        <f aca="false">B226+1</f>
        <v>46708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TEXT(DATE(YEAR(B$2),MONTH(B$2)+(D228-1)+7,1),"Mmm")</f>
        <v>Jun</v>
      </c>
      <c r="B228" s="383" t="n">
        <f aca="false">B227+1</f>
        <v>46709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TEXT(DATE(YEAR(B$2),MONTH(B$2)+(D229-1)+7,1),"Mmm")</f>
        <v>Jun</v>
      </c>
      <c r="B229" s="383" t="n">
        <f aca="false">B228+1</f>
        <v>46710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TEXT(DATE(YEAR(B$2),MONTH(B$2)+(D230-1)+7,1),"Mmm")</f>
        <v>Jun</v>
      </c>
      <c r="B230" s="383" t="n">
        <f aca="false">B229+1</f>
        <v>46711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TEXT(DATE(YEAR(B$2),MONTH(B$2)+(D231-1)+7,1),"Mmm")</f>
        <v>Jun</v>
      </c>
      <c r="B231" s="383" t="n">
        <f aca="false">B230+1</f>
        <v>46712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TEXT(DATE(YEAR(B$2),MONTH(B$2)+(D232-1)+7,1),"Mmm")</f>
        <v>Jun</v>
      </c>
      <c r="B232" s="383" t="n">
        <f aca="false">B231+1</f>
        <v>46713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TEXT(DATE(YEAR(B$2),MONTH(B$2)+(D233-1)+7,1),"Mmm")</f>
        <v>Jun</v>
      </c>
      <c r="B233" s="383" t="n">
        <f aca="false">B232+1</f>
        <v>46714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TEXT(DATE(YEAR(B$2),MONTH(B$2)+(D234-1)+7,1),"Mmm")</f>
        <v>Jun</v>
      </c>
      <c r="B234" s="383" t="n">
        <f aca="false">B233+1</f>
        <v>46715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TEXT(DATE(YEAR(B$2),MONTH(B$2)+(D235-1)+7,1),"Mmm")</f>
        <v>Jun</v>
      </c>
      <c r="B235" s="383" t="n">
        <f aca="false">B234+1</f>
        <v>46716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TEXT(DATE(YEAR(B$2),MONTH(B$2)+(D236-1)+7,1),"Mmm")</f>
        <v>Jun</v>
      </c>
      <c r="B236" s="383" t="n">
        <f aca="false">B235+1</f>
        <v>46717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TEXT(DATE(YEAR(B$2),MONTH(B$2)+(D237-1)+7,1),"Mmm")</f>
        <v>Jun</v>
      </c>
      <c r="B237" s="383" t="n">
        <f aca="false">B236+1</f>
        <v>46718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TEXT(DATE(YEAR(B$2),MONTH(B$2)+(D238-1)+7,1),"Mmm")</f>
        <v>Jul</v>
      </c>
      <c r="B238" s="383" t="n">
        <f aca="false">B237+1</f>
        <v>46719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TEXT(DATE(YEAR(B$2),MONTH(B$2)+(D239-1)+7,1),"Mmm")</f>
        <v>Jul</v>
      </c>
      <c r="B239" s="383" t="n">
        <f aca="false">B238+1</f>
        <v>46720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TEXT(DATE(YEAR(B$2),MONTH(B$2)+(D240-1)+7,1),"Mmm")</f>
        <v>Jul</v>
      </c>
      <c r="B240" s="383" t="n">
        <f aca="false">B239+1</f>
        <v>46721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TEXT(DATE(YEAR(B$2),MONTH(B$2)+(D241-1)+7,1),"Mmm")</f>
        <v>Jul</v>
      </c>
      <c r="B241" s="383" t="n">
        <f aca="false">B240+1</f>
        <v>46722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TEXT(DATE(YEAR(B$2),MONTH(B$2)+(D242-1)+7,1),"Mmm")</f>
        <v>Jul</v>
      </c>
      <c r="B242" s="383" t="n">
        <f aca="false">B241+1</f>
        <v>46723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TEXT(DATE(YEAR(B$2),MONTH(B$2)+(D243-1)+7,1),"Mmm")</f>
        <v>Jul</v>
      </c>
      <c r="B243" s="383" t="n">
        <f aca="false">B242+1</f>
        <v>46724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TEXT(DATE(YEAR(B$2),MONTH(B$2)+(D244-1)+7,1),"Mmm")</f>
        <v>Jul</v>
      </c>
      <c r="B244" s="383" t="n">
        <f aca="false">B243+1</f>
        <v>46725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TEXT(DATE(YEAR(B$2),MONTH(B$2)+(D245-1)+7,1),"Mmm")</f>
        <v>Jul</v>
      </c>
      <c r="B245" s="383" t="n">
        <f aca="false">B244+1</f>
        <v>46726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TEXT(DATE(YEAR(B$2),MONTH(B$2)+(D246-1)+7,1),"Mmm")</f>
        <v>Jul</v>
      </c>
      <c r="B246" s="383" t="n">
        <f aca="false">B245+1</f>
        <v>46727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TEXT(DATE(YEAR(B$2),MONTH(B$2)+(D247-1)+7,1),"Mmm")</f>
        <v>Jul</v>
      </c>
      <c r="B247" s="383" t="n">
        <f aca="false">B246+1</f>
        <v>46728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TEXT(DATE(YEAR(B$2),MONTH(B$2)+(D248-1)+7,1),"Mmm")</f>
        <v>Jul</v>
      </c>
      <c r="B248" s="383" t="n">
        <f aca="false">B247+1</f>
        <v>46729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TEXT(DATE(YEAR(B$2),MONTH(B$2)+(D249-1)+7,1),"Mmm")</f>
        <v>Jul</v>
      </c>
      <c r="B249" s="383" t="n">
        <f aca="false">B248+1</f>
        <v>46730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TEXT(DATE(YEAR(B$2),MONTH(B$2)+(D250-1)+7,1),"Mmm")</f>
        <v>Jul</v>
      </c>
      <c r="B250" s="383" t="n">
        <f aca="false">B249+1</f>
        <v>46731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TEXT(DATE(YEAR(B$2),MONTH(B$2)+(D251-1)+7,1),"Mmm")</f>
        <v>Jul</v>
      </c>
      <c r="B251" s="383" t="n">
        <f aca="false">B250+1</f>
        <v>46732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TEXT(DATE(YEAR(B$2),MONTH(B$2)+(D252-1)+7,1),"Mmm")</f>
        <v>Jul</v>
      </c>
      <c r="B252" s="383" t="n">
        <f aca="false">B251+1</f>
        <v>46733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TEXT(DATE(YEAR(B$2),MONTH(B$2)+(D253-1)+7,1),"Mmm")</f>
        <v>Jul</v>
      </c>
      <c r="B253" s="383" t="n">
        <f aca="false">B252+1</f>
        <v>46734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TEXT(DATE(YEAR(B$2),MONTH(B$2)+(D254-1)+7,1),"Mmm")</f>
        <v>Jul</v>
      </c>
      <c r="B254" s="383" t="n">
        <f aca="false">B253+1</f>
        <v>46735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TEXT(DATE(YEAR(B$2),MONTH(B$2)+(D255-1)+7,1),"Mmm")</f>
        <v>Jul</v>
      </c>
      <c r="B255" s="383" t="n">
        <f aca="false">B254+1</f>
        <v>46736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TEXT(DATE(YEAR(B$2),MONTH(B$2)+(D256-1)+7,1),"Mmm")</f>
        <v>Jul</v>
      </c>
      <c r="B256" s="383" t="n">
        <f aca="false">B255+1</f>
        <v>46737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TEXT(DATE(YEAR(B$2),MONTH(B$2)+(D257-1)+7,1),"Mmm")</f>
        <v>Jul</v>
      </c>
      <c r="B257" s="383" t="n">
        <f aca="false">B256+1</f>
        <v>46738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TEXT(DATE(YEAR(B$2),MONTH(B$2)+(D258-1)+7,1),"Mmm")</f>
        <v>Jul</v>
      </c>
      <c r="B258" s="383" t="n">
        <f aca="false">B257+1</f>
        <v>46739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TEXT(DATE(YEAR(B$2),MONTH(B$2)+(D259-1)+7,1),"Mmm")</f>
        <v>Jul</v>
      </c>
      <c r="B259" s="383" t="n">
        <f aca="false">B258+1</f>
        <v>46740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TEXT(DATE(YEAR(B$2),MONTH(B$2)+(D260-1)+7,1),"Mmm")</f>
        <v>Jul</v>
      </c>
      <c r="B260" s="383" t="n">
        <f aca="false">B259+1</f>
        <v>46741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TEXT(DATE(YEAR(B$2),MONTH(B$2)+(D261-1)+7,1),"Mmm")</f>
        <v>Jul</v>
      </c>
      <c r="B261" s="383" t="n">
        <f aca="false">B260+1</f>
        <v>46742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TEXT(DATE(YEAR(B$2),MONTH(B$2)+(D262-1)+7,1),"Mmm")</f>
        <v>Jul</v>
      </c>
      <c r="B262" s="383" t="n">
        <f aca="false">B261+1</f>
        <v>46743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TEXT(DATE(YEAR(B$2),MONTH(B$2)+(D263-1)+7,1),"Mmm")</f>
        <v>Jul</v>
      </c>
      <c r="B263" s="383" t="n">
        <f aca="false">B262+1</f>
        <v>46744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TEXT(DATE(YEAR(B$2),MONTH(B$2)+(D264-1)+7,1),"Mmm")</f>
        <v>Jul</v>
      </c>
      <c r="B264" s="383" t="n">
        <f aca="false">B263+1</f>
        <v>46745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TEXT(DATE(YEAR(B$2),MONTH(B$2)+(D265-1)+7,1),"Mmm")</f>
        <v>Jul</v>
      </c>
      <c r="B265" s="383" t="n">
        <f aca="false">B264+1</f>
        <v>46746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TEXT(DATE(YEAR(B$2),MONTH(B$2)+(D266-1)+7,1),"Mmm")</f>
        <v>Jul</v>
      </c>
      <c r="B266" s="383" t="n">
        <f aca="false">B265+1</f>
        <v>46747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TEXT(DATE(YEAR(B$2),MONTH(B$2)+(D267-1)+7,1),"Mmm")</f>
        <v>Jul</v>
      </c>
      <c r="B267" s="383" t="n">
        <f aca="false">B266+1</f>
        <v>46748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TEXT(DATE(YEAR(B$2),MONTH(B$2)+(D268-1)+7,1),"Mmm")</f>
        <v>Jul</v>
      </c>
      <c r="B268" s="383" t="n">
        <f aca="false">B267+1</f>
        <v>46749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TEXT(DATE(YEAR(B$2),MONTH(B$2)+(D269-1)+7,1),"Mmm")</f>
        <v>Jul</v>
      </c>
      <c r="B269" s="383" t="n">
        <f aca="false">B268+1</f>
        <v>46750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TEXT(DATE(YEAR(B$2),MONTH(B$2)+(D270-1)+7,1),"Mmm")</f>
        <v>Jul</v>
      </c>
      <c r="B270" s="383" t="n">
        <f aca="false">B269+1</f>
        <v>46751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TEXT(DATE(YEAR(B$2),MONTH(B$2)+(D271-1)+7,1),"Mmm")</f>
        <v>Jul</v>
      </c>
      <c r="B271" s="383" t="n">
        <f aca="false">B270+1</f>
        <v>46752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TEXT(DATE(YEAR(B$2),MONTH(B$2)+(D272-1)+7,1),"Mmm")</f>
        <v>Jul</v>
      </c>
      <c r="B272" s="383" t="n">
        <f aca="false">B271+1</f>
        <v>46753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TEXT(DATE(YEAR(B$2),MONTH(B$2)+(D273-1)+7,1),"Mmm")</f>
        <v>Aug</v>
      </c>
      <c r="B273" s="383" t="n">
        <f aca="false">B272+1</f>
        <v>46754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TEXT(DATE(YEAR(B$2),MONTH(B$2)+(D274-1)+7,1),"Mmm")</f>
        <v>Aug</v>
      </c>
      <c r="B274" s="383" t="n">
        <f aca="false">B273+1</f>
        <v>46755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TEXT(DATE(YEAR(B$2),MONTH(B$2)+(D275-1)+7,1),"Mmm")</f>
        <v>Aug</v>
      </c>
      <c r="B275" s="383" t="n">
        <f aca="false">B274+1</f>
        <v>46756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TEXT(DATE(YEAR(B$2),MONTH(B$2)+(D276-1)+7,1),"Mmm")</f>
        <v>Aug</v>
      </c>
      <c r="B276" s="383" t="n">
        <f aca="false">B275+1</f>
        <v>46757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TEXT(DATE(YEAR(B$2),MONTH(B$2)+(D277-1)+7,1),"Mmm")</f>
        <v>Aug</v>
      </c>
      <c r="B277" s="383" t="n">
        <f aca="false">B276+1</f>
        <v>46758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TEXT(DATE(YEAR(B$2),MONTH(B$2)+(D278-1)+7,1),"Mmm")</f>
        <v>Aug</v>
      </c>
      <c r="B278" s="383" t="n">
        <f aca="false">B277+1</f>
        <v>46759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TEXT(DATE(YEAR(B$2),MONTH(B$2)+(D279-1)+7,1),"Mmm")</f>
        <v>Aug</v>
      </c>
      <c r="B279" s="383" t="n">
        <f aca="false">B278+1</f>
        <v>46760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TEXT(DATE(YEAR(B$2),MONTH(B$2)+(D280-1)+7,1),"Mmm")</f>
        <v>Aug</v>
      </c>
      <c r="B280" s="383" t="n">
        <f aca="false">B279+1</f>
        <v>46761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TEXT(DATE(YEAR(B$2),MONTH(B$2)+(D281-1)+7,1),"Mmm")</f>
        <v>Aug</v>
      </c>
      <c r="B281" s="383" t="n">
        <f aca="false">B280+1</f>
        <v>46762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TEXT(DATE(YEAR(B$2),MONTH(B$2)+(D282-1)+7,1),"Mmm")</f>
        <v>Aug</v>
      </c>
      <c r="B282" s="383" t="n">
        <f aca="false">B281+1</f>
        <v>46763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TEXT(DATE(YEAR(B$2),MONTH(B$2)+(D283-1)+7,1),"Mmm")</f>
        <v>Aug</v>
      </c>
      <c r="B283" s="383" t="n">
        <f aca="false">B282+1</f>
        <v>46764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TEXT(DATE(YEAR(B$2),MONTH(B$2)+(D284-1)+7,1),"Mmm")</f>
        <v>Aug</v>
      </c>
      <c r="B284" s="383" t="n">
        <f aca="false">B283+1</f>
        <v>46765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TEXT(DATE(YEAR(B$2),MONTH(B$2)+(D285-1)+7,1),"Mmm")</f>
        <v>Aug</v>
      </c>
      <c r="B285" s="383" t="n">
        <f aca="false">B284+1</f>
        <v>46766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TEXT(DATE(YEAR(B$2),MONTH(B$2)+(D286-1)+7,1),"Mmm")</f>
        <v>Aug</v>
      </c>
      <c r="B286" s="383" t="n">
        <f aca="false">B285+1</f>
        <v>46767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TEXT(DATE(YEAR(B$2),MONTH(B$2)+(D287-1)+7,1),"Mmm")</f>
        <v>Aug</v>
      </c>
      <c r="B287" s="383" t="n">
        <f aca="false">B286+1</f>
        <v>46768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TEXT(DATE(YEAR(B$2),MONTH(B$2)+(D288-1)+7,1),"Mmm")</f>
        <v>Aug</v>
      </c>
      <c r="B288" s="383" t="n">
        <f aca="false">B287+1</f>
        <v>46769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TEXT(DATE(YEAR(B$2),MONTH(B$2)+(D289-1)+7,1),"Mmm")</f>
        <v>Aug</v>
      </c>
      <c r="B289" s="383" t="n">
        <f aca="false">B288+1</f>
        <v>46770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TEXT(DATE(YEAR(B$2),MONTH(B$2)+(D290-1)+7,1),"Mmm")</f>
        <v>Aug</v>
      </c>
      <c r="B290" s="383" t="n">
        <f aca="false">B289+1</f>
        <v>46771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TEXT(DATE(YEAR(B$2),MONTH(B$2)+(D291-1)+7,1),"Mmm")</f>
        <v>Aug</v>
      </c>
      <c r="B291" s="383" t="n">
        <f aca="false">B290+1</f>
        <v>46772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TEXT(DATE(YEAR(B$2),MONTH(B$2)+(D292-1)+7,1),"Mmm")</f>
        <v>Aug</v>
      </c>
      <c r="B292" s="383" t="n">
        <f aca="false">B291+1</f>
        <v>46773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TEXT(DATE(YEAR(B$2),MONTH(B$2)+(D293-1)+7,1),"Mmm")</f>
        <v>Aug</v>
      </c>
      <c r="B293" s="383" t="n">
        <f aca="false">B292+1</f>
        <v>46774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TEXT(DATE(YEAR(B$2),MONTH(B$2)+(D294-1)+7,1),"Mmm")</f>
        <v>Aug</v>
      </c>
      <c r="B294" s="383" t="n">
        <f aca="false">B293+1</f>
        <v>46775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TEXT(DATE(YEAR(B$2),MONTH(B$2)+(D295-1)+7,1),"Mmm")</f>
        <v>Aug</v>
      </c>
      <c r="B295" s="383" t="n">
        <f aca="false">B294+1</f>
        <v>46776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TEXT(DATE(YEAR(B$2),MONTH(B$2)+(D296-1)+7,1),"Mmm")</f>
        <v>Aug</v>
      </c>
      <c r="B296" s="383" t="n">
        <f aca="false">B295+1</f>
        <v>46777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TEXT(DATE(YEAR(B$2),MONTH(B$2)+(D297-1)+7,1),"Mmm")</f>
        <v>Aug</v>
      </c>
      <c r="B297" s="383" t="n">
        <f aca="false">B296+1</f>
        <v>46778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TEXT(DATE(YEAR(B$2),MONTH(B$2)+(D298-1)+7,1),"Mmm")</f>
        <v>Aug</v>
      </c>
      <c r="B298" s="383" t="n">
        <f aca="false">B297+1</f>
        <v>46779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TEXT(DATE(YEAR(B$2),MONTH(B$2)+(D299-1)+7,1),"Mmm")</f>
        <v>Aug</v>
      </c>
      <c r="B299" s="383" t="n">
        <f aca="false">B298+1</f>
        <v>46780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TEXT(DATE(YEAR(B$2),MONTH(B$2)+(D300-1)+7,1),"Mmm")</f>
        <v>Aug</v>
      </c>
      <c r="B300" s="383" t="n">
        <f aca="false">B299+1</f>
        <v>46781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TEXT(DATE(YEAR(B$2),MONTH(B$2)+(D301-1)+7,1),"Mmm")</f>
        <v>Sep</v>
      </c>
      <c r="B301" s="383" t="n">
        <f aca="false">B300+1</f>
        <v>46782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TEXT(DATE(YEAR(B$2),MONTH(B$2)+(D302-1)+7,1),"Mmm")</f>
        <v>Sep</v>
      </c>
      <c r="B302" s="383" t="n">
        <f aca="false">B301+1</f>
        <v>46783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TEXT(DATE(YEAR(B$2),MONTH(B$2)+(D303-1)+7,1),"Mmm")</f>
        <v>Sep</v>
      </c>
      <c r="B303" s="383" t="n">
        <f aca="false">B302+1</f>
        <v>46784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TEXT(DATE(YEAR(B$2),MONTH(B$2)+(D304-1)+7,1),"Mmm")</f>
        <v>Sep</v>
      </c>
      <c r="B304" s="383" t="n">
        <f aca="false">B303+1</f>
        <v>46785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TEXT(DATE(YEAR(B$2),MONTH(B$2)+(D305-1)+7,1),"Mmm")</f>
        <v>Sep</v>
      </c>
      <c r="B305" s="383" t="n">
        <f aca="false">B304+1</f>
        <v>46786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TEXT(DATE(YEAR(B$2),MONTH(B$2)+(D306-1)+7,1),"Mmm")</f>
        <v>Sep</v>
      </c>
      <c r="B306" s="383" t="n">
        <f aca="false">B305+1</f>
        <v>46787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TEXT(DATE(YEAR(B$2),MONTH(B$2)+(D307-1)+7,1),"Mmm")</f>
        <v>Sep</v>
      </c>
      <c r="B307" s="383" t="n">
        <f aca="false">B306+1</f>
        <v>46788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TEXT(DATE(YEAR(B$2),MONTH(B$2)+(D308-1)+7,1),"Mmm")</f>
        <v>Sep</v>
      </c>
      <c r="B308" s="383" t="n">
        <f aca="false">B307+1</f>
        <v>46789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TEXT(DATE(YEAR(B$2),MONTH(B$2)+(D309-1)+7,1),"Mmm")</f>
        <v>Sep</v>
      </c>
      <c r="B309" s="383" t="n">
        <f aca="false">B308+1</f>
        <v>46790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TEXT(DATE(YEAR(B$2),MONTH(B$2)+(D310-1)+7,1),"Mmm")</f>
        <v>Sep</v>
      </c>
      <c r="B310" s="383" t="n">
        <f aca="false">B309+1</f>
        <v>46791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TEXT(DATE(YEAR(B$2),MONTH(B$2)+(D311-1)+7,1),"Mmm")</f>
        <v>Sep</v>
      </c>
      <c r="B311" s="383" t="n">
        <f aca="false">B310+1</f>
        <v>46792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TEXT(DATE(YEAR(B$2),MONTH(B$2)+(D312-1)+7,1),"Mmm")</f>
        <v>Sep</v>
      </c>
      <c r="B312" s="383" t="n">
        <f aca="false">B311+1</f>
        <v>46793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TEXT(DATE(YEAR(B$2),MONTH(B$2)+(D313-1)+7,1),"Mmm")</f>
        <v>Sep</v>
      </c>
      <c r="B313" s="383" t="n">
        <f aca="false">B312+1</f>
        <v>46794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TEXT(DATE(YEAR(B$2),MONTH(B$2)+(D314-1)+7,1),"Mmm")</f>
        <v>Sep</v>
      </c>
      <c r="B314" s="383" t="n">
        <f aca="false">B313+1</f>
        <v>46795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TEXT(DATE(YEAR(B$2),MONTH(B$2)+(D315-1)+7,1),"Mmm")</f>
        <v>Sep</v>
      </c>
      <c r="B315" s="383" t="n">
        <f aca="false">B314+1</f>
        <v>46796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TEXT(DATE(YEAR(B$2),MONTH(B$2)+(D316-1)+7,1),"Mmm")</f>
        <v>Sep</v>
      </c>
      <c r="B316" s="383" t="n">
        <f aca="false">B315+1</f>
        <v>46797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TEXT(DATE(YEAR(B$2),MONTH(B$2)+(D317-1)+7,1),"Mmm")</f>
        <v>Sep</v>
      </c>
      <c r="B317" s="383" t="n">
        <f aca="false">B316+1</f>
        <v>46798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TEXT(DATE(YEAR(B$2),MONTH(B$2)+(D318-1)+7,1),"Mmm")</f>
        <v>Sep</v>
      </c>
      <c r="B318" s="383" t="n">
        <f aca="false">B317+1</f>
        <v>46799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TEXT(DATE(YEAR(B$2),MONTH(B$2)+(D319-1)+7,1),"Mmm")</f>
        <v>Sep</v>
      </c>
      <c r="B319" s="383" t="n">
        <f aca="false">B318+1</f>
        <v>46800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TEXT(DATE(YEAR(B$2),MONTH(B$2)+(D320-1)+7,1),"Mmm")</f>
        <v>Sep</v>
      </c>
      <c r="B320" s="383" t="n">
        <f aca="false">B319+1</f>
        <v>46801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TEXT(DATE(YEAR(B$2),MONTH(B$2)+(D321-1)+7,1),"Mmm")</f>
        <v>Sep</v>
      </c>
      <c r="B321" s="383" t="n">
        <f aca="false">B320+1</f>
        <v>46802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TEXT(DATE(YEAR(B$2),MONTH(B$2)+(D322-1)+7,1),"Mmm")</f>
        <v>Sep</v>
      </c>
      <c r="B322" s="383" t="n">
        <f aca="false">B321+1</f>
        <v>46803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TEXT(DATE(YEAR(B$2),MONTH(B$2)+(D323-1)+7,1),"Mmm")</f>
        <v>Sep</v>
      </c>
      <c r="B323" s="383" t="n">
        <f aca="false">B322+1</f>
        <v>46804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TEXT(DATE(YEAR(B$2),MONTH(B$2)+(D324-1)+7,1),"Mmm")</f>
        <v>Sep</v>
      </c>
      <c r="B324" s="383" t="n">
        <f aca="false">B323+1</f>
        <v>46805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TEXT(DATE(YEAR(B$2),MONTH(B$2)+(D325-1)+7,1),"Mmm")</f>
        <v>Sep</v>
      </c>
      <c r="B325" s="383" t="n">
        <f aca="false">B324+1</f>
        <v>46806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TEXT(DATE(YEAR(B$2),MONTH(B$2)+(D326-1)+7,1),"Mmm")</f>
        <v>Sep</v>
      </c>
      <c r="B326" s="383" t="n">
        <f aca="false">B325+1</f>
        <v>46807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TEXT(DATE(YEAR(B$2),MONTH(B$2)+(D327-1)+7,1),"Mmm")</f>
        <v>Sep</v>
      </c>
      <c r="B327" s="383" t="n">
        <f aca="false">B326+1</f>
        <v>46808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TEXT(DATE(YEAR(B$2),MONTH(B$2)+(D328-1)+7,1),"Mmm")</f>
        <v>Sep</v>
      </c>
      <c r="B328" s="383" t="n">
        <f aca="false">B327+1</f>
        <v>46809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TEXT(DATE(YEAR(B$2),MONTH(B$2)+(D329-1)+7,1),"Mmm")</f>
        <v>Oct</v>
      </c>
      <c r="B329" s="383" t="n">
        <f aca="false">B328+1</f>
        <v>46810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TEXT(DATE(YEAR(B$2),MONTH(B$2)+(D330-1)+7,1),"Mmm")</f>
        <v>Oct</v>
      </c>
      <c r="B330" s="383" t="n">
        <f aca="false">B329+1</f>
        <v>46811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TEXT(DATE(YEAR(B$2),MONTH(B$2)+(D331-1)+7,1),"Mmm")</f>
        <v>Oct</v>
      </c>
      <c r="B331" s="383" t="n">
        <f aca="false">B330+1</f>
        <v>46812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TEXT(DATE(YEAR(B$2),MONTH(B$2)+(D332-1)+7,1),"Mmm")</f>
        <v>Oct</v>
      </c>
      <c r="B332" s="383" t="n">
        <f aca="false">B331+1</f>
        <v>46813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TEXT(DATE(YEAR(B$2),MONTH(B$2)+(D333-1)+7,1),"Mmm")</f>
        <v>Oct</v>
      </c>
      <c r="B333" s="383" t="n">
        <f aca="false">B332+1</f>
        <v>46814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TEXT(DATE(YEAR(B$2),MONTH(B$2)+(D334-1)+7,1),"Mmm")</f>
        <v>Oct</v>
      </c>
      <c r="B334" s="383" t="n">
        <f aca="false">B333+1</f>
        <v>46815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TEXT(DATE(YEAR(B$2),MONTH(B$2)+(D335-1)+7,1),"Mmm")</f>
        <v>Oct</v>
      </c>
      <c r="B335" s="383" t="n">
        <f aca="false">B334+1</f>
        <v>46816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TEXT(DATE(YEAR(B$2),MONTH(B$2)+(D336-1)+7,1),"Mmm")</f>
        <v>Oct</v>
      </c>
      <c r="B336" s="383" t="n">
        <f aca="false">B335+1</f>
        <v>46817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TEXT(DATE(YEAR(B$2),MONTH(B$2)+(D337-1)+7,1),"Mmm")</f>
        <v>Oct</v>
      </c>
      <c r="B337" s="383" t="n">
        <f aca="false">B336+1</f>
        <v>46818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TEXT(DATE(YEAR(B$2),MONTH(B$2)+(D338-1)+7,1),"Mmm")</f>
        <v>Oct</v>
      </c>
      <c r="B338" s="383" t="n">
        <f aca="false">B337+1</f>
        <v>46819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TEXT(DATE(YEAR(B$2),MONTH(B$2)+(D339-1)+7,1),"Mmm")</f>
        <v>Oct</v>
      </c>
      <c r="B339" s="383" t="n">
        <f aca="false">B338+1</f>
        <v>46820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TEXT(DATE(YEAR(B$2),MONTH(B$2)+(D340-1)+7,1),"Mmm")</f>
        <v>Oct</v>
      </c>
      <c r="B340" s="383" t="n">
        <f aca="false">B339+1</f>
        <v>46821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TEXT(DATE(YEAR(B$2),MONTH(B$2)+(D341-1)+7,1),"Mmm")</f>
        <v>Oct</v>
      </c>
      <c r="B341" s="383" t="n">
        <f aca="false">B340+1</f>
        <v>46822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TEXT(DATE(YEAR(B$2),MONTH(B$2)+(D342-1)+7,1),"Mmm")</f>
        <v>Oct</v>
      </c>
      <c r="B342" s="383" t="n">
        <f aca="false">B341+1</f>
        <v>46823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TEXT(DATE(YEAR(B$2),MONTH(B$2)+(D343-1)+7,1),"Mmm")</f>
        <v>Oct</v>
      </c>
      <c r="B343" s="383" t="n">
        <f aca="false">B342+1</f>
        <v>46824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TEXT(DATE(YEAR(B$2),MONTH(B$2)+(D344-1)+7,1),"Mmm")</f>
        <v>Oct</v>
      </c>
      <c r="B344" s="383" t="n">
        <f aca="false">B343+1</f>
        <v>46825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TEXT(DATE(YEAR(B$2),MONTH(B$2)+(D345-1)+7,1),"Mmm")</f>
        <v>Oct</v>
      </c>
      <c r="B345" s="383" t="n">
        <f aca="false">B344+1</f>
        <v>46826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TEXT(DATE(YEAR(B$2),MONTH(B$2)+(D346-1)+7,1),"Mmm")</f>
        <v>Oct</v>
      </c>
      <c r="B346" s="383" t="n">
        <f aca="false">B345+1</f>
        <v>46827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TEXT(DATE(YEAR(B$2),MONTH(B$2)+(D347-1)+7,1),"Mmm")</f>
        <v>Oct</v>
      </c>
      <c r="B347" s="383" t="n">
        <f aca="false">B346+1</f>
        <v>46828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TEXT(DATE(YEAR(B$2),MONTH(B$2)+(D348-1)+7,1),"Mmm")</f>
        <v>Oct</v>
      </c>
      <c r="B348" s="383" t="n">
        <f aca="false">B347+1</f>
        <v>46829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TEXT(DATE(YEAR(B$2),MONTH(B$2)+(D349-1)+7,1),"Mmm")</f>
        <v>Oct</v>
      </c>
      <c r="B349" s="383" t="n">
        <f aca="false">B348+1</f>
        <v>46830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TEXT(DATE(YEAR(B$2),MONTH(B$2)+(D350-1)+7,1),"Mmm")</f>
        <v>Oct</v>
      </c>
      <c r="B350" s="383" t="n">
        <f aca="false">B349+1</f>
        <v>46831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TEXT(DATE(YEAR(B$2),MONTH(B$2)+(D351-1)+7,1),"Mmm")</f>
        <v>Oct</v>
      </c>
      <c r="B351" s="383" t="n">
        <f aca="false">B350+1</f>
        <v>46832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TEXT(DATE(YEAR(B$2),MONTH(B$2)+(D352-1)+7,1),"Mmm")</f>
        <v>Oct</v>
      </c>
      <c r="B352" s="383" t="n">
        <f aca="false">B351+1</f>
        <v>46833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TEXT(DATE(YEAR(B$2),MONTH(B$2)+(D353-1)+7,1),"Mmm")</f>
        <v>Oct</v>
      </c>
      <c r="B353" s="383" t="n">
        <f aca="false">B352+1</f>
        <v>46834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TEXT(DATE(YEAR(B$2),MONTH(B$2)+(D354-1)+7,1),"Mmm")</f>
        <v>Oct</v>
      </c>
      <c r="B354" s="383" t="n">
        <f aca="false">B353+1</f>
        <v>46835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TEXT(DATE(YEAR(B$2),MONTH(B$2)+(D355-1)+7,1),"Mmm")</f>
        <v>Oct</v>
      </c>
      <c r="B355" s="383" t="n">
        <f aca="false">B354+1</f>
        <v>46836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TEXT(DATE(YEAR(B$2),MONTH(B$2)+(D356-1)+7,1),"Mmm")</f>
        <v>Oct</v>
      </c>
      <c r="B356" s="383" t="n">
        <f aca="false">B355+1</f>
        <v>46837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TEXT(DATE(YEAR(B$2),MONTH(B$2)+(D357-1)+7,1),"Mmm")</f>
        <v>Oct</v>
      </c>
      <c r="B357" s="383" t="n">
        <f aca="false">B356+1</f>
        <v>46838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TEXT(DATE(YEAR(B$2),MONTH(B$2)+(D358-1)+7,1),"Mmm")</f>
        <v>Oct</v>
      </c>
      <c r="B358" s="383" t="n">
        <f aca="false">B357+1</f>
        <v>46839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TEXT(DATE(YEAR(B$2),MONTH(B$2)+(D359-1)+7,1),"Mmm")</f>
        <v>Oct</v>
      </c>
      <c r="B359" s="383" t="n">
        <f aca="false">B358+1</f>
        <v>46840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TEXT(DATE(YEAR(B$2),MONTH(B$2)+(D360-1)+7,1),"Mmm")</f>
        <v>Oct</v>
      </c>
      <c r="B360" s="383" t="n">
        <f aca="false">B359+1</f>
        <v>46841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TEXT(DATE(YEAR(B$2),MONTH(B$2)+(D361-1)+7,1),"Mmm")</f>
        <v>Oct</v>
      </c>
      <c r="B361" s="383" t="n">
        <f aca="false">B360+1</f>
        <v>46842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TEXT(DATE(YEAR(B$2),MONTH(B$2)+(D362-1)+7,1),"Mmm")</f>
        <v>Oct</v>
      </c>
      <c r="B362" s="383" t="n">
        <f aca="false">B361+1</f>
        <v>46843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TEXT(DATE(YEAR(B$2),MONTH(B$2)+(D363-1)+7,1),"Mmm")</f>
        <v>Oct</v>
      </c>
      <c r="B363" s="383" t="n">
        <f aca="false">B362+1</f>
        <v>46844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TEXT(DATE(YEAR(B$2),MONTH(B$2)+(D364-1)+7,1),"Mmm")</f>
        <v>Oct</v>
      </c>
      <c r="B364" s="383" t="n">
        <f aca="false">B363+1</f>
        <v>46845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TEXT(DATE(YEAR(B$2),MONTH(B$2)+(D365-1)+7,1),"Mmm")</f>
        <v>Oct</v>
      </c>
      <c r="B365" s="383" t="n">
        <f aca="false">B364+1</f>
        <v>46846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TEXT(DATE(YEAR(B$2),MONTH(B$2)+(D366-1)+7,1),"Mmm")</f>
        <v>Oct</v>
      </c>
      <c r="B366" s="383" t="n">
        <f aca="false">B365+1</f>
        <v>46847</v>
      </c>
      <c r="C366" s="384" t="n">
        <v>53</v>
      </c>
      <c r="D366" s="384" t="n">
        <v>12</v>
      </c>
      <c r="E366" s="385" t="n">
        <f aca="false">B366</f>
        <v>46847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TEXT(DATE(YEAR(B$2),MONTH(B$2)+(D367-1)+7,1),"Mmm")</f>
        <v>Oct</v>
      </c>
      <c r="B367" s="383" t="n">
        <f aca="false">B366+1</f>
        <v>46848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TEXT(DATE(YEAR(B$2),MONTH(B$2)+(D368-1)+7,1),"Mmm")</f>
        <v>Oct</v>
      </c>
      <c r="B368" s="383" t="n">
        <f aca="false">B367+1</f>
        <v>46849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TEXT(DATE(YEAR(B$2),MONTH(B$2)+(D369-1)+7,1),"Mmm")</f>
        <v>Oct</v>
      </c>
      <c r="B369" s="383" t="n">
        <f aca="false">B368+1</f>
        <v>46850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TEXT(DATE(YEAR(B$2),MONTH(B$2)+(D370-1)+7,1),"Mmm")</f>
        <v>Oct</v>
      </c>
      <c r="B370" s="383" t="n">
        <f aca="false">B369+1</f>
        <v>46851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TEXT(DATE(YEAR(B$2),MONTH(B$2)+(D371-1)+7,1),"Mmm")</f>
        <v>Oct</v>
      </c>
      <c r="B371" s="383" t="n">
        <f aca="false">B370+1</f>
        <v>46852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TEXT(DATE(YEAR(B$2),MONTH(B$2)+(D372-1)+7,1),"Mmm")</f>
        <v>Oct</v>
      </c>
      <c r="B372" s="383" t="n">
        <f aca="false">B371+1</f>
        <v>46853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TEXT(DATE(YEAR(B$2),MONTH(B$2)+(D373-1)+7,1),"Mmm")</f>
        <v>Oct</v>
      </c>
      <c r="B373" s="383" t="n">
        <f aca="false">B372+1</f>
        <v>46854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TEXT(DATE(YEAR(B$2),MONTH(B$2)+(D374-1)+7,1),"Mmm")</f>
        <v>Oct</v>
      </c>
      <c r="B374" s="383" t="n">
        <f aca="false">B373+1</f>
        <v>46855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TEXT(DATE(YEAR(B$2),MONTH(B$2)+(D375-1)+7,1),"Mmm")</f>
        <v>Oct</v>
      </c>
      <c r="B375" s="383" t="n">
        <f aca="false">B374+1</f>
        <v>46856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TEXT(DATE(YEAR(B$2),MONTH(B$2)+(D376-1)+7,1),"Mmm")</f>
        <v>Oct</v>
      </c>
      <c r="B376" s="383" t="n">
        <f aca="false">B375+1</f>
        <v>46857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TEXT(DATE(YEAR(B$2),MONTH(B$2)+(D377-1)+7,1),"Mmm")</f>
        <v>Oct</v>
      </c>
      <c r="B377" s="383" t="n">
        <f aca="false">B376+1</f>
        <v>46858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TEXT(DATE(YEAR(B$2),MONTH(B$2)+(D378-1)+7,1),"Mmm")</f>
        <v>Oct</v>
      </c>
      <c r="B378" s="383" t="n">
        <f aca="false">B377+1</f>
        <v>46859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TEXT(DATE(YEAR(B$2),MONTH(B$2)+(D379-1)+7,1),"Mmm")</f>
        <v>Oct</v>
      </c>
      <c r="B379" s="383" t="n">
        <f aca="false">B378+1</f>
        <v>46860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TEXT(DATE(YEAR(B$2),MONTH(B$2)+(D380-1)+7,1),"Mmm")</f>
        <v>Oct</v>
      </c>
      <c r="B380" s="383" t="n">
        <f aca="false">B379+1</f>
        <v>46861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TEXT(DATE(YEAR(B$2),MONTH(B$2)+(D381-1)+7,1),"Mmm")</f>
        <v>Oct</v>
      </c>
      <c r="B381" s="383" t="n">
        <f aca="false">B380+1</f>
        <v>46862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