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<sst xmlns="http://schemas.openxmlformats.org/spreadsheetml/2006/main" count="1438" uniqueCount="155">
  <si>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</si>
  <si>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</si>
  <si>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</si>
  <si>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</si>
  <si>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</si>
  <si>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</si>
  <si>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</si>
  <si>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</si>
  <si>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</si>
  <si>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</si>
  <si>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</si>
  <si>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</si>
  <si>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</si>
  <si>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</si>
  <si>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</si>
  <si>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</si>
  <si>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</si>
  <si>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</si>
  <si>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</si>
  <si>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</si>
  <si>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</si>
  <si>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</si>
  <si>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</si>
  <si>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</si>
  <si>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</si>
  <si>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</si>
  <si>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</si>
  <si>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</si>
  <si>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</si>
  <si>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</si>
  <si>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</si>
  <si>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</si>
  <si>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</si>
  <si>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</si>
  <si>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</si>
  <si>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</si>
  <si>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</si>
  <si>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</si>
  <si>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</si>
  <si>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</si>
  <si>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</si>
  <si>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</si>
  <si>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</si>
  <si>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</si>
  <si>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</si>
  <si>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</si>
  <si>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</si>
  <si>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</si>
  <si>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</si>
  <si>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</si>
  <si>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</si>
  <si>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</si>
  <si>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</si>
  <si>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</si>
  <si>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</si>
  <si>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</si>
  <si>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</si>
  <si>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</si>
  <si>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</si>
  <si>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</si>
  <si>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</si>
  <si>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</si>
  <si>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</si>
  <si>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</si>
  <si>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</si>
  <si>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</si>
  <si>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</si>
  <si>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</si>
  <si>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</si>
  <si>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</si>
  <si>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</si>
  <si>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</si>
  <si>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</si>
  <si>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</si>
  <si>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</si>
  <si>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</si>
  <si>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</si>
  <si>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</si>
  <si>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</si>
  <si>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</si>
  <si>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</si>
  <si>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</si>
  <si>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</si>
  <si>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</si>
  <si>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</si>
  <si>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</si>
  <si>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</si>
  <si>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</si>
  <si>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</si>
  <si>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</si>
  <si>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</si>
  <si>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</si>
  <si>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</si>
  <si>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</si>
  <si>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</si>
  <si>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</si>
  <si>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</si>
  <si>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Bob Williams</t>
  </si>
  <si>
    <t xml:space="preserve">Carol Smith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</si>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</sst>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s">
        <v>36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37</v>
      </c>
      <c r="C30" s="42"/>
      <c r="D30" s="82" t="s">
        <v>38</v>
      </c>
      <c r="E30" s="42"/>
      <c r="F30" s="83" t="s">
        <v>39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40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41</v>
      </c>
      <c r="C41" s="42"/>
      <c r="D41" s="53" t="s">
        <v>42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43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s">
        <v>44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37</v>
      </c>
      <c r="C56" s="42"/>
      <c r="D56" s="82" t="s">
        <v>38</v>
      </c>
      <c r="E56" s="42"/>
      <c r="F56" s="83" t="s">
        <v>39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45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41</v>
      </c>
      <c r="C67" s="42"/>
      <c r="D67" s="53" t="s">
        <v>46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47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48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s">
        <v>49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37</v>
      </c>
      <c r="C82" s="42"/>
      <c r="D82" s="82" t="s">
        <v>16</v>
      </c>
      <c r="E82" s="42"/>
      <c r="F82" s="83" t="s">
        <v>39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50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41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48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37</v>
      </c>
      <c r="C108" s="42"/>
      <c r="D108" s="82"/>
      <c r="E108" s="42"/>
      <c r="F108" s="83" t="s">
        <v>39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51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41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48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37</v>
      </c>
      <c r="C134" s="42"/>
      <c r="D134" s="82"/>
      <c r="E134" s="42"/>
      <c r="F134" s="83" t="s">
        <v>39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">
        <v>62</v>
      </c>
      <c r="I3" s="116" t="s">
        <v>63</v>
      </c>
      <c r="J3" s="116" t="s">
        <v>64</v>
      </c>
      <c r="K3" s="117" t="s">
        <v>65</v>
      </c>
      <c r="L3" s="117" t="s">
        <v>66</v>
      </c>
      <c r="M3" s="118" t="s">
        <v>67</v>
      </c>
      <c r="N3" s="116" t="s">
        <v>68</v>
      </c>
      <c r="O3" s="116" t="s">
        <v>69</v>
      </c>
      <c r="P3" s="116" t="s">
        <v>70</v>
      </c>
      <c r="Q3" s="116" t="s">
        <v>71</v>
      </c>
      <c r="R3" s="118" t="s">
        <v>72</v>
      </c>
      <c r="S3" s="119"/>
      <c r="T3" s="116" t="s">
        <v>73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</v>
      </c>
      <c r="F9" s="144"/>
      <c r="G9" s="144"/>
      <c r="H9" s="146" t="s">
        <v>87</v>
      </c>
      <c r="I9" s="146"/>
      <c r="J9" s="146"/>
      <c r="K9" s="148" t="n">
        <f aca="false">Admin!B2</f>
        <v>46483</v>
      </c>
      <c r="L9" s="149" t="s">
        <v>88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</v>
      </c>
      <c r="F19" s="144"/>
      <c r="G19" s="144"/>
      <c r="H19" s="146" t="s">
        <v>85</v>
      </c>
      <c r="I19" s="146"/>
      <c r="J19" s="146"/>
      <c r="K19" s="148" t="n">
        <f aca="false">M9+1</f>
        <v>46489</v>
      </c>
      <c r="L19" s="149" t="s">
        <v>88</v>
      </c>
      <c r="M19" s="150" t="n">
        <f aca="false">K19+6</f>
        <v>46495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</v>
      </c>
      <c r="F29" s="144"/>
      <c r="G29" s="144"/>
      <c r="H29" s="146" t="s">
        <v>85</v>
      </c>
      <c r="I29" s="146"/>
      <c r="J29" s="146"/>
      <c r="K29" s="148" t="n">
        <f aca="false">M19+1</f>
        <v>46496</v>
      </c>
      <c r="L29" s="149" t="s">
        <v>88</v>
      </c>
      <c r="M29" s="150" t="n">
        <f aca="false">K29+6</f>
        <v>46502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</v>
      </c>
      <c r="F39" s="144"/>
      <c r="G39" s="144"/>
      <c r="H39" s="146" t="s">
        <v>85</v>
      </c>
      <c r="I39" s="146"/>
      <c r="J39" s="146"/>
      <c r="K39" s="148" t="n">
        <f aca="false">M29+1</f>
        <v>46503</v>
      </c>
      <c r="L39" s="149" t="s">
        <v>88</v>
      </c>
      <c r="M39" s="150" t="n">
        <f aca="false">K39+6</f>
        <v>46509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</v>
      </c>
      <c r="F49" s="144"/>
      <c r="G49" s="144"/>
      <c r="H49" s="146" t="s">
        <v>85</v>
      </c>
      <c r="I49" s="146"/>
      <c r="J49" s="146"/>
      <c r="K49" s="215" t="n">
        <f aca="false">Admin!B2</f>
        <v>46483</v>
      </c>
      <c r="L49" s="149" t="s">
        <v>88</v>
      </c>
      <c r="M49" s="150" t="n">
        <v>45960</v>
      </c>
      <c r="N49" s="151"/>
      <c r="O49" s="198" t="s">
        <v>94</v>
      </c>
      <c r="P49" s="198"/>
      <c r="Q49" s="198"/>
      <c r="R49" s="198"/>
      <c r="S49" s="144"/>
      <c r="T49" s="216" t="s">
        <v>95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5</v>
      </c>
      <c r="F9" s="144"/>
      <c r="G9" s="144"/>
      <c r="H9" s="146" t="s">
        <v>85</v>
      </c>
      <c r="I9" s="146"/>
      <c r="J9" s="146"/>
      <c r="K9" s="215" t="n">
        <f aca="false">Oct!M39+1</f>
        <v>46510</v>
      </c>
      <c r="L9" s="149" t="s">
        <v>88</v>
      </c>
      <c r="M9" s="150" t="n">
        <f aca="false">K9+6</f>
        <v>46516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66" t="str">
        <f aca="false">IF(E11=" "," ",IF(T$9="Y",Oct!M41,IF((H11+K11+L11)&gt;0,H11+K11+L11,"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79" t="str">
        <f aca="false">IF(E12=" "," ",IF(T$9="Y",Oct!M42,IF((H12+K12+L12)&gt;0,H12+K12+L12,"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79" t="str">
        <f aca="false">IF(E13=" "," ",IF(T$9="Y",Oct!M43,IF((H13+K13+L13)&gt;0,H13+K13+L13,"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79" t="str">
        <f aca="false">IF(E14=" "," ",IF(T$9="Y",Oct!M44,IF((H14+K14+L14)&gt;0,H14+K14+L14,"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79" t="str">
        <f aca="false">IF(E15=" "," ",IF(T$9="Y",Oct!M45,IF((H15+K15+L15)&gt;0,H15+K15+L15,"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6</v>
      </c>
      <c r="F19" s="144"/>
      <c r="G19" s="144"/>
      <c r="H19" s="146" t="s">
        <v>85</v>
      </c>
      <c r="I19" s="146"/>
      <c r="J19" s="146"/>
      <c r="K19" s="215" t="n">
        <f aca="false">M9+1</f>
        <v>46517</v>
      </c>
      <c r="L19" s="149" t="s">
        <v>88</v>
      </c>
      <c r="M19" s="150" t="n">
        <f aca="false">K19+6</f>
        <v>46523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7</v>
      </c>
      <c r="F29" s="144"/>
      <c r="G29" s="144"/>
      <c r="H29" s="146" t="s">
        <v>85</v>
      </c>
      <c r="I29" s="146"/>
      <c r="J29" s="146"/>
      <c r="K29" s="215" t="n">
        <f aca="false">M19+1</f>
        <v>46524</v>
      </c>
      <c r="L29" s="149" t="s">
        <v>88</v>
      </c>
      <c r="M29" s="150" t="n">
        <f aca="false">K29+6</f>
        <v>46530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8</v>
      </c>
      <c r="F39" s="144"/>
      <c r="G39" s="144"/>
      <c r="H39" s="146" t="s">
        <v>85</v>
      </c>
      <c r="I39" s="146"/>
      <c r="J39" s="146"/>
      <c r="K39" s="215" t="n">
        <f aca="false">M29+1</f>
        <v>46531</v>
      </c>
      <c r="L39" s="149" t="s">
        <v>88</v>
      </c>
      <c r="M39" s="150" t="n">
        <f aca="false">K39+6</f>
        <v>46537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2</v>
      </c>
      <c r="F49" s="144"/>
      <c r="G49" s="144"/>
      <c r="H49" s="146" t="s">
        <v>85</v>
      </c>
      <c r="I49" s="146"/>
      <c r="J49" s="146"/>
      <c r="K49" s="215" t="n">
        <f aca="false">Admin!B27</f>
        <v>46508</v>
      </c>
      <c r="L49" s="149" t="s">
        <v>88</v>
      </c>
      <c r="M49" s="150" t="n">
        <v>45991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IF(Employee!H$35=E$49,Employee!D$34+SUM(M51)+Oct!V51,SUM(M51)+Oct!V51)</f>
        <v>7000</v>
      </c>
      <c r="W51" s="172" t="n">
        <f aca="false">IF(Employee!H$35=E$49,Employee!D$35+SUM(N51)+Oct!W51,SUM(N51)+Oct!W51)</f>
        <v>1060</v>
      </c>
      <c r="X51" s="172" t="n">
        <f aca="false">IF(O51=" ",Oct!X51,O51+Oct!X51)</f>
        <v>400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5540</v>
      </c>
      <c r="AC51" s="172" t="n">
        <f aca="false">IF(T51=" ",Oct!AC51,T51+Oct!AC51)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IF(Employee!H$61=E$49,Employee!D$60+SUM(M52)+Oct!V52,SUM(M52)+Oct!V52)</f>
        <v>4400</v>
      </c>
      <c r="W52" s="172" t="n">
        <f aca="false">IF(Employee!H$61=E$49,Employee!D$61+SUM(N52)+Oct!W52,SUM(N52)+Oct!W52)</f>
        <v>540</v>
      </c>
      <c r="X52" s="172" t="n">
        <f aca="false">IF(O52=" ",Oct!X52,O52+Oct!X52)</f>
        <v>192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3668</v>
      </c>
      <c r="AC52" s="172" t="n">
        <f aca="false">IF(T52=" ",Oct!AC52,T52+Oct!AC52)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IF(Employee!H$87=E$49,Employee!D$86+SUM(M53)+Oct!V53,SUM(M53)+Oct!V53)</f>
        <v>2096</v>
      </c>
      <c r="W53" s="172" t="n">
        <f aca="false">IF(Employee!H$87=E$49,Employee!D$7+SUM(N53)+Oct!W53,SUM(N53)+Oct!W53)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2096</v>
      </c>
      <c r="AC53" s="172" t="n">
        <f aca="false">IF(T53=" ",Oct!AC53,T53+Oct!AC53)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52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9</v>
      </c>
      <c r="F9" s="144"/>
      <c r="G9" s="144"/>
      <c r="H9" s="146" t="s">
        <v>85</v>
      </c>
      <c r="I9" s="146"/>
      <c r="J9" s="146"/>
      <c r="K9" s="215" t="n">
        <f aca="false">Nov!M39+1</f>
        <v>46538</v>
      </c>
      <c r="L9" s="149" t="s">
        <v>88</v>
      </c>
      <c r="M9" s="150" t="n">
        <f aca="false">K9+6</f>
        <v>46544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10</v>
      </c>
      <c r="F19" s="144"/>
      <c r="G19" s="144"/>
      <c r="H19" s="146" t="s">
        <v>85</v>
      </c>
      <c r="I19" s="146"/>
      <c r="J19" s="146"/>
      <c r="K19" s="215" t="n">
        <f aca="false">M9+1</f>
        <v>46545</v>
      </c>
      <c r="L19" s="149" t="s">
        <v>88</v>
      </c>
      <c r="M19" s="150" t="n">
        <f aca="false">K19+6</f>
        <v>46551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11</v>
      </c>
      <c r="F29" s="144"/>
      <c r="G29" s="144"/>
      <c r="H29" s="146" t="s">
        <v>85</v>
      </c>
      <c r="I29" s="146"/>
      <c r="J29" s="146"/>
      <c r="K29" s="215" t="n">
        <f aca="false">M19+1</f>
        <v>46552</v>
      </c>
      <c r="L29" s="149" t="s">
        <v>88</v>
      </c>
      <c r="M29" s="150" t="n">
        <f aca="false">K29+6</f>
        <v>46558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12</v>
      </c>
      <c r="F39" s="144"/>
      <c r="G39" s="144"/>
      <c r="H39" s="146" t="s">
        <v>85</v>
      </c>
      <c r="I39" s="146"/>
      <c r="J39" s="146"/>
      <c r="K39" s="215" t="n">
        <f aca="false">M29+1</f>
        <v>46559</v>
      </c>
      <c r="L39" s="149" t="s">
        <v>88</v>
      </c>
      <c r="M39" s="150" t="n">
        <f aca="false">K39+6</f>
        <v>46565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86</v>
      </c>
      <c r="C49" s="146"/>
      <c r="D49" s="146"/>
      <c r="E49" s="147" t="n">
        <v>13</v>
      </c>
      <c r="F49" s="144"/>
      <c r="G49" s="144"/>
      <c r="H49" s="146" t="s">
        <v>85</v>
      </c>
      <c r="I49" s="146"/>
      <c r="J49" s="146"/>
      <c r="K49" s="215" t="n">
        <f aca="false">M39+1</f>
        <v>46566</v>
      </c>
      <c r="L49" s="149" t="s">
        <v>88</v>
      </c>
      <c r="M49" s="150" t="n">
        <v>46021</v>
      </c>
      <c r="N49" s="151"/>
      <c r="O49" s="198" t="s">
        <v>91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89</v>
      </c>
      <c r="E51" s="213" t="str">
        <f aca="false">IF(Employee!D$28="m"," ",IF(Employee!F$24&gt;E$39," ",IF(Employee!F$26&lt;E$39," ",Employee!D$29)))</f>
        <v> </v>
      </c>
      <c r="F51" s="162" t="s">
        <v>96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250"/>
      <c r="V51" s="172" t="n">
        <f aca="false">IF(Employee!H$34=E$49,Employee!D$34+SUM(M51)+V41,SUM(M51)+V41)</f>
        <v>3500</v>
      </c>
      <c r="W51" s="172" t="n">
        <f aca="false">IF(Employee!H$34=E$49,Employee!D$35+SUM(N51)+W41,SUM(N51)+W41)</f>
        <v>530</v>
      </c>
      <c r="X51" s="172" t="n">
        <f aca="false">IF(O51=" ",X41,O51+X41)</f>
        <v>200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2770</v>
      </c>
      <c r="AB51" s="99"/>
      <c r="AC51" s="172" t="n">
        <f aca="false">IF(T51=" ",AC41,T51+AC41)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89</v>
      </c>
      <c r="E52" s="214" t="str">
        <f aca="false">IF(Employee!D$54="m"," ",IF(Employee!F$50&gt;E$39," ",IF(Employee!F$52&lt;E$39," ",Employee!D$55)))</f>
        <v> </v>
      </c>
      <c r="F52" s="175" t="s">
        <v>97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250"/>
      <c r="V52" s="172" t="n">
        <f aca="false">IF(Employee!H$60=E$49,Employee!D$60+SUM(M52)+V42,SUM(M52)+V42)</f>
        <v>2200</v>
      </c>
      <c r="W52" s="172" t="n">
        <f aca="false">IF(Employee!H$60=E$49,Employee!D$61+SUM(N52)+W42,SUM(N52)+W42)</f>
        <v>270</v>
      </c>
      <c r="X52" s="172" t="n">
        <f aca="false">IF(O52=" ",X42,O52+X42)</f>
        <v>96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1834</v>
      </c>
      <c r="AB52" s="99"/>
      <c r="AC52" s="172" t="n">
        <f aca="false">IF(T52=" ",AC42,T52+AC42)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89</v>
      </c>
      <c r="E53" s="214" t="str">
        <f aca="false">IF(Employee!D$80="m"," ",IF(Employee!F$76&gt;E$39," ",IF(Employee!F$78&lt;E$39," ",Employee!D$81)))</f>
        <v> </v>
      </c>
      <c r="F53" s="175" t="s">
        <v>98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250"/>
      <c r="V53" s="172" t="n">
        <f aca="false">IF(Employee!H$86=E$49,Employee!D$86+SUM(M53)+V43,SUM(M53)+V43)</f>
        <v>1048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1048</v>
      </c>
      <c r="AB53" s="99"/>
      <c r="AC53" s="172" t="n">
        <f aca="false">IF(T53=" ",AC43,T53+AC43)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89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89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3</v>
      </c>
      <c r="F59" s="144"/>
      <c r="G59" s="144"/>
      <c r="H59" s="146" t="s">
        <v>85</v>
      </c>
      <c r="I59" s="146"/>
      <c r="J59" s="146"/>
      <c r="K59" s="215" t="n">
        <f aca="false">Admin!B58</f>
        <v>46539</v>
      </c>
      <c r="L59" s="149" t="s">
        <v>88</v>
      </c>
      <c r="M59" s="150" t="n">
        <f aca="false">Admin!B87</f>
        <v>46568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7000</v>
      </c>
      <c r="W61" s="172" t="n">
        <f aca="false">IF(Employee!H$35=E$59,Employee!D$35+SUM(N61)+Nov!W51,SUM(N61)+Nov!W51)</f>
        <v>1060</v>
      </c>
      <c r="X61" s="172" t="n">
        <f aca="false">IF(O61=" ",Nov!X51,O61+Nov!X51)</f>
        <v>400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5540</v>
      </c>
      <c r="AC61" s="172" t="n">
        <f aca="false">IF(T61=" ",Nov!AC51,T61+Nov!AC51)</f>
        <v>765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4400</v>
      </c>
      <c r="W62" s="172" t="n">
        <f aca="false">IF(Employee!H$61=E$59,Employee!D$61+SUM(N62)+Nov!W52,SUM(N62)+Nov!W52)</f>
        <v>540</v>
      </c>
      <c r="X62" s="172" t="n">
        <f aca="false">IF(O62=" ",Nov!X52,O62+Nov!X52)</f>
        <v>192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3668</v>
      </c>
      <c r="AC62" s="172" t="n">
        <f aca="false">IF(T62=" ",Nov!AC52,T62+Nov!AC52)</f>
        <v>375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2096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2096</v>
      </c>
      <c r="AC63" s="172" t="n">
        <f aca="false">IF(T63=" ",Nov!AC53,T63+Nov!AC53)</f>
        <v>14.4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14</v>
      </c>
      <c r="F9" s="144"/>
      <c r="G9" s="144"/>
      <c r="H9" s="146" t="s">
        <v>85</v>
      </c>
      <c r="I9" s="146"/>
      <c r="J9" s="146"/>
      <c r="K9" s="215" t="n">
        <f aca="false">Admin!B91</f>
        <v>46572</v>
      </c>
      <c r="L9" s="149" t="s">
        <v>88</v>
      </c>
      <c r="M9" s="150" t="n">
        <f aca="false">K9+6</f>
        <v>46578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8" t="n">
        <f aca="false">IF(T$9="Y",Dec!L41,0)</f>
        <v>0</v>
      </c>
      <c r="M11" s="170" t="str">
        <f aca="false">IF(E11=" "," ",IF(T$9="Y",Dec!M41,IF((H11+K11+L11)&gt;0,H11+K11+L11,"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3500</v>
      </c>
      <c r="W11" s="172" t="n">
        <f aca="false">IF(Employee!H$34=E$9,Employee!D$35+SUM(N11)+Dec!W51,SUM(N11)+Dec!W51)</f>
        <v>530</v>
      </c>
      <c r="X11" s="172" t="n">
        <f aca="false">IF(O11=" ",Dec!X51,O11+Dec!X51)</f>
        <v>200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2770</v>
      </c>
      <c r="AC11" s="172" t="n">
        <f aca="false">IF(T11=" ",Dec!AC51,T11+Dec!AC51)</f>
        <v>382.5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7" t="n">
        <f aca="false">IF(T$9="Y",Dec!L42,0)</f>
        <v>0</v>
      </c>
      <c r="M12" s="180" t="str">
        <f aca="false">IF(E12=" "," ",IF(T$9="Y",Dec!M42,IF((H12+K12+L12)&gt;0,H12+K12+L12,"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2200</v>
      </c>
      <c r="W12" s="172" t="n">
        <f aca="false">IF(Employee!H$60=E$9,Employee!D$61+SUM(N12)+Dec!W52,SUM(N12)+Dec!W52)</f>
        <v>270</v>
      </c>
      <c r="X12" s="172" t="n">
        <f aca="false">IF(O12=" ",Dec!X52,O12+Dec!X52)</f>
        <v>96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1834</v>
      </c>
      <c r="AC12" s="172" t="n">
        <f aca="false">IF(T12=" ",Dec!AC52,T12+Dec!AC52)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7" t="n">
        <f aca="false">IF(T$9="Y",Dec!L43,0)</f>
        <v>0</v>
      </c>
      <c r="M13" s="180" t="str">
        <f aca="false">IF(E13=" "," ",IF(T$9="Y",Dec!M43,IF((H13+K13+L13)&gt;0,H13+K13+L13,"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1048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1048</v>
      </c>
      <c r="AC13" s="172" t="n">
        <f aca="false">IF(T13=" ",Dec!AC53,T13+Dec!AC53)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7" t="n">
        <f aca="false">IF(T$9="Y",Dec!L44,0)</f>
        <v>0</v>
      </c>
      <c r="M14" s="180" t="str">
        <f aca="false">IF(E14=" "," ",IF(T$9="Y",Dec!M44,IF((H14+K14+L14)&gt;0,H14+K14+L14,"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2" t="n">
        <f aca="false">IF(T$9="Y",Dec!L45,0)</f>
        <v>0</v>
      </c>
      <c r="M15" s="184" t="str">
        <f aca="false">IF(E15=" "," ",IF(T$9="Y",Dec!M45,IF((H15+K15+L15)&gt;0,H15+K15+L15,"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15</v>
      </c>
      <c r="F19" s="144"/>
      <c r="G19" s="144"/>
      <c r="H19" s="146" t="s">
        <v>85</v>
      </c>
      <c r="I19" s="146"/>
      <c r="J19" s="146"/>
      <c r="K19" s="215" t="n">
        <f aca="false">M9+1</f>
        <v>46579</v>
      </c>
      <c r="L19" s="149" t="s">
        <v>88</v>
      </c>
      <c r="M19" s="150" t="n">
        <f aca="false">K19+6</f>
        <v>46585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n">
        <f aca="false">IF(T21=" ",AC11,T21+AC11)</f>
        <v>382.5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16</v>
      </c>
      <c r="F29" s="144"/>
      <c r="G29" s="144"/>
      <c r="H29" s="146" t="s">
        <v>85</v>
      </c>
      <c r="I29" s="146"/>
      <c r="J29" s="146"/>
      <c r="K29" s="215" t="n">
        <f aca="false">M19+1</f>
        <v>46586</v>
      </c>
      <c r="L29" s="149" t="s">
        <v>88</v>
      </c>
      <c r="M29" s="150" t="n">
        <f aca="false">K29+6</f>
        <v>46592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n">
        <f aca="false">IF(T31=" ",AC21,T31+AC21)</f>
        <v>382.5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17</v>
      </c>
      <c r="F39" s="144"/>
      <c r="G39" s="144"/>
      <c r="H39" s="146" t="s">
        <v>85</v>
      </c>
      <c r="I39" s="146"/>
      <c r="J39" s="146"/>
      <c r="K39" s="215" t="n">
        <f aca="false">M29+1</f>
        <v>46593</v>
      </c>
      <c r="L39" s="149" t="s">
        <v>88</v>
      </c>
      <c r="M39" s="150" t="n">
        <f aca="false">K39+6</f>
        <v>46599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4</v>
      </c>
      <c r="F49" s="144"/>
      <c r="G49" s="144"/>
      <c r="H49" s="146" t="s">
        <v>85</v>
      </c>
      <c r="I49" s="146"/>
      <c r="J49" s="146"/>
      <c r="K49" s="215" t="n">
        <f aca="false">Admin!B88</f>
        <v>46569</v>
      </c>
      <c r="L49" s="149" t="s">
        <v>88</v>
      </c>
      <c r="M49" s="150" t="n">
        <v>46053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IF(Employee!H$35=E$49,Employee!D$34+SUM(M51)+Dec!V61,SUM(M51)+Dec!V61)</f>
        <v>10500</v>
      </c>
      <c r="W51" s="172" t="n">
        <f aca="false">IF(Employee!H$35=E$49,Employee!D$35+SUM(N51)+Dec!W61,SUM(N51)+Dec!W61)</f>
        <v>1590</v>
      </c>
      <c r="X51" s="172" t="n">
        <f aca="false">IF(O51=" ",Dec!X61,O51+Dec!X61)</f>
        <v>600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8310</v>
      </c>
      <c r="AC51" s="172" t="n">
        <f aca="false">IF(T51=" ",Dec!AC61,T51+Dec!AC61)</f>
        <v>1147.5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IF(Employee!H$61=E$49,Employee!D$60+SUM(M52)+Dec!V62,SUM(M52)+Dec!V62)</f>
        <v>6600</v>
      </c>
      <c r="W52" s="172" t="n">
        <f aca="false">IF(Employee!H$61=E$49,Employee!D$61+SUM(N52)+Dec!W62,SUM(N52)+Dec!W62)</f>
        <v>810</v>
      </c>
      <c r="X52" s="172" t="n">
        <f aca="false">IF(O52=" ",Dec!X62,O52+Dec!X62)</f>
        <v>288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5502</v>
      </c>
      <c r="AC52" s="172" t="n">
        <f aca="false">IF(T52=" ",Dec!AC62,T52+Dec!AC62)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IF(Employee!H$87=E$49,Employee!D$86+SUM(M53)+Dec!V63,SUM(M53)+Dec!V63)</f>
        <v>3144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3144</v>
      </c>
      <c r="AC53" s="172" t="n">
        <f aca="false">IF(T53=" ",Dec!AC63,T53+Dec!AC63)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18</v>
      </c>
      <c r="F9" s="144"/>
      <c r="G9" s="144"/>
      <c r="H9" s="146" t="s">
        <v>85</v>
      </c>
      <c r="I9" s="146"/>
      <c r="J9" s="146"/>
      <c r="K9" s="215" t="n">
        <f aca="false">Admin!B119</f>
        <v>46600</v>
      </c>
      <c r="L9" s="149" t="s">
        <v>88</v>
      </c>
      <c r="M9" s="150" t="n">
        <f aca="false">K9+6</f>
        <v>46606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IF(T$9="Y","jan!#ref!",0)</f>
        <v>0</v>
      </c>
      <c r="I11" s="168" t="n">
        <f aca="false">IF(T$9="Y","jan!#ref!",0)</f>
        <v>0</v>
      </c>
      <c r="J11" s="168" t="n">
        <f aca="false">IF(T$9="Y","jan!#ref!",0)</f>
        <v>0</v>
      </c>
      <c r="K11" s="168" t="n">
        <v>0</v>
      </c>
      <c r="L11" s="166" t="n">
        <f aca="false">IF(T$9="Y","jan!#ref!",0)</f>
        <v>0</v>
      </c>
      <c r="M11" s="166" t="str">
        <f aca="false">IF(E11=" "," ",IF(T$9="Y","jan!#ref!",IF((H11+K11+L11)&gt;0,H11+K11+L11,"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3500</v>
      </c>
      <c r="W11" s="172" t="n">
        <f aca="false">IF(Employee!H$34=E$9,Employee!D$35+SUM(N11)+Jan!W41,SUM(N11)+Jan!W41)</f>
        <v>530</v>
      </c>
      <c r="X11" s="172" t="n">
        <f aca="false">IF(O11=" ",Jan!X41,O11+Jan!X41)</f>
        <v>200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2770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IF(T$9="Y","jan!#ref!",0)</f>
        <v>0</v>
      </c>
      <c r="I12" s="177" t="n">
        <f aca="false">IF(T$9="Y","jan!#ref!",0)</f>
        <v>0</v>
      </c>
      <c r="J12" s="177" t="n">
        <f aca="false">IF(T$9="Y","jan!#ref!",0)</f>
        <v>0</v>
      </c>
      <c r="K12" s="177" t="n">
        <f aca="false">IF(T$9="Y","jan!#ref!",I12*J12)</f>
        <v>0</v>
      </c>
      <c r="L12" s="179" t="n">
        <f aca="false">IF(T$9="Y","jan!#ref!",0)</f>
        <v>0</v>
      </c>
      <c r="M12" s="179" t="str">
        <f aca="false">IF(E12=" "," ",IF(T$9="Y","jan!#ref!",IF((H12+K12+L12)&gt;0,H12+K12+L12,"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2200</v>
      </c>
      <c r="W12" s="172" t="n">
        <f aca="false">IF(Employee!H$60=E$9,Employee!D$61+SUM(N12)+Jan!W42,SUM(N12)+Jan!W42)</f>
        <v>270</v>
      </c>
      <c r="X12" s="172" t="n">
        <f aca="false">IF(O12=" ",Jan!X42,O12+Jan!X42)</f>
        <v>96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1834</v>
      </c>
      <c r="AC12" s="172" t="n">
        <f aca="false">IF(T12=" ",Jan!AC42,T12+Jan!AC42)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IF(T$9="Y","jan!#ref!",0)</f>
        <v>0</v>
      </c>
      <c r="I13" s="177" t="n">
        <f aca="false">IF(T$9="Y","jan!#ref!",0)</f>
        <v>0</v>
      </c>
      <c r="J13" s="177" t="n">
        <f aca="false">IF(T$9="Y","jan!#ref!",0)</f>
        <v>0</v>
      </c>
      <c r="K13" s="177" t="n">
        <f aca="false">IF(T$9="Y","jan!#ref!",I13*J13)</f>
        <v>0</v>
      </c>
      <c r="L13" s="179" t="n">
        <f aca="false">IF(T$9="Y","jan!#ref!",0)</f>
        <v>0</v>
      </c>
      <c r="M13" s="179" t="str">
        <f aca="false">IF(E13=" "," ",IF(T$9="Y","jan!#ref!",IF((H13+K13+L13)&gt;0,H13+K13+L13,"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1048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1048</v>
      </c>
      <c r="AC13" s="172" t="n">
        <f aca="false">IF(T13=" ",Jan!AC43,T13+Jan!AC43)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IF(T$9="Y","jan!#ref!",0)</f>
        <v>0</v>
      </c>
      <c r="I14" s="177" t="n">
        <f aca="false">IF(T$9="Y","jan!#ref!",0)</f>
        <v>0</v>
      </c>
      <c r="J14" s="177" t="n">
        <f aca="false">IF(T$9="Y","jan!#ref!",0)</f>
        <v>0</v>
      </c>
      <c r="K14" s="177" t="n">
        <f aca="false">IF(T$9="Y","jan!#ref!",I14*J14)</f>
        <v>0</v>
      </c>
      <c r="L14" s="179" t="n">
        <f aca="false">IF(T$9="Y","jan!#ref!",0)</f>
        <v>0</v>
      </c>
      <c r="M14" s="179" t="str">
        <f aca="false">IF(E14=" "," ",IF(T$9="Y","jan!#ref!",IF((H14+K14+L14)&gt;0,H14+K14+L14,"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IF(T$9="Y","jan!#ref!",0)</f>
        <v>0</v>
      </c>
      <c r="I15" s="182" t="n">
        <f aca="false">IF(T$9="Y","jan!#ref!",0)</f>
        <v>0</v>
      </c>
      <c r="J15" s="182" t="n">
        <f aca="false">IF(T$9="Y","jan!#ref!",0)</f>
        <v>0</v>
      </c>
      <c r="K15" s="182" t="n">
        <f aca="false">IF(T$9="Y","jan!#ref!",I15*J15)</f>
        <v>0</v>
      </c>
      <c r="L15" s="183" t="n">
        <f aca="false">IF(T$9="Y","jan!#ref!",0)</f>
        <v>0</v>
      </c>
      <c r="M15" s="183" t="str">
        <f aca="false">IF(E15=" "," ",IF(T$9="Y","jan!#ref!",IF((H15+K15+L15)&gt;0,H15+K15+L15,"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19</v>
      </c>
      <c r="F19" s="144"/>
      <c r="G19" s="144"/>
      <c r="H19" s="146" t="s">
        <v>85</v>
      </c>
      <c r="I19" s="146"/>
      <c r="J19" s="146"/>
      <c r="K19" s="215" t="n">
        <f aca="false">M9+1</f>
        <v>46607</v>
      </c>
      <c r="L19" s="149" t="s">
        <v>88</v>
      </c>
      <c r="M19" s="150" t="n">
        <f aca="false">K19+6</f>
        <v>46613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20</v>
      </c>
      <c r="F29" s="144"/>
      <c r="G29" s="144"/>
      <c r="H29" s="146" t="s">
        <v>85</v>
      </c>
      <c r="I29" s="146"/>
      <c r="J29" s="146"/>
      <c r="K29" s="215" t="n">
        <f aca="false">M19+1</f>
        <v>46614</v>
      </c>
      <c r="L29" s="149" t="s">
        <v>88</v>
      </c>
      <c r="M29" s="150" t="n">
        <f aca="false">K29+6</f>
        <v>46620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21</v>
      </c>
      <c r="F39" s="144"/>
      <c r="G39" s="144"/>
      <c r="H39" s="146" t="s">
        <v>85</v>
      </c>
      <c r="I39" s="146"/>
      <c r="J39" s="146"/>
      <c r="K39" s="215" t="n">
        <f aca="false">M29+1</f>
        <v>46621</v>
      </c>
      <c r="L39" s="149" t="s">
        <v>88</v>
      </c>
      <c r="M39" s="150" t="n">
        <f aca="false">K39+6</f>
        <v>46627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5</v>
      </c>
      <c r="F49" s="144"/>
      <c r="G49" s="144"/>
      <c r="H49" s="146" t="s">
        <v>85</v>
      </c>
      <c r="I49" s="146"/>
      <c r="J49" s="146"/>
      <c r="K49" s="215" t="n">
        <f aca="false">Admin!B119</f>
        <v>46600</v>
      </c>
      <c r="L49" s="149" t="s">
        <v>88</v>
      </c>
      <c r="M49" s="150" t="n">
        <v>46081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8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IF(Employee!H$35=E$49,Employee!D$34+SUM(M51)+Jan!V51,SUM(M51)+Jan!V51)</f>
        <v>14000</v>
      </c>
      <c r="W51" s="172" t="n">
        <f aca="false">IF(Employee!H$35=E$49,Employee!D$35+SUM(N51)+Jan!W51,SUM(N51)+Jan!W51)</f>
        <v>2120</v>
      </c>
      <c r="X51" s="172" t="n">
        <f aca="false">IF(O51=" ",Jan!X51,O51+Jan!X51)</f>
        <v>800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11080</v>
      </c>
      <c r="AC51" s="172" t="n">
        <f aca="false">IF(T51=" ",Jan!AC51,T51+Jan!AC51)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7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IF(Employee!H$61=E$49,Employee!D$60+SUM(M52)+Jan!V52,SUM(M52)+Jan!V52)</f>
        <v>8800</v>
      </c>
      <c r="W52" s="172" t="n">
        <f aca="false">IF(Employee!H$61=E$49,Employee!D$61+SUM(N52)+Jan!W52,SUM(N52)+Jan!W52)</f>
        <v>1080</v>
      </c>
      <c r="X52" s="172" t="n">
        <f aca="false">IF(O52=" ",Jan!X52,O52+Jan!X52)</f>
        <v>384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7336</v>
      </c>
      <c r="AC52" s="172" t="n">
        <f aca="false">IF(T52=" ",Jan!AC52,T52+Jan!AC52)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7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IF(Employee!H$87=E$49,Employee!D$86+SUM(M53)+Jan!V53,SUM(M53)+Jan!V53)</f>
        <v>4192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4192</v>
      </c>
      <c r="AC53" s="172" t="n">
        <f aca="false">IF(T53=" ",Jan!AC53,T53+Jan!AC53)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7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IF(T$49="Y",Jan!H55,0)</f>
        <v>0</v>
      </c>
      <c r="I55" s="177" t="n">
        <f aca="false">IF(T$49="Y",Jan!I55,0)</f>
        <v>0</v>
      </c>
      <c r="J55" s="177" t="n">
        <f aca="false">IF(T$49="Y",Jan!J55,0)</f>
        <v>0</v>
      </c>
      <c r="K55" s="177" t="n">
        <f aca="false">IF(T$49="Y",Jan!K55,I55*J55)</f>
        <v>0</v>
      </c>
      <c r="L55" s="177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22</v>
      </c>
      <c r="F9" s="144"/>
      <c r="G9" s="144"/>
      <c r="H9" s="146" t="s">
        <v>85</v>
      </c>
      <c r="I9" s="146"/>
      <c r="J9" s="146"/>
      <c r="K9" s="215" t="n">
        <f aca="false">Feb!M39+1</f>
        <v>46628</v>
      </c>
      <c r="L9" s="149" t="s">
        <v>88</v>
      </c>
      <c r="M9" s="150" t="n">
        <f aca="false">K9+6</f>
        <v>46634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3500</v>
      </c>
      <c r="W11" s="172" t="n">
        <f aca="false">IF(Employee!H$34=E$9,Employee!D$35+SUM(N11)+Feb!W41,SUM(N11)+Feb!W41)</f>
        <v>530</v>
      </c>
      <c r="X11" s="172" t="n">
        <f aca="false">IF(O11=" ",Feb!X41,O11+Feb!X41)</f>
        <v>200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2770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2200</v>
      </c>
      <c r="W12" s="172" t="n">
        <f aca="false">IF(Employee!H$60=E$9,Employee!D$61+SUM(N12)+Feb!W42,SUM(N12)+Feb!W42)</f>
        <v>270</v>
      </c>
      <c r="X12" s="172" t="n">
        <f aca="false">IF(O12=" ",Feb!X42,O12+Feb!X42)</f>
        <v>96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1834</v>
      </c>
      <c r="AC12" s="172" t="n">
        <f aca="false">IF(T12=" ",Feb!AC42,T12+Feb!AC42)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1048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1048</v>
      </c>
      <c r="AC13" s="172" t="n">
        <f aca="false">IF(T13=" ",Feb!AC43,T13+Feb!AC43)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23</v>
      </c>
      <c r="F19" s="144"/>
      <c r="G19" s="144"/>
      <c r="H19" s="146" t="s">
        <v>85</v>
      </c>
      <c r="I19" s="146"/>
      <c r="J19" s="146"/>
      <c r="K19" s="215" t="n">
        <f aca="false">M9+1</f>
        <v>46635</v>
      </c>
      <c r="L19" s="149" t="s">
        <v>88</v>
      </c>
      <c r="M19" s="150" t="n">
        <f aca="false">K19+6</f>
        <v>46641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24</v>
      </c>
      <c r="F29" s="144"/>
      <c r="G29" s="144"/>
      <c r="H29" s="146" t="s">
        <v>85</v>
      </c>
      <c r="I29" s="146"/>
      <c r="J29" s="146"/>
      <c r="K29" s="215" t="n">
        <f aca="false">M19+1</f>
        <v>46642</v>
      </c>
      <c r="L29" s="149" t="s">
        <v>88</v>
      </c>
      <c r="M29" s="150" t="n">
        <f aca="false">K29+6</f>
        <v>46648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25</v>
      </c>
      <c r="F39" s="144"/>
      <c r="G39" s="144"/>
      <c r="H39" s="146" t="s">
        <v>85</v>
      </c>
      <c r="I39" s="146"/>
      <c r="J39" s="146"/>
      <c r="K39" s="215" t="n">
        <f aca="false">M29+1</f>
        <v>46649</v>
      </c>
      <c r="L39" s="149" t="s">
        <v>88</v>
      </c>
      <c r="M39" s="150" t="n">
        <f aca="false">K39+6</f>
        <v>46655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26</v>
      </c>
      <c r="F49" s="144"/>
      <c r="G49" s="144"/>
      <c r="H49" s="146" t="s">
        <v>85</v>
      </c>
      <c r="I49" s="146"/>
      <c r="J49" s="146"/>
      <c r="K49" s="215" t="n">
        <f aca="false">Admin!B175</f>
        <v>46656</v>
      </c>
      <c r="L49" s="149" t="s">
        <v>88</v>
      </c>
      <c r="M49" s="150" t="n">
        <v>46111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7000</v>
      </c>
      <c r="W51" s="172" t="n">
        <f aca="false">IF(Employee!H$34=E$49,Employee!D$35+SUM(N51)+W41,SUM(N51)+W41)</f>
        <v>1060</v>
      </c>
      <c r="X51" s="172" t="n">
        <f aca="false">IF(O51=" ",X41,O51+X41)</f>
        <v>400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5540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4400</v>
      </c>
      <c r="W52" s="172" t="n">
        <f aca="false">IF(Employee!H$60=E$49,Employee!D$61+SUM(N52)+W42,SUM(N52)+W42)</f>
        <v>540</v>
      </c>
      <c r="X52" s="172" t="n">
        <f aca="false">IF(O52=" ",X42,O52+X42)</f>
        <v>192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3668</v>
      </c>
      <c r="AC52" s="172" t="n">
        <f aca="false">IF(T52=" ",AC42,T52+AC42)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2096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2096</v>
      </c>
      <c r="AC53" s="172" t="n">
        <f aca="false">IF(T53=" ",AC43,T53+AC43)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6</v>
      </c>
      <c r="F59" s="144"/>
      <c r="G59" s="144"/>
      <c r="H59" s="146" t="s">
        <v>85</v>
      </c>
      <c r="I59" s="146"/>
      <c r="J59" s="146"/>
      <c r="K59" s="215" t="n">
        <f aca="false">Admin!B150</f>
        <v>46631</v>
      </c>
      <c r="L59" s="149" t="s">
        <v>88</v>
      </c>
      <c r="M59" s="150" t="n">
        <f aca="false">Admin!B179</f>
        <v>46660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IF(T$59="Y",Feb!H51,0)</f>
        <v>0</v>
      </c>
      <c r="I61" s="168" t="n">
        <f aca="false">IF(T$59="Y",Feb!I51,0)</f>
        <v>0</v>
      </c>
      <c r="J61" s="168" t="n">
        <f aca="false">IF(T$59="Y",Feb!J51,0)</f>
        <v>0</v>
      </c>
      <c r="K61" s="168" t="n">
        <f aca="false">IF(T$59="Y",Feb!K51,I61*J61)</f>
        <v>0</v>
      </c>
      <c r="L61" s="166" t="n">
        <f aca="false">IF(T$59="Y",Feb!L51,0)</f>
        <v>0</v>
      </c>
      <c r="M61" s="170" t="str">
        <f aca="false">IF(E61=" "," ",IF(T$59="Y",Feb!M51,IF((H61+K61+L61)&gt;0,H61+K61+L61,"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IF(Employee!H$35=E$59,Employee!D$34+SUM(M61)+Feb!V51,SUM(M61)+Feb!V51)</f>
        <v>14000</v>
      </c>
      <c r="W61" s="172" t="n">
        <f aca="false">IF(Employee!H$35=E$59,Employee!D$35+SUM(N61)+Feb!W51,SUM(N61)+Feb!W51)</f>
        <v>2120</v>
      </c>
      <c r="X61" s="172" t="n">
        <f aca="false">IF(O61=" ",Feb!X51,O61+Feb!X51)</f>
        <v>800</v>
      </c>
      <c r="Y61" s="172" t="n">
        <f aca="false">IF(P61=" ",Feb!Y51,P61+Feb!Y51)</f>
        <v>0</v>
      </c>
      <c r="Z61" s="172" t="n">
        <f aca="false">IF(Q61=" ",Feb!Z51,Q61+Feb!Z51)</f>
        <v>0</v>
      </c>
      <c r="AA61" s="172" t="n">
        <f aca="false">IF(R61=" ",Feb!AA51,R61+Feb!AA51)</f>
        <v>11080</v>
      </c>
      <c r="AC61" s="172" t="n">
        <f aca="false">IF(T61=" ",Feb!AC51,T61+Feb!AC51)</f>
        <v>1530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IF(T$59="Y",Feb!H52,0)</f>
        <v>0</v>
      </c>
      <c r="I62" s="177" t="n">
        <f aca="false">IF(T$59="Y",Feb!I52,0)</f>
        <v>0</v>
      </c>
      <c r="J62" s="177" t="n">
        <f aca="false">IF(T$59="Y",Feb!J52,0)</f>
        <v>0</v>
      </c>
      <c r="K62" s="177" t="n">
        <f aca="false">IF(T$59="Y",Feb!K52,I62*J62)</f>
        <v>0</v>
      </c>
      <c r="L62" s="179" t="n">
        <f aca="false">IF(T$59="Y",Feb!L52,0)</f>
        <v>0</v>
      </c>
      <c r="M62" s="180" t="str">
        <f aca="false">IF(E62=" "," ",IF(T$59="Y",Feb!M52,IF((H62+K62+L62)&gt;0,H62+K62+L62,"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IF(Employee!H$61=E$59,Employee!D$60+SUM(M62)+Feb!V52,SUM(M62)+Feb!V52)</f>
        <v>8800</v>
      </c>
      <c r="W62" s="172" t="n">
        <f aca="false">IF(Employee!H$61=E$59,Employee!D$61+SUM(N62)+Feb!W52,SUM(N62)+Feb!W52)</f>
        <v>1080</v>
      </c>
      <c r="X62" s="172" t="n">
        <f aca="false">IF(O62=" ",Feb!X52,O62+Feb!X52)</f>
        <v>384</v>
      </c>
      <c r="Y62" s="172" t="n">
        <f aca="false">IF(P62=" ",Feb!Y52,P62+Feb!Y52)</f>
        <v>0</v>
      </c>
      <c r="Z62" s="172" t="n">
        <f aca="false">IF(Q62=" ",Feb!Z52,Q62+Feb!Z52)</f>
        <v>0</v>
      </c>
      <c r="AA62" s="172" t="n">
        <f aca="false">IF(R62=" ",Feb!AA52,R62+Feb!AA52)</f>
        <v>7336</v>
      </c>
      <c r="AC62" s="172" t="n">
        <f aca="false">IF(T62=" ",Feb!AC52,T62+Feb!AC52)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IF(T$59="Y",Feb!H53,0)</f>
        <v>0</v>
      </c>
      <c r="I63" s="177" t="n">
        <f aca="false">IF(T$59="Y",Feb!I53,0)</f>
        <v>0</v>
      </c>
      <c r="J63" s="177" t="n">
        <f aca="false">IF(T$59="Y",Feb!J53,0)</f>
        <v>0</v>
      </c>
      <c r="K63" s="177" t="n">
        <f aca="false">IF(T$59="Y",Feb!K53,I63*J63)</f>
        <v>0</v>
      </c>
      <c r="L63" s="179" t="n">
        <f aca="false">IF(T$59="Y",Feb!L53,0)</f>
        <v>0</v>
      </c>
      <c r="M63" s="180" t="str">
        <f aca="false">IF(E63=" "," ",IF(T$59="Y",Feb!M53,IF((H63+K63+L63)&gt;0,H63+K63+L63,"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IF(Employee!H$87=E$59,Employee!D$86+SUM(M63)+Feb!V53,SUM(M63)+Feb!V53)</f>
        <v>4192</v>
      </c>
      <c r="W63" s="172" t="n">
        <f aca="false">IF(Employee!H$87=E$59,Employee!D$87+SUM(N63)+Feb!W53,SUM(N63)+Feb!W53)</f>
        <v>0</v>
      </c>
      <c r="X63" s="172" t="n">
        <f aca="false">IF(O63=" ",Feb!X53,O63+Feb!X53)</f>
        <v>0</v>
      </c>
      <c r="Y63" s="172" t="n">
        <f aca="false">IF(P63=" ",Feb!Y53,P63+Feb!Y53)</f>
        <v>0</v>
      </c>
      <c r="Z63" s="172" t="n">
        <f aca="false">IF(Q63=" ",Feb!Z53,Q63+Feb!Z53)</f>
        <v>0</v>
      </c>
      <c r="AA63" s="172" t="n">
        <f aca="false">IF(R63=" ",Feb!AA53,R63+Feb!AA53)</f>
        <v>4192</v>
      </c>
      <c r="AC63" s="172" t="n">
        <f aca="false">IF(T63=" ",Feb!AC53,T63+Feb!AC53)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IF(T$59="Y",Feb!H54,0)</f>
        <v>0</v>
      </c>
      <c r="I64" s="177" t="n">
        <f aca="false">IF(T$59="Y",Feb!I54,0)</f>
        <v>0</v>
      </c>
      <c r="J64" s="177" t="n">
        <f aca="false">IF(T$59="Y",Feb!J54,0)</f>
        <v>0</v>
      </c>
      <c r="K64" s="177" t="n">
        <f aca="false">IF(T$59="Y",Feb!K54,I64*J64)</f>
        <v>0</v>
      </c>
      <c r="L64" s="179" t="n">
        <f aca="false">IF(T$59="Y",Feb!L54,0)</f>
        <v>0</v>
      </c>
      <c r="M64" s="180" t="str">
        <f aca="false">IF(E64=" "," ",IF(T$59="Y",Feb!M54,IF((H64+K64+L64)&gt;0,H64+K64+L64,"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IF(Employee!H$113=E$59,Employee!D$112+SUM(M64)+Feb!V54,SUM(M64)+Feb!V54)</f>
        <v>0</v>
      </c>
      <c r="W64" s="172" t="n">
        <f aca="false">IF(Employee!H$113=E$59,Employee!D$113+SUM(N64)+Feb!W54,SUM(N64)+Feb!W54)</f>
        <v>0</v>
      </c>
      <c r="X64" s="172" t="n">
        <f aca="false">IF(O64=" ",Feb!X54,O64+Feb!X54)</f>
        <v>0</v>
      </c>
      <c r="Y64" s="172" t="n">
        <f aca="false">IF(P64=" ",Feb!Y54,P64+Feb!Y54)</f>
        <v>0</v>
      </c>
      <c r="Z64" s="172" t="n">
        <f aca="false">IF(Q64=" ",Feb!Z54,Q64+Feb!Z54)</f>
        <v>0</v>
      </c>
      <c r="AA64" s="172" t="n">
        <f aca="false">IF(R64=" ",Feb!AA54,R64+Feb!AA54)</f>
        <v>0</v>
      </c>
      <c r="AC64" s="172" t="n">
        <f aca="false">IF(T64=" ",Feb!AC54,T64+Feb!AC54)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IF(T$59="Y",Feb!H55,0)</f>
        <v>0</v>
      </c>
      <c r="I65" s="182" t="n">
        <f aca="false">IF(T$59="Y",Feb!I55,0)</f>
        <v>0</v>
      </c>
      <c r="J65" s="182" t="n">
        <f aca="false">IF(T$59="Y",Feb!J55,0)</f>
        <v>0</v>
      </c>
      <c r="K65" s="182" t="n">
        <f aca="false">IF(T$59="Y",Feb!K55,I65*J65)</f>
        <v>0</v>
      </c>
      <c r="L65" s="183" t="n">
        <f aca="false">IF(T$59="Y",Feb!L55,0)</f>
        <v>0</v>
      </c>
      <c r="M65" s="180" t="str">
        <f aca="false">IF(E65=" "," ",IF(T$59="Y",Feb!M55,IF((H65+K65+L65)&gt;0,H65+K65+L65,"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IF(Employee!H$139=E$59,Employee!D$138+SUM(M65)+Feb!V55,SUM(M65)+Feb!V55)</f>
        <v>0</v>
      </c>
      <c r="W65" s="172" t="n">
        <f aca="false">IF(Employee!H$139=E$59,Employee!D$139+SUM(N65)+Feb!W55,SUM(N65)+Feb!W55)</f>
        <v>0</v>
      </c>
      <c r="X65" s="172" t="n">
        <f aca="false">IF(O65=" ",Feb!X55,O65+Feb!X55)</f>
        <v>0</v>
      </c>
      <c r="Y65" s="172" t="n">
        <f aca="false">IF(P65=" ",Feb!Y55,P65+Feb!Y55)</f>
        <v>0</v>
      </c>
      <c r="Z65" s="172" t="n">
        <f aca="false">IF(Q65=" ",Feb!Z55,Q65+Feb!Z55)</f>
        <v>0</v>
      </c>
      <c r="AA65" s="172" t="n">
        <f aca="false">IF(R65=" ",Feb!AA55,R65+Feb!AA55)</f>
        <v>0</v>
      </c>
      <c r="AC65" s="172" t="n">
        <f aca="false">IF(T65=" ",Feb!AC55,T65+Feb!AC55)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AD70+Feb!AD65</f>
        <v>0</v>
      </c>
      <c r="AE75" s="240" t="n">
        <f aca="false">AE70+Feb!AE65</f>
        <v>0</v>
      </c>
      <c r="AF75" s="240" t="n">
        <f aca="false">AF70+Feb!AF65</f>
        <v>0</v>
      </c>
      <c r="AG75" s="240" t="n">
        <f aca="false">AG70+Feb!AG65</f>
        <v>0</v>
      </c>
    </row>
    <row r="77" customFormat="false" ht="12.75" hidden="false" customHeight="false" outlineLevel="0" collapsed="false">
      <c r="AD77" s="233"/>
      <c r="AE77" s="240" t="n">
        <f aca="false">AE72+Feb!AE67</f>
        <v>0</v>
      </c>
      <c r="AF77" s="240" t="n">
        <f aca="false">AF72+Feb!AF67</f>
        <v>0</v>
      </c>
      <c r="AG77" s="240" t="n">
        <f aca="false">AG72+Feb!AG67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27</v>
      </c>
      <c r="F9" s="144"/>
      <c r="G9" s="144"/>
      <c r="H9" s="146" t="s">
        <v>85</v>
      </c>
      <c r="I9" s="146"/>
      <c r="J9" s="146"/>
      <c r="K9" s="215" t="n">
        <f aca="false">Admin!B182</f>
        <v>46663</v>
      </c>
      <c r="L9" s="149" t="s">
        <v>88</v>
      </c>
      <c r="M9" s="150" t="n">
        <f aca="false">Admin!B188</f>
        <v>46669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IF(T$9="Y",Mar!H51,0)</f>
        <v>0</v>
      </c>
      <c r="I11" s="168" t="n">
        <f aca="false">IF(T$9="Y",Mar!I51,0)</f>
        <v>0</v>
      </c>
      <c r="J11" s="168" t="n">
        <f aca="false">IF(T$9="Y",Mar!J51,0)</f>
        <v>0</v>
      </c>
      <c r="K11" s="168" t="n">
        <f aca="false">IF(T$9="Y",Mar!K51,I11*J11)</f>
        <v>0</v>
      </c>
      <c r="L11" s="166" t="n">
        <f aca="false">IF(T$9="Y",Mar!L51,0)</f>
        <v>0</v>
      </c>
      <c r="M11" s="170" t="str">
        <f aca="false">IF(E11=" "," ",IF(T$9="Y",Mar!M51,IF((H11+K11+L11)&gt;0,H11+K11+L11,"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IF(Employee!H$34=E$9,Employee!D$34+SUM(M11)+Mar!V51,SUM(M11)+Mar!V51)</f>
        <v>7000</v>
      </c>
      <c r="W11" s="172" t="n">
        <f aca="false">IF(Employee!H$34=E$9,Employee!D$35+SUM(N11)+Mar!W51,SUM(N11)+Mar!W51)</f>
        <v>1060</v>
      </c>
      <c r="X11" s="172" t="n">
        <f aca="false">IF(O11=" ",Mar!X51,O11+Mar!X51)</f>
        <v>400</v>
      </c>
      <c r="Y11" s="172" t="n">
        <f aca="false">IF(P11=" ",Mar!Y51,P11+Mar!Y51)</f>
        <v>0</v>
      </c>
      <c r="Z11" s="172" t="n">
        <f aca="false">IF(Q11=" ",Mar!Z51,Q11+Mar!Z51)</f>
        <v>0</v>
      </c>
      <c r="AA11" s="172" t="n">
        <f aca="false">IF(R11=" ",Mar!AA51,R11+Mar!AA51)</f>
        <v>5540</v>
      </c>
      <c r="AC11" s="172" t="e">
        <f aca="false">IF(T11=" ",Mar!AC51,T11+Mar!AC51)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IF(T$9="Y",Mar!H52,0)</f>
        <v>0</v>
      </c>
      <c r="I12" s="177" t="n">
        <f aca="false">IF(T$9="Y",Mar!I52,0)</f>
        <v>0</v>
      </c>
      <c r="J12" s="177" t="n">
        <f aca="false">IF(T$9="Y",Mar!J52,0)</f>
        <v>0</v>
      </c>
      <c r="K12" s="177" t="n">
        <f aca="false">IF(T$9="Y",Mar!K52,I12*J12)</f>
        <v>0</v>
      </c>
      <c r="L12" s="179" t="n">
        <f aca="false">IF(T$9="Y",Mar!L52,0)</f>
        <v>0</v>
      </c>
      <c r="M12" s="180" t="str">
        <f aca="false">IF(E12=" "," ",IF(T$9="Y",Mar!M52,IF((H12+K12+L12)&gt;0,H12+K12+L12,"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IF(Employee!H$60=E$9,Employee!D$60+SUM(M12)+Mar!V52,SUM(M12)+Mar!V52)</f>
        <v>4400</v>
      </c>
      <c r="W12" s="172" t="n">
        <f aca="false">IF(Employee!H$60=E$9,Employee!D$61+SUM(N12)+Mar!W52,SUM(N12)+Mar!W52)</f>
        <v>540</v>
      </c>
      <c r="X12" s="172" t="n">
        <f aca="false">IF(O12=" ",Mar!X52,O12+Mar!X52)</f>
        <v>192</v>
      </c>
      <c r="Y12" s="172" t="n">
        <f aca="false">IF(P12=" ",Mar!Y52,P12+Mar!Y52)</f>
        <v>0</v>
      </c>
      <c r="Z12" s="172" t="n">
        <f aca="false">IF(Q12=" ",Mar!Z52,Q12+Mar!Z52)</f>
        <v>0</v>
      </c>
      <c r="AA12" s="172" t="n">
        <f aca="false">IF(R12=" ",Mar!AA52,R12+Mar!AA52)</f>
        <v>3668</v>
      </c>
      <c r="AC12" s="172" t="n">
        <f aca="false">IF(T12=" ",Mar!AC52,T12+Mar!AC52)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IF(T$9="Y",Mar!H53,0)</f>
        <v>0</v>
      </c>
      <c r="I13" s="177" t="n">
        <f aca="false">IF(T$9="Y",Mar!I53,0)</f>
        <v>0</v>
      </c>
      <c r="J13" s="177" t="n">
        <f aca="false">IF(T$9="Y",Mar!J53,0)</f>
        <v>0</v>
      </c>
      <c r="K13" s="177" t="n">
        <f aca="false">IF(T$9="Y",Mar!K53,I13*J13)</f>
        <v>0</v>
      </c>
      <c r="L13" s="179" t="n">
        <f aca="false">IF(T$9="Y",Mar!L53,0)</f>
        <v>0</v>
      </c>
      <c r="M13" s="180" t="str">
        <f aca="false">IF(E13=" "," ",IF(T$9="Y",Mar!M53,IF((H13+K13+L13)&gt;0,H13+K13+L13,"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IF(Employee!H$86=E$9,Employee!D$86+SUM(M13)+Mar!V53,SUM(M13)+Mar!V53)</f>
        <v>2096</v>
      </c>
      <c r="W13" s="172" t="n">
        <f aca="false">IF(Employee!H$86=E$9,Employee!D$87+SUM(N13)+Mar!W53,SUM(N13)+Mar!W53)</f>
        <v>0</v>
      </c>
      <c r="X13" s="172" t="n">
        <f aca="false">IF(O13=" ",Mar!X53,O13+Mar!X53)</f>
        <v>0</v>
      </c>
      <c r="Y13" s="172" t="n">
        <f aca="false">IF(P13=" ",Mar!Y53,P13+Mar!Y53)</f>
        <v>0</v>
      </c>
      <c r="Z13" s="172" t="n">
        <f aca="false">IF(Q13=" ",Mar!Z53,Q13+Mar!Z53)</f>
        <v>0</v>
      </c>
      <c r="AA13" s="172" t="n">
        <f aca="false">IF(R13=" ",Mar!AA53,R13+Mar!AA53)</f>
        <v>2096</v>
      </c>
      <c r="AC13" s="172" t="n">
        <f aca="false">IF(T13=" ",Mar!AC53,T13+Mar!AC53)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IF(T$9="Y",Mar!H54,0)</f>
        <v>0</v>
      </c>
      <c r="I14" s="177" t="n">
        <f aca="false">IF(T$9="Y",Mar!I54,0)</f>
        <v>0</v>
      </c>
      <c r="J14" s="177" t="n">
        <f aca="false">IF(T$9="Y",Mar!J54,0)</f>
        <v>0</v>
      </c>
      <c r="K14" s="177" t="n">
        <f aca="false">IF(T$9="Y",Mar!K54,I14*J14)</f>
        <v>0</v>
      </c>
      <c r="L14" s="179" t="n">
        <f aca="false">IF(T$9="Y",Mar!L54,0)</f>
        <v>0</v>
      </c>
      <c r="M14" s="180" t="str">
        <f aca="false">IF(E14=" "," ",IF(T$9="Y",Mar!M54,IF((H14+K14+L14)&gt;0,H14+K14+L14,"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IF(Employee!H$112=E$9,Employee!D$112+SUM(M14)+Mar!V54,SUM(M14)+Mar!V54)</f>
        <v>0</v>
      </c>
      <c r="W14" s="172" t="n">
        <f aca="false">IF(Employee!H$112=E$9,Employee!D$113+SUM(N14)+Mar!W54,SUM(N14)+Mar!W54)</f>
        <v>0</v>
      </c>
      <c r="X14" s="172" t="n">
        <f aca="false">IF(O14=" ",Mar!X54,O14+Mar!X54)</f>
        <v>0</v>
      </c>
      <c r="Y14" s="172" t="n">
        <f aca="false">IF(P14=" ",Mar!Y54,P14+Mar!Y54)</f>
        <v>0</v>
      </c>
      <c r="Z14" s="172" t="n">
        <f aca="false">IF(Q14=" ",Mar!Z54,Q14+Mar!Z54)</f>
        <v>0</v>
      </c>
      <c r="AA14" s="172" t="n">
        <f aca="false">IF(R14=" ",Mar!AA54,R14+Mar!AA54)</f>
        <v>0</v>
      </c>
      <c r="AC14" s="172" t="n">
        <f aca="false">IF(T14=" ",Mar!AC54,T14+Mar!AC54)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IF(T$9="Y",Mar!H55,0)</f>
        <v>0</v>
      </c>
      <c r="I15" s="182" t="n">
        <f aca="false">IF(T$9="Y",Mar!I55,0)</f>
        <v>0</v>
      </c>
      <c r="J15" s="182" t="n">
        <f aca="false">IF(T$9="Y",Mar!J55,0)</f>
        <v>0</v>
      </c>
      <c r="K15" s="182" t="n">
        <f aca="false">IF(T$9="Y",Mar!K55,I15*J15)</f>
        <v>0</v>
      </c>
      <c r="L15" s="183" t="n">
        <f aca="false">IF(T$9="Y",Mar!L55,0)</f>
        <v>0</v>
      </c>
      <c r="M15" s="184" t="str">
        <f aca="false">IF(E15=" "," ",IF(T$9="Y",Mar!M55,IF((H15+K15+L15)&gt;0,H15+K15+L15,"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IF(Employee!H$138=E$9,Employee!D$138+SUM(M15)+Mar!V55,SUM(M15)+Mar!V55)</f>
        <v>0</v>
      </c>
      <c r="W15" s="172" t="n">
        <f aca="false">IF(Employee!H$138=E$9,Employee!D$139+SUM(N15)+Mar!W55,SUM(N15)+Mar!W55)</f>
        <v>0</v>
      </c>
      <c r="X15" s="172" t="n">
        <f aca="false">IF(O15=" ",Mar!X55,O15+Mar!X55)</f>
        <v>0</v>
      </c>
      <c r="Y15" s="172" t="n">
        <f aca="false">IF(P15=" ",Mar!Y55,P15+Mar!Y55)</f>
        <v>0</v>
      </c>
      <c r="Z15" s="172" t="n">
        <f aca="false">IF(Q15=" ",Mar!Z55,Q15+Mar!Z55)</f>
        <v>0</v>
      </c>
      <c r="AA15" s="172" t="n">
        <f aca="false">IF(R15=" ",Mar!AA55,R15+Mar!AA55)</f>
        <v>0</v>
      </c>
      <c r="AC15" s="172" t="n">
        <f aca="false">IF(T15=" ",Mar!AC55,T15+Mar!AC55)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28</v>
      </c>
      <c r="F19" s="144"/>
      <c r="G19" s="144"/>
      <c r="H19" s="146" t="s">
        <v>85</v>
      </c>
      <c r="I19" s="146"/>
      <c r="J19" s="146"/>
      <c r="K19" s="215" t="n">
        <f aca="false">M9+1</f>
        <v>46670</v>
      </c>
      <c r="L19" s="149" t="s">
        <v>88</v>
      </c>
      <c r="M19" s="150" t="n">
        <f aca="false">K19+6</f>
        <v>46676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29</v>
      </c>
      <c r="F29" s="144"/>
      <c r="G29" s="144"/>
      <c r="H29" s="146" t="s">
        <v>85</v>
      </c>
      <c r="I29" s="146"/>
      <c r="J29" s="146"/>
      <c r="K29" s="215" t="n">
        <f aca="false">M19+1</f>
        <v>46677</v>
      </c>
      <c r="L29" s="149" t="s">
        <v>88</v>
      </c>
      <c r="M29" s="150" t="n">
        <f aca="false">K29+6</f>
        <v>46683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30</v>
      </c>
      <c r="F39" s="144"/>
      <c r="G39" s="144"/>
      <c r="H39" s="146" t="s">
        <v>85</v>
      </c>
      <c r="I39" s="146"/>
      <c r="J39" s="146"/>
      <c r="K39" s="215" t="n">
        <f aca="false">M29+1</f>
        <v>46684</v>
      </c>
      <c r="L39" s="149" t="s">
        <v>88</v>
      </c>
      <c r="M39" s="150" t="n">
        <f aca="false">K39+6</f>
        <v>46690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7</v>
      </c>
      <c r="F49" s="144"/>
      <c r="G49" s="144"/>
      <c r="H49" s="146" t="s">
        <v>85</v>
      </c>
      <c r="I49" s="146"/>
      <c r="J49" s="146"/>
      <c r="K49" s="215" t="n">
        <f aca="false">Admin!B180</f>
        <v>46661</v>
      </c>
      <c r="L49" s="149" t="s">
        <v>88</v>
      </c>
      <c r="M49" s="150" t="n">
        <v>46142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IF(T$49="Y",Mar!H61,0)</f>
        <v>0</v>
      </c>
      <c r="I51" s="168" t="n">
        <f aca="false">IF(T$49="Y",Mar!I61,0)</f>
        <v>0</v>
      </c>
      <c r="J51" s="168" t="n">
        <f aca="false">IF(T$49="Y",Mar!J61,0)</f>
        <v>0</v>
      </c>
      <c r="K51" s="168" t="n">
        <f aca="false">IF(T$49="Y",Mar!K61,I51*J51)</f>
        <v>0</v>
      </c>
      <c r="L51" s="166" t="n">
        <f aca="false">IF(T$49="Y",Mar!L61,0)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IF(Employee!H$35=E$49,Employee!D$34+SUM(M51)+Mar!V61,SUM(M51)+Mar!V61)</f>
        <v>17500</v>
      </c>
      <c r="W51" s="172" t="n">
        <f aca="false">IF(Employee!H$35=E$49,Employee!D$35+SUM(N51)+Mar!W61,SUM(N51)+Mar!W61)</f>
        <v>2650</v>
      </c>
      <c r="X51" s="172" t="n">
        <f aca="false">IF(O51=" ",Mar!X61,O51+Mar!X61)</f>
        <v>1000</v>
      </c>
      <c r="Y51" s="172" t="n">
        <f aca="false">IF(P51=" ",Mar!Y61,P51+Mar!Y61)</f>
        <v>0</v>
      </c>
      <c r="Z51" s="172" t="n">
        <f aca="false">IF(Q51=" ",Mar!Z61,Q51+Mar!Z61)</f>
        <v>0</v>
      </c>
      <c r="AA51" s="172" t="n">
        <f aca="false">IF(R51=" ",Mar!AA61,R51+Mar!AA61)</f>
        <v>13850</v>
      </c>
      <c r="AC51" s="172" t="n">
        <f aca="false">IF(T51=" ",Mar!AC61,T51+Mar!AC61)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IF(T$49="Y",Mar!H62,0)</f>
        <v>0</v>
      </c>
      <c r="I52" s="177" t="n">
        <f aca="false">IF(T$49="Y",Mar!I62,0)</f>
        <v>0</v>
      </c>
      <c r="J52" s="177" t="n">
        <f aca="false">IF(T$49="Y",Mar!J62,0)</f>
        <v>0</v>
      </c>
      <c r="K52" s="177" t="n">
        <f aca="false">IF(T$49="Y",Mar!K62,I52*J52)</f>
        <v>0</v>
      </c>
      <c r="L52" s="179" t="n">
        <f aca="false">IF(T$49="Y",Mar!L62,0)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IF(Employee!H$61=E$49,Employee!D$60+SUM(M52)+Mar!V62,SUM(M52)+Mar!V62)</f>
        <v>11000</v>
      </c>
      <c r="W52" s="172" t="n">
        <f aca="false">IF(Employee!H$61=E$49,Employee!D$61+SUM(N52)+Mar!W62,SUM(N52)+Mar!W62)</f>
        <v>1350</v>
      </c>
      <c r="X52" s="172" t="n">
        <f aca="false">IF(O52=" ",Mar!X62,O52+Mar!X62)</f>
        <v>480</v>
      </c>
      <c r="Y52" s="172" t="n">
        <f aca="false">IF(P52=" ",Mar!Y62,P52+Mar!Y62)</f>
        <v>0</v>
      </c>
      <c r="Z52" s="172" t="n">
        <f aca="false">IF(Q52=" ",Mar!Z62,Q52+Mar!Z62)</f>
        <v>0</v>
      </c>
      <c r="AA52" s="172" t="n">
        <f aca="false">IF(R52=" ",Mar!AA62,R52+Mar!AA62)</f>
        <v>9170</v>
      </c>
      <c r="AC52" s="172" t="n">
        <f aca="false">IF(T52=" ",Mar!AC62,T52+Mar!AC62)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IF(T$49="Y",Mar!H63,0)</f>
        <v>0</v>
      </c>
      <c r="I53" s="177" t="n">
        <f aca="false">IF(T$49="Y",Mar!I63,0)</f>
        <v>0</v>
      </c>
      <c r="J53" s="177" t="n">
        <f aca="false">IF(T$49="Y",Mar!J63,0)</f>
        <v>0</v>
      </c>
      <c r="K53" s="177" t="n">
        <f aca="false">IF(T$49="Y",Mar!K63,I53*J53)</f>
        <v>0</v>
      </c>
      <c r="L53" s="179" t="n">
        <f aca="false">IF(T$49="Y",Mar!L63,0)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IF(Employee!H$87=E$49,Employee!D$86+SUM(M53)+Mar!V63,SUM(M53)+Mar!V63)</f>
        <v>5240</v>
      </c>
      <c r="W53" s="172" t="n">
        <f aca="false">IF(Employee!H$87=E$49,Employee!D$87+SUM(N53)+Mar!W63,SUM(N53)+Mar!W63)</f>
        <v>0</v>
      </c>
      <c r="X53" s="172" t="n">
        <f aca="false">IF(O53=" ",Mar!X63,O53+Mar!X63)</f>
        <v>0</v>
      </c>
      <c r="Y53" s="172" t="n">
        <f aca="false">IF(P53=" ",Mar!Y63,P53+Mar!Y63)</f>
        <v>0</v>
      </c>
      <c r="Z53" s="172" t="n">
        <f aca="false">IF(Q53=" ",Mar!Z63,Q53+Mar!Z63)</f>
        <v>0</v>
      </c>
      <c r="AA53" s="172" t="n">
        <f aca="false">IF(R53=" ",Mar!AA63,R53+Mar!AA63)</f>
        <v>5240</v>
      </c>
      <c r="AC53" s="172" t="n">
        <f aca="false">IF(T53=" ",Mar!AC63,T53+Mar!AC63)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IF(T$49="Y",Mar!H64,0)</f>
        <v>0</v>
      </c>
      <c r="I54" s="177" t="n">
        <f aca="false">IF(T$49="Y",Mar!I64,0)</f>
        <v>0</v>
      </c>
      <c r="J54" s="177" t="n">
        <f aca="false">IF(T$49="Y",Mar!J64,0)</f>
        <v>0</v>
      </c>
      <c r="K54" s="177" t="n">
        <f aca="false">IF(T$49="Y",Mar!K64,I54*J54)</f>
        <v>0</v>
      </c>
      <c r="L54" s="179" t="n">
        <f aca="false">IF(T$49="Y",Mar!L64,0)</f>
        <v>0</v>
      </c>
      <c r="M54" s="180" t="str">
        <f aca="false">IF(E54=" "," ",IF(T$49="Y",Mar!M64,IF((H54+K54+L54)&gt;0,H54+K54+L54,"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IF(Employee!H$113=E$49,Employee!D$112+SUM(M54)+Mar!V64,SUM(M54)+Mar!V64)</f>
        <v>0</v>
      </c>
      <c r="W54" s="172" t="n">
        <f aca="false">IF(Employee!H$113=E$49,Employee!D$113+SUM(N54)+Mar!W64,SUM(N54)+Mar!W64)</f>
        <v>0</v>
      </c>
      <c r="X54" s="172" t="n">
        <f aca="false">IF(O54=" ",Mar!X64,O54+Mar!X64)</f>
        <v>0</v>
      </c>
      <c r="Y54" s="172" t="n">
        <f aca="false">IF(P54=" ",Mar!Y64,P54+Mar!Y64)</f>
        <v>0</v>
      </c>
      <c r="Z54" s="172" t="n">
        <f aca="false">IF(Q54=" ",Mar!Z64,Q54+Mar!Z64)</f>
        <v>0</v>
      </c>
      <c r="AA54" s="172" t="n">
        <f aca="false">IF(R54=" ",Mar!AA64,R54+Mar!AA64)</f>
        <v>0</v>
      </c>
      <c r="AC54" s="172" t="n">
        <f aca="false">IF(T54=" ",Mar!AC64,T54+Mar!AC64)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IF(T$49="Y",Mar!H65,0)</f>
        <v>0</v>
      </c>
      <c r="I55" s="182" t="n">
        <f aca="false">IF(T$49="Y",Mar!I65,0)</f>
        <v>0</v>
      </c>
      <c r="J55" s="182" t="n">
        <f aca="false">IF(T$49="Y",Mar!J65,0)</f>
        <v>0</v>
      </c>
      <c r="K55" s="182" t="n">
        <f aca="false">IF(T$49="Y",Mar!K65,I55*J55)</f>
        <v>0</v>
      </c>
      <c r="L55" s="183" t="n">
        <f aca="false">IF(T$49="Y",Mar!L65,0)</f>
        <v>0</v>
      </c>
      <c r="M55" s="180" t="str">
        <f aca="false">IF(E55=" "," ",IF(T$49="Y",Mar!M65,IF((H55+K55+L55)&gt;0,H55+K55+L55,"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IF(Employee!H$139=E$49,Employee!D$138+SUM(M55)+Mar!V65,SUM(M55)+Mar!V65)</f>
        <v>0</v>
      </c>
      <c r="W55" s="172" t="n">
        <f aca="false">IF(Employee!H$139=E$49,Employee!D$139+SUM(N55)+Mar!W65,SUM(N55)+Mar!W65)</f>
        <v>0</v>
      </c>
      <c r="X55" s="172" t="n">
        <f aca="false">IF(O55=" ",Mar!X65,O55+Mar!X65)</f>
        <v>0</v>
      </c>
      <c r="Y55" s="172" t="n">
        <f aca="false">IF(P55=" ",Mar!Y65,P55+Mar!Y65)</f>
        <v>0</v>
      </c>
      <c r="Z55" s="172" t="n">
        <f aca="false">IF(Q55=" ",Mar!Z65,Q55+Mar!Z65)</f>
        <v>0</v>
      </c>
      <c r="AA55" s="172" t="n">
        <f aca="false">IF(R55=" ",Mar!AA65,R55+Mar!AA65)</f>
        <v>0</v>
      </c>
      <c r="AC55" s="172" t="n">
        <f aca="false">IF(T55=" ",Mar!AC65,T55+Mar!AC65)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AD60+Mar!AD75</f>
        <v>0</v>
      </c>
      <c r="AE65" s="240" t="n">
        <f aca="false">AE60+Mar!AE75</f>
        <v>0</v>
      </c>
      <c r="AF65" s="240" t="n">
        <f aca="false">AF60+Mar!AF75</f>
        <v>0</v>
      </c>
      <c r="AG65" s="240" t="n">
        <f aca="false">AG60+Mar!AG75</f>
        <v>0</v>
      </c>
    </row>
    <row r="67" customFormat="false" ht="12.75" hidden="false" customHeight="false" outlineLevel="0" collapsed="false">
      <c r="AD67" s="233"/>
      <c r="AE67" s="240" t="n">
        <f aca="false">AE62+Mar!AE77</f>
        <v>0</v>
      </c>
      <c r="AF67" s="240" t="n">
        <f aca="false">AF62+Mar!AF77</f>
        <v>0</v>
      </c>
      <c r="AG67" s="240" t="n">
        <f aca="false">AG62+Mar!AG77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31</v>
      </c>
      <c r="F9" s="144"/>
      <c r="G9" s="144"/>
      <c r="H9" s="146" t="s">
        <v>85</v>
      </c>
      <c r="I9" s="146"/>
      <c r="J9" s="146"/>
      <c r="K9" s="215" t="n">
        <f aca="false">Admin!B210</f>
        <v>46691</v>
      </c>
      <c r="L9" s="149" t="s">
        <v>88</v>
      </c>
      <c r="M9" s="150" t="n">
        <f aca="false">K9+6</f>
        <v>46697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70" t="str">
        <f aca="false">IF(E11=" "," ",IF(T$9="Y",Apr!M41,IF((H11+K11+L11)&gt;0,H11+K11+L11,"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7000</v>
      </c>
      <c r="W11" s="172" t="n">
        <f aca="false">IF(Employee!H$34=E$9,Employee!D$35+SUM(N11)+Apr!W41,SUM(N11)+Apr!W41)</f>
        <v>1060</v>
      </c>
      <c r="X11" s="172" t="n">
        <f aca="false">IF(O11=" ",Apr!X41,O11+Apr!X41)</f>
        <v>400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5540</v>
      </c>
      <c r="AC11" s="172" t="e">
        <f aca="false">IF(T11=" ",Apr!AC41,T11+Apr!AC41)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80" t="str">
        <f aca="false">IF(E12=" "," ",IF(T$9="Y",Apr!M42,IF((H12+K12+L12)&gt;0,H12+K12+L12,"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4400</v>
      </c>
      <c r="W12" s="172" t="n">
        <f aca="false">IF(Employee!H$60=E$9,Employee!D$61+SUM(N12)+Apr!W42,SUM(N12)+Apr!W42)</f>
        <v>540</v>
      </c>
      <c r="X12" s="172" t="n">
        <f aca="false">IF(O12=" ",Apr!X42,O12+Apr!X42)</f>
        <v>192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3668</v>
      </c>
      <c r="AC12" s="172" t="n">
        <f aca="false">IF(T12=" ",Apr!AC42,T12+Apr!AC42)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80" t="str">
        <f aca="false">IF(E13=" "," ",IF(T$9="Y",Apr!M43,IF((H13+K13+L13)&gt;0,H13+K13+L13,"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2096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2096</v>
      </c>
      <c r="AC13" s="172" t="n">
        <f aca="false">IF(T13=" ",Apr!AC43,T13+Apr!AC43)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80" t="str">
        <f aca="false">IF(E14=" "," ",IF(T$9="Y",Apr!M44,IF((H14+K14+L14)&gt;0,H14+K14+L14,"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84" t="str">
        <f aca="false">IF(E15=" "," ",IF(T$9="Y",Apr!M45,IF((H15+K15+L15)&gt;0,H15+K15+L15,"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32</v>
      </c>
      <c r="F19" s="144"/>
      <c r="G19" s="144"/>
      <c r="H19" s="146" t="s">
        <v>85</v>
      </c>
      <c r="I19" s="146"/>
      <c r="J19" s="146"/>
      <c r="K19" s="215" t="n">
        <f aca="false">M9+1</f>
        <v>46698</v>
      </c>
      <c r="L19" s="149" t="s">
        <v>88</v>
      </c>
      <c r="M19" s="150" t="n">
        <f aca="false">K19+6</f>
        <v>46704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33</v>
      </c>
      <c r="F29" s="144"/>
      <c r="G29" s="144"/>
      <c r="H29" s="146" t="s">
        <v>85</v>
      </c>
      <c r="I29" s="146"/>
      <c r="J29" s="146"/>
      <c r="K29" s="215" t="n">
        <f aca="false">M19+1</f>
        <v>46705</v>
      </c>
      <c r="L29" s="149" t="s">
        <v>88</v>
      </c>
      <c r="M29" s="150" t="n">
        <f aca="false">K29+6</f>
        <v>46711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34</v>
      </c>
      <c r="F39" s="144"/>
      <c r="G39" s="144"/>
      <c r="H39" s="146" t="s">
        <v>85</v>
      </c>
      <c r="I39" s="146"/>
      <c r="J39" s="146"/>
      <c r="K39" s="215" t="n">
        <f aca="false">M29+1</f>
        <v>46712</v>
      </c>
      <c r="L39" s="149" t="s">
        <v>88</v>
      </c>
      <c r="M39" s="150" t="n">
        <f aca="false">K39+6</f>
        <v>46718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8</v>
      </c>
      <c r="F49" s="144"/>
      <c r="G49" s="144"/>
      <c r="H49" s="146" t="s">
        <v>85</v>
      </c>
      <c r="I49" s="146"/>
      <c r="J49" s="146"/>
      <c r="K49" s="215" t="n">
        <f aca="false">Admin!B211</f>
        <v>46692</v>
      </c>
      <c r="L49" s="149" t="s">
        <v>88</v>
      </c>
      <c r="M49" s="150" t="n">
        <v>46172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IF(Employee!H$35=E$49,Employee!D$34+SUM(M51)+Apr!V51,SUM(M51)+Apr!V51)</f>
        <v>21000</v>
      </c>
      <c r="W51" s="172" t="n">
        <f aca="false">IF(Employee!H$35=E$49,Employee!D$35+SUM(N51)+Apr!W51,SUM(N51)+Apr!W51)</f>
        <v>3180</v>
      </c>
      <c r="X51" s="172" t="n">
        <f aca="false">IF(O51=" ",Apr!X51,O51+Apr!X51)</f>
        <v>1200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16620</v>
      </c>
      <c r="AC51" s="172" t="n">
        <f aca="false">IF(T51=" ",Apr!AC51,T51+Apr!AC51)</f>
        <v>2295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IF(Employee!H$61=E$49,Employee!D$60+SUM(M52)+Apr!V52,SUM(M52)+Apr!V52)</f>
        <v>13200</v>
      </c>
      <c r="W52" s="172" t="n">
        <f aca="false">IF(Employee!H$61=E$49,Employee!D$61+SUM(N52)+Apr!W52,SUM(N52)+Apr!W52)</f>
        <v>1620</v>
      </c>
      <c r="X52" s="172" t="n">
        <f aca="false">IF(O52=" ",Apr!X52,O52+Apr!X52)</f>
        <v>576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11004</v>
      </c>
      <c r="AC52" s="172" t="n">
        <f aca="false">IF(T52=" ",Apr!AC52,T52+Apr!AC52)</f>
        <v>1125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IF(Employee!H$87=E$49,Employee!D$86+SUM(M53)+Apr!V53,SUM(M53)+Apr!V53)</f>
        <v>6288</v>
      </c>
      <c r="W53" s="172" t="n">
        <f aca="false">IF(Employee!H$87=E$49,Employee!D$87+SUM(N53)+Apr!W53,SUM(N53)+Apr!W53)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6288</v>
      </c>
      <c r="AC53" s="172" t="n">
        <f aca="false">IF(T53=" ",Apr!AC53,T53+Apr!AC53)</f>
        <v>43.2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35</v>
      </c>
      <c r="F9" s="144"/>
      <c r="G9" s="144"/>
      <c r="H9" s="146" t="s">
        <v>85</v>
      </c>
      <c r="I9" s="146"/>
      <c r="J9" s="146"/>
      <c r="K9" s="215" t="n">
        <f aca="false">May!M39+1</f>
        <v>46719</v>
      </c>
      <c r="L9" s="149" t="s">
        <v>88</v>
      </c>
      <c r="M9" s="150" t="n">
        <f aca="false">K9+6</f>
        <v>46725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7000</v>
      </c>
      <c r="W11" s="172" t="n">
        <f aca="false">IF(Employee!H$34=E$9,Employee!D$35+SUM(N11)+May!W41,SUM(N11)+May!W41)</f>
        <v>1060</v>
      </c>
      <c r="X11" s="172" t="n">
        <f aca="false">IF(O11=" ",May!X41,O11+May!X41)</f>
        <v>400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5540</v>
      </c>
      <c r="AC11" s="172" t="e">
        <f aca="false">IF(T11=" ",May!AC41,T11+May!AC41)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4400</v>
      </c>
      <c r="W12" s="172" t="n">
        <f aca="false">IF(Employee!H$60=E$9,Employee!D$61+SUM(N12)+May!W42,SUM(N12)+May!W42)</f>
        <v>540</v>
      </c>
      <c r="X12" s="172" t="n">
        <f aca="false">IF(O12=" ",May!X42,O12+May!X42)</f>
        <v>192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3668</v>
      </c>
      <c r="AC12" s="172" t="n">
        <f aca="false">IF(T12=" ",May!AC42,T12+May!AC42)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2096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2096</v>
      </c>
      <c r="AC13" s="172" t="n">
        <f aca="false">IF(T13=" ",May!AC43,T13+May!AC43)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36</v>
      </c>
      <c r="F19" s="144"/>
      <c r="G19" s="144"/>
      <c r="H19" s="146" t="s">
        <v>85</v>
      </c>
      <c r="I19" s="146"/>
      <c r="J19" s="146"/>
      <c r="K19" s="215" t="n">
        <f aca="false">M9+1</f>
        <v>46726</v>
      </c>
      <c r="L19" s="149" t="s">
        <v>88</v>
      </c>
      <c r="M19" s="150" t="n">
        <f aca="false">K19+6</f>
        <v>46732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37</v>
      </c>
      <c r="F29" s="144"/>
      <c r="G29" s="144"/>
      <c r="H29" s="146" t="s">
        <v>85</v>
      </c>
      <c r="I29" s="146"/>
      <c r="J29" s="146"/>
      <c r="K29" s="215" t="n">
        <f aca="false">M19+1</f>
        <v>46733</v>
      </c>
      <c r="L29" s="149" t="s">
        <v>88</v>
      </c>
      <c r="M29" s="150" t="n">
        <f aca="false">K29+6</f>
        <v>46739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38</v>
      </c>
      <c r="F39" s="144"/>
      <c r="G39" s="144"/>
      <c r="H39" s="146" t="s">
        <v>85</v>
      </c>
      <c r="I39" s="146"/>
      <c r="J39" s="146"/>
      <c r="K39" s="215" t="n">
        <f aca="false">M29+1</f>
        <v>46740</v>
      </c>
      <c r="L39" s="149" t="s">
        <v>88</v>
      </c>
      <c r="M39" s="150" t="n">
        <f aca="false">K39+6</f>
        <v>46746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39</v>
      </c>
      <c r="F49" s="144"/>
      <c r="G49" s="144"/>
      <c r="H49" s="146" t="s">
        <v>85</v>
      </c>
      <c r="I49" s="146"/>
      <c r="J49" s="146"/>
      <c r="K49" s="215" t="n">
        <f aca="false">M39+1</f>
        <v>46747</v>
      </c>
      <c r="L49" s="149" t="s">
        <v>88</v>
      </c>
      <c r="M49" s="150" t="n">
        <v>46203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10500</v>
      </c>
      <c r="W51" s="172" t="n">
        <f aca="false">IF(Employee!H$34=E$49,Employee!D$35+SUM(N51)+W41,SUM(N51)+W41)</f>
        <v>1590</v>
      </c>
      <c r="X51" s="172" t="n">
        <f aca="false">IF(O51=" ",X41,O51+X41)</f>
        <v>600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8310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6600</v>
      </c>
      <c r="W52" s="172" t="n">
        <f aca="false">IF(Employee!H$60=E$49,Employee!D$61+SUM(N52)+W42,SUM(N52)+W42)</f>
        <v>810</v>
      </c>
      <c r="X52" s="172" t="n">
        <f aca="false">IF(O52=" ",X42,O52+X42)</f>
        <v>288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5502</v>
      </c>
      <c r="AC52" s="172" t="n">
        <f aca="false">IF(T52=" ",AC42,T52+AC42)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3144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3144</v>
      </c>
      <c r="AC53" s="172" t="n">
        <f aca="false">IF(T53=" ",AC43,T53+AC43)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9</v>
      </c>
      <c r="F59" s="144"/>
      <c r="G59" s="144"/>
      <c r="H59" s="146" t="s">
        <v>85</v>
      </c>
      <c r="I59" s="146"/>
      <c r="J59" s="146"/>
      <c r="K59" s="215" t="n">
        <f aca="false">Admin!B241</f>
        <v>46722</v>
      </c>
      <c r="L59" s="149" t="s">
        <v>88</v>
      </c>
      <c r="M59" s="150" t="n">
        <f aca="false">Admin!B271</f>
        <v>46752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21000</v>
      </c>
      <c r="W61" s="172" t="n">
        <f aca="false">IF(Employee!H$35=E$59,Employee!D$35+SUM(N61)+May!W51,SUM(N61)+May!W51)</f>
        <v>3180</v>
      </c>
      <c r="X61" s="172" t="n">
        <f aca="false">IF(O61=" ",May!X51,O61+May!X51)</f>
        <v>1200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16620</v>
      </c>
      <c r="AC61" s="172" t="n">
        <f aca="false">IF(T61=" ",May!AC51,T61+May!AC51)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13200</v>
      </c>
      <c r="W62" s="172" t="n">
        <f aca="false">IF(Employee!H$61=E$59,Employee!D$61+SUM(N62)+May!W52,SUM(N62)+May!W52)</f>
        <v>1620</v>
      </c>
      <c r="X62" s="172" t="n">
        <f aca="false">IF(O62=" ",May!X52,O62+May!X52)</f>
        <v>576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11004</v>
      </c>
      <c r="AC62" s="172" t="n">
        <f aca="false">IF(T62=" ",May!AC52,T62+May!AC52)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6288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6288</v>
      </c>
      <c r="AC63" s="172" t="n">
        <f aca="false">IF(T63=" ",May!AC53,T63+May!AC53)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40</v>
      </c>
      <c r="F9" s="144"/>
      <c r="G9" s="144"/>
      <c r="H9" s="146" t="s">
        <v>85</v>
      </c>
      <c r="I9" s="146"/>
      <c r="J9" s="146"/>
      <c r="K9" s="215" t="n">
        <f aca="false">Jun!M49+1</f>
        <v>46204</v>
      </c>
      <c r="L9" s="149" t="s">
        <v>88</v>
      </c>
      <c r="M9" s="150" t="n">
        <f aca="false">K9+6</f>
        <v>46210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IF(T$9="Y",Jun!H51,0)</f>
        <v>0</v>
      </c>
      <c r="I11" s="168" t="n">
        <f aca="false">IF(T$9="Y",Jun!I51,0)</f>
        <v>0</v>
      </c>
      <c r="J11" s="168" t="n">
        <f aca="false">IF(T$9="Y",Jun!J51,0)</f>
        <v>0</v>
      </c>
      <c r="K11" s="168" t="n">
        <f aca="false">IF(T$9="Y",Jun!K51,I11*J11)</f>
        <v>0</v>
      </c>
      <c r="L11" s="166" t="n">
        <f aca="false">IF(T$9="Y",Jun!L51,0)</f>
        <v>0</v>
      </c>
      <c r="M11" s="166" t="str">
        <f aca="false">IF(E11=" "," ",IF(T$9="Y",Jun!M51,IF((H11+K11+L11)&gt;0,H11+K11+L11,"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10500</v>
      </c>
      <c r="W11" s="172" t="n">
        <f aca="false">IF(Employee!H$34=E$9,Employee!D$35+SUM(N11)+Jun!W51,SUM(N11)+Jun!W51)</f>
        <v>1590</v>
      </c>
      <c r="X11" s="172" t="n">
        <f aca="false">IF(O11=" ",Jun!X51,O11+Jun!X51)</f>
        <v>600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8310</v>
      </c>
      <c r="AC11" s="172" t="e">
        <f aca="false">IF(T11=" ",Jun!AC51,T11+Jun!AC51)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IF(T$9="Y",Jun!H52,0)</f>
        <v>0</v>
      </c>
      <c r="I12" s="177" t="n">
        <f aca="false">IF(T$9="Y",Jun!I52,0)</f>
        <v>0</v>
      </c>
      <c r="J12" s="177" t="n">
        <f aca="false">IF(T$9="Y",Jun!J52,0)</f>
        <v>0</v>
      </c>
      <c r="K12" s="177" t="n">
        <f aca="false">IF(T$9="Y",Jun!K52,I12*J12)</f>
        <v>0</v>
      </c>
      <c r="L12" s="179" t="n">
        <f aca="false">IF(T$9="Y",Jun!L52,0)</f>
        <v>0</v>
      </c>
      <c r="M12" s="179" t="str">
        <f aca="false">IF(E12=" "," ",IF(T$9="Y",Jun!M52,IF((H12+K12+L12)&gt;0,H12+K12+L12,"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6600</v>
      </c>
      <c r="W12" s="172" t="n">
        <f aca="false">IF(Employee!H$60=E$9,Employee!D$61+SUM(N12)+Jun!W52,SUM(N12)+Jun!W52)</f>
        <v>810</v>
      </c>
      <c r="X12" s="172" t="n">
        <f aca="false">IF(O12=" ",Jun!X52,O12+Jun!X52)</f>
        <v>288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5502</v>
      </c>
      <c r="AC12" s="172" t="n">
        <f aca="false">IF(T12=" ",Jun!AC52,T12+Jun!AC52)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IF(T$9="Y",Jun!H53,0)</f>
        <v>0</v>
      </c>
      <c r="I13" s="177" t="n">
        <f aca="false">IF(T$9="Y",Jun!I53,0)</f>
        <v>0</v>
      </c>
      <c r="J13" s="177" t="n">
        <f aca="false">IF(T$9="Y",Jun!J53,0)</f>
        <v>0</v>
      </c>
      <c r="K13" s="177" t="n">
        <f aca="false">IF(T$9="Y",Jun!K53,I13*J13)</f>
        <v>0</v>
      </c>
      <c r="L13" s="179" t="n">
        <f aca="false">IF(T$9="Y",Jun!L53,0)</f>
        <v>0</v>
      </c>
      <c r="M13" s="179" t="str">
        <f aca="false">IF(E13=" "," ",IF(T$9="Y",Jun!M53,IF((H13+K13+L13)&gt;0,H13+K13+L13,"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3144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3144</v>
      </c>
      <c r="AC13" s="172" t="n">
        <f aca="false">IF(T13=" ",Jun!AC53,T13+Jun!AC53)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IF(T$9="Y",Jun!H54,0)</f>
        <v>0</v>
      </c>
      <c r="I14" s="177" t="n">
        <f aca="false">IF(T$9="Y",Jun!I54,0)</f>
        <v>0</v>
      </c>
      <c r="J14" s="177" t="n">
        <f aca="false">IF(T$9="Y",Jun!J54,0)</f>
        <v>0</v>
      </c>
      <c r="K14" s="177" t="n">
        <f aca="false">IF(T$9="Y",Jun!K54,I14*J14)</f>
        <v>0</v>
      </c>
      <c r="L14" s="179" t="n">
        <f aca="false">IF(T$9="Y",Jun!L54,0)</f>
        <v>0</v>
      </c>
      <c r="M14" s="179" t="str">
        <f aca="false">IF(E14=" "," ",IF(T$9="Y",Jun!M54,IF((H14+K14+L14)&gt;0,H14+K14+L14,"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IF(T$9="Y",Jun!H55,0)</f>
        <v>0</v>
      </c>
      <c r="I15" s="182" t="n">
        <f aca="false">IF(T$9="Y",Jun!I55,0)</f>
        <v>0</v>
      </c>
      <c r="J15" s="182" t="n">
        <f aca="false">IF(T$9="Y",Jun!J55,0)</f>
        <v>0</v>
      </c>
      <c r="K15" s="182" t="n">
        <f aca="false">IF(T$9="Y",Jun!K55,I15*J15)</f>
        <v>0</v>
      </c>
      <c r="L15" s="183" t="n">
        <f aca="false">IF(T$9="Y",Jun!L55,0)</f>
        <v>0</v>
      </c>
      <c r="M15" s="179" t="str">
        <f aca="false">IF(E15=" "," ",IF(T$9="Y",Jun!M55,IF((H15+K15+L15)&gt;0,H15+K15+L15,"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41</v>
      </c>
      <c r="F19" s="144"/>
      <c r="G19" s="144"/>
      <c r="H19" s="146" t="s">
        <v>85</v>
      </c>
      <c r="I19" s="146"/>
      <c r="J19" s="146"/>
      <c r="K19" s="215" t="n">
        <f aca="false">M9+1</f>
        <v>46211</v>
      </c>
      <c r="L19" s="149" t="s">
        <v>88</v>
      </c>
      <c r="M19" s="150" t="n">
        <f aca="false">K19+6</f>
        <v>46217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42</v>
      </c>
      <c r="F29" s="144"/>
      <c r="G29" s="144"/>
      <c r="H29" s="146" t="s">
        <v>85</v>
      </c>
      <c r="I29" s="146"/>
      <c r="J29" s="146"/>
      <c r="K29" s="215" t="n">
        <f aca="false">M19+1</f>
        <v>46218</v>
      </c>
      <c r="L29" s="149" t="s">
        <v>88</v>
      </c>
      <c r="M29" s="150" t="n">
        <f aca="false">K29+6</f>
        <v>46224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43</v>
      </c>
      <c r="F39" s="144"/>
      <c r="G39" s="144"/>
      <c r="H39" s="146" t="s">
        <v>85</v>
      </c>
      <c r="I39" s="146"/>
      <c r="J39" s="146"/>
      <c r="K39" s="215" t="n">
        <f aca="false">M29+1</f>
        <v>46225</v>
      </c>
      <c r="L39" s="149" t="s">
        <v>88</v>
      </c>
      <c r="M39" s="150" t="n">
        <f aca="false">K39+6</f>
        <v>46231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10</v>
      </c>
      <c r="F49" s="144"/>
      <c r="G49" s="144"/>
      <c r="H49" s="146" t="s">
        <v>85</v>
      </c>
      <c r="I49" s="146"/>
      <c r="J49" s="146"/>
      <c r="K49" s="215" t="n">
        <f aca="false">Admin!B272</f>
        <v>46753</v>
      </c>
      <c r="L49" s="149" t="s">
        <v>88</v>
      </c>
      <c r="M49" s="150" t="n">
        <v>46234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IF(Employee!H$35=E$49,Employee!D$34+SUM(M51)+Jun!V61,SUM(M51)+Jun!V61)</f>
        <v>24500</v>
      </c>
      <c r="W51" s="172" t="n">
        <f aca="false">IF(Employee!H$35=E$49,Employee!D$35+SUM(N51)+Jun!W61,SUM(N51)+Jun!W61)</f>
        <v>3710</v>
      </c>
      <c r="X51" s="172" t="n">
        <f aca="false">IF(O51=" ",Jun!X61,O51+Jun!X61)</f>
        <v>1400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19390</v>
      </c>
      <c r="AC51" s="172" t="n">
        <f aca="false">IF(T51=" ",Jun!AC61,T51+Jun!AC61)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IF(Employee!H$61=E$49,Employee!D$60+SUM(M52)+Jun!V62,SUM(M52)+Jun!V62)</f>
        <v>15400</v>
      </c>
      <c r="W52" s="172" t="n">
        <f aca="false">IF(Employee!H$61=E$49,Employee!D$61+SUM(N52)+Jun!W62,SUM(N52)+Jun!W62)</f>
        <v>1890</v>
      </c>
      <c r="X52" s="172" t="n">
        <f aca="false">IF(O52=" ",Jun!X62,O52+Jun!X62)</f>
        <v>672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12838</v>
      </c>
      <c r="AC52" s="172" t="n">
        <f aca="false">IF(T52=" ",Jun!AC62,T52+Jun!AC62)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IF(Employee!H$87=E$49,Employee!D$86+SUM(M53)+Jun!V63,SUM(M53)+Jun!V63)</f>
        <v>7336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7336</v>
      </c>
      <c r="AC53" s="172" t="n">
        <f aca="false">IF(T53=" ",Jun!AC63,T53+Jun!AC63)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44</v>
      </c>
      <c r="F9" s="144"/>
      <c r="G9" s="144"/>
      <c r="H9" s="146" t="s">
        <v>85</v>
      </c>
      <c r="I9" s="146"/>
      <c r="J9" s="146"/>
      <c r="K9" s="215" t="n">
        <f aca="false">Jul!M39+1</f>
        <v>46232</v>
      </c>
      <c r="L9" s="149" t="s">
        <v>88</v>
      </c>
      <c r="M9" s="150" t="n">
        <f aca="false">K9+6</f>
        <v>46238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f aca="false">IF(T$9="Y",Jul!K41,I11*J11)</f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10500</v>
      </c>
      <c r="W11" s="172" t="n">
        <f aca="false">IF(Employee!H$34=E$9,Employee!D$35+SUM(N11)+Jul!W41,SUM(N11)+Jul!W41)</f>
        <v>1590</v>
      </c>
      <c r="X11" s="172" t="n">
        <f aca="false">IF(O11=" ",Jul!X41,O11+Jul!X41)</f>
        <v>600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8310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IF(T$9="Y",Jul!H42,0)</f>
        <v>0</v>
      </c>
      <c r="I12" s="177" t="n">
        <f aca="false">IF(T$9="Y",Jul!I42,0)</f>
        <v>0</v>
      </c>
      <c r="J12" s="177" t="n">
        <f aca="false">IF(T$9="Y",Jul!J42,0)</f>
        <v>0</v>
      </c>
      <c r="K12" s="177" t="n">
        <f aca="false">IF(T$9="Y",Jul!K42,I12*J12)</f>
        <v>0</v>
      </c>
      <c r="L12" s="179" t="n">
        <f aca="false">IF(T$9="Y",Jul!L42,0)</f>
        <v>0</v>
      </c>
      <c r="M12" s="179" t="str">
        <f aca="false">IF(E12=" "," ",IF(T$9="Y",Jul!M42,IF((H12+K12+L12)&gt;0,H12+K12+L12,"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6600</v>
      </c>
      <c r="W12" s="172" t="n">
        <f aca="false">IF(Employee!H$60=E$9,Employee!D$61+SUM(N12)+Jul!W42,SUM(N12)+Jul!W42)</f>
        <v>810</v>
      </c>
      <c r="X12" s="172" t="n">
        <f aca="false">IF(O12=" ",Jul!X42,O12+Jul!X42)</f>
        <v>288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5502</v>
      </c>
      <c r="AC12" s="172" t="n">
        <f aca="false">IF(T12=" ",Jul!AC42,T12+Jul!AC42)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IF(T$9="Y",Jul!H43,0)</f>
        <v>0</v>
      </c>
      <c r="I13" s="177" t="n">
        <f aca="false">IF(T$9="Y",Jul!I43,0)</f>
        <v>0</v>
      </c>
      <c r="J13" s="177" t="n">
        <f aca="false">IF(T$9="Y",Jul!J43,0)</f>
        <v>0</v>
      </c>
      <c r="K13" s="177" t="n">
        <f aca="false">IF(T$9="Y",Jul!K43,I13*J13)</f>
        <v>0</v>
      </c>
      <c r="L13" s="179" t="n">
        <f aca="false">IF(T$9="Y",Jul!L43,0)</f>
        <v>0</v>
      </c>
      <c r="M13" s="179" t="str">
        <f aca="false">IF(E13=" "," ",IF(T$9="Y",Jul!M43,IF((H13+K13+L13)&gt;0,H13+K13+L13,"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3144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3144</v>
      </c>
      <c r="AC13" s="172" t="n">
        <f aca="false">IF(T13=" ",Jul!AC43,T13+Jul!AC43)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IF(T$9="Y",Jul!H44,0)</f>
        <v>0</v>
      </c>
      <c r="I14" s="177" t="n">
        <f aca="false">IF(T$9="Y",Jul!I44,0)</f>
        <v>0</v>
      </c>
      <c r="J14" s="177" t="n">
        <f aca="false">IF(T$9="Y",Jul!J44,0)</f>
        <v>0</v>
      </c>
      <c r="K14" s="177" t="n">
        <f aca="false">IF(T$9="Y",Jul!K44,I14*J14)</f>
        <v>0</v>
      </c>
      <c r="L14" s="179" t="n">
        <f aca="false">IF(T$9="Y",Jul!L44,0)</f>
        <v>0</v>
      </c>
      <c r="M14" s="179" t="str">
        <f aca="false">IF(E14=" "," ",IF(T$9="Y",Jul!M44,IF((H14+K14+L14)&gt;0,H14+K14+L14,"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IF(T$9="Y",Jul!H45,0)</f>
        <v>0</v>
      </c>
      <c r="I15" s="182" t="n">
        <f aca="false">IF(T$9="Y",Jul!I45,0)</f>
        <v>0</v>
      </c>
      <c r="J15" s="182" t="n">
        <f aca="false">IF(T$9="Y",Jul!J45,0)</f>
        <v>0</v>
      </c>
      <c r="K15" s="182" t="n">
        <f aca="false">IF(T$9="Y",Jul!K45,I15*J15)</f>
        <v>0</v>
      </c>
      <c r="L15" s="183" t="n">
        <f aca="false">IF(T$19="Y",Jul!L45,0)</f>
        <v>0</v>
      </c>
      <c r="M15" s="179" t="str">
        <f aca="false">IF(E15=" "," ",IF(T$9="Y",Jul!M45,IF((H15+K15+L15)&gt;0,H15+K15+L15,"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45</v>
      </c>
      <c r="F19" s="144"/>
      <c r="G19" s="144"/>
      <c r="H19" s="146" t="s">
        <v>85</v>
      </c>
      <c r="I19" s="146"/>
      <c r="J19" s="146"/>
      <c r="K19" s="215" t="n">
        <f aca="false">M9+1</f>
        <v>46239</v>
      </c>
      <c r="L19" s="149" t="s">
        <v>88</v>
      </c>
      <c r="M19" s="150" t="n">
        <f aca="false">K19+6</f>
        <v>46245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46</v>
      </c>
      <c r="F29" s="144"/>
      <c r="G29" s="144"/>
      <c r="H29" s="146" t="s">
        <v>85</v>
      </c>
      <c r="I29" s="146"/>
      <c r="J29" s="146"/>
      <c r="K29" s="215" t="n">
        <f aca="false">M19+1</f>
        <v>46246</v>
      </c>
      <c r="L29" s="149" t="s">
        <v>88</v>
      </c>
      <c r="M29" s="150" t="n">
        <f aca="false">K29+6</f>
        <v>46252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47</v>
      </c>
      <c r="F39" s="144"/>
      <c r="G39" s="144"/>
      <c r="H39" s="146" t="s">
        <v>85</v>
      </c>
      <c r="I39" s="146"/>
      <c r="J39" s="146"/>
      <c r="K39" s="215" t="n">
        <f aca="false">M29+1</f>
        <v>46253</v>
      </c>
      <c r="L39" s="149" t="s">
        <v>88</v>
      </c>
      <c r="M39" s="150" t="n">
        <f aca="false">K39+6</f>
        <v>46259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11</v>
      </c>
      <c r="F49" s="144"/>
      <c r="G49" s="144"/>
      <c r="H49" s="146" t="s">
        <v>85</v>
      </c>
      <c r="I49" s="146"/>
      <c r="J49" s="146"/>
      <c r="K49" s="215" t="n">
        <f aca="false">Admin!B303</f>
        <v>46784</v>
      </c>
      <c r="L49" s="149" t="s">
        <v>88</v>
      </c>
      <c r="M49" s="150" t="n">
        <v>46262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6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IF(Employee!H$35=E$49,Employee!D$34+SUM(M51)+Jul!V51,SUM(M51)+Jul!V51)</f>
        <v>28000</v>
      </c>
      <c r="W51" s="172" t="n">
        <f aca="false">IF(Employee!H$35=E$49,Employee!D$35+SUM(N51)+Jul!W51,SUM(N51)+Jul!W51)</f>
        <v>4240</v>
      </c>
      <c r="X51" s="172" t="n">
        <f aca="false">IF(O51=" ",Jul!X51,O51+Jul!X51)</f>
        <v>1600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22160</v>
      </c>
      <c r="AC51" s="172" t="n">
        <f aca="false">IF(T51=" ",Jul!AC51,T51+Jul!AC51)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9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IF(Employee!H$61=E$49,Employee!D$60+SUM(M52)+Jul!V52,SUM(M52)+Jul!V52)</f>
        <v>17600</v>
      </c>
      <c r="W52" s="172" t="n">
        <f aca="false">IF(Employee!H$61=E$49,Employee!D$61+SUM(N52)+Jul!W52,SUM(N52)+Jul!W52)</f>
        <v>2160</v>
      </c>
      <c r="X52" s="172" t="n">
        <f aca="false">IF(O52=" ",Jul!X52,O52+Jul!X52)</f>
        <v>768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14672</v>
      </c>
      <c r="AC52" s="172" t="n">
        <f aca="false">IF(T52=" ",Jul!AC52,T52+Jul!AC52)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9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IF(Employee!H$87=E$49,Employee!D$86+SUM(M53)+Jul!V53,SUM(M53)+Jul!V53)</f>
        <v>8384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8384</v>
      </c>
      <c r="AC53" s="172" t="n">
        <f aca="false">IF(T53=" ",Jul!AC53,T53+Jul!AC53)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9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IF(T$49="Y",Jul!H55,0)</f>
        <v>0</v>
      </c>
      <c r="I55" s="182" t="n">
        <f aca="false">IF(T$49="Y",Jul!I55,0)</f>
        <v>0</v>
      </c>
      <c r="J55" s="182" t="n">
        <f aca="false">IF(T$49="Y",Jul!J55,0)</f>
        <v>0</v>
      </c>
      <c r="K55" s="182" t="n">
        <f aca="false">IF(T$49="Y",Jul!K55,I55*J55)</f>
        <v>0</v>
      </c>
      <c r="L55" s="183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52</v>
      </c>
      <c r="J1" s="261"/>
      <c r="K1" s="261"/>
      <c r="L1" s="261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48</v>
      </c>
      <c r="F9" s="144"/>
      <c r="G9" s="144"/>
      <c r="H9" s="146" t="s">
        <v>85</v>
      </c>
      <c r="I9" s="146"/>
      <c r="J9" s="146"/>
      <c r="K9" s="215" t="n">
        <f aca="false">Aug!M39+1</f>
        <v>46260</v>
      </c>
      <c r="L9" s="149" t="s">
        <v>88</v>
      </c>
      <c r="M9" s="150" t="n">
        <f aca="false">K9+6</f>
        <v>46266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10500</v>
      </c>
      <c r="W11" s="172" t="n">
        <f aca="false">IF(Employee!H$34=E$9,Employee!D$35+SUM(N11)+Aug!W41,SUM(N11)+Aug!W41)</f>
        <v>1590</v>
      </c>
      <c r="X11" s="172" t="n">
        <f aca="false">IF(O11=" ",Aug!X41,O11+Aug!X41)</f>
        <v>600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8310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6600</v>
      </c>
      <c r="W12" s="172" t="n">
        <f aca="false">IF(Employee!H$60=E$9,Employee!D$61+SUM(N12)+Aug!W42,SUM(N12)+Aug!W42)</f>
        <v>810</v>
      </c>
      <c r="X12" s="172" t="n">
        <f aca="false">IF(O12=" ",Aug!X42,O12+Aug!X42)</f>
        <v>288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5502</v>
      </c>
      <c r="AC12" s="172" t="n">
        <f aca="false">IF(T12=" ",Aug!AC42,T12+Aug!AC42)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3144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3144</v>
      </c>
      <c r="AC13" s="172" t="n">
        <f aca="false">IF(T13=" ",Aug!AC43,T13+Aug!AC43)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49</v>
      </c>
      <c r="F19" s="144"/>
      <c r="G19" s="144"/>
      <c r="H19" s="146" t="s">
        <v>85</v>
      </c>
      <c r="I19" s="146"/>
      <c r="J19" s="146"/>
      <c r="K19" s="215" t="n">
        <f aca="false">M9+1</f>
        <v>46267</v>
      </c>
      <c r="L19" s="149" t="s">
        <v>88</v>
      </c>
      <c r="M19" s="150" t="n">
        <f aca="false">K19+6</f>
        <v>46273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50</v>
      </c>
      <c r="F29" s="144"/>
      <c r="G29" s="144"/>
      <c r="H29" s="146" t="s">
        <v>85</v>
      </c>
      <c r="I29" s="146"/>
      <c r="J29" s="146"/>
      <c r="K29" s="215" t="n">
        <f aca="false">M19+1</f>
        <v>46274</v>
      </c>
      <c r="L29" s="149" t="s">
        <v>88</v>
      </c>
      <c r="M29" s="150" t="n">
        <f aca="false">K29+6</f>
        <v>46280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51</v>
      </c>
      <c r="F39" s="144"/>
      <c r="G39" s="144"/>
      <c r="H39" s="146" t="s">
        <v>85</v>
      </c>
      <c r="I39" s="146"/>
      <c r="J39" s="146"/>
      <c r="K39" s="215" t="n">
        <f aca="false">M29+1</f>
        <v>46281</v>
      </c>
      <c r="L39" s="149" t="s">
        <v>88</v>
      </c>
      <c r="M39" s="150" t="n">
        <f aca="false">K39+6</f>
        <v>46287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52</v>
      </c>
      <c r="F49" s="144"/>
      <c r="G49" s="144"/>
      <c r="H49" s="146" t="s">
        <v>85</v>
      </c>
      <c r="I49" s="146"/>
      <c r="J49" s="146"/>
      <c r="K49" s="215" t="n">
        <f aca="false">M39+1</f>
        <v>46288</v>
      </c>
      <c r="L49" s="149" t="s">
        <v>88</v>
      </c>
      <c r="M49" s="150" t="n">
        <v>46295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14000</v>
      </c>
      <c r="W51" s="172" t="n">
        <f aca="false">IF(Employee!H$34=E$49,Employee!D$35+SUM(N51)+W41,SUM(N51)+W41)</f>
        <v>2120</v>
      </c>
      <c r="X51" s="172" t="n">
        <f aca="false">IF(O51=" ",X41,O51+X41)</f>
        <v>800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11080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8800</v>
      </c>
      <c r="W52" s="172" t="n">
        <f aca="false">IF(Employee!H$60=E$49,Employee!D$61+SUM(N52)+W42,SUM(N52)+W42)</f>
        <v>1080</v>
      </c>
      <c r="X52" s="172" t="n">
        <f aca="false">IF(O52=" ",X42,O52+X42)</f>
        <v>384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7336</v>
      </c>
      <c r="AC52" s="172" t="n">
        <f aca="false">IF(T52=" ",AC42,T52+AC42)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4192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4192</v>
      </c>
      <c r="AC53" s="172" t="n">
        <f aca="false">IF(T53=" ",AC43,T53+AC43)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84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86</v>
      </c>
      <c r="C59" s="146"/>
      <c r="D59" s="146"/>
      <c r="E59" s="147" t="n">
        <v>53</v>
      </c>
      <c r="F59" s="144"/>
      <c r="G59" s="144"/>
      <c r="H59" s="146" t="s">
        <v>85</v>
      </c>
      <c r="I59" s="146"/>
      <c r="J59" s="146"/>
      <c r="K59" s="215" t="n">
        <f aca="false">M49+1</f>
        <v>46296</v>
      </c>
      <c r="L59" s="149" t="s">
        <v>88</v>
      </c>
      <c r="M59" s="150" t="n">
        <f aca="false">K59+4</f>
        <v>46300</v>
      </c>
      <c r="N59" s="151"/>
      <c r="O59" s="198" t="s">
        <v>91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103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14000</v>
      </c>
      <c r="W61" s="172" t="n">
        <f aca="false">IF(Employee!H$34=E$59,Employee!D$35+SUM(N61)+W51,SUM(N61)+W51)</f>
        <v>2120</v>
      </c>
      <c r="X61" s="172" t="n">
        <f aca="false">IF(O61=" ",X51,O61+X51)</f>
        <v>800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11080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8800</v>
      </c>
      <c r="W62" s="172" t="n">
        <f aca="false">IF(Employee!H$60=E$59,Employee!D$61+SUM(N62)+W52,SUM(N62)+W52)</f>
        <v>1080</v>
      </c>
      <c r="X62" s="172" t="n">
        <f aca="false">IF(O62=" ",X52,O62+X52)</f>
        <v>384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7336</v>
      </c>
      <c r="AC62" s="172" t="n">
        <f aca="false">IF(T62=" ",AC52,T62+AC52)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4192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4192</v>
      </c>
      <c r="AC63" s="172" t="n">
        <f aca="false">IF(T63=" ",AC53,T63+AC53)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92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85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93</v>
      </c>
      <c r="C69" s="146"/>
      <c r="D69" s="146"/>
      <c r="E69" s="147" t="n">
        <v>12</v>
      </c>
      <c r="F69" s="144"/>
      <c r="G69" s="144"/>
      <c r="H69" s="146" t="s">
        <v>85</v>
      </c>
      <c r="I69" s="146"/>
      <c r="J69" s="146"/>
      <c r="K69" s="215" t="n">
        <f aca="false">Admin!B331</f>
        <v>46812</v>
      </c>
      <c r="L69" s="149" t="s">
        <v>88</v>
      </c>
      <c r="M69" s="150" t="n">
        <f aca="false">Admin!B361</f>
        <v>46842</v>
      </c>
      <c r="N69" s="151"/>
      <c r="O69" s="198" t="s">
        <v>102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89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IF(T$69="Y",Aug!H51,0)</f>
        <v>0</v>
      </c>
      <c r="I71" s="168" t="n">
        <f aca="false">IF(T$69="Y",Aug!I51,0)</f>
        <v>0</v>
      </c>
      <c r="J71" s="168" t="n">
        <f aca="false">IF(T$69="Y",Aug!J51,0)</f>
        <v>0</v>
      </c>
      <c r="K71" s="168" t="n">
        <f aca="false">IF(T$69="Y",Aug!K51,I71*J71)</f>
        <v>0</v>
      </c>
      <c r="L71" s="166" t="n">
        <f aca="false">IF(T$69="Y",Aug!L51,0)</f>
        <v>0</v>
      </c>
      <c r="M71" s="170" t="str">
        <f aca="false">IF(E71=" "," ",IF(T$69="Y",Aug!M51,IF((H71+K71+L71)&gt;0,H71+K71+L71,"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IF(Employee!H$35=E$69,Employee!D$34+SUM(M71)+Aug!V51,SUM(M71)+Aug!V51)</f>
        <v>28000</v>
      </c>
      <c r="W71" s="172" t="n">
        <f aca="false">IF(Employee!H$35=E$69,Employee!D$35+SUM(N71)+Aug!W51,SUM(N71)+Aug!W51)</f>
        <v>4240</v>
      </c>
      <c r="X71" s="172" t="n">
        <f aca="false">IF(O71=" ",Aug!X51,O71+Aug!X51)</f>
        <v>1600</v>
      </c>
      <c r="Y71" s="172" t="n">
        <f aca="false">IF(P71=" ",Aug!Y51,P71+Aug!Y51)</f>
        <v>0</v>
      </c>
      <c r="Z71" s="172" t="n">
        <f aca="false">IF(Q71=" ",Aug!Z51,Q71+Aug!Z51)</f>
        <v>0</v>
      </c>
      <c r="AA71" s="172" t="n">
        <f aca="false">IF(R71=" ",Aug!AA51,R71+Aug!AA51)</f>
        <v>22160</v>
      </c>
      <c r="AC71" s="172" t="n">
        <f aca="false">IF(T71=" ",Aug!AC51,T71+Aug!AC51)</f>
        <v>3060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89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IF(T$69="Y",Aug!H52,0)</f>
        <v>0</v>
      </c>
      <c r="I72" s="177" t="n">
        <f aca="false">IF(T$69="Y",Aug!I52,0)</f>
        <v>0</v>
      </c>
      <c r="J72" s="177" t="n">
        <f aca="false">IF(T$69="Y",Aug!J52,0)</f>
        <v>0</v>
      </c>
      <c r="K72" s="177" t="n">
        <f aca="false">IF(T$69="Y",Aug!K52,I72*J72)</f>
        <v>0</v>
      </c>
      <c r="L72" s="179" t="n">
        <f aca="false">IF(T$69="Y",Aug!L52,0)</f>
        <v>0</v>
      </c>
      <c r="M72" s="180" t="str">
        <f aca="false">IF(E72=" "," ",IF(T$69="Y",Aug!M52,IF((H72+K72+L72)&gt;0,H72+K72+L72,"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IF(Employee!H$61=E$69,Employee!D$60+SUM(M72)+Aug!V52,SUM(M72)+Aug!V52)</f>
        <v>17600</v>
      </c>
      <c r="W72" s="172" t="n">
        <f aca="false">IF(Employee!H$61=E$69,Employee!D$61+SUM(N72)+Aug!W52,SUM(N72)+Aug!W52)</f>
        <v>2160</v>
      </c>
      <c r="X72" s="172" t="n">
        <f aca="false">IF(O72=" ",Aug!X52,O72+Aug!X52)</f>
        <v>768</v>
      </c>
      <c r="Y72" s="172" t="n">
        <f aca="false">IF(P72=" ",Aug!Y52,P72+Aug!Y52)</f>
        <v>0</v>
      </c>
      <c r="Z72" s="172" t="n">
        <f aca="false">IF(Q72=" ",Aug!Z52,Q72+Aug!Z52)</f>
        <v>0</v>
      </c>
      <c r="AA72" s="172" t="n">
        <f aca="false">IF(R72=" ",Aug!AA52,R72+Aug!AA52)</f>
        <v>14672</v>
      </c>
      <c r="AC72" s="172" t="n">
        <f aca="false">IF(T72=" ",Aug!AC52,T72+Aug!AC52)</f>
        <v>1500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89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IF(T$69="Y",Aug!H53,0)</f>
        <v>0</v>
      </c>
      <c r="I73" s="177" t="n">
        <f aca="false">IF(T$69="Y",Aug!I53,0)</f>
        <v>0</v>
      </c>
      <c r="J73" s="177" t="n">
        <f aca="false">IF(T$69="Y",Aug!J53,0)</f>
        <v>0</v>
      </c>
      <c r="K73" s="177" t="n">
        <f aca="false">IF(T$69="Y",Aug!K53,I73*J73)</f>
        <v>0</v>
      </c>
      <c r="L73" s="179" t="n">
        <f aca="false">IF(T$69="Y",Aug!L53,0)</f>
        <v>0</v>
      </c>
      <c r="M73" s="180" t="str">
        <f aca="false">IF(E73=" "," ",IF(T$69="Y",Aug!M53,IF((H73+K73+L73)&gt;0,H73+K73+L73,"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IF(Employee!H$87=E$69,Employee!D$86+SUM(M73)+Aug!V53,SUM(M73)+Aug!V53)</f>
        <v>8384</v>
      </c>
      <c r="W73" s="172" t="n">
        <f aca="false">IF(Employee!H$87=E$69,Employee!D$87+SUM(N73)+Aug!W53,SUM(N73)+Aug!W53)</f>
        <v>0</v>
      </c>
      <c r="X73" s="172" t="n">
        <f aca="false">IF(O73=" ",Aug!X53,O73+Aug!X53)</f>
        <v>0</v>
      </c>
      <c r="Y73" s="172" t="n">
        <f aca="false">IF(P73=" ",Aug!Y53,P73+Aug!Y53)</f>
        <v>0</v>
      </c>
      <c r="Z73" s="172" t="n">
        <f aca="false">IF(Q73=" ",Aug!Z53,Q73+Aug!Z53)</f>
        <v>0</v>
      </c>
      <c r="AA73" s="172" t="n">
        <f aca="false">IF(R73=" ",Aug!AA53,R73+Aug!AA53)</f>
        <v>8384</v>
      </c>
      <c r="AC73" s="172" t="n">
        <f aca="false">IF(T73=" ",Aug!AC53,T73+Aug!AC53)</f>
        <v>57.6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89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IF(T$69="Y",Aug!H54,0)</f>
        <v>0</v>
      </c>
      <c r="I74" s="177" t="n">
        <f aca="false">IF(T$69="Y",Aug!I54,0)</f>
        <v>0</v>
      </c>
      <c r="J74" s="177" t="n">
        <f aca="false">IF(T$69="Y",Aug!J54,0)</f>
        <v>0</v>
      </c>
      <c r="K74" s="177" t="n">
        <f aca="false">IF(T$69="Y",Aug!K54,I74*J74)</f>
        <v>0</v>
      </c>
      <c r="L74" s="179" t="n">
        <f aca="false">IF(T$69="Y",Aug!L54,0)</f>
        <v>0</v>
      </c>
      <c r="M74" s="180" t="str">
        <f aca="false">IF(E74=" "," ",IF(T$69="Y",Aug!M54,IF((H74+K74+L74)&gt;0,H74+K74+L74,"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IF(Employee!H$113=E$69,Employee!D$112+SUM(M74)+Aug!V54,SUM(M74)+Aug!V54)</f>
        <v>0</v>
      </c>
      <c r="W74" s="172" t="n">
        <f aca="false">IF(Employee!H$113=E$69,Employee!D$113+SUM(N74)+Aug!W54,SUM(N74)+Aug!W54)</f>
        <v>0</v>
      </c>
      <c r="X74" s="172" t="n">
        <f aca="false">IF(O74=" ",Aug!X54,O74+Aug!X54)</f>
        <v>0</v>
      </c>
      <c r="Y74" s="172" t="n">
        <f aca="false">IF(P74=" ",Aug!Y54,P74+Aug!Y54)</f>
        <v>0</v>
      </c>
      <c r="Z74" s="172" t="n">
        <f aca="false">IF(Q74=" ",Aug!Z54,Q74+Aug!Z54)</f>
        <v>0</v>
      </c>
      <c r="AA74" s="172" t="n">
        <f aca="false">IF(R74=" ",Aug!AA54,R74+Aug!AA54)</f>
        <v>0</v>
      </c>
      <c r="AC74" s="172" t="n">
        <f aca="false">IF(T74=" ",Aug!AC54,T74+Aug!AC54)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89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IF(T$69="Y",Aug!H55,0)</f>
        <v>0</v>
      </c>
      <c r="I75" s="182" t="n">
        <f aca="false">IF(T$69="Y",Aug!I55,0)</f>
        <v>0</v>
      </c>
      <c r="J75" s="182" t="n">
        <f aca="false">IF(T$69="Y",Aug!J55,0)</f>
        <v>0</v>
      </c>
      <c r="K75" s="182" t="n">
        <f aca="false">IF(T$69="Y",Aug!K55,I75*J75)</f>
        <v>0</v>
      </c>
      <c r="L75" s="183" t="n">
        <f aca="false">IF(T$69="Y",Aug!L55,0)</f>
        <v>0</v>
      </c>
      <c r="M75" s="180" t="str">
        <f aca="false">IF(E75=" "," ",IF(T$69="Y",Aug!M55,IF((H75+K75+L75)&gt;0,H75+K75+L75,"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IF(Employee!H$139=E$69,Employee!D$138+SUM(M75)+Aug!V55,SUM(M75)+Aug!V55)</f>
        <v>0</v>
      </c>
      <c r="W75" s="172" t="n">
        <f aca="false">IF(Employee!H$139=E$69,Employee!D$139+SUM(N75)+Aug!W55,SUM(N75)+Aug!W55)</f>
        <v>0</v>
      </c>
      <c r="X75" s="172" t="n">
        <f aca="false">IF(O75=" ",Aug!X55,O75+Aug!X55)</f>
        <v>0</v>
      </c>
      <c r="Y75" s="172" t="n">
        <f aca="false">IF(P75=" ",Aug!Y55,P75+Aug!Y55)</f>
        <v>0</v>
      </c>
      <c r="Z75" s="172" t="n">
        <f aca="false">IF(Q75=" ",Aug!Z55,Q75+Aug!Z55)</f>
        <v>0</v>
      </c>
      <c r="AA75" s="172" t="n">
        <f aca="false">IF(R75=" ",Aug!AA55,R75+Aug!AA55)</f>
        <v>0</v>
      </c>
      <c r="AC75" s="172" t="n">
        <f aca="false">IF(T75=" ",Aug!AC55,T75+Aug!AC55)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90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99</v>
      </c>
      <c r="G79" s="219"/>
      <c r="H79" s="219"/>
      <c r="M79" s="220" t="s">
        <v>100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101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AD80+Aug!AD65</f>
        <v>0</v>
      </c>
      <c r="AE85" s="240" t="n">
        <f aca="false">AE80+Aug!AE65</f>
        <v>0</v>
      </c>
      <c r="AF85" s="240" t="n">
        <f aca="false">AF80+Aug!AF65</f>
        <v>0</v>
      </c>
      <c r="AG85" s="240" t="n">
        <f aca="false">AG80+Aug!AG65</f>
        <v>0</v>
      </c>
    </row>
    <row r="87" customFormat="false" ht="12.75" hidden="false" customHeight="false" outlineLevel="0" collapsed="false">
      <c r="AD87" s="233"/>
      <c r="AE87" s="240" t="n">
        <f aca="false">AE82+Aug!AE67</f>
        <v>0</v>
      </c>
      <c r="AF87" s="240" t="n">
        <f aca="false">AF82+Aug!AF67</f>
        <v>0</v>
      </c>
      <c r="AG87" s="240" t="n">
        <f aca="false">AG82+Aug!AG67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104</v>
      </c>
      <c r="C3" s="271"/>
      <c r="D3" s="271"/>
      <c r="E3" s="271"/>
      <c r="F3" s="272" t="s">
        <v>105</v>
      </c>
      <c r="G3" s="273" t="s">
        <v>106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107</v>
      </c>
      <c r="C4" s="271"/>
      <c r="D4" s="271"/>
      <c r="E4" s="271"/>
      <c r="F4" s="272" t="n">
        <v>1</v>
      </c>
      <c r="G4" s="273" t="s">
        <v>108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#VALUE!</v>
      </c>
      <c r="C7" s="282"/>
      <c r="D7" s="282"/>
      <c r="E7" s="282"/>
      <c r="F7" s="282"/>
      <c r="G7" s="283" t="e">
        <f aca="false">IF(G14=" "," ",Employee!$D$15)</f>
        <v>#VALUE!</v>
      </c>
      <c r="H7" s="283"/>
      <c r="I7" s="284" t="e">
        <f aca="false">IF(G14=" "," ",Employee!$D$16)</f>
        <v>#VALUE!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#VALUE!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#VALUE!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#VALUE!</v>
      </c>
      <c r="C9" s="288"/>
      <c r="D9" s="288"/>
      <c r="E9" s="294" t="e">
        <f aca="false">IF(M14=" "," ",Employee!$D$9)</f>
        <v>#VALUE!</v>
      </c>
      <c r="F9" s="271"/>
      <c r="G9" s="295"/>
      <c r="H9" s="296" t="s">
        <v>109</v>
      </c>
      <c r="I9" s="297" t="e">
        <f aca="true">INDIRECT($H$3&amp;"!M"&amp;$H$4+1)</f>
        <v>#REF!</v>
      </c>
      <c r="J9" s="298" t="s">
        <v>58</v>
      </c>
      <c r="K9" s="298"/>
      <c r="L9" s="296" t="s">
        <v>110</v>
      </c>
      <c r="M9" s="292" t="e">
        <f aca="false">IF(M8=" "," ",Employee!$M$15)</f>
        <v>#VALUE!</v>
      </c>
      <c r="N9" s="293"/>
    </row>
    <row r="10" customFormat="false" ht="21" hidden="false" customHeight="true" outlineLevel="0" collapsed="false">
      <c r="A10" s="287"/>
      <c r="B10" s="296" t="s">
        <v>111</v>
      </c>
      <c r="C10" s="299" t="str">
        <f aca="false">Employee!$D$29</f>
        <v>EMP001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#VALUE!</v>
      </c>
      <c r="K10" s="304"/>
      <c r="L10" s="296" t="s">
        <v>112</v>
      </c>
      <c r="M10" s="292" t="e">
        <f aca="true">IF(M8=" "," ",INDIRECT($H$3&amp;"!C"&amp;$H$4+2+C10))</f>
        <v>#VALUE!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113</v>
      </c>
      <c r="C12" s="306"/>
      <c r="D12" s="306"/>
      <c r="E12" s="306"/>
      <c r="F12" s="306"/>
      <c r="G12" s="307" t="s">
        <v>114</v>
      </c>
      <c r="H12" s="308" t="s">
        <v>115</v>
      </c>
      <c r="I12" s="308"/>
      <c r="J12" s="308"/>
      <c r="K12" s="308"/>
      <c r="L12" s="308"/>
      <c r="M12" s="309" t="s">
        <v>116</v>
      </c>
      <c r="N12" s="293"/>
    </row>
    <row r="13" s="313" customFormat="true" ht="21" hidden="false" customHeight="true" outlineLevel="0" collapsed="false">
      <c r="A13" s="287"/>
      <c r="B13" s="310" t="s">
        <v>117</v>
      </c>
      <c r="C13" s="310" t="s">
        <v>118</v>
      </c>
      <c r="D13" s="310" t="s">
        <v>119</v>
      </c>
      <c r="E13" s="310" t="s">
        <v>120</v>
      </c>
      <c r="F13" s="311" t="s">
        <v>121</v>
      </c>
      <c r="G13" s="307"/>
      <c r="H13" s="312" t="s">
        <v>122</v>
      </c>
      <c r="I13" s="310" t="s">
        <v>123</v>
      </c>
      <c r="J13" s="310" t="s">
        <v>124</v>
      </c>
      <c r="K13" s="310"/>
      <c r="L13" s="311" t="s">
        <v>71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#VALUE!</v>
      </c>
      <c r="C14" s="315" t="e">
        <f aca="true">IF(M8=" "," ",INDIRECT($H$3&amp;"!I"&amp;$H$4+2+C10))</f>
        <v>#VALUE!</v>
      </c>
      <c r="D14" s="315" t="e">
        <f aca="true">IF(M8=" "," ",INDIRECT($H$3&amp;"!J"&amp;$H$4+2+C10))</f>
        <v>#VALUE!</v>
      </c>
      <c r="E14" s="315" t="e">
        <f aca="true">IF(M8=" "," ",INDIRECT($H$3&amp;"!K"&amp;$H$4+2+C10))</f>
        <v>#VALUE!</v>
      </c>
      <c r="F14" s="316" t="e">
        <f aca="true">IF(M8=" "," ",INDIRECT($H$3&amp;"!L"&amp;$H$4+2+C10))</f>
        <v>#VALUE!</v>
      </c>
      <c r="G14" s="317" t="e">
        <f aca="true">IF(M8=" "," ",INDIRECT($H$3&amp;"!M"&amp;$H$4+2+C10))</f>
        <v>#VALUE!</v>
      </c>
      <c r="H14" s="318" t="e">
        <f aca="true">IF(M8=" "," ",INDIRECT($H$3&amp;"!N"&amp;$H$4+2+C10))</f>
        <v>#VALUE!</v>
      </c>
      <c r="I14" s="315" t="e">
        <f aca="true">IF(M8=" "," ",INDIRECT($H$3&amp;"!O"&amp;$H$4+2+C10))</f>
        <v>#VALUE!</v>
      </c>
      <c r="J14" s="315" t="e">
        <f aca="true">IF(M8=" "," ",INDIRECT($H$3&amp;"!P"&amp;$H$4+2+C10))</f>
        <v>#VALUE!</v>
      </c>
      <c r="K14" s="315"/>
      <c r="L14" s="316" t="e">
        <f aca="true">IF(M8=" "," ",INDIRECT($H$3&amp;"!Q"&amp;$H$4+2+C10))</f>
        <v>#VALUE!</v>
      </c>
      <c r="M14" s="319" t="e">
        <f aca="true">IF(M8=" "," ",INDIRECT($H$3&amp;"!R"&amp;$H$4+2+C10))</f>
        <v>#VALUE!</v>
      </c>
      <c r="N14" s="320"/>
    </row>
    <row r="15" s="324" customFormat="true" ht="21" hidden="false" customHeight="true" outlineLevel="0" collapsed="false">
      <c r="A15" s="287"/>
      <c r="B15" s="322" t="s">
        <v>125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126</v>
      </c>
      <c r="F16" s="326"/>
      <c r="G16" s="315" t="e">
        <f aca="true">IF(M8=" "," ",INDIRECT($H$3&amp;"!V"&amp;$H$4+2+C10))</f>
        <v>#VALUE!</v>
      </c>
      <c r="H16" s="315" t="e">
        <f aca="true">IF(M8=" "," ",INDIRECT($H$3&amp;"!W"&amp;$H$4+2+C10))</f>
        <v>#VALUE!</v>
      </c>
      <c r="I16" s="315" t="e">
        <f aca="true">IF(M8=" "," ",INDIRECT($H$3&amp;"!X"&amp;$H$4+2+C10))</f>
        <v>#VALUE!</v>
      </c>
      <c r="J16" s="315" t="e">
        <f aca="true">IF(M8=" "," ",INDIRECT($H$3&amp;"!Y"&amp;$H$4+2+C10))</f>
        <v>#VALUE!</v>
      </c>
      <c r="K16" s="315"/>
      <c r="L16" s="315" t="e">
        <f aca="true">IF(M8=" "," ",INDIRECT($H$3&amp;"!Z"&amp;$H$4+2+C10))</f>
        <v>#VALUE!</v>
      </c>
      <c r="M16" s="315" t="e">
        <f aca="true">IF(M8=" "," ",INDIRECT($H$3&amp;"!AA"&amp;$H$4+2+C10))</f>
        <v>#VALUE!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127</v>
      </c>
      <c r="K18" s="327"/>
      <c r="L18" s="327"/>
      <c r="M18" s="328" t="e">
        <f aca="true">IF(M8=" "," ",INDIRECT($H$3&amp;"!R"&amp;$H$4))</f>
        <v>#VALUE!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#VALUE!</v>
      </c>
      <c r="C21" s="282"/>
      <c r="D21" s="282"/>
      <c r="E21" s="282"/>
      <c r="F21" s="282"/>
      <c r="G21" s="283" t="e">
        <f aca="false">IF(G28=" "," ",Employee!$D$41)</f>
        <v>#VALUE!</v>
      </c>
      <c r="H21" s="283"/>
      <c r="I21" s="284" t="e">
        <f aca="false">IF(G28=" "," ",Employee!$D$42)</f>
        <v>#VALUE!</v>
      </c>
      <c r="J21" s="284"/>
      <c r="K21" s="284"/>
      <c r="L21" s="285" t="s">
        <v>84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#VALUE!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#VALUE!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#VALUE!</v>
      </c>
      <c r="C23" s="288"/>
      <c r="D23" s="288"/>
      <c r="E23" s="294" t="e">
        <f aca="false">IF(M28=" "," ",Employee!$D$9)</f>
        <v>#VALUE!</v>
      </c>
      <c r="F23" s="271"/>
      <c r="G23" s="295"/>
      <c r="H23" s="296" t="s">
        <v>109</v>
      </c>
      <c r="I23" s="297" t="e">
        <f aca="false">I9</f>
        <v>#REF!</v>
      </c>
      <c r="J23" s="298" t="s">
        <v>58</v>
      </c>
      <c r="K23" s="298"/>
      <c r="L23" s="296" t="s">
        <v>110</v>
      </c>
      <c r="M23" s="292" t="e">
        <f aca="false">IF(M22=" "," ",Employee!$M$41)</f>
        <v>#VALUE!</v>
      </c>
      <c r="N23" s="293"/>
    </row>
    <row r="24" customFormat="false" ht="21" hidden="false" customHeight="true" outlineLevel="0" collapsed="false">
      <c r="A24" s="287"/>
      <c r="B24" s="296" t="s">
        <v>111</v>
      </c>
      <c r="C24" s="299" t="str">
        <f aca="false">Employee!$D$55</f>
        <v>EMP002</v>
      </c>
      <c r="D24" s="334"/>
      <c r="E24" s="335"/>
      <c r="F24" s="305"/>
      <c r="G24" s="305"/>
      <c r="H24" s="302" t="s">
        <v>128</v>
      </c>
      <c r="I24" s="303" t="e">
        <f aca="false">I10</f>
        <v>#REF!</v>
      </c>
      <c r="J24" s="304" t="e">
        <f aca="true">IF(M22=" "," ",INDIRECT($H$3&amp;"!D"&amp;$H$4+2+C24))</f>
        <v>#VALUE!</v>
      </c>
      <c r="K24" s="304"/>
      <c r="L24" s="296" t="s">
        <v>112</v>
      </c>
      <c r="M24" s="292" t="e">
        <f aca="true">IF(M22=" "," ",INDIRECT($H$3&amp;"!C"&amp;$H$4+2+C24))</f>
        <v>#VALUE!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113</v>
      </c>
      <c r="C26" s="306"/>
      <c r="D26" s="306"/>
      <c r="E26" s="306"/>
      <c r="F26" s="306"/>
      <c r="G26" s="307" t="s">
        <v>114</v>
      </c>
      <c r="H26" s="306" t="s">
        <v>115</v>
      </c>
      <c r="I26" s="306"/>
      <c r="J26" s="306"/>
      <c r="K26" s="306"/>
      <c r="L26" s="306"/>
      <c r="M26" s="336" t="s">
        <v>116</v>
      </c>
      <c r="N26" s="293"/>
    </row>
    <row r="27" s="313" customFormat="true" ht="21" hidden="false" customHeight="true" outlineLevel="0" collapsed="false">
      <c r="A27" s="287"/>
      <c r="B27" s="310" t="s">
        <v>117</v>
      </c>
      <c r="C27" s="310" t="s">
        <v>118</v>
      </c>
      <c r="D27" s="310" t="s">
        <v>119</v>
      </c>
      <c r="E27" s="310" t="s">
        <v>120</v>
      </c>
      <c r="F27" s="311" t="s">
        <v>121</v>
      </c>
      <c r="G27" s="307"/>
      <c r="H27" s="310" t="s">
        <v>122</v>
      </c>
      <c r="I27" s="310" t="s">
        <v>123</v>
      </c>
      <c r="J27" s="310" t="s">
        <v>124</v>
      </c>
      <c r="K27" s="310"/>
      <c r="L27" s="311" t="s">
        <v>71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#VALUE!</v>
      </c>
      <c r="C28" s="315" t="e">
        <f aca="true">IF(M22=" "," ",INDIRECT($H$3&amp;"!I"&amp;$H$4+2+C24))</f>
        <v>#VALUE!</v>
      </c>
      <c r="D28" s="315" t="e">
        <f aca="true">IF(M22=" "," ",INDIRECT($H$3&amp;"!J"&amp;$H$4+2+C24))</f>
        <v>#VALUE!</v>
      </c>
      <c r="E28" s="315" t="e">
        <f aca="true">IF(M22=" "," ",INDIRECT($H$3&amp;"!K"&amp;$H$4+2+C24))</f>
        <v>#VALUE!</v>
      </c>
      <c r="F28" s="316" t="e">
        <f aca="true">IF(M22=" "," ",INDIRECT($H$3&amp;"!L"&amp;$H$4+2+C24))</f>
        <v>#VALUE!</v>
      </c>
      <c r="G28" s="317" t="e">
        <f aca="true">IF(M22=" "," ",INDIRECT($H$3&amp;"!M"&amp;$H$4+2+C24))</f>
        <v>#VALUE!</v>
      </c>
      <c r="H28" s="318" t="e">
        <f aca="true">IF(M22=" "," ",INDIRECT($H$3&amp;"!N"&amp;$H$4+2+C24))</f>
        <v>#VALUE!</v>
      </c>
      <c r="I28" s="315" t="e">
        <f aca="true">IF(M22=" "," ",INDIRECT($H$3&amp;"!O"&amp;$H$4+2+C24))</f>
        <v>#VALUE!</v>
      </c>
      <c r="J28" s="315" t="e">
        <f aca="true">IF(M22=" "," ",INDIRECT($H$3&amp;"!P"&amp;$H$4+2+C24))</f>
        <v>#VALUE!</v>
      </c>
      <c r="K28" s="315"/>
      <c r="L28" s="316" t="e">
        <f aca="true">IF(M22=" "," ",INDIRECT($H$3&amp;"!Q"&amp;$H$4+2+C24))</f>
        <v>#VALUE!</v>
      </c>
      <c r="M28" s="319" t="e">
        <f aca="true">IF(M22=" "," ",INDIRECT($H$3&amp;"!R"&amp;$H$4+2+C24))</f>
        <v>#VALUE!</v>
      </c>
      <c r="N28" s="293"/>
    </row>
    <row r="29" s="324" customFormat="true" ht="21" hidden="false" customHeight="true" outlineLevel="0" collapsed="false">
      <c r="A29" s="287"/>
      <c r="B29" s="322" t="s">
        <v>125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126</v>
      </c>
      <c r="F30" s="326"/>
      <c r="G30" s="315" t="e">
        <f aca="true">IF(M22=" "," ",INDIRECT($H$3&amp;"!V"&amp;$H$4+2+C24))</f>
        <v>#VALUE!</v>
      </c>
      <c r="H30" s="315" t="e">
        <f aca="true">IF(M22=" "," ",INDIRECT($H$3&amp;"!W"&amp;$H$4+2+C24))</f>
        <v>#VALUE!</v>
      </c>
      <c r="I30" s="315" t="e">
        <f aca="true">IF(M22=" "," ",INDIRECT($H$3&amp;"!X"&amp;$H$4+2+C24))</f>
        <v>#VALUE!</v>
      </c>
      <c r="J30" s="315" t="e">
        <f aca="true">IF(M22=" "," ",INDIRECT($H$3&amp;"!Y"&amp;$H$4+2+C24))</f>
        <v>#VALUE!</v>
      </c>
      <c r="K30" s="315"/>
      <c r="L30" s="315" t="e">
        <f aca="true">IF(M22=" "," ",INDIRECT($H$3&amp;"!Z"&amp;$H$4+2+C24))</f>
        <v>#VALUE!</v>
      </c>
      <c r="M30" s="315" t="e">
        <f aca="true">IF(M22=" "," ",INDIRECT($H$3&amp;"!AA"&amp;$H$4+2+C24))</f>
        <v>#VALUE!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127</v>
      </c>
      <c r="K32" s="327"/>
      <c r="L32" s="327"/>
      <c r="M32" s="328" t="e">
        <f aca="false">M18</f>
        <v>#VALUE!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#VALUE!</v>
      </c>
      <c r="C36" s="282"/>
      <c r="D36" s="282"/>
      <c r="E36" s="282"/>
      <c r="F36" s="282"/>
      <c r="G36" s="283" t="e">
        <f aca="false">IF(G43=" "," ",Employee!$D$67)</f>
        <v>#VALUE!</v>
      </c>
      <c r="H36" s="283"/>
      <c r="I36" s="284" t="e">
        <f aca="false">IF(G43=" "," ",Employee!$D$68)</f>
        <v>#VALUE!</v>
      </c>
      <c r="J36" s="284"/>
      <c r="K36" s="284"/>
      <c r="L36" s="285" t="s">
        <v>84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#VALUE!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#VALUE!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#VALUE!</v>
      </c>
      <c r="C38" s="288"/>
      <c r="D38" s="288"/>
      <c r="E38" s="294" t="e">
        <f aca="false">IF(M43=" "," ",Employee!$D$9)</f>
        <v>#VALUE!</v>
      </c>
      <c r="F38" s="271"/>
      <c r="G38" s="295"/>
      <c r="H38" s="296" t="s">
        <v>109</v>
      </c>
      <c r="I38" s="297" t="e">
        <f aca="false">I23</f>
        <v>#REF!</v>
      </c>
      <c r="J38" s="298" t="s">
        <v>58</v>
      </c>
      <c r="K38" s="298"/>
      <c r="L38" s="296" t="s">
        <v>110</v>
      </c>
      <c r="M38" s="292" t="e">
        <f aca="false">IF(M37=" "," ",Employee!$M$67)</f>
        <v>#VALUE!</v>
      </c>
      <c r="N38" s="293"/>
    </row>
    <row r="39" customFormat="false" ht="21" hidden="false" customHeight="true" outlineLevel="0" collapsed="false">
      <c r="A39" s="287"/>
      <c r="B39" s="296" t="s">
        <v>111</v>
      </c>
      <c r="C39" s="299" t="str">
        <f aca="false">Employee!$D$81</f>
        <v>EMP003</v>
      </c>
      <c r="D39" s="334"/>
      <c r="E39" s="335"/>
      <c r="F39" s="305"/>
      <c r="G39" s="305"/>
      <c r="H39" s="302" t="s">
        <v>128</v>
      </c>
      <c r="I39" s="303" t="e">
        <f aca="false">I24</f>
        <v>#REF!</v>
      </c>
      <c r="J39" s="304" t="e">
        <f aca="true">IF(M37=" "," ",INDIRECT($H$3&amp;"!D"&amp;$H$4+2+C39))</f>
        <v>#VALUE!</v>
      </c>
      <c r="K39" s="304"/>
      <c r="L39" s="296" t="s">
        <v>112</v>
      </c>
      <c r="M39" s="292" t="e">
        <f aca="true">IF(M37=" "," ",INDIRECT($H$3&amp;"!C"&amp;$H$4+2+C39))</f>
        <v>#VALUE!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113</v>
      </c>
      <c r="C41" s="306"/>
      <c r="D41" s="306"/>
      <c r="E41" s="306"/>
      <c r="F41" s="306"/>
      <c r="G41" s="307" t="s">
        <v>114</v>
      </c>
      <c r="H41" s="306" t="s">
        <v>115</v>
      </c>
      <c r="I41" s="306"/>
      <c r="J41" s="306"/>
      <c r="K41" s="306"/>
      <c r="L41" s="306"/>
      <c r="M41" s="336" t="s">
        <v>116</v>
      </c>
      <c r="N41" s="293"/>
    </row>
    <row r="42" s="313" customFormat="true" ht="21" hidden="false" customHeight="true" outlineLevel="0" collapsed="false">
      <c r="A42" s="287"/>
      <c r="B42" s="310" t="s">
        <v>117</v>
      </c>
      <c r="C42" s="310" t="s">
        <v>118</v>
      </c>
      <c r="D42" s="310" t="s">
        <v>119</v>
      </c>
      <c r="E42" s="310" t="s">
        <v>120</v>
      </c>
      <c r="F42" s="311" t="s">
        <v>121</v>
      </c>
      <c r="G42" s="307"/>
      <c r="H42" s="310" t="s">
        <v>122</v>
      </c>
      <c r="I42" s="310" t="s">
        <v>123</v>
      </c>
      <c r="J42" s="310" t="s">
        <v>124</v>
      </c>
      <c r="K42" s="310"/>
      <c r="L42" s="311" t="s">
        <v>71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#VALUE!</v>
      </c>
      <c r="C43" s="315" t="e">
        <f aca="true">IF(M37=" "," ",INDIRECT($H$3&amp;"!I"&amp;$H$4+2+C39))</f>
        <v>#VALUE!</v>
      </c>
      <c r="D43" s="315" t="e">
        <f aca="true">IF(M37=" "," ",INDIRECT($H$3&amp;"!J"&amp;$H$4+2+C39))</f>
        <v>#VALUE!</v>
      </c>
      <c r="E43" s="315" t="e">
        <f aca="true">IF(M37=" "," ",INDIRECT($H$3&amp;"!K"&amp;$H$4+2+C39))</f>
        <v>#VALUE!</v>
      </c>
      <c r="F43" s="316" t="e">
        <f aca="true">IF(M37=" "," ",INDIRECT($H$3&amp;"!L"&amp;$H$4+2+C39))</f>
        <v>#VALUE!</v>
      </c>
      <c r="G43" s="317" t="e">
        <f aca="true">IF(M37=" "," ",INDIRECT($H$3&amp;"!M"&amp;$H$4+2+C39))</f>
        <v>#VALUE!</v>
      </c>
      <c r="H43" s="318" t="e">
        <f aca="true">IF(M37=" "," ",INDIRECT($H$3&amp;"!N"&amp;$H$4+2+C39))</f>
        <v>#VALUE!</v>
      </c>
      <c r="I43" s="315" t="e">
        <f aca="true">IF(M37=" "," ",INDIRECT($H$3&amp;"!O"&amp;$H$4+2+C39))</f>
        <v>#VALUE!</v>
      </c>
      <c r="J43" s="315" t="e">
        <f aca="true">IF(M37=" "," ",INDIRECT($H$3&amp;"!P"&amp;$H$4+2+C39))</f>
        <v>#VALUE!</v>
      </c>
      <c r="K43" s="315"/>
      <c r="L43" s="316" t="e">
        <f aca="true">IF(M37=" "," ",INDIRECT($H$3&amp;"!Q"&amp;$H$4+2+C39))</f>
        <v>#VALUE!</v>
      </c>
      <c r="M43" s="319" t="e">
        <f aca="true">IF(M37=" "," ",INDIRECT($H$3&amp;"!R"&amp;$H$4+2+C39))</f>
        <v>#VALUE!</v>
      </c>
      <c r="N43" s="293"/>
    </row>
    <row r="44" s="324" customFormat="true" ht="21" hidden="false" customHeight="true" outlineLevel="0" collapsed="false">
      <c r="A44" s="287"/>
      <c r="B44" s="322" t="s">
        <v>125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126</v>
      </c>
      <c r="F45" s="326"/>
      <c r="G45" s="315" t="e">
        <f aca="true">IF(M37=" "," ",INDIRECT($H$3&amp;"!V"&amp;$H$4+2+C39))</f>
        <v>#VALUE!</v>
      </c>
      <c r="H45" s="315" t="e">
        <f aca="true">IF(M37=" "," ",INDIRECT($H$3&amp;"!W"&amp;$H$4+2+C39))</f>
        <v>#VALUE!</v>
      </c>
      <c r="I45" s="315" t="e">
        <f aca="true">IF(M37=" "," ",INDIRECT($H$3&amp;"!X"&amp;$H$4+2+C39))</f>
        <v>#VALUE!</v>
      </c>
      <c r="J45" s="315" t="e">
        <f aca="true">IF(M37=" "," ",INDIRECT($H$3&amp;"!Y"&amp;$H$4+2+C39))</f>
        <v>#VALUE!</v>
      </c>
      <c r="K45" s="315"/>
      <c r="L45" s="315" t="e">
        <f aca="true">IF(M37=" "," ",INDIRECT($H$3&amp;"!Z"&amp;$H$4+2+C39))</f>
        <v>#VALUE!</v>
      </c>
      <c r="M45" s="315" t="e">
        <f aca="true">IF(M37=" "," ",INDIRECT($H$3&amp;"!AA"&amp;$H$4+2+C39))</f>
        <v>#VALUE!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127</v>
      </c>
      <c r="K47" s="327"/>
      <c r="L47" s="327"/>
      <c r="M47" s="328" t="e">
        <f aca="false">M32</f>
        <v>#VALUE!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84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109</v>
      </c>
      <c r="I52" s="297" t="e">
        <f aca="false">I38</f>
        <v>#REF!</v>
      </c>
      <c r="J52" s="298" t="s">
        <v>58</v>
      </c>
      <c r="K52" s="298"/>
      <c r="L52" s="296" t="s">
        <v>110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111</v>
      </c>
      <c r="C53" s="299" t="n">
        <f aca="false">Employee!$D$107</f>
        <v>4</v>
      </c>
      <c r="D53" s="334"/>
      <c r="E53" s="335"/>
      <c r="F53" s="305"/>
      <c r="G53" s="305"/>
      <c r="H53" s="302" t="s">
        <v>128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112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113</v>
      </c>
      <c r="C55" s="306"/>
      <c r="D55" s="306"/>
      <c r="E55" s="306"/>
      <c r="F55" s="306"/>
      <c r="G55" s="307" t="s">
        <v>114</v>
      </c>
      <c r="H55" s="306" t="s">
        <v>115</v>
      </c>
      <c r="I55" s="306"/>
      <c r="J55" s="306"/>
      <c r="K55" s="306"/>
      <c r="L55" s="306"/>
      <c r="M55" s="336" t="s">
        <v>116</v>
      </c>
      <c r="N55" s="293"/>
    </row>
    <row r="56" s="313" customFormat="true" ht="21" hidden="false" customHeight="true" outlineLevel="0" collapsed="false">
      <c r="A56" s="287"/>
      <c r="B56" s="310" t="s">
        <v>117</v>
      </c>
      <c r="C56" s="310" t="s">
        <v>118</v>
      </c>
      <c r="D56" s="310" t="s">
        <v>119</v>
      </c>
      <c r="E56" s="310" t="s">
        <v>120</v>
      </c>
      <c r="F56" s="311" t="s">
        <v>121</v>
      </c>
      <c r="G56" s="307"/>
      <c r="H56" s="310" t="s">
        <v>122</v>
      </c>
      <c r="I56" s="310" t="s">
        <v>123</v>
      </c>
      <c r="J56" s="310" t="s">
        <v>124</v>
      </c>
      <c r="K56" s="310"/>
      <c r="L56" s="311" t="s">
        <v>71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125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126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127</v>
      </c>
      <c r="K61" s="327"/>
      <c r="L61" s="327"/>
      <c r="M61" s="328" t="e">
        <f aca="false">M47</f>
        <v>#VALUE!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84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109</v>
      </c>
      <c r="I67" s="297" t="e">
        <f aca="false">I52</f>
        <v>#REF!</v>
      </c>
      <c r="J67" s="298" t="s">
        <v>58</v>
      </c>
      <c r="K67" s="298"/>
      <c r="L67" s="296" t="s">
        <v>110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111</v>
      </c>
      <c r="C68" s="299" t="n">
        <f aca="false">Employee!$D$133</f>
        <v>5</v>
      </c>
      <c r="D68" s="334"/>
      <c r="E68" s="335"/>
      <c r="F68" s="305"/>
      <c r="G68" s="305"/>
      <c r="H68" s="302" t="s">
        <v>128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112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113</v>
      </c>
      <c r="C70" s="306"/>
      <c r="D70" s="306"/>
      <c r="E70" s="306"/>
      <c r="F70" s="306"/>
      <c r="G70" s="307" t="s">
        <v>114</v>
      </c>
      <c r="H70" s="306" t="s">
        <v>115</v>
      </c>
      <c r="I70" s="306"/>
      <c r="J70" s="306"/>
      <c r="K70" s="306"/>
      <c r="L70" s="306"/>
      <c r="M70" s="336" t="s">
        <v>116</v>
      </c>
      <c r="N70" s="293"/>
    </row>
    <row r="71" s="313" customFormat="true" ht="21" hidden="false" customHeight="true" outlineLevel="0" collapsed="false">
      <c r="A71" s="287"/>
      <c r="B71" s="310" t="s">
        <v>117</v>
      </c>
      <c r="C71" s="310" t="s">
        <v>118</v>
      </c>
      <c r="D71" s="310" t="s">
        <v>119</v>
      </c>
      <c r="E71" s="310" t="s">
        <v>120</v>
      </c>
      <c r="F71" s="311" t="s">
        <v>121</v>
      </c>
      <c r="G71" s="307"/>
      <c r="H71" s="310" t="s">
        <v>129</v>
      </c>
      <c r="I71" s="310" t="s">
        <v>123</v>
      </c>
      <c r="J71" s="310" t="s">
        <v>124</v>
      </c>
      <c r="K71" s="310"/>
      <c r="L71" s="311" t="s">
        <v>71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125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126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127</v>
      </c>
      <c r="K76" s="327"/>
      <c r="L76" s="327"/>
      <c r="M76" s="328" t="e">
        <f aca="false">M61</f>
        <v>#VALUE!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130</v>
      </c>
      <c r="C2" s="346" t="s">
        <v>131</v>
      </c>
      <c r="D2" s="345" t="s">
        <v>132</v>
      </c>
      <c r="E2" s="345" t="s">
        <v>133</v>
      </c>
      <c r="F2" s="345" t="s">
        <v>134</v>
      </c>
      <c r="G2" s="345" t="s">
        <v>135</v>
      </c>
      <c r="H2" s="345" t="s">
        <v>136</v>
      </c>
      <c r="I2" s="345" t="s">
        <v>137</v>
      </c>
      <c r="J2" s="345" t="s">
        <v>138</v>
      </c>
      <c r="K2" s="345" t="s">
        <v>139</v>
      </c>
      <c r="L2" s="346" t="s">
        <v>140</v>
      </c>
      <c r="M2" s="346" t="s">
        <v>141</v>
      </c>
      <c r="N2" s="345" t="s">
        <v>142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46507</v>
      </c>
      <c r="C4" s="355" t="n">
        <f aca="false">Admin!$B$45</f>
        <v>46526</v>
      </c>
      <c r="D4" s="356" t="n">
        <f aca="false">Oct!T1+Oct!O1</f>
        <v>873.2</v>
      </c>
      <c r="E4" s="357" t="n">
        <f aca="false">Oct!N1</f>
        <v>800</v>
      </c>
      <c r="F4" s="357" t="n">
        <f aca="false">Oct!AD60+Oct!AE60+Oct!AF60+Oct!AG60</f>
        <v>0</v>
      </c>
      <c r="G4" s="357" t="n">
        <f aca="false">Oct!AE62+Oct!AF62+Oct!AG62</f>
        <v>0</v>
      </c>
      <c r="H4" s="357" t="n">
        <f aca="false">Oct!P1</f>
        <v>0</v>
      </c>
      <c r="I4" s="356" t="n">
        <f aca="false">D4+E4-F4-G4+H4</f>
        <v>1673.2</v>
      </c>
      <c r="M4" s="338" t="n">
        <f aca="false">(YEAR(Admin!B2)-1999)*100+1</f>
        <v>2801</v>
      </c>
      <c r="N4" s="358" t="n">
        <f aca="false">N3+I4-L4</f>
        <v>1673.2</v>
      </c>
      <c r="O4" s="353"/>
    </row>
    <row r="5" customFormat="false" ht="15" hidden="false" customHeight="true" outlineLevel="0" collapsed="false">
      <c r="A5" s="349"/>
      <c r="B5" s="354" t="n">
        <f aca="false">Admin!$B$57</f>
        <v>46538</v>
      </c>
      <c r="C5" s="355" t="n">
        <f aca="false">Admin!$B$76</f>
        <v>46557</v>
      </c>
      <c r="D5" s="356" t="n">
        <f aca="false">Nov!T1+Nov!O1</f>
        <v>873.2</v>
      </c>
      <c r="E5" s="357" t="n">
        <f aca="false">Nov!N1</f>
        <v>800</v>
      </c>
      <c r="F5" s="357" t="n">
        <f aca="false">Nov!AD60+Nov!AE60+Nov!AF60+Nov!AG60</f>
        <v>0</v>
      </c>
      <c r="G5" s="357" t="n">
        <f aca="false">Nov!AE62+Nov!AF62+Nov!AG62</f>
        <v>0</v>
      </c>
      <c r="H5" s="357" t="n">
        <f aca="false">Nov!P1</f>
        <v>0</v>
      </c>
      <c r="I5" s="356" t="n">
        <f aca="false">D5+E5-F5-G5+H5</f>
        <v>1673.2</v>
      </c>
      <c r="M5" s="338" t="n">
        <f aca="false">M4+1</f>
        <v>2802</v>
      </c>
      <c r="N5" s="358" t="n">
        <f aca="false">N4+I5-L5</f>
        <v>3346.4</v>
      </c>
      <c r="O5" s="353"/>
    </row>
    <row r="6" customFormat="false" ht="15" hidden="false" customHeight="true" outlineLevel="0" collapsed="false">
      <c r="A6" s="349"/>
      <c r="B6" s="354" t="n">
        <f aca="false">Admin!$B$87</f>
        <v>46568</v>
      </c>
      <c r="C6" s="355" t="n">
        <f aca="false">Admin!$B$106</f>
        <v>46587</v>
      </c>
      <c r="D6" s="356" t="n">
        <f aca="false">Dec!T1+Dec!O1</f>
        <v>873.2</v>
      </c>
      <c r="E6" s="357" t="n">
        <f aca="false">Dec!N1</f>
        <v>800</v>
      </c>
      <c r="F6" s="357" t="n">
        <f aca="false">Dec!AD70+Dec!AE70+Dec!AF70+Dec!AG70</f>
        <v>0</v>
      </c>
      <c r="G6" s="357" t="n">
        <f aca="false">Dec!AE72+Dec!AF72+Dec!AG72</f>
        <v>0</v>
      </c>
      <c r="H6" s="357" t="n">
        <f aca="false">Dec!P1</f>
        <v>0</v>
      </c>
      <c r="I6" s="356" t="n">
        <f aca="false">D6+E6-F6-G6+H6</f>
        <v>1673.2</v>
      </c>
      <c r="M6" s="338" t="n">
        <f aca="false">M5+1</f>
        <v>2803</v>
      </c>
      <c r="N6" s="358" t="n">
        <f aca="false">N5+I6-L6</f>
        <v>5019.6</v>
      </c>
      <c r="O6" s="353"/>
    </row>
    <row r="7" customFormat="false" ht="15" hidden="false" customHeight="true" outlineLevel="0" collapsed="false">
      <c r="A7" s="349"/>
      <c r="B7" s="354" t="n">
        <f aca="false">Admin!$B$118</f>
        <v>46599</v>
      </c>
      <c r="C7" s="355" t="n">
        <f aca="false">Admin!$B$137</f>
        <v>46618</v>
      </c>
      <c r="D7" s="356" t="n">
        <f aca="false">Jan!T1+Jan!O1</f>
        <v>873.2</v>
      </c>
      <c r="E7" s="357" t="n">
        <f aca="false">Jan!N1</f>
        <v>800</v>
      </c>
      <c r="F7" s="357" t="n">
        <f aca="false">Jan!AD60+Jan!AE60+Jan!AF60+Jan!AG60</f>
        <v>0</v>
      </c>
      <c r="G7" s="357" t="n">
        <f aca="false">Jan!AE62+Jan!AF62+Jan!AG62</f>
        <v>0</v>
      </c>
      <c r="H7" s="357" t="n">
        <f aca="false">Jan!P1</f>
        <v>0</v>
      </c>
      <c r="I7" s="356" t="n">
        <f aca="false">D7+E7-F7-G7+H7</f>
        <v>1673.2</v>
      </c>
      <c r="M7" s="338" t="n">
        <f aca="false">M6+1</f>
        <v>2804</v>
      </c>
      <c r="N7" s="358" t="n">
        <f aca="false">N6+I7-L7</f>
        <v>6692.8</v>
      </c>
      <c r="O7" s="353"/>
    </row>
    <row r="8" customFormat="false" ht="15" hidden="false" customHeight="true" outlineLevel="0" collapsed="false">
      <c r="A8" s="349"/>
      <c r="B8" s="354" t="n">
        <f aca="false">Admin!$B$149</f>
        <v>46630</v>
      </c>
      <c r="C8" s="355" t="n">
        <f aca="false">Admin!$B$168</f>
        <v>46649</v>
      </c>
      <c r="D8" s="356" t="n">
        <f aca="false">Feb!T1+Feb!O1</f>
        <v>873.2</v>
      </c>
      <c r="E8" s="357" t="n">
        <f aca="false">Feb!N1</f>
        <v>800</v>
      </c>
      <c r="F8" s="357" t="n">
        <f aca="false">Feb!AD60+Feb!AE60+Feb!AF60+Feb!AG60</f>
        <v>0</v>
      </c>
      <c r="G8" s="357" t="n">
        <f aca="false">Feb!AE62+Feb!AF62+Feb!AG62</f>
        <v>0</v>
      </c>
      <c r="H8" s="357" t="n">
        <f aca="false">Feb!P1</f>
        <v>0</v>
      </c>
      <c r="I8" s="356" t="n">
        <f aca="false">D8+E8-F8-G8+H8</f>
        <v>1673.2</v>
      </c>
      <c r="M8" s="338" t="n">
        <f aca="false">M7+1</f>
        <v>2805</v>
      </c>
      <c r="N8" s="358" t="n">
        <f aca="false">N7+I8-L8</f>
        <v>8366</v>
      </c>
      <c r="O8" s="353"/>
    </row>
    <row r="9" customFormat="false" ht="15" hidden="false" customHeight="true" outlineLevel="0" collapsed="false">
      <c r="A9" s="349"/>
      <c r="B9" s="354" t="n">
        <f aca="false">Admin!$B$179</f>
        <v>46660</v>
      </c>
      <c r="C9" s="355" t="n">
        <f aca="false">Admin!$B$198</f>
        <v>46679</v>
      </c>
      <c r="D9" s="356" t="n">
        <f aca="false">Mar!T1+Mar!O1</f>
        <v>873.2</v>
      </c>
      <c r="E9" s="357" t="n">
        <f aca="false">Mar!N1</f>
        <v>800</v>
      </c>
      <c r="F9" s="357" t="n">
        <f aca="false">Mar!AD70+Mar!AE70+Mar!AF70+Mar!AG70</f>
        <v>0</v>
      </c>
      <c r="G9" s="357" t="n">
        <f aca="false">Mar!AE72+Mar!AF72+Mar!AG72</f>
        <v>0</v>
      </c>
      <c r="H9" s="357" t="n">
        <f aca="false">Mar!P1</f>
        <v>0</v>
      </c>
      <c r="I9" s="356" t="n">
        <f aca="false">D9+E9-F9-G9+H9</f>
        <v>1673.2</v>
      </c>
      <c r="M9" s="338" t="n">
        <f aca="false">M8+1</f>
        <v>2806</v>
      </c>
      <c r="N9" s="358" t="n">
        <f aca="false">N8+I9-L9</f>
        <v>10039.2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46691</v>
      </c>
      <c r="C10" s="355" t="n">
        <f aca="false">Admin!$B$229</f>
        <v>46710</v>
      </c>
      <c r="D10" s="356" t="n">
        <f aca="false">Apr!T1+Apr!O1</f>
        <v>873.2</v>
      </c>
      <c r="E10" s="357" t="n">
        <f aca="false">Apr!N1</f>
        <v>800</v>
      </c>
      <c r="F10" s="357" t="n">
        <f aca="false">Apr!AD60+Apr!AE60+Apr!AF60+Apr!AG60</f>
        <v>0</v>
      </c>
      <c r="G10" s="357" t="n">
        <f aca="false">Apr!AE62+Apr!AF62+Apr!AG62</f>
        <v>0</v>
      </c>
      <c r="H10" s="357" t="n">
        <f aca="false">Apr!P1</f>
        <v>0</v>
      </c>
      <c r="I10" s="356" t="n">
        <f aca="false">D10+E10-F10-G10+H10</f>
        <v>1673.2</v>
      </c>
      <c r="M10" s="338" t="n">
        <f aca="false">M9+1</f>
        <v>2807</v>
      </c>
      <c r="N10" s="358" t="n">
        <f aca="false">N9+I10-L10</f>
        <v>11712.4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46721</v>
      </c>
      <c r="C11" s="355" t="n">
        <f aca="false">Admin!$B$259</f>
        <v>46740</v>
      </c>
      <c r="D11" s="356" t="n">
        <f aca="false">May!T1+May!O1</f>
        <v>873.2</v>
      </c>
      <c r="E11" s="357" t="n">
        <f aca="false">May!N1</f>
        <v>800</v>
      </c>
      <c r="F11" s="357" t="n">
        <f aca="false">May!AD60+May!AE60+May!AF60+May!AG60</f>
        <v>0</v>
      </c>
      <c r="G11" s="357" t="n">
        <f aca="false">May!AE62+May!AF62+May!AG62</f>
        <v>0</v>
      </c>
      <c r="H11" s="357" t="n">
        <f aca="false">May!P1</f>
        <v>0</v>
      </c>
      <c r="I11" s="356" t="n">
        <f aca="false">D11+E11-F11-G11+H11</f>
        <v>1673.2</v>
      </c>
      <c r="M11" s="338" t="n">
        <f aca="false">M10+1</f>
        <v>2808</v>
      </c>
      <c r="N11" s="358" t="n">
        <f aca="false">N10+I11-L11</f>
        <v>13385.6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46752</v>
      </c>
      <c r="C12" s="355" t="n">
        <f aca="false">Admin!$B$290</f>
        <v>46771</v>
      </c>
      <c r="D12" s="356" t="n">
        <f aca="false">Jun!T1+Jun!O1</f>
        <v>873.2</v>
      </c>
      <c r="E12" s="357" t="n">
        <f aca="false">Jun!N1</f>
        <v>800</v>
      </c>
      <c r="F12" s="357" t="n">
        <f aca="false">Jun!AD70+Jun!AE70+Jun!AF70+Jun!AG70</f>
        <v>0</v>
      </c>
      <c r="G12" s="357" t="n">
        <f aca="false">Jun!AE72+Jun!AF72+Jun!AG72</f>
        <v>0</v>
      </c>
      <c r="H12" s="357" t="n">
        <f aca="false">Jun!P1</f>
        <v>0</v>
      </c>
      <c r="I12" s="356" t="n">
        <f aca="false">D12+E12-F12-G12+H12</f>
        <v>1673.2</v>
      </c>
      <c r="M12" s="338" t="n">
        <f aca="false">M11+1</f>
        <v>2809</v>
      </c>
      <c r="N12" s="358" t="n">
        <f aca="false">N11+I12-L12</f>
        <v>15058.8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46783</v>
      </c>
      <c r="C13" s="355" t="n">
        <f aca="false">Admin!$B$321</f>
        <v>46802</v>
      </c>
      <c r="D13" s="356" t="n">
        <f aca="false">Jul!T1+Jul!O1</f>
        <v>873.2</v>
      </c>
      <c r="E13" s="357" t="n">
        <f aca="false">Jul!N1</f>
        <v>800</v>
      </c>
      <c r="F13" s="357" t="n">
        <f aca="false">Jul!AD60+Jul!AE60+Jul!AF60+Jul!AG60</f>
        <v>0</v>
      </c>
      <c r="G13" s="357" t="n">
        <f aca="false">Jul!AE62+Jul!AF62+Jul!AG62</f>
        <v>0</v>
      </c>
      <c r="H13" s="357" t="n">
        <f aca="false">Jul!P1</f>
        <v>0</v>
      </c>
      <c r="I13" s="356" t="n">
        <f aca="false">D13+E13-F13-G13+H13</f>
        <v>1673.2</v>
      </c>
      <c r="M13" s="338" t="n">
        <f aca="false">M12+1</f>
        <v>2810</v>
      </c>
      <c r="N13" s="358" t="n">
        <f aca="false">N12+I13-L13</f>
        <v>16732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46811</v>
      </c>
      <c r="C14" s="355" t="n">
        <f aca="false">Admin!$B$350</f>
        <v>46831</v>
      </c>
      <c r="D14" s="356" t="n">
        <f aca="false">Aug!T1+Aug!O1</f>
        <v>873.2</v>
      </c>
      <c r="E14" s="357" t="n">
        <f aca="false">Aug!N1</f>
        <v>800</v>
      </c>
      <c r="F14" s="357" t="n">
        <f aca="false">Aug!AD60+Aug!AE60+Aug!AF60+Aug!AG60</f>
        <v>0</v>
      </c>
      <c r="G14" s="357" t="n">
        <f aca="false">Aug!AE62+Aug!AF62+Aug!AG62</f>
        <v>0</v>
      </c>
      <c r="H14" s="357" t="n">
        <f aca="false">Aug!P1</f>
        <v>0</v>
      </c>
      <c r="I14" s="356" t="n">
        <f aca="false">D14+E14-F14-G14+H14</f>
        <v>1673.2</v>
      </c>
      <c r="M14" s="338" t="n">
        <f aca="false">M13+1</f>
        <v>2811</v>
      </c>
      <c r="N14" s="358" t="n">
        <f aca="false">N13+I14-L14</f>
        <v>18405.2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46842</v>
      </c>
      <c r="C15" s="355" t="n">
        <f aca="false">Admin!$B$381</f>
        <v>46862</v>
      </c>
      <c r="D15" s="356" t="n">
        <f aca="false">Sep!T1+Sep!O1</f>
        <v>873.2</v>
      </c>
      <c r="E15" s="357" t="n">
        <f aca="false">Sep!N1</f>
        <v>800</v>
      </c>
      <c r="F15" s="357" t="n">
        <f aca="false">Sep!AD80+Sep!AE80+Sep!AF80+Sep!AG80</f>
        <v>0</v>
      </c>
      <c r="G15" s="357" t="n">
        <f aca="false">Sep!AE82+Sep!AF82+Sep!AG82</f>
        <v>0</v>
      </c>
      <c r="H15" s="357" t="n">
        <f aca="false">Sep!P1</f>
        <v>0</v>
      </c>
      <c r="I15" s="356" t="n">
        <f aca="false">D15+E15-F15-G15+H15</f>
        <v>1673.2</v>
      </c>
      <c r="M15" s="338" t="n">
        <f aca="false">M14+1</f>
        <v>2812</v>
      </c>
      <c r="N15" s="358" t="n">
        <f aca="false">N14+I15-L15</f>
        <v>20078.4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10478.4</v>
      </c>
      <c r="E16" s="362" t="n">
        <f aca="false">SUM(E4:E15)</f>
        <v>9600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20078.4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143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144</v>
      </c>
      <c r="B1" s="376" t="s">
        <v>145</v>
      </c>
      <c r="C1" s="375" t="s">
        <v>86</v>
      </c>
      <c r="D1" s="375" t="s">
        <v>93</v>
      </c>
      <c r="E1" s="377" t="s">
        <v>146</v>
      </c>
      <c r="F1" s="377" t="s">
        <v>147</v>
      </c>
      <c r="G1" s="378" t="s">
        <v>148</v>
      </c>
      <c r="H1" s="378"/>
      <c r="I1" s="379" t="n">
        <f aca="false">DATE(YEAR(B2)+1,MONTH(B2),DAY(B2))-1</f>
        <v>46848</v>
      </c>
      <c r="J1" s="379"/>
      <c r="K1" s="380"/>
      <c r="L1" s="380"/>
      <c r="M1" s="381"/>
      <c r="N1" s="382" t="str">
        <f aca="false">TEXT(YEAR(I1)-1,"0")&amp;"-"&amp;TEXT(YEAR(I1)-2000,"0")</f>
        <v>2027-28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46483</v>
      </c>
      <c r="C2" s="385" t="n">
        <v>1</v>
      </c>
      <c r="D2" s="385" t="n">
        <v>1</v>
      </c>
      <c r="E2" s="386" t="n">
        <f aca="false">B2</f>
        <v>46483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46484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149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46485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46486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46487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150</v>
      </c>
      <c r="I6" s="390" t="s">
        <v>151</v>
      </c>
      <c r="J6" s="390"/>
      <c r="K6" s="390" t="s">
        <v>152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46488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46489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46490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46491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46492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153</v>
      </c>
      <c r="L11" s="385" t="s">
        <v>12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46493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154</v>
      </c>
      <c r="L12" s="385" t="s">
        <v>6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46494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46495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46496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46497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46498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46499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46500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46501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46502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46503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46504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46505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46506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46507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46508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46509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46510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46511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46512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46513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46514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46515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46516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46517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46518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46519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46520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46521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46522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46523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46524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46525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46526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46527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46528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46529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46530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46531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46532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46533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46534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46535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46536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46537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46538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46539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46540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46541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46542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46543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46544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46545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46546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46547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46548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46549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46550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46551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46552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46553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46554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46555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46556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46557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46558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46559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46560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46561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46562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46563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46564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46565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46566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46567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46568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46569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46570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46571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46572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46573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46574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46575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46576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46577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46578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46579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46580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46581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46582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46583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46584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46585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46586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46587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46588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46589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46590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46591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46592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46593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46594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46595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46596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46597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46598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46599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46600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46601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46602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46603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46604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46605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46606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46607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46608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46609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46610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46611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46612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46613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46614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46615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46616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46617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46618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46619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46620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46621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46622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46623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46624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46625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46626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46627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46628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46629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46630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46631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46632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46633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46634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46635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46636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46637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46638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46639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46640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46641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46642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46643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46644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46645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46646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46647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46648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46649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46650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46651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46652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46653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46654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46655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46656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46657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46658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46659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46660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46661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46662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46663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46664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46665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46666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46667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46668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46669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46670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46671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46672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46673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46674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46675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46676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46677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46678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46679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46680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46681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46682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46683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46684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46685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46686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46687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46688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46689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46690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46691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46692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46693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46694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46695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46696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46697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46698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46699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46700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46701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46702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46703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46704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46705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46706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46707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46708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46709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46710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46711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46712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46713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46714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46715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46716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46717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46718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46719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46720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46721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46722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46723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46724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46725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46726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46727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46728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46729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46730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46731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46732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46733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46734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46735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46736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46737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46738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46739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46740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46741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46742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46743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46744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46745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46746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46747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46748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46749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46750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46751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46752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46753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46754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46755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46756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46757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46758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46759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46760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46761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46762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46763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46764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46765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46766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46767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46768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46769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46770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46771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46772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46773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46774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46775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46776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46777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46778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46779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46780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46781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46782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46783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46784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46785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46786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46787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46788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46789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46790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46791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46792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46793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46794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46795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46796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46797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46798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46799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46800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46801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46802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46803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46804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46805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46806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46807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46808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46809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46810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46811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46812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46813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46814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46815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46816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46817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46818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46819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46820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46821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46822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46823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46824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46825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46826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46827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46828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46829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46830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46831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46832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46833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46834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46835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46836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46837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46838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46839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46840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46841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46842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46843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46844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46845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46846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46847</v>
      </c>
      <c r="C366" s="385" t="n">
        <v>53</v>
      </c>
      <c r="D366" s="385" t="n">
        <v>12</v>
      </c>
      <c r="E366" s="386" t="n">
        <f aca="false">B366</f>
        <v>46847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46848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46849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46850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46851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46852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46853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46854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46855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46856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46857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46858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46859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46860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46861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46862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