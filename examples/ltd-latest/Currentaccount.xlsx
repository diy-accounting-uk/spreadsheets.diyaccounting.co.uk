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<sst xmlns="http://schemas.openxmlformats.org/spreadsheetml/2006/main" count="1149" uniqueCount="78">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</sst>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[1]Admin!$B$9</f>
        <v>45748</v>
      </c>
      <c r="D1" s="9" t="s">
        <v>0</v>
      </c>
      <c r="E1" s="10" t="n">
        <f aca="false">F1-SUM(G1:Q1)</f>
        <v>-132637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24400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137837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54600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54600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45809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45827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45809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45836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45813</v>
      </c>
      <c r="B8" s="2" t="s">
        <v>61</v>
      </c>
      <c r="E8" s="5" t="s">
        <v>50</v>
      </c>
      <c r="F8" s="6" t="n">
        <v>2200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46174</v>
      </c>
      <c r="Q8" s="6" t="s">
        <v>58</v>
      </c>
      <c r="R8" s="40"/>
      <c r="S8" s="1" t="s">
        <v>54</v>
      </c>
      <c r="T8" s="4" t="n">
        <v>2800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45818</v>
      </c>
      <c r="B9" s="2" t="s">
        <v>62</v>
      </c>
      <c r="E9" s="5" t="s">
        <v>42</v>
      </c>
      <c r="F9" s="6" t="n">
        <v>7200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7200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45823</v>
      </c>
      <c r="B10" s="2" t="s">
        <v>63</v>
      </c>
      <c r="E10" s="5" t="s">
        <v>42</v>
      </c>
      <c r="F10" s="6" t="n">
        <v>1200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1200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45828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45833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45833</v>
      </c>
      <c r="B13" s="2" t="s">
        <v>65</v>
      </c>
      <c r="E13" s="5" t="s">
        <v>42</v>
      </c>
      <c r="F13" s="6" t="n">
        <v>2400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2400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45836</v>
      </c>
      <c r="B14" s="2" t="s">
        <v>66</v>
      </c>
      <c r="E14" s="5" t="s">
        <v>42</v>
      </c>
      <c r="F14" s="6" t="n">
        <v>3200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n">
        <f aca="false">IF(E14="DR",F14," ")</f>
        <v>3200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45838</v>
      </c>
      <c r="B15" s="2" t="s">
        <v>67</v>
      </c>
      <c r="E15" s="5" t="s">
        <v>50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A16" s="1" t="n">
        <v>45838</v>
      </c>
      <c r="B16" s="2" t="s">
        <v>68</v>
      </c>
      <c r="E16" s="5" t="s">
        <v>49</v>
      </c>
      <c r="F16" s="6" t="n">
        <v>500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Jun!A2</f>
        <v>54600</v>
      </c>
      <c r="B1" s="51" t="s">
        <v>69</v>
      </c>
      <c r="C1" s="8" t="n">
        <f aca="false">[1]Admin!$B$11</f>
        <v>45778</v>
      </c>
      <c r="D1" s="9" t="s">
        <v>0</v>
      </c>
      <c r="E1" s="10" t="n">
        <f aca="false">F1-SUM(G1:Q1)</f>
        <v>-132286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137586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74100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74100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45839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45857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45839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45863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45843</v>
      </c>
      <c r="B8" s="2" t="s">
        <v>61</v>
      </c>
      <c r="E8" s="5" t="s">
        <v>50</v>
      </c>
      <c r="F8" s="6" t="n">
        <v>2800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45866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45858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45863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45866</v>
      </c>
      <c r="B11" s="2" t="s">
        <v>66</v>
      </c>
      <c r="E11" s="5" t="s">
        <v>42</v>
      </c>
      <c r="F11" s="6" t="n">
        <v>3800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3800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45869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Jul!A2</f>
        <v>74100</v>
      </c>
      <c r="B1" s="51" t="s">
        <v>69</v>
      </c>
      <c r="C1" s="8" t="n">
        <f aca="false">[1]Admin!$B$13</f>
        <v>45809</v>
      </c>
      <c r="D1" s="9" t="s">
        <v>0</v>
      </c>
      <c r="E1" s="10" t="n">
        <f aca="false">F1-SUM(G1:Q1)</f>
        <v>-132684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137684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94000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94000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45870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45888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45870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45897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45874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45899</v>
      </c>
      <c r="Q8" s="6" t="s">
        <v>71</v>
      </c>
      <c r="R8" s="40"/>
      <c r="S8" s="1" t="s">
        <v>52</v>
      </c>
      <c r="T8" s="4" t="n">
        <v>250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45889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45894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45897</v>
      </c>
      <c r="B11" s="2" t="s">
        <v>66</v>
      </c>
      <c r="E11" s="5" t="s">
        <v>42</v>
      </c>
      <c r="F11" s="6" t="n">
        <v>4500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45899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Aug!A2</f>
        <v>94000</v>
      </c>
      <c r="B1" s="51" t="s">
        <v>69</v>
      </c>
      <c r="C1" s="8" t="n">
        <f aca="false">[1]Admin!$B$15</f>
        <v>45839</v>
      </c>
      <c r="D1" s="9" t="s">
        <v>0</v>
      </c>
      <c r="E1" s="10" t="n">
        <f aca="false">F1-SUM(G1:Q1)</f>
        <v>-224488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14000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229588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113100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113100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45901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45907</v>
      </c>
      <c r="Q6" s="6" t="s">
        <v>58</v>
      </c>
      <c r="R6" s="38"/>
      <c r="S6" s="1" t="s">
        <v>54</v>
      </c>
      <c r="T6" s="4" t="n">
        <v>3800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45901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45915</v>
      </c>
      <c r="Q7" s="6" t="s">
        <v>72</v>
      </c>
      <c r="R7" s="40"/>
      <c r="S7" s="1" t="s">
        <v>56</v>
      </c>
      <c r="T7" s="4" t="n">
        <v>3000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45905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45919</v>
      </c>
      <c r="Q8" s="6" t="s">
        <v>58</v>
      </c>
      <c r="R8" s="40"/>
      <c r="S8" s="1" t="s">
        <v>54</v>
      </c>
      <c r="T8" s="4" t="n">
        <v>1501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45920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45919</v>
      </c>
      <c r="Q9" s="6" t="s">
        <v>58</v>
      </c>
      <c r="R9" s="40"/>
      <c r="S9" s="1" t="s">
        <v>54</v>
      </c>
      <c r="T9" s="4" t="n">
        <v>1000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45925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45928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45928</v>
      </c>
      <c r="B11" s="2" t="s">
        <v>66</v>
      </c>
      <c r="E11" s="5" t="s">
        <v>42</v>
      </c>
      <c r="F11" s="6" t="n">
        <v>3600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3600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45931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45931</v>
      </c>
      <c r="B13" s="2" t="s">
        <v>68</v>
      </c>
      <c r="E13" s="5" t="s">
        <v>49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Sep!A2</f>
        <v>113100</v>
      </c>
      <c r="B1" s="51" t="s">
        <v>69</v>
      </c>
      <c r="C1" s="8" t="n">
        <f aca="false">[1]Admin!$B$17</f>
        <v>45870</v>
      </c>
      <c r="D1" s="9" t="s">
        <v>0</v>
      </c>
      <c r="E1" s="10" t="n">
        <f aca="false">F1-SUM(G1:Q1)</f>
        <v>-86807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14600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2500</v>
      </c>
      <c r="O1" s="11" t="n">
        <f aca="false">SUM(O6:O200)</f>
        <v>0</v>
      </c>
      <c r="P1" s="11" t="n">
        <f aca="false">SUM(P6:P200)</f>
        <v>91907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135300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135300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45931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45949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45931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45958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45935</v>
      </c>
      <c r="B8" s="2" t="s">
        <v>61</v>
      </c>
      <c r="E8" s="5" t="s">
        <v>50</v>
      </c>
      <c r="F8" s="6" t="n">
        <v>2600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45935</v>
      </c>
      <c r="B9" s="2" t="s">
        <v>73</v>
      </c>
      <c r="E9" s="5" t="s">
        <v>46</v>
      </c>
      <c r="F9" s="6" t="n">
        <v>2500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2500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45950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45955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45958</v>
      </c>
      <c r="B12" s="2" t="s">
        <v>66</v>
      </c>
      <c r="E12" s="5" t="s">
        <v>42</v>
      </c>
      <c r="F12" s="6" t="n">
        <v>4200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4200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45961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Oct!A2</f>
        <v>135300</v>
      </c>
      <c r="B1" s="51" t="s">
        <v>69</v>
      </c>
      <c r="C1" s="8" t="n">
        <f aca="false">[1]Admin!$B$19</f>
        <v>45901</v>
      </c>
      <c r="D1" s="9" t="s">
        <v>0</v>
      </c>
      <c r="E1" s="10" t="n">
        <f aca="false">F1-SUM(G1:Q1)</f>
        <v>-133360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137960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153300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153300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45962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45962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45989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45966</v>
      </c>
      <c r="B8" s="2" t="s">
        <v>61</v>
      </c>
      <c r="E8" s="5" t="s">
        <v>50</v>
      </c>
      <c r="F8" s="6" t="n">
        <v>2100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45991</v>
      </c>
      <c r="Q8" s="6" t="s">
        <v>71</v>
      </c>
      <c r="R8" s="40"/>
      <c r="S8" s="1" t="s">
        <v>52</v>
      </c>
      <c r="T8" s="4" t="n">
        <v>208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66</v>
      </c>
      <c r="E11" s="5" t="s">
        <v>42</v>
      </c>
      <c r="F11" s="6" t="n">
        <v>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45991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Nov!A2</f>
        <v>153300</v>
      </c>
      <c r="B1" s="51" t="s">
        <v>69</v>
      </c>
      <c r="C1" s="8" t="n">
        <f aca="false">[1]Admin!$B$21</f>
        <v>45931</v>
      </c>
      <c r="D1" s="9" t="s">
        <v>0</v>
      </c>
      <c r="E1" s="10" t="n">
        <f aca="false">F1-SUM(G1:Q1)</f>
        <v>-188025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30400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230025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225700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225700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45992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45992</v>
      </c>
      <c r="Q6" s="6" t="s">
        <v>58</v>
      </c>
      <c r="R6" s="38"/>
      <c r="S6" s="1" t="s">
        <v>54</v>
      </c>
      <c r="T6" s="4" t="n">
        <v>4500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45992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45998</v>
      </c>
      <c r="Q7" s="6" t="s">
        <v>58</v>
      </c>
      <c r="R7" s="40"/>
      <c r="S7" s="1" t="s">
        <v>54</v>
      </c>
      <c r="T7" s="4" t="n">
        <v>3200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45996</v>
      </c>
      <c r="B8" s="2" t="s">
        <v>61</v>
      </c>
      <c r="E8" s="5" t="s">
        <v>50</v>
      </c>
      <c r="F8" s="6" t="n">
        <v>3000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46006</v>
      </c>
      <c r="Q8" s="6" t="s">
        <v>72</v>
      </c>
      <c r="R8" s="40"/>
      <c r="S8" s="1" t="s">
        <v>56</v>
      </c>
      <c r="T8" s="4" t="n">
        <v>3000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46006</v>
      </c>
      <c r="B9" s="2" t="s">
        <v>74</v>
      </c>
      <c r="E9" s="5" t="s">
        <v>42</v>
      </c>
      <c r="F9" s="6" t="n">
        <v>15000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15000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46010</v>
      </c>
      <c r="Q9" s="6" t="s">
        <v>58</v>
      </c>
      <c r="R9" s="40"/>
      <c r="S9" s="1" t="s">
        <v>54</v>
      </c>
      <c r="T9" s="4" t="n">
        <v>1501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46011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46019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46016</v>
      </c>
      <c r="B11" s="2" t="s">
        <v>75</v>
      </c>
      <c r="E11" s="5" t="s">
        <v>50</v>
      </c>
      <c r="F11" s="6" t="n">
        <v>36000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46016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46019</v>
      </c>
      <c r="B13" s="2" t="s">
        <v>66</v>
      </c>
      <c r="E13" s="5" t="s">
        <v>42</v>
      </c>
      <c r="F13" s="6" t="n">
        <v>5000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5000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46022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46022</v>
      </c>
      <c r="B15" s="2" t="s">
        <v>68</v>
      </c>
      <c r="E15" s="5" t="s">
        <v>49</v>
      </c>
      <c r="F15" s="6" t="n">
        <v>500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Dec!A2</f>
        <v>225700</v>
      </c>
      <c r="B1" s="51" t="s">
        <v>69</v>
      </c>
      <c r="C1" s="8" t="n">
        <f aca="false">[1]Admin!$B$23</f>
        <v>45962</v>
      </c>
      <c r="D1" s="9" t="s">
        <v>0</v>
      </c>
      <c r="E1" s="10" t="n">
        <f aca="false">F1-SUM(G1:Q1)</f>
        <v>-133238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14500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138138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245100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245100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46023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46041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46023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46047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46027</v>
      </c>
      <c r="B8" s="2" t="s">
        <v>61</v>
      </c>
      <c r="E8" s="5" t="s">
        <v>50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46050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46042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46047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46050</v>
      </c>
      <c r="B11" s="2" t="s">
        <v>66</v>
      </c>
      <c r="E11" s="5" t="s">
        <v>42</v>
      </c>
      <c r="F11" s="6" t="n">
        <v>4100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4100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46052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Jan!A2</f>
        <v>245100</v>
      </c>
      <c r="B1" s="51" t="s">
        <v>69</v>
      </c>
      <c r="C1" s="8" t="n">
        <f aca="false">[1]Admin!$B$25</f>
        <v>45992</v>
      </c>
      <c r="D1" s="9" t="s">
        <v>0</v>
      </c>
      <c r="E1" s="10" t="n">
        <f aca="false">F1-SUM(G1:Q1)</f>
        <v>-179109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184309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.75" hidden="false" customHeight="true" outlineLevel="0" collapsed="false">
      <c r="A2" s="16" t="n">
        <f aca="false">A1+F1-X1</f>
        <v>264200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264200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46054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46072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46054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46072</v>
      </c>
      <c r="Q7" s="6" t="s">
        <v>58</v>
      </c>
      <c r="R7" s="40"/>
      <c r="S7" s="1" t="s">
        <v>54</v>
      </c>
      <c r="T7" s="4" t="n">
        <v>600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46058</v>
      </c>
      <c r="B8" s="2" t="s">
        <v>61</v>
      </c>
      <c r="E8" s="5" t="s">
        <v>50</v>
      </c>
      <c r="F8" s="6" t="n">
        <v>2700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46081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46073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46084</v>
      </c>
      <c r="Q9" s="6" t="s">
        <v>71</v>
      </c>
      <c r="R9" s="40"/>
      <c r="S9" s="1" t="s">
        <v>52</v>
      </c>
      <c r="T9" s="4" t="n">
        <v>167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46078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46081</v>
      </c>
      <c r="B11" s="2" t="s">
        <v>66</v>
      </c>
      <c r="E11" s="5" t="s">
        <v>42</v>
      </c>
      <c r="F11" s="6" t="n">
        <v>3500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46084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Feb!A2</f>
        <v>264200</v>
      </c>
      <c r="B1" s="51" t="s">
        <v>69</v>
      </c>
      <c r="C1" s="8" t="n">
        <f aca="false">[1]Admin!$B$27</f>
        <v>46023</v>
      </c>
      <c r="D1" s="9" t="s">
        <v>0</v>
      </c>
      <c r="E1" s="10" t="n">
        <f aca="false">F1-SUM(G1:Q1)</f>
        <v>-128005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15200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1500</v>
      </c>
      <c r="O1" s="11" t="n">
        <f aca="false">SUM(O6:O200)</f>
        <v>0</v>
      </c>
      <c r="P1" s="11" t="n">
        <f aca="false">SUM(P6:P200)</f>
        <v>138305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291200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291200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46082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46096</v>
      </c>
      <c r="Q6" s="6" t="s">
        <v>72</v>
      </c>
      <c r="R6" s="38"/>
      <c r="S6" s="1" t="s">
        <v>56</v>
      </c>
      <c r="T6" s="4" t="n">
        <v>3000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46082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46100</v>
      </c>
      <c r="Q7" s="6" t="s">
        <v>58</v>
      </c>
      <c r="R7" s="40"/>
      <c r="S7" s="1" t="s">
        <v>54</v>
      </c>
      <c r="T7" s="4" t="n">
        <v>1501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46086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46109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46088</v>
      </c>
      <c r="B9" s="2" t="s">
        <v>58</v>
      </c>
      <c r="E9" s="5" t="s">
        <v>46</v>
      </c>
      <c r="F9" s="6" t="n">
        <v>1500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1500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46096</v>
      </c>
      <c r="B10" s="2" t="s">
        <v>76</v>
      </c>
      <c r="E10" s="5" t="s">
        <v>48</v>
      </c>
      <c r="F10" s="6" t="n">
        <v>5000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46101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46106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46109</v>
      </c>
      <c r="B13" s="2" t="s">
        <v>66</v>
      </c>
      <c r="E13" s="5" t="s">
        <v>42</v>
      </c>
      <c r="F13" s="6" t="n">
        <v>4800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4800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46112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46112</v>
      </c>
      <c r="B15" s="2" t="s">
        <v>68</v>
      </c>
      <c r="E15" s="5" t="s">
        <v>49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Mar!A2</f>
        <v>291200</v>
      </c>
      <c r="B1" s="51" t="s">
        <v>69</v>
      </c>
      <c r="C1" s="8" t="n">
        <f aca="false">[1]Admin!$B$29</f>
        <v>46054</v>
      </c>
      <c r="D1" s="9" t="s">
        <v>0</v>
      </c>
      <c r="E1" s="10" t="n">
        <f aca="false">F1-SUM(G1:Q1)</f>
        <v>-86871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14300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92271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310900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310900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46113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46131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46113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46140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46117</v>
      </c>
      <c r="B8" s="2" t="s">
        <v>61</v>
      </c>
      <c r="E8" s="5" t="s">
        <v>50</v>
      </c>
      <c r="F8" s="6" t="n">
        <v>2900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46132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46140</v>
      </c>
      <c r="B11" s="2" t="s">
        <v>67</v>
      </c>
      <c r="E11" s="5" t="s">
        <v>50</v>
      </c>
      <c r="F11" s="6" t="n">
        <v>300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46140</v>
      </c>
      <c r="B12" s="2" t="s">
        <v>66</v>
      </c>
      <c r="E12" s="5" t="s">
        <v>42</v>
      </c>
      <c r="F12" s="6" t="n">
        <v>3900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3900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Apr!A2</f>
        <v>310900</v>
      </c>
      <c r="B1" s="51" t="s">
        <v>69</v>
      </c>
      <c r="C1" s="8" t="n">
        <f aca="false">[1]Admin!$B$31</f>
        <v>46082</v>
      </c>
      <c r="D1" s="9" t="s">
        <v>0</v>
      </c>
      <c r="E1" s="10" t="n">
        <f aca="false">F1-SUM(G1:Q1)</f>
        <v>-174877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14800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184677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335500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335500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46143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46161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46143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46170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46147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46173</v>
      </c>
      <c r="Q8" s="6" t="s">
        <v>71</v>
      </c>
      <c r="R8" s="40"/>
      <c r="S8" s="1" t="s">
        <v>52</v>
      </c>
      <c r="T8" s="4" t="n">
        <v>125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46157</v>
      </c>
      <c r="B9" s="2" t="s">
        <v>77</v>
      </c>
      <c r="E9" s="5" t="s">
        <v>49</v>
      </c>
      <c r="F9" s="6" t="n">
        <v>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46173</v>
      </c>
      <c r="Q9" s="6" t="s">
        <v>72</v>
      </c>
      <c r="R9" s="40"/>
      <c r="S9" s="1" t="s">
        <v>56</v>
      </c>
      <c r="T9" s="4" t="n">
        <v>6000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46162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46167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46170</v>
      </c>
      <c r="B12" s="2" t="s">
        <v>66</v>
      </c>
      <c r="E12" s="5" t="s">
        <v>42</v>
      </c>
      <c r="F12" s="6" t="n">
        <v>4400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46173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