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v" sheetId="1" state="visible" r:id="rId3"/>
    <sheet name="Dec" sheetId="2" state="visible" r:id="rId4"/>
    <sheet name="Jan" sheetId="3" state="visible" r:id="rId5"/>
    <sheet name="Feb" sheetId="4" state="visible" r:id="rId6"/>
    <sheet name="Mar" sheetId="5" state="visible" r:id="rId7"/>
    <sheet name="Apr" sheetId="6" state="visible" r:id="rId8"/>
    <sheet name="May" sheetId="7" state="visible" r:id="rId9"/>
    <sheet name="Jun" sheetId="8" state="visible" r:id="rId10"/>
    <sheet name="Jul" sheetId="9" state="visible" r:id="rId11"/>
    <sheet name="Aug" sheetId="10" state="visible" r:id="rId12"/>
    <sheet name="Sep" sheetId="11" state="visible" r:id="rId13"/>
    <sheet name="Oct" sheetId="12" state="visible" r:id="rId14"/>
  </sheets>
  <externalReferences>
    <externalReference r:id="rId15"/>
  </externalReferences>
  <definedNames>
    <definedName function="false" hidden="false" localSheetId="0" name="_xlnm_Print_Area" vbProcedure="false">Apr!$A$1:$AI$75</definedName>
    <definedName function="false" hidden="false" localSheetId="0" name="_xlnm_Print_Titles" vbProcedure="false">Apr!$1:$5</definedName>
    <definedName function="false" hidden="false" localSheetId="1" name="_xlnm_Print_Area" vbProcedure="false">May!$A$1:$AJ$75</definedName>
    <definedName function="false" hidden="false" localSheetId="1" name="_xlnm_Print_Titles" vbProcedure="false">May!$1:$5</definedName>
    <definedName function="false" hidden="false" localSheetId="2" name="_xlnm_Print_Area" vbProcedure="false">Jun!$A$1:$AJ$75</definedName>
    <definedName function="false" hidden="false" localSheetId="2" name="_xlnm_Print_Titles" vbProcedure="false">Jun!$1:$5</definedName>
    <definedName function="false" hidden="false" localSheetId="3" name="_xlnm_Print_Area" vbProcedure="false">Jul!$A$1:$AJ$75</definedName>
    <definedName function="false" hidden="false" localSheetId="3" name="_xlnm_Print_Titles" vbProcedure="false">Jul!$1:$5</definedName>
    <definedName function="false" hidden="false" localSheetId="4" name="_xlnm_Print_Area" vbProcedure="false">Aug!$A$1:$AJ$75</definedName>
    <definedName function="false" hidden="false" localSheetId="4" name="_xlnm_Print_Titles" vbProcedure="false">Aug!$1:$5</definedName>
    <definedName function="false" hidden="false" localSheetId="5" name="_xlnm_Print_Area" vbProcedure="false">Sep!$A$1:$AJ$75</definedName>
    <definedName function="false" hidden="false" localSheetId="5" name="_xlnm_Print_Titles" vbProcedure="false">Sep!$1:$5</definedName>
    <definedName function="false" hidden="false" localSheetId="6" name="_xlnm_Print_Area" vbProcedure="false">Oct!$A$1:$AJ$75</definedName>
    <definedName function="false" hidden="false" localSheetId="6" name="_xlnm_Print_Titles" vbProcedure="false">Oct!$1:$5</definedName>
    <definedName function="false" hidden="false" localSheetId="7" name="_xlnm_Print_Area" vbProcedure="false">Nov!$A$1:$AJ$75</definedName>
    <definedName function="false" hidden="false" localSheetId="7" name="_xlnm_Print_Titles" vbProcedure="false">Nov!$1:$5</definedName>
    <definedName function="false" hidden="false" localSheetId="8" name="_xlnm_Print_Area" vbProcedure="false">Dec!$A$1:$AJ$75</definedName>
    <definedName function="false" hidden="false" localSheetId="8" name="_xlnm_Print_Titles" vbProcedure="false">Dec!$1:$5</definedName>
    <definedName function="false" hidden="false" localSheetId="9" name="_xlnm_Print_Area" vbProcedure="false">Jan!$A$1:$AJ$75</definedName>
    <definedName function="false" hidden="false" localSheetId="9" name="_xlnm_Print_Titles" vbProcedure="false">Jan!$1:$5</definedName>
    <definedName function="false" hidden="false" localSheetId="10" name="_xlnm_Print_Area" vbProcedure="false">Feb!$A$1:$AJ$75</definedName>
    <definedName function="false" hidden="false" localSheetId="10" name="_xlnm_Print_Titles" vbProcedure="false">Feb!$1:$5</definedName>
    <definedName function="false" hidden="false" localSheetId="11" name="_xlnm_Print_Area" vbProcedure="false">Mar!$A$1:$AJ$75</definedName>
    <definedName function="false" hidden="false" localSheetId="11" name="_xlnm_Print_Titles" vbProcedure="false">Mar!$1:$5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<sst xmlns="http://schemas.openxmlformats.org/spreadsheetml/2006/main" count="1444" uniqueCount="252">
  <si>
    <t xml:space="preserve">&lt;  Opening Bank Balance</t>
  </si>
  <si>
    <t xml:space="preserve">Totals &gt;</t>
  </si>
  <si>
    <t xml:space="preserve">&lt;  Closing Bank Balance</t>
  </si>
  <si>
    <t xml:space="preserve">Deposit   Bank     Reference</t>
  </si>
  <si>
    <t xml:space="preserve">Enter Code Letters</t>
  </si>
  <si>
    <t xml:space="preserve">CURRENT ACCOUNT STATEMENT RECEIPTS</t>
  </si>
  <si>
    <t xml:space="preserve">Enter Purchase Invoice No.</t>
  </si>
  <si>
    <t xml:space="preserve">Cheque number  Direct Debit</t>
  </si>
  <si>
    <t xml:space="preserve">CURRENT ACCOUNT STATEMENT PAYMENTS</t>
  </si>
  <si>
    <t xml:space="preserve">&lt;  Statement Bank Balance</t>
  </si>
  <si>
    <t xml:space="preserve">Amounts received from each Source</t>
  </si>
  <si>
    <t xml:space="preserve">Transfers From Savings</t>
  </si>
  <si>
    <t xml:space="preserve">Transfers   From        Cr Card</t>
  </si>
  <si>
    <t xml:space="preserve">Transfers     From      Cash</t>
  </si>
  <si>
    <t xml:space="preserve">Amount Received Debtors</t>
  </si>
  <si>
    <t xml:space="preserve">Interest Received</t>
  </si>
  <si>
    <t xml:space="preserve">Long Term Debtor</t>
  </si>
  <si>
    <t xml:space="preserve">Long Term Creditor</t>
  </si>
  <si>
    <t xml:space="preserve">HMRC   Vat Refunded</t>
  </si>
  <si>
    <t xml:space="preserve">HMRC CIS Refunded</t>
  </si>
  <si>
    <t xml:space="preserve">Directors Loan Account</t>
  </si>
  <si>
    <t xml:space="preserve">Bank Contra items</t>
  </si>
  <si>
    <t xml:space="preserve">Amounts Paid by invoice number</t>
  </si>
  <si>
    <t xml:space="preserve">Transfers  To   Savings</t>
  </si>
  <si>
    <t xml:space="preserve">Transfers      To     Credit Card</t>
  </si>
  <si>
    <t xml:space="preserve">Transfers      To       Cash</t>
  </si>
  <si>
    <t xml:space="preserve">Amount Paid Creditors</t>
  </si>
  <si>
    <t xml:space="preserve">Net        Wages      Paid</t>
  </si>
  <si>
    <t xml:space="preserve">Bank Charges Paid</t>
  </si>
  <si>
    <t xml:space="preserve">Interest Paid</t>
  </si>
  <si>
    <t xml:space="preserve">HMRC Paye Payments</t>
  </si>
  <si>
    <t xml:space="preserve">HMRC    Vat Payments</t>
  </si>
  <si>
    <t xml:space="preserve">HMRC CIS Payments</t>
  </si>
  <si>
    <t xml:space="preserve">HMRC Corp Tax Payment</t>
  </si>
  <si>
    <t xml:space="preserve">Dividends Paid</t>
  </si>
  <si>
    <t xml:space="preserve">Payment Date </t>
  </si>
  <si>
    <t xml:space="preserve">Suppliers paid</t>
  </si>
  <si>
    <t xml:space="preserve">Date</t>
  </si>
  <si>
    <t xml:space="preserve">Source of Funds Received</t>
  </si>
  <si>
    <t xml:space="preserve">Sales Invoice</t>
  </si>
  <si>
    <t xml:space="preserve">BS</t>
  </si>
  <si>
    <t xml:space="preserve">BD</t>
  </si>
  <si>
    <t xml:space="preserve">BC</t>
  </si>
  <si>
    <t xml:space="preserve">DR</t>
  </si>
  <si>
    <t xml:space="preserve">K</t>
  </si>
  <si>
    <t xml:space="preserve">LDR</t>
  </si>
  <si>
    <t xml:space="preserve">LCR</t>
  </si>
  <si>
    <t xml:space="preserve">RV</t>
  </si>
  <si>
    <t xml:space="preserve">RC</t>
  </si>
  <si>
    <t xml:space="preserve">DL</t>
  </si>
  <si>
    <t xml:space="preserve">X</t>
  </si>
  <si>
    <t xml:space="preserve">CR</t>
  </si>
  <si>
    <t xml:space="preserve">W</t>
  </si>
  <si>
    <t xml:space="preserve">B</t>
  </si>
  <si>
    <t xml:space="preserve">J</t>
  </si>
  <si>
    <t xml:space="preserve">RP</t>
  </si>
  <si>
    <t xml:space="preserve">RT</t>
  </si>
  <si>
    <t xml:space="preserve">DV</t>
  </si>
  <si>
    <t xml:space="preserve">Acme Corp</t>
  </si>
  <si>
    <t xml:space="preserve">BNK-DR-037</t>
  </si>
  <si>
    <t xml:space="preserve">Opening debtor receipt</t>
  </si>
  <si>
    <t xml:space="preserve">WorkSpace Ltd</t>
  </si>
  <si>
    <t xml:space="preserve">BNK-CR-001</t>
  </si>
  <si>
    <t xml:space="preserve">Office rent payment</t>
  </si>
  <si>
    <t xml:space="preserve">Beta Systems</t>
  </si>
  <si>
    <t xml:space="preserve">BNK-DR-038</t>
  </si>
  <si>
    <t xml:space="preserve">Director</t>
  </si>
  <si>
    <t xml:space="preserve">BNK-DL-001</t>
  </si>
  <si>
    <t xml:space="preserve">Directors loan repayment</t>
  </si>
  <si>
    <t xml:space="preserve">BNK-DR-001</t>
  </si>
  <si>
    <t xml:space="preserve">Customer receipt</t>
  </si>
  <si>
    <t xml:space="preserve">Various suppliers</t>
  </si>
  <si>
    <t xml:space="preserve">BNK-CR-MISC-001</t>
  </si>
  <si>
    <t xml:space="preserve">Aggregate supplier payments</t>
  </si>
  <si>
    <t xml:space="preserve">TechStart Ltd</t>
  </si>
  <si>
    <t xml:space="preserve">BNK-DR-013</t>
  </si>
  <si>
    <t xml:space="preserve">HMRC</t>
  </si>
  <si>
    <t xml:space="preserve">BNK-RP-001</t>
  </si>
  <si>
    <t xml:space="preserve">Monthly PAYE/NI payment</t>
  </si>
  <si>
    <t xml:space="preserve">Gamma Ltd</t>
  </si>
  <si>
    <t xml:space="preserve">BNK-DR-039</t>
  </si>
  <si>
    <t xml:space="preserve">Payroll</t>
  </si>
  <si>
    <t xml:space="preserve">BNK-W-001</t>
  </si>
  <si>
    <t xml:space="preserve">Monthly net wages (all staff)</t>
  </si>
  <si>
    <t xml:space="preserve">Various customers</t>
  </si>
  <si>
    <t xml:space="preserve">BNK-DR-025</t>
  </si>
  <si>
    <t xml:space="preserve">Aggregate customer receipts</t>
  </si>
  <si>
    <t xml:space="preserve">Smith &amp; Co</t>
  </si>
  <si>
    <t xml:space="preserve">BNK-CR-013</t>
  </si>
  <si>
    <t xml:space="preserve">Accountancy fee payment</t>
  </si>
  <si>
    <t xml:space="preserve">Credit card payment</t>
  </si>
  <si>
    <t xml:space="preserve">BNK-X-CC-001</t>
  </si>
  <si>
    <t xml:space="preserve">Pay credit card balance</t>
  </si>
  <si>
    <t xml:space="preserve">BNK-DR-002</t>
  </si>
  <si>
    <t xml:space="preserve">BNK-CR-002</t>
  </si>
  <si>
    <t xml:space="preserve">BNK-DR-014</t>
  </si>
  <si>
    <t xml:space="preserve">BNK-DL-002</t>
  </si>
  <si>
    <t xml:space="preserve">BNK-DR-026</t>
  </si>
  <si>
    <t xml:space="preserve">BNK-CR-MISC-002</t>
  </si>
  <si>
    <t xml:space="preserve">BNK-RP-002</t>
  </si>
  <si>
    <t xml:space="preserve">HSBC</t>
  </si>
  <si>
    <t xml:space="preserve">BNK-B-001</t>
  </si>
  <si>
    <t xml:space="preserve">Bank charges</t>
  </si>
  <si>
    <t xml:space="preserve">BNK-W-002</t>
  </si>
  <si>
    <t xml:space="preserve">BNK-CR-014</t>
  </si>
  <si>
    <t xml:space="preserve">BNK-RV-VAT-000</t>
  </si>
  <si>
    <t xml:space="preserve">VAT payment, prior year fourth quarter</t>
  </si>
  <si>
    <t xml:space="preserve">BNK-DR-003</t>
  </si>
  <si>
    <t xml:space="preserve">BNK-CR-003</t>
  </si>
  <si>
    <t xml:space="preserve">BNK-DR-015</t>
  </si>
  <si>
    <t xml:space="preserve">BNK-DL-003</t>
  </si>
  <si>
    <t xml:space="preserve">BNK-DR-027</t>
  </si>
  <si>
    <t xml:space="preserve">BNK-CR-MISC-003</t>
  </si>
  <si>
    <t xml:space="preserve">Cash top-up</t>
  </si>
  <si>
    <t xml:space="preserve">BNK-BC-001</t>
  </si>
  <si>
    <t xml:space="preserve">Transfer to cash float</t>
  </si>
  <si>
    <t xml:space="preserve">BNK-RP-003</t>
  </si>
  <si>
    <t xml:space="preserve">BNK-W-003</t>
  </si>
  <si>
    <t xml:space="preserve">Directors loan interest</t>
  </si>
  <si>
    <t xml:space="preserve">BNK-B-INT-001</t>
  </si>
  <si>
    <t xml:space="preserve">Quarterly loan interest payment</t>
  </si>
  <si>
    <t xml:space="preserve">BNK-CR-015</t>
  </si>
  <si>
    <t xml:space="preserve">Close Brothers Asset Finance</t>
  </si>
  <si>
    <t xml:space="preserve">BNK-HP-INT-001</t>
  </si>
  <si>
    <t xml:space="preserve">HP-2025-01 admin charges and interest</t>
  </si>
  <si>
    <t xml:space="preserve">BNK-HP-CAP-001</t>
  </si>
  <si>
    <t xml:space="preserve">HP-2025-01 capital repayment</t>
  </si>
  <si>
    <t xml:space="preserve">BNK-DR-004</t>
  </si>
  <si>
    <t xml:space="preserve">BNK-CR-004</t>
  </si>
  <si>
    <t xml:space="preserve">BNK-DR-016</t>
  </si>
  <si>
    <t xml:space="preserve">BNK-DL-004</t>
  </si>
  <si>
    <t xml:space="preserve">BNK-DR-028</t>
  </si>
  <si>
    <t xml:space="preserve">BNK-CR-MISC-004</t>
  </si>
  <si>
    <t xml:space="preserve">Dividend</t>
  </si>
  <si>
    <t xml:space="preserve">BNK-DV-001</t>
  </si>
  <si>
    <t xml:space="preserve">Quarterly dividend payment</t>
  </si>
  <si>
    <t xml:space="preserve">BNK-RP-004</t>
  </si>
  <si>
    <t xml:space="preserve">BNK-RC-CIS-001</t>
  </si>
  <si>
    <t xml:space="preserve">CIS deduction remittance</t>
  </si>
  <si>
    <t xml:space="preserve">BNK-W-004</t>
  </si>
  <si>
    <t xml:space="preserve">BNK-CR-016</t>
  </si>
  <si>
    <t xml:space="preserve">BNK-X-CC-002</t>
  </si>
  <si>
    <t xml:space="preserve">Innovate UK</t>
  </si>
  <si>
    <t xml:space="preserve">BNK-RV-001</t>
  </si>
  <si>
    <t xml:space="preserve">Grant received</t>
  </si>
  <si>
    <t xml:space="preserve">BNK-RV-VAT-001</t>
  </si>
  <si>
    <t xml:space="preserve">VAT payment Q1 Apr-Jun</t>
  </si>
  <si>
    <t xml:space="preserve">BNK-DR-005</t>
  </si>
  <si>
    <t xml:space="preserve">BNK-CR-005</t>
  </si>
  <si>
    <t xml:space="preserve">BNK-DR-017</t>
  </si>
  <si>
    <t xml:space="preserve">BNK-DL-005</t>
  </si>
  <si>
    <t xml:space="preserve">BNK-DR-029</t>
  </si>
  <si>
    <t xml:space="preserve">BNK-CR-MISC-005</t>
  </si>
  <si>
    <t xml:space="preserve">BNK-RP-005</t>
  </si>
  <si>
    <t xml:space="preserve">BNK-W-005</t>
  </si>
  <si>
    <t xml:space="preserve">BNK-CR-017</t>
  </si>
  <si>
    <t xml:space="preserve">BNK-DR-006</t>
  </si>
  <si>
    <t xml:space="preserve">BNK-CR-006</t>
  </si>
  <si>
    <t xml:space="preserve">BNK-DR-018</t>
  </si>
  <si>
    <t xml:space="preserve">BNK-DL-006</t>
  </si>
  <si>
    <t xml:space="preserve">BNK-DR-030</t>
  </si>
  <si>
    <t xml:space="preserve">BNK-CR-MISC-006</t>
  </si>
  <si>
    <t xml:space="preserve">BNK-RP-006</t>
  </si>
  <si>
    <t xml:space="preserve">BNK-W-006</t>
  </si>
  <si>
    <t xml:space="preserve">BNK-B-INT-002</t>
  </si>
  <si>
    <t xml:space="preserve">BNK-CR-018</t>
  </si>
  <si>
    <t xml:space="preserve">BNK-HP-INT-002</t>
  </si>
  <si>
    <t xml:space="preserve">HP-2025-02 admin charges and interest</t>
  </si>
  <si>
    <t xml:space="preserve">BNK-HP-CAP-002</t>
  </si>
  <si>
    <t xml:space="preserve">HP-2025-02 capital repayment</t>
  </si>
  <si>
    <t xml:space="preserve">Private buyer</t>
  </si>
  <si>
    <t xml:space="preserve">BNK-DR-040</t>
  </si>
  <si>
    <t xml:space="preserve">Van sale proceeds</t>
  </si>
  <si>
    <t xml:space="preserve">BNK-CR-007</t>
  </si>
  <si>
    <t xml:space="preserve">BNK-DR-007</t>
  </si>
  <si>
    <t xml:space="preserve">BNK-DL-007</t>
  </si>
  <si>
    <t xml:space="preserve">BNK-DR-019</t>
  </si>
  <si>
    <t xml:space="preserve">BNK-RT-CT-001</t>
  </si>
  <si>
    <t xml:space="preserve">Corporation Tax prior year</t>
  </si>
  <si>
    <t xml:space="preserve">BNK-DR-031</t>
  </si>
  <si>
    <t xml:space="preserve">BNK-CR-MISC-007</t>
  </si>
  <si>
    <t xml:space="preserve">BNK-DV-002</t>
  </si>
  <si>
    <t xml:space="preserve">BNK-RP-007</t>
  </si>
  <si>
    <t xml:space="preserve">Ford</t>
  </si>
  <si>
    <t xml:space="preserve">BNK-CR-FA-001</t>
  </si>
  <si>
    <t xml:space="preserve">Ford Transit Custom purchase</t>
  </si>
  <si>
    <t xml:space="preserve">BNK-W-007</t>
  </si>
  <si>
    <t xml:space="preserve">BNK-CR-019</t>
  </si>
  <si>
    <t xml:space="preserve">BNK-X-CC-003</t>
  </si>
  <si>
    <t xml:space="preserve">BNK-DR-008</t>
  </si>
  <si>
    <t xml:space="preserve">BNK-RV-VAT-002</t>
  </si>
  <si>
    <t xml:space="preserve">VAT payment Q2 Jul-Sep</t>
  </si>
  <si>
    <t xml:space="preserve">BNK-DR-020</t>
  </si>
  <si>
    <t xml:space="preserve">BNK-CR-008</t>
  </si>
  <si>
    <t xml:space="preserve">BNK-DR-032</t>
  </si>
  <si>
    <t xml:space="preserve">BNK-DL-008</t>
  </si>
  <si>
    <t xml:space="preserve">BNK-CR-MISC-008</t>
  </si>
  <si>
    <t xml:space="preserve">BNK-RP-008</t>
  </si>
  <si>
    <t xml:space="preserve">BNK-B-002</t>
  </si>
  <si>
    <t xml:space="preserve">BNK-W-008</t>
  </si>
  <si>
    <t xml:space="preserve">BNK-CR-020</t>
  </si>
  <si>
    <t xml:space="preserve">BNK-DR-009</t>
  </si>
  <si>
    <t xml:space="preserve">BNK-CR-009</t>
  </si>
  <si>
    <t xml:space="preserve">BNK-DR-021</t>
  </si>
  <si>
    <t xml:space="preserve">BNK-DL-009</t>
  </si>
  <si>
    <t xml:space="preserve">BNK-DR-033</t>
  </si>
  <si>
    <t xml:space="preserve">BNK-CR-MISC-009</t>
  </si>
  <si>
    <t xml:space="preserve">BNK-RP-009</t>
  </si>
  <si>
    <t xml:space="preserve">BNK-RC-CIS-002</t>
  </si>
  <si>
    <t xml:space="preserve">BNK-W-009</t>
  </si>
  <si>
    <t xml:space="preserve">BNK-B-INT-003</t>
  </si>
  <si>
    <t xml:space="preserve">BNK-CR-021</t>
  </si>
  <si>
    <t xml:space="preserve">Director loan</t>
  </si>
  <si>
    <t xml:space="preserve">BNK-DL-IN-001</t>
  </si>
  <si>
    <t xml:space="preserve">Directors loan advance</t>
  </si>
  <si>
    <t xml:space="preserve">BNK-CR-010</t>
  </si>
  <si>
    <t xml:space="preserve">BNK-DR-010</t>
  </si>
  <si>
    <t xml:space="preserve">BNK-DL-010</t>
  </si>
  <si>
    <t xml:space="preserve">BNK-DR-022</t>
  </si>
  <si>
    <t xml:space="preserve">BNK-CR-MISC-010</t>
  </si>
  <si>
    <t xml:space="preserve">BNK-DR-034</t>
  </si>
  <si>
    <t xml:space="preserve">BNK-DV-003</t>
  </si>
  <si>
    <t xml:space="preserve">BNK-RP-010</t>
  </si>
  <si>
    <t xml:space="preserve">BNK-W-010</t>
  </si>
  <si>
    <t xml:space="preserve">BNK-CR-022</t>
  </si>
  <si>
    <t xml:space="preserve">BNK-X-CC-004</t>
  </si>
  <si>
    <t xml:space="preserve">BNK-DR-011</t>
  </si>
  <si>
    <t xml:space="preserve">BNK-RV-VAT-003</t>
  </si>
  <si>
    <t xml:space="preserve">VAT payment Q3 Oct-Dec</t>
  </si>
  <si>
    <t xml:space="preserve">BNK-DR-023</t>
  </si>
  <si>
    <t xml:space="preserve">BNK-CR-011</t>
  </si>
  <si>
    <t xml:space="preserve">BNK-DR-035</t>
  </si>
  <si>
    <t xml:space="preserve">BNK-DL-011</t>
  </si>
  <si>
    <t xml:space="preserve">BNK-CR-MISC-011</t>
  </si>
  <si>
    <t xml:space="preserve">BNK-RP-011</t>
  </si>
  <si>
    <t xml:space="preserve">BNK-CR-023</t>
  </si>
  <si>
    <t xml:space="preserve">BNK-W-011</t>
  </si>
  <si>
    <t xml:space="preserve">BNK-DR-012</t>
  </si>
  <si>
    <t xml:space="preserve">BNK-CR-012</t>
  </si>
  <si>
    <t xml:space="preserve">BNK-DR-024</t>
  </si>
  <si>
    <t xml:space="preserve">BNK-DL-012</t>
  </si>
  <si>
    <t xml:space="preserve">BNK-DR-036</t>
  </si>
  <si>
    <t xml:space="preserve">BNK-CR-MISC-012</t>
  </si>
  <si>
    <t xml:space="preserve">Internal transfer</t>
  </si>
  <si>
    <t xml:space="preserve">BNK-X-001</t>
  </si>
  <si>
    <t xml:space="preserve">Transfer to savings account</t>
  </si>
  <si>
    <t xml:space="preserve">BNK-RP-012</t>
  </si>
  <si>
    <t xml:space="preserve">BNK-W-012</t>
  </si>
  <si>
    <t xml:space="preserve">BNK-B-INT-004</t>
  </si>
  <si>
    <t xml:space="preserve">BNK-CR-024</t>
  </si>
  <si>
    <t xml:space="preserve">BNK-DV-004</t>
  </si>
  <si>
    <t xml:space="preserve">Final dividend payment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</si>
</sst>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#,##0_ ;[RED]\-#,##0\ "/>
    <numFmt numFmtId="167" formatCode="0"/>
    <numFmt numFmtId="168" formatCode="0_ ;[RED]\-0\ "/>
    <numFmt numFmtId="169" formatCode="#,##0.00_ ;[RED]\-#,##0.00\ 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10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2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3fef4072/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46327</v>
          </cell>
        </row>
        <row r="10">
          <cell r="B10">
            <v>46356</v>
          </cell>
        </row>
        <row r="11">
          <cell r="B11">
            <v>46357</v>
          </cell>
        </row>
        <row r="12">
          <cell r="B12">
            <v>46387</v>
          </cell>
        </row>
        <row r="13">
          <cell r="B13">
            <v>46388</v>
          </cell>
        </row>
        <row r="14">
          <cell r="B14">
            <v>46418</v>
          </cell>
        </row>
        <row r="15">
          <cell r="B15">
            <v>46419</v>
          </cell>
        </row>
        <row r="16">
          <cell r="B16">
            <v>46446</v>
          </cell>
        </row>
        <row r="17">
          <cell r="B17">
            <v>46447</v>
          </cell>
        </row>
        <row r="18">
          <cell r="B18">
            <v>46477</v>
          </cell>
        </row>
        <row r="19">
          <cell r="B19">
            <v>46478</v>
          </cell>
        </row>
        <row r="20">
          <cell r="B20">
            <v>46507</v>
          </cell>
        </row>
        <row r="21">
          <cell r="B21">
            <v>46508</v>
          </cell>
        </row>
        <row r="22">
          <cell r="B22">
            <v>46538</v>
          </cell>
        </row>
        <row r="23">
          <cell r="B23">
            <v>46539</v>
          </cell>
        </row>
        <row r="24">
          <cell r="B24">
            <v>46568</v>
          </cell>
        </row>
        <row r="25">
          <cell r="B25">
            <v>46569</v>
          </cell>
        </row>
        <row r="26">
          <cell r="B26">
            <v>46599</v>
          </cell>
        </row>
        <row r="27">
          <cell r="B27">
            <v>46600</v>
          </cell>
        </row>
        <row r="28">
          <cell r="B28">
            <v>46630</v>
          </cell>
        </row>
        <row r="29">
          <cell r="B29">
            <v>46631</v>
          </cell>
        </row>
        <row r="30">
          <cell r="B30">
            <v>46660</v>
          </cell>
        </row>
        <row r="31">
          <cell r="B31">
            <v>46661</v>
          </cell>
        </row>
        <row r="32">
          <cell r="B32">
            <v>46691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7" t="n">
        <v>25000</v>
      </c>
      <c r="B1" s="8" t="s">
        <v>0</v>
      </c>
      <c r="C1" s="9" t="n">
        <f aca="false">[1]Admin!$B$9</f>
        <v>46327</v>
      </c>
      <c r="D1" s="10" t="s">
        <v>1</v>
      </c>
      <c r="E1" s="11" t="n">
        <f aca="false">F1-SUM(G1:Q1)</f>
        <v>0</v>
      </c>
      <c r="F1" s="12" t="n">
        <f aca="false">SUM(F6:F200)</f>
        <v>44200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44200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12525.2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3700</v>
      </c>
      <c r="AC1" s="12" t="n">
        <f aca="false">SUM(AC6:AC200)</f>
        <v>5652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1000</v>
      </c>
      <c r="AN1" s="12" t="n">
        <f aca="false">SUM(AN6:AN200)</f>
        <v>500</v>
      </c>
    </row>
    <row r="2" customFormat="false" ht="15" hidden="false" customHeight="true" outlineLevel="0" collapsed="false">
      <c r="A2" s="17" t="n">
        <f aca="false">A1+F1-X1</f>
        <v>56674.8</v>
      </c>
      <c r="B2" s="18" t="s">
        <v>2</v>
      </c>
      <c r="C2" s="9" t="n">
        <f aca="false">[1]Admin!$B$10</f>
        <v>46356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46356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56674.8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  <c r="IW4" s="33"/>
    </row>
    <row r="5" customFormat="fals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</row>
    <row r="6" customFormat="false" ht="12.75" hidden="false" customHeight="false" outlineLevel="0" collapsed="false">
      <c r="A6" s="1" t="n">
        <v>46336</v>
      </c>
      <c r="B6" s="2" t="s">
        <v>58</v>
      </c>
      <c r="C6" s="3" t="s">
        <v>59</v>
      </c>
      <c r="D6" s="4" t="s">
        <v>60</v>
      </c>
      <c r="E6" s="38" t="s">
        <v>43</v>
      </c>
      <c r="F6" s="6" t="n">
        <v>7200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7200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46327</v>
      </c>
      <c r="T6" s="4" t="s">
        <v>61</v>
      </c>
      <c r="U6" s="3" t="s">
        <v>62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46341</v>
      </c>
      <c r="B7" s="2" t="s">
        <v>64</v>
      </c>
      <c r="C7" s="3" t="s">
        <v>65</v>
      </c>
      <c r="D7" s="4" t="s">
        <v>60</v>
      </c>
      <c r="E7" s="5" t="s">
        <v>43</v>
      </c>
      <c r="F7" s="6" t="n">
        <v>1200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1200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46327</v>
      </c>
      <c r="T7" s="4" t="s">
        <v>66</v>
      </c>
      <c r="U7" s="3" t="s">
        <v>67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46346</v>
      </c>
      <c r="B8" s="2" t="s">
        <v>58</v>
      </c>
      <c r="C8" s="3" t="s">
        <v>69</v>
      </c>
      <c r="D8" s="4" t="s">
        <v>70</v>
      </c>
      <c r="E8" s="5" t="s">
        <v>43</v>
      </c>
      <c r="F8" s="6" t="n">
        <v>8000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8000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46331</v>
      </c>
      <c r="T8" s="4" t="s">
        <v>71</v>
      </c>
      <c r="U8" s="3" t="s">
        <v>72</v>
      </c>
      <c r="V8" s="3" t="s">
        <v>73</v>
      </c>
      <c r="W8" s="42" t="s">
        <v>51</v>
      </c>
      <c r="X8" s="6" t="n">
        <v>2200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n">
        <f aca="false">IF(W8="CR",X8," ")</f>
        <v>2200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46351</v>
      </c>
      <c r="B9" s="2" t="s">
        <v>74</v>
      </c>
      <c r="C9" s="3" t="s">
        <v>75</v>
      </c>
      <c r="D9" s="4" t="s">
        <v>70</v>
      </c>
      <c r="E9" s="5" t="s">
        <v>43</v>
      </c>
      <c r="F9" s="6" t="n">
        <v>2400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n">
        <f aca="false">IF(E9="DR",F9," ")</f>
        <v>2400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46345</v>
      </c>
      <c r="T9" s="4" t="s">
        <v>76</v>
      </c>
      <c r="U9" s="3" t="s">
        <v>77</v>
      </c>
      <c r="V9" s="3" t="s">
        <v>78</v>
      </c>
      <c r="W9" s="42" t="s">
        <v>55</v>
      </c>
      <c r="X9" s="6" t="n">
        <v>1673.2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n">
        <f aca="false">IF(W9="RP",X9," ")</f>
        <v>1673.2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A10" s="1" t="n">
        <v>46351</v>
      </c>
      <c r="B10" s="2" t="s">
        <v>79</v>
      </c>
      <c r="C10" s="3" t="s">
        <v>80</v>
      </c>
      <c r="D10" s="4" t="s">
        <v>60</v>
      </c>
      <c r="E10" s="5" t="s">
        <v>43</v>
      </c>
      <c r="F10" s="6" t="n">
        <v>2400</v>
      </c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n">
        <f aca="false">IF(E10="DR",F10," ")</f>
        <v>2400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46354</v>
      </c>
      <c r="T10" s="4" t="s">
        <v>81</v>
      </c>
      <c r="U10" s="3" t="s">
        <v>82</v>
      </c>
      <c r="V10" s="3" t="s">
        <v>83</v>
      </c>
      <c r="W10" s="42" t="s">
        <v>52</v>
      </c>
      <c r="X10" s="6" t="n">
        <v>5652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n">
        <f aca="false">IF(W10="W",X10," ")</f>
        <v>5652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A11" s="1" t="n">
        <v>46354</v>
      </c>
      <c r="B11" s="2" t="s">
        <v>84</v>
      </c>
      <c r="C11" s="3" t="s">
        <v>85</v>
      </c>
      <c r="D11" s="4" t="s">
        <v>86</v>
      </c>
      <c r="E11" s="5" t="s">
        <v>43</v>
      </c>
      <c r="F11" s="6" t="n">
        <v>23000</v>
      </c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n">
        <f aca="false">IF(E11="DR",F11," ")</f>
        <v>23000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46356</v>
      </c>
      <c r="T11" s="4" t="s">
        <v>87</v>
      </c>
      <c r="U11" s="3" t="s">
        <v>88</v>
      </c>
      <c r="V11" s="3" t="s">
        <v>89</v>
      </c>
      <c r="W11" s="42" t="s">
        <v>51</v>
      </c>
      <c r="X11" s="6" t="n">
        <v>300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n">
        <f aca="false">IF(W11="CR",X11," ")</f>
        <v>300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46356</v>
      </c>
      <c r="T12" s="4" t="s">
        <v>90</v>
      </c>
      <c r="U12" s="3" t="s">
        <v>91</v>
      </c>
      <c r="V12" s="3" t="s">
        <v>92</v>
      </c>
      <c r="W12" s="42" t="s">
        <v>50</v>
      </c>
      <c r="X12" s="6" t="n">
        <v>500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n">
        <f aca="false">IF(W12="X",X12," ")</f>
        <v>500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W13" s="42"/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W14" s="42"/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</dataValidations>
  <printOptions headings="false" gridLines="false" gridLinesSet="true" horizontalCentered="false" verticalCentered="false"/>
  <pageMargins left="0.157638888888889" right="0.0784722222222222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Nov!A2</f>
        <v>56674.8</v>
      </c>
      <c r="B1" s="8" t="s">
        <v>0</v>
      </c>
      <c r="C1" s="9" t="n">
        <f aca="false">[1]Admin!$B$11</f>
        <v>46357</v>
      </c>
      <c r="D1" s="10" t="s">
        <v>1</v>
      </c>
      <c r="E1" s="11" t="n">
        <f aca="false">F1-SUM(G1:Q1)</f>
        <v>0</v>
      </c>
      <c r="F1" s="12" t="n">
        <f aca="false">SUM(F6:F200)</f>
        <v>32920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32920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14150.2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4300</v>
      </c>
      <c r="AC1" s="12" t="n">
        <f aca="false">SUM(AC6:AC200)</f>
        <v>5652</v>
      </c>
      <c r="AD1" s="12" t="n">
        <f aca="false">SUM(AD6:AD200)</f>
        <v>25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1500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1000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75444.6</v>
      </c>
      <c r="B2" s="18" t="s">
        <v>2</v>
      </c>
      <c r="C2" s="9" t="n">
        <f aca="false">[1]Admin!$B$12</f>
        <v>46387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46387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75444.6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  <c r="IW4" s="33"/>
    </row>
    <row r="5" customFormat="fals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</row>
    <row r="6" customFormat="false" ht="12.75" hidden="false" customHeight="false" outlineLevel="0" collapsed="false">
      <c r="A6" s="1" t="n">
        <v>46376</v>
      </c>
      <c r="B6" s="2" t="s">
        <v>58</v>
      </c>
      <c r="C6" s="3" t="s">
        <v>93</v>
      </c>
      <c r="D6" s="4" t="s">
        <v>70</v>
      </c>
      <c r="E6" s="38" t="s">
        <v>43</v>
      </c>
      <c r="F6" s="6" t="n">
        <v>8000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8000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46357</v>
      </c>
      <c r="T6" s="4" t="s">
        <v>61</v>
      </c>
      <c r="U6" s="3" t="s">
        <v>94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46381</v>
      </c>
      <c r="B7" s="2" t="s">
        <v>74</v>
      </c>
      <c r="C7" s="3" t="s">
        <v>95</v>
      </c>
      <c r="D7" s="4" t="s">
        <v>70</v>
      </c>
      <c r="E7" s="5" t="s">
        <v>43</v>
      </c>
      <c r="F7" s="6" t="n">
        <v>2400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2400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46357</v>
      </c>
      <c r="T7" s="4" t="s">
        <v>66</v>
      </c>
      <c r="U7" s="3" t="s">
        <v>96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46384</v>
      </c>
      <c r="B8" s="2" t="s">
        <v>84</v>
      </c>
      <c r="C8" s="3" t="s">
        <v>97</v>
      </c>
      <c r="D8" s="4" t="s">
        <v>86</v>
      </c>
      <c r="E8" s="5" t="s">
        <v>43</v>
      </c>
      <c r="F8" s="6" t="n">
        <v>22520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22520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46361</v>
      </c>
      <c r="T8" s="4" t="s">
        <v>71</v>
      </c>
      <c r="U8" s="3" t="s">
        <v>98</v>
      </c>
      <c r="V8" s="3" t="s">
        <v>73</v>
      </c>
      <c r="W8" s="42" t="s">
        <v>51</v>
      </c>
      <c r="X8" s="6" t="n">
        <v>2800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n">
        <f aca="false">IF(W8="CR",X8," ")</f>
        <v>2800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46375</v>
      </c>
      <c r="T9" s="4" t="s">
        <v>76</v>
      </c>
      <c r="U9" s="3" t="s">
        <v>99</v>
      </c>
      <c r="V9" s="3" t="s">
        <v>78</v>
      </c>
      <c r="W9" s="42" t="s">
        <v>55</v>
      </c>
      <c r="X9" s="6" t="n">
        <v>1673.2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n">
        <f aca="false">IF(W9="RP",X9," ")</f>
        <v>1673.2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46381</v>
      </c>
      <c r="T10" s="4" t="s">
        <v>100</v>
      </c>
      <c r="U10" s="3" t="s">
        <v>101</v>
      </c>
      <c r="V10" s="3" t="s">
        <v>102</v>
      </c>
      <c r="W10" s="42" t="s">
        <v>53</v>
      </c>
      <c r="X10" s="6" t="n">
        <v>25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n">
        <f aca="false">IF(W10="B",X10," ")</f>
        <v>25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46384</v>
      </c>
      <c r="T11" s="4" t="s">
        <v>81</v>
      </c>
      <c r="U11" s="3" t="s">
        <v>103</v>
      </c>
      <c r="V11" s="3" t="s">
        <v>83</v>
      </c>
      <c r="W11" s="42" t="s">
        <v>52</v>
      </c>
      <c r="X11" s="6" t="n">
        <v>5652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n">
        <f aca="false">IF(W11="W",X11," ")</f>
        <v>5652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46387</v>
      </c>
      <c r="T12" s="4" t="s">
        <v>87</v>
      </c>
      <c r="U12" s="3" t="s">
        <v>104</v>
      </c>
      <c r="V12" s="3" t="s">
        <v>89</v>
      </c>
      <c r="W12" s="42" t="s">
        <v>51</v>
      </c>
      <c r="X12" s="6" t="n">
        <v>300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n">
        <f aca="false">IF(W12="CR",X12," ")</f>
        <v>300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46363</v>
      </c>
      <c r="T13" s="4" t="s">
        <v>76</v>
      </c>
      <c r="U13" s="3" t="s">
        <v>105</v>
      </c>
      <c r="V13" s="3" t="s">
        <v>106</v>
      </c>
      <c r="W13" s="42" t="s">
        <v>47</v>
      </c>
      <c r="X13" s="6" t="n">
        <v>1500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n">
        <f aca="false">IF(W13="RV",X13," ")</f>
        <v>1500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W14" s="42"/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Dec!A2</f>
        <v>75444.6</v>
      </c>
      <c r="B1" s="8" t="s">
        <v>0</v>
      </c>
      <c r="C1" s="9" t="n">
        <f aca="false">[1]Admin!$B$13</f>
        <v>46388</v>
      </c>
      <c r="D1" s="10" t="s">
        <v>1</v>
      </c>
      <c r="E1" s="11" t="n">
        <f aca="false">F1-SUM(G1:Q1)</f>
        <v>0</v>
      </c>
      <c r="F1" s="12" t="n">
        <f aca="false">SUM(F6:F200)</f>
        <v>35200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35200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27675.2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100</v>
      </c>
      <c r="AB1" s="12" t="n">
        <f aca="false">SUM(AB6:AB200)</f>
        <v>17000</v>
      </c>
      <c r="AC1" s="12" t="n">
        <f aca="false">SUM(AC6:AC200)</f>
        <v>5652</v>
      </c>
      <c r="AD1" s="12" t="n">
        <f aca="false">SUM(AD6:AD200)</f>
        <v>2250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1000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82969.4</v>
      </c>
      <c r="B2" s="18" t="s">
        <v>2</v>
      </c>
      <c r="C2" s="9" t="n">
        <f aca="false">[1]Admin!$B$14</f>
        <v>46418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46418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82969.4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  <c r="IW4" s="33"/>
    </row>
    <row r="5" customFormat="fals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</row>
    <row r="6" customFormat="false" ht="12.75" hidden="false" customHeight="false" outlineLevel="0" collapsed="false">
      <c r="A6" s="1" t="n">
        <v>46407</v>
      </c>
      <c r="B6" s="2" t="s">
        <v>58</v>
      </c>
      <c r="C6" s="3" t="s">
        <v>107</v>
      </c>
      <c r="D6" s="4" t="s">
        <v>70</v>
      </c>
      <c r="E6" s="38" t="s">
        <v>43</v>
      </c>
      <c r="F6" s="6" t="n">
        <v>8000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8000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46388</v>
      </c>
      <c r="T6" s="4" t="s">
        <v>61</v>
      </c>
      <c r="U6" s="3" t="s">
        <v>108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46412</v>
      </c>
      <c r="B7" s="2" t="s">
        <v>74</v>
      </c>
      <c r="C7" s="3" t="s">
        <v>109</v>
      </c>
      <c r="D7" s="4" t="s">
        <v>70</v>
      </c>
      <c r="E7" s="5" t="s">
        <v>43</v>
      </c>
      <c r="F7" s="6" t="n">
        <v>2400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2400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46388</v>
      </c>
      <c r="T7" s="4" t="s">
        <v>66</v>
      </c>
      <c r="U7" s="3" t="s">
        <v>110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46415</v>
      </c>
      <c r="B8" s="2" t="s">
        <v>84</v>
      </c>
      <c r="C8" s="3" t="s">
        <v>111</v>
      </c>
      <c r="D8" s="4" t="s">
        <v>86</v>
      </c>
      <c r="E8" s="5" t="s">
        <v>43</v>
      </c>
      <c r="F8" s="6" t="n">
        <v>24800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24800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46392</v>
      </c>
      <c r="T8" s="4" t="s">
        <v>71</v>
      </c>
      <c r="U8" s="3" t="s">
        <v>112</v>
      </c>
      <c r="V8" s="3" t="s">
        <v>73</v>
      </c>
      <c r="W8" s="42" t="s">
        <v>51</v>
      </c>
      <c r="X8" s="6" t="n">
        <v>2500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n">
        <f aca="false">IF(W8="CR",X8," ")</f>
        <v>2500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46397</v>
      </c>
      <c r="T9" s="4" t="s">
        <v>113</v>
      </c>
      <c r="U9" s="3" t="s">
        <v>114</v>
      </c>
      <c r="V9" s="3" t="s">
        <v>115</v>
      </c>
      <c r="W9" s="42" t="s">
        <v>42</v>
      </c>
      <c r="X9" s="6" t="n">
        <v>100</v>
      </c>
      <c r="Y9" s="6" t="str">
        <f aca="false">IF(W9="BS",X9," ")</f>
        <v> </v>
      </c>
      <c r="Z9" s="6" t="str">
        <f aca="false">IF(W9="BD",X9," ")</f>
        <v> </v>
      </c>
      <c r="AA9" s="6" t="n">
        <f aca="false">IF(W9="BC",X9," ")</f>
        <v>100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46406</v>
      </c>
      <c r="T10" s="4" t="s">
        <v>76</v>
      </c>
      <c r="U10" s="3" t="s">
        <v>116</v>
      </c>
      <c r="V10" s="3" t="s">
        <v>78</v>
      </c>
      <c r="W10" s="42" t="s">
        <v>55</v>
      </c>
      <c r="X10" s="6" t="n">
        <v>1673.2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n">
        <f aca="false">IF(W10="RP",X10," ")</f>
        <v>1673.2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46415</v>
      </c>
      <c r="T11" s="4" t="s">
        <v>81</v>
      </c>
      <c r="U11" s="3" t="s">
        <v>117</v>
      </c>
      <c r="V11" s="3" t="s">
        <v>83</v>
      </c>
      <c r="W11" s="42" t="s">
        <v>52</v>
      </c>
      <c r="X11" s="6" t="n">
        <v>5652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n">
        <f aca="false">IF(W11="W",X11," ")</f>
        <v>5652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46417</v>
      </c>
      <c r="T12" s="4" t="s">
        <v>118</v>
      </c>
      <c r="U12" s="3" t="s">
        <v>119</v>
      </c>
      <c r="V12" s="3" t="s">
        <v>120</v>
      </c>
      <c r="W12" s="42" t="s">
        <v>53</v>
      </c>
      <c r="X12" s="6" t="n">
        <v>250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n">
        <f aca="false">IF(W12="B",X12," ")</f>
        <v>250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46417</v>
      </c>
      <c r="T13" s="4" t="s">
        <v>87</v>
      </c>
      <c r="U13" s="3" t="s">
        <v>121</v>
      </c>
      <c r="V13" s="3" t="s">
        <v>89</v>
      </c>
      <c r="W13" s="42" t="s">
        <v>51</v>
      </c>
      <c r="X13" s="6" t="n">
        <v>300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n">
        <f aca="false">IF(W13="CR",X13," ")</f>
        <v>300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S14" s="1" t="n">
        <v>46388</v>
      </c>
      <c r="T14" s="4" t="s">
        <v>122</v>
      </c>
      <c r="U14" s="3" t="s">
        <v>123</v>
      </c>
      <c r="V14" s="3" t="s">
        <v>124</v>
      </c>
      <c r="W14" s="42" t="s">
        <v>53</v>
      </c>
      <c r="X14" s="6" t="n">
        <v>2000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n">
        <f aca="false">IF(W14="B",X14," ")</f>
        <v>2000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S15" s="1" t="n">
        <v>46388</v>
      </c>
      <c r="T15" s="4" t="s">
        <v>122</v>
      </c>
      <c r="U15" s="3" t="s">
        <v>125</v>
      </c>
      <c r="V15" s="3" t="s">
        <v>126</v>
      </c>
      <c r="W15" s="42" t="s">
        <v>51</v>
      </c>
      <c r="X15" s="6" t="n">
        <v>13000</v>
      </c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n">
        <f aca="false">IF(W15="CR",X15," ")</f>
        <v>13000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Jan!A2</f>
        <v>82969.4</v>
      </c>
      <c r="B1" s="8" t="s">
        <v>0</v>
      </c>
      <c r="C1" s="9" t="n">
        <f aca="false">[1]Admin!$B$15</f>
        <v>46419</v>
      </c>
      <c r="D1" s="10" t="s">
        <v>1</v>
      </c>
      <c r="E1" s="11" t="n">
        <f aca="false">F1-SUM(G1:Q1)</f>
        <v>0</v>
      </c>
      <c r="F1" s="12" t="n">
        <f aca="false">SUM(F6:F200)</f>
        <v>33760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33760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16425.2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3800</v>
      </c>
      <c r="AC1" s="12" t="n">
        <f aca="false">SUM(AC6:AC200)</f>
        <v>5652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0</v>
      </c>
      <c r="AJ1" s="12" t="n">
        <f aca="false">SUM(AJ6:AJ200)</f>
        <v>1000</v>
      </c>
      <c r="AK1" s="12" t="n">
        <f aca="false">SUM(AK6:AK200)</f>
        <v>0</v>
      </c>
      <c r="AL1" s="12" t="n">
        <f aca="false">SUM(AL6:AL200)</f>
        <v>3000</v>
      </c>
      <c r="AM1" s="12" t="n">
        <f aca="false">SUM(AM6:AM200)</f>
        <v>1000</v>
      </c>
      <c r="AN1" s="12" t="n">
        <f aca="false">SUM(AN6:AN200)</f>
        <v>300</v>
      </c>
    </row>
    <row r="2" customFormat="false" ht="15" hidden="false" customHeight="true" outlineLevel="0" collapsed="false">
      <c r="A2" s="17" t="n">
        <f aca="false">A1+F1-X1</f>
        <v>100304.2</v>
      </c>
      <c r="B2" s="18" t="s">
        <v>2</v>
      </c>
      <c r="C2" s="9" t="n">
        <f aca="false">[1]Admin!$B$16</f>
        <v>46446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46446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100304.2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  <c r="IW4" s="33"/>
    </row>
    <row r="5" customFormat="fals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</row>
    <row r="6" customFormat="false" ht="12.75" hidden="false" customHeight="false" outlineLevel="0" collapsed="false">
      <c r="A6" s="1" t="n">
        <v>46438</v>
      </c>
      <c r="B6" s="2" t="s">
        <v>58</v>
      </c>
      <c r="C6" s="3" t="s">
        <v>127</v>
      </c>
      <c r="D6" s="4" t="s">
        <v>70</v>
      </c>
      <c r="E6" s="38" t="s">
        <v>43</v>
      </c>
      <c r="F6" s="6" t="n">
        <v>8000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8000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46419</v>
      </c>
      <c r="T6" s="4" t="s">
        <v>61</v>
      </c>
      <c r="U6" s="3" t="s">
        <v>128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46443</v>
      </c>
      <c r="B7" s="2" t="s">
        <v>74</v>
      </c>
      <c r="C7" s="3" t="s">
        <v>129</v>
      </c>
      <c r="D7" s="4" t="s">
        <v>70</v>
      </c>
      <c r="E7" s="5" t="s">
        <v>43</v>
      </c>
      <c r="F7" s="6" t="n">
        <v>2400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2400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46419</v>
      </c>
      <c r="T7" s="4" t="s">
        <v>66</v>
      </c>
      <c r="U7" s="3" t="s">
        <v>130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46446</v>
      </c>
      <c r="B8" s="2" t="s">
        <v>84</v>
      </c>
      <c r="C8" s="3" t="s">
        <v>131</v>
      </c>
      <c r="D8" s="4" t="s">
        <v>86</v>
      </c>
      <c r="E8" s="5" t="s">
        <v>43</v>
      </c>
      <c r="F8" s="6" t="n">
        <v>23360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23360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46423</v>
      </c>
      <c r="T8" s="4" t="s">
        <v>71</v>
      </c>
      <c r="U8" s="3" t="s">
        <v>132</v>
      </c>
      <c r="V8" s="3" t="s">
        <v>73</v>
      </c>
      <c r="W8" s="42" t="s">
        <v>51</v>
      </c>
      <c r="X8" s="6" t="n">
        <v>2300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n">
        <f aca="false">IF(W8="CR",X8," ")</f>
        <v>2300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46433</v>
      </c>
      <c r="T9" s="4" t="s">
        <v>133</v>
      </c>
      <c r="U9" s="3" t="s">
        <v>134</v>
      </c>
      <c r="V9" s="3" t="s">
        <v>135</v>
      </c>
      <c r="W9" s="42" t="s">
        <v>57</v>
      </c>
      <c r="X9" s="6" t="n">
        <v>3000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n">
        <f aca="false">IF(W9="DV",X9," ")</f>
        <v>3000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46437</v>
      </c>
      <c r="T10" s="4" t="s">
        <v>76</v>
      </c>
      <c r="U10" s="3" t="s">
        <v>136</v>
      </c>
      <c r="V10" s="3" t="s">
        <v>78</v>
      </c>
      <c r="W10" s="42" t="s">
        <v>55</v>
      </c>
      <c r="X10" s="6" t="n">
        <v>1673.2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n">
        <f aca="false">IF(W10="RP",X10," ")</f>
        <v>1673.2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46437</v>
      </c>
      <c r="T11" s="4" t="s">
        <v>76</v>
      </c>
      <c r="U11" s="3" t="s">
        <v>137</v>
      </c>
      <c r="V11" s="3" t="s">
        <v>138</v>
      </c>
      <c r="W11" s="42" t="s">
        <v>48</v>
      </c>
      <c r="X11" s="6" t="n">
        <v>1000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n">
        <f aca="false">IF(W11="RC",X11," ")</f>
        <v>1000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46446</v>
      </c>
      <c r="T12" s="4" t="s">
        <v>81</v>
      </c>
      <c r="U12" s="3" t="s">
        <v>139</v>
      </c>
      <c r="V12" s="3" t="s">
        <v>83</v>
      </c>
      <c r="W12" s="42" t="s">
        <v>52</v>
      </c>
      <c r="X12" s="6" t="n">
        <v>5652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n">
        <f aca="false">IF(W12="W",X12," ")</f>
        <v>5652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46446</v>
      </c>
      <c r="T13" s="4" t="s">
        <v>87</v>
      </c>
      <c r="U13" s="3" t="s">
        <v>140</v>
      </c>
      <c r="V13" s="3" t="s">
        <v>89</v>
      </c>
      <c r="W13" s="42" t="s">
        <v>51</v>
      </c>
      <c r="X13" s="6" t="n">
        <v>300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n">
        <f aca="false">IF(W13="CR",X13," ")</f>
        <v>300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S14" s="1" t="n">
        <v>46446</v>
      </c>
      <c r="T14" s="4" t="s">
        <v>90</v>
      </c>
      <c r="U14" s="3" t="s">
        <v>141</v>
      </c>
      <c r="V14" s="3" t="s">
        <v>92</v>
      </c>
      <c r="W14" s="42" t="s">
        <v>50</v>
      </c>
      <c r="X14" s="6" t="n">
        <v>300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n">
        <f aca="false">IF(W14="X",X14," ")</f>
        <v>300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Feb!A2</f>
        <v>100304.2</v>
      </c>
      <c r="B1" s="8" t="s">
        <v>0</v>
      </c>
      <c r="C1" s="9" t="n">
        <f aca="false">[1]Admin!$B$17</f>
        <v>46447</v>
      </c>
      <c r="D1" s="10" t="s">
        <v>1</v>
      </c>
      <c r="E1" s="11" t="n">
        <f aca="false">F1-SUM(G1:Q1)</f>
        <v>0</v>
      </c>
      <c r="F1" s="12" t="n">
        <f aca="false">SUM(F6:F200)</f>
        <v>38520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38520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26233.37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4100</v>
      </c>
      <c r="AC1" s="12" t="n">
        <f aca="false">SUM(AC6:AC200)</f>
        <v>5652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13808.17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1000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112590.83</v>
      </c>
      <c r="B2" s="18" t="s">
        <v>2</v>
      </c>
      <c r="C2" s="9" t="n">
        <f aca="false">[1]Admin!$B$18</f>
        <v>46477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46477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112590.83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  <c r="IW4" s="33"/>
    </row>
    <row r="5" customFormat="fals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</row>
    <row r="6" customFormat="false" ht="12.75" hidden="false" customHeight="false" outlineLevel="0" collapsed="false">
      <c r="A6" s="1" t="n">
        <v>46451</v>
      </c>
      <c r="B6" s="2" t="s">
        <v>142</v>
      </c>
      <c r="C6" s="3" t="s">
        <v>143</v>
      </c>
      <c r="D6" s="4" t="s">
        <v>144</v>
      </c>
      <c r="E6" s="38" t="s">
        <v>43</v>
      </c>
      <c r="F6" s="6" t="n">
        <v>2500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2500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46453</v>
      </c>
      <c r="T6" s="4" t="s">
        <v>76</v>
      </c>
      <c r="U6" s="3" t="s">
        <v>145</v>
      </c>
      <c r="V6" s="3" t="s">
        <v>146</v>
      </c>
      <c r="W6" s="40" t="s">
        <v>47</v>
      </c>
      <c r="X6" s="6" t="n">
        <v>13808.17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n">
        <f aca="false">IF(W6="RV",X6," ")</f>
        <v>13808.17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46466</v>
      </c>
      <c r="B7" s="2" t="s">
        <v>58</v>
      </c>
      <c r="C7" s="3" t="s">
        <v>147</v>
      </c>
      <c r="D7" s="4" t="s">
        <v>70</v>
      </c>
      <c r="E7" s="5" t="s">
        <v>43</v>
      </c>
      <c r="F7" s="6" t="n">
        <v>8000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8000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46447</v>
      </c>
      <c r="T7" s="4" t="s">
        <v>61</v>
      </c>
      <c r="U7" s="3" t="s">
        <v>148</v>
      </c>
      <c r="V7" s="3" t="s">
        <v>63</v>
      </c>
      <c r="W7" s="42" t="s">
        <v>51</v>
      </c>
      <c r="X7" s="6" t="n">
        <v>1200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n">
        <f aca="false">IF(W7="CR",X7," ")</f>
        <v>1200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46471</v>
      </c>
      <c r="B8" s="2" t="s">
        <v>74</v>
      </c>
      <c r="C8" s="3" t="s">
        <v>149</v>
      </c>
      <c r="D8" s="4" t="s">
        <v>70</v>
      </c>
      <c r="E8" s="5" t="s">
        <v>43</v>
      </c>
      <c r="F8" s="6" t="n">
        <v>2400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2400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46447</v>
      </c>
      <c r="T8" s="4" t="s">
        <v>66</v>
      </c>
      <c r="U8" s="3" t="s">
        <v>150</v>
      </c>
      <c r="V8" s="3" t="s">
        <v>68</v>
      </c>
      <c r="W8" s="42" t="s">
        <v>49</v>
      </c>
      <c r="X8" s="6" t="n">
        <v>1000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n">
        <f aca="false">IF(W8="DL",X8," ")</f>
        <v>1000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46474</v>
      </c>
      <c r="B9" s="2" t="s">
        <v>84</v>
      </c>
      <c r="C9" s="3" t="s">
        <v>151</v>
      </c>
      <c r="D9" s="4" t="s">
        <v>86</v>
      </c>
      <c r="E9" s="5" t="s">
        <v>43</v>
      </c>
      <c r="F9" s="6" t="n">
        <v>25620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n">
        <f aca="false">IF(E9="DR",F9," ")</f>
        <v>25620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46451</v>
      </c>
      <c r="T9" s="4" t="s">
        <v>71</v>
      </c>
      <c r="U9" s="3" t="s">
        <v>152</v>
      </c>
      <c r="V9" s="3" t="s">
        <v>73</v>
      </c>
      <c r="W9" s="42" t="s">
        <v>51</v>
      </c>
      <c r="X9" s="6" t="n">
        <v>2600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n">
        <f aca="false">IF(W9="CR",X9," ")</f>
        <v>2600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46465</v>
      </c>
      <c r="T10" s="4" t="s">
        <v>76</v>
      </c>
      <c r="U10" s="3" t="s">
        <v>153</v>
      </c>
      <c r="V10" s="3" t="s">
        <v>78</v>
      </c>
      <c r="W10" s="42" t="s">
        <v>55</v>
      </c>
      <c r="X10" s="6" t="n">
        <v>1673.2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n">
        <f aca="false">IF(W10="RP",X10," ")</f>
        <v>1673.2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46474</v>
      </c>
      <c r="T11" s="4" t="s">
        <v>81</v>
      </c>
      <c r="U11" s="3" t="s">
        <v>154</v>
      </c>
      <c r="V11" s="3" t="s">
        <v>83</v>
      </c>
      <c r="W11" s="42" t="s">
        <v>52</v>
      </c>
      <c r="X11" s="6" t="n">
        <v>5652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n">
        <f aca="false">IF(W11="W",X11," ")</f>
        <v>5652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46477</v>
      </c>
      <c r="T12" s="4" t="s">
        <v>87</v>
      </c>
      <c r="U12" s="3" t="s">
        <v>155</v>
      </c>
      <c r="V12" s="3" t="s">
        <v>89</v>
      </c>
      <c r="W12" s="42" t="s">
        <v>51</v>
      </c>
      <c r="X12" s="6" t="n">
        <v>300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n">
        <f aca="false">IF(W12="CR",X12," ")</f>
        <v>300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W13" s="42"/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W14" s="42"/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Mar!A2</f>
        <v>112590.83</v>
      </c>
      <c r="B1" s="8" t="s">
        <v>0</v>
      </c>
      <c r="C1" s="9" t="n">
        <f aca="false">[1]Admin!$B$19</f>
        <v>46478</v>
      </c>
      <c r="D1" s="10" t="s">
        <v>1</v>
      </c>
      <c r="E1" s="11" t="n">
        <f aca="false">F1-SUM(G1:Q1)</f>
        <v>0</v>
      </c>
      <c r="F1" s="12" t="n">
        <f aca="false">SUM(F6:F200)</f>
        <v>33760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33760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20233.2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10600</v>
      </c>
      <c r="AC1" s="12" t="n">
        <f aca="false">SUM(AC6:AC200)</f>
        <v>5652</v>
      </c>
      <c r="AD1" s="12" t="n">
        <f aca="false">SUM(AD6:AD200)</f>
        <v>1308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1000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126117.63</v>
      </c>
      <c r="B2" s="18" t="s">
        <v>2</v>
      </c>
      <c r="C2" s="9" t="n">
        <f aca="false">[1]Admin!$B$20</f>
        <v>46507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46507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126117.63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  <c r="IW4" s="33"/>
    </row>
    <row r="5" customFormat="fals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</row>
    <row r="6" customFormat="false" ht="12.75" hidden="false" customHeight="false" outlineLevel="0" collapsed="false">
      <c r="A6" s="1" t="n">
        <v>46497</v>
      </c>
      <c r="B6" s="2" t="s">
        <v>58</v>
      </c>
      <c r="C6" s="3" t="s">
        <v>156</v>
      </c>
      <c r="D6" s="4" t="s">
        <v>70</v>
      </c>
      <c r="E6" s="38" t="s">
        <v>43</v>
      </c>
      <c r="F6" s="6" t="n">
        <v>8000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8000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46478</v>
      </c>
      <c r="T6" s="4" t="s">
        <v>61</v>
      </c>
      <c r="U6" s="3" t="s">
        <v>157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46502</v>
      </c>
      <c r="B7" s="2" t="s">
        <v>74</v>
      </c>
      <c r="C7" s="3" t="s">
        <v>158</v>
      </c>
      <c r="D7" s="4" t="s">
        <v>70</v>
      </c>
      <c r="E7" s="5" t="s">
        <v>43</v>
      </c>
      <c r="F7" s="6" t="n">
        <v>2400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2400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46478</v>
      </c>
      <c r="T7" s="4" t="s">
        <v>66</v>
      </c>
      <c r="U7" s="3" t="s">
        <v>159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46505</v>
      </c>
      <c r="B8" s="2" t="s">
        <v>84</v>
      </c>
      <c r="C8" s="3" t="s">
        <v>160</v>
      </c>
      <c r="D8" s="4" t="s">
        <v>86</v>
      </c>
      <c r="E8" s="5" t="s">
        <v>43</v>
      </c>
      <c r="F8" s="6" t="n">
        <v>23360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23360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46482</v>
      </c>
      <c r="T8" s="4" t="s">
        <v>71</v>
      </c>
      <c r="U8" s="3" t="s">
        <v>161</v>
      </c>
      <c r="V8" s="3" t="s">
        <v>73</v>
      </c>
      <c r="W8" s="42" t="s">
        <v>51</v>
      </c>
      <c r="X8" s="6" t="n">
        <v>2100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n">
        <f aca="false">IF(W8="CR",X8," ")</f>
        <v>2100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46496</v>
      </c>
      <c r="T9" s="4" t="s">
        <v>76</v>
      </c>
      <c r="U9" s="3" t="s">
        <v>162</v>
      </c>
      <c r="V9" s="3" t="s">
        <v>78</v>
      </c>
      <c r="W9" s="42" t="s">
        <v>55</v>
      </c>
      <c r="X9" s="6" t="n">
        <v>1673.2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n">
        <f aca="false">IF(W9="RP",X9," ")</f>
        <v>1673.2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46505</v>
      </c>
      <c r="T10" s="4" t="s">
        <v>81</v>
      </c>
      <c r="U10" s="3" t="s">
        <v>163</v>
      </c>
      <c r="V10" s="3" t="s">
        <v>83</v>
      </c>
      <c r="W10" s="42" t="s">
        <v>52</v>
      </c>
      <c r="X10" s="6" t="n">
        <v>5652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n">
        <f aca="false">IF(W10="W",X10," ")</f>
        <v>5652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46507</v>
      </c>
      <c r="T11" s="4" t="s">
        <v>118</v>
      </c>
      <c r="U11" s="3" t="s">
        <v>164</v>
      </c>
      <c r="V11" s="3" t="s">
        <v>120</v>
      </c>
      <c r="W11" s="42" t="s">
        <v>53</v>
      </c>
      <c r="X11" s="6" t="n">
        <v>208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n">
        <f aca="false">IF(W11="B",X11," ")</f>
        <v>208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46507</v>
      </c>
      <c r="T12" s="4" t="s">
        <v>87</v>
      </c>
      <c r="U12" s="3" t="s">
        <v>165</v>
      </c>
      <c r="V12" s="3" t="s">
        <v>89</v>
      </c>
      <c r="W12" s="42" t="s">
        <v>51</v>
      </c>
      <c r="X12" s="6" t="n">
        <v>300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n">
        <f aca="false">IF(W12="CR",X12," ")</f>
        <v>300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46478</v>
      </c>
      <c r="T13" s="4" t="s">
        <v>122</v>
      </c>
      <c r="U13" s="3" t="s">
        <v>166</v>
      </c>
      <c r="V13" s="3" t="s">
        <v>167</v>
      </c>
      <c r="W13" s="42" t="s">
        <v>53</v>
      </c>
      <c r="X13" s="6" t="n">
        <v>1100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n">
        <f aca="false">IF(W13="B",X13," ")</f>
        <v>1100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S14" s="1" t="n">
        <v>46478</v>
      </c>
      <c r="T14" s="4" t="s">
        <v>122</v>
      </c>
      <c r="U14" s="3" t="s">
        <v>168</v>
      </c>
      <c r="V14" s="3" t="s">
        <v>169</v>
      </c>
      <c r="W14" s="42" t="s">
        <v>51</v>
      </c>
      <c r="X14" s="6" t="n">
        <v>7000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n">
        <f aca="false">IF(W14="CR",X14," ")</f>
        <v>7000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Apr!A2</f>
        <v>126117.63</v>
      </c>
      <c r="B1" s="8" t="s">
        <v>0</v>
      </c>
      <c r="C1" s="9" t="n">
        <f aca="false">[1]Admin!$B$21</f>
        <v>46508</v>
      </c>
      <c r="D1" s="10" t="s">
        <v>1</v>
      </c>
      <c r="E1" s="11" t="n">
        <f aca="false">F1-SUM(G1:Q1)</f>
        <v>0</v>
      </c>
      <c r="F1" s="12" t="n">
        <f aca="false">SUM(F6:F200)</f>
        <v>50560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50560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56825.2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40500</v>
      </c>
      <c r="AC1" s="12" t="n">
        <f aca="false">SUM(AC6:AC200)</f>
        <v>5652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4500</v>
      </c>
      <c r="AL1" s="12" t="n">
        <f aca="false">SUM(AL6:AL200)</f>
        <v>3000</v>
      </c>
      <c r="AM1" s="12" t="n">
        <f aca="false">SUM(AM6:AM200)</f>
        <v>1000</v>
      </c>
      <c r="AN1" s="12" t="n">
        <f aca="false">SUM(AN6:AN200)</f>
        <v>500</v>
      </c>
    </row>
    <row r="2" customFormat="false" ht="15" hidden="false" customHeight="true" outlineLevel="0" collapsed="false">
      <c r="A2" s="17" t="n">
        <f aca="false">A1+F1-X1</f>
        <v>119852.43</v>
      </c>
      <c r="B2" s="18" t="s">
        <v>2</v>
      </c>
      <c r="C2" s="9" t="n">
        <f aca="false">[1]Admin!$B$22</f>
        <v>46538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46538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119852.43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  <c r="IW4" s="33"/>
    </row>
    <row r="5" customFormat="fals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</row>
    <row r="6" customFormat="false" ht="12.75" hidden="false" customHeight="false" outlineLevel="0" collapsed="false">
      <c r="A6" s="1" t="n">
        <v>46522</v>
      </c>
      <c r="B6" s="2" t="s">
        <v>170</v>
      </c>
      <c r="C6" s="3" t="s">
        <v>171</v>
      </c>
      <c r="D6" s="4" t="s">
        <v>172</v>
      </c>
      <c r="E6" s="38" t="s">
        <v>43</v>
      </c>
      <c r="F6" s="6" t="n">
        <v>15000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15000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46508</v>
      </c>
      <c r="T6" s="4" t="s">
        <v>61</v>
      </c>
      <c r="U6" s="3" t="s">
        <v>173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46527</v>
      </c>
      <c r="B7" s="2" t="s">
        <v>58</v>
      </c>
      <c r="C7" s="3" t="s">
        <v>174</v>
      </c>
      <c r="D7" s="4" t="s">
        <v>70</v>
      </c>
      <c r="E7" s="5" t="s">
        <v>43</v>
      </c>
      <c r="F7" s="6" t="n">
        <v>8000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8000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46508</v>
      </c>
      <c r="T7" s="4" t="s">
        <v>66</v>
      </c>
      <c r="U7" s="3" t="s">
        <v>175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46532</v>
      </c>
      <c r="B8" s="2" t="s">
        <v>74</v>
      </c>
      <c r="C8" s="3" t="s">
        <v>176</v>
      </c>
      <c r="D8" s="4" t="s">
        <v>70</v>
      </c>
      <c r="E8" s="5" t="s">
        <v>43</v>
      </c>
      <c r="F8" s="6" t="n">
        <v>2400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2400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46508</v>
      </c>
      <c r="T8" s="4" t="s">
        <v>76</v>
      </c>
      <c r="U8" s="3" t="s">
        <v>177</v>
      </c>
      <c r="V8" s="3" t="s">
        <v>178</v>
      </c>
      <c r="W8" s="42" t="s">
        <v>56</v>
      </c>
      <c r="X8" s="6" t="n">
        <v>4500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n">
        <f aca="false">IF(W8="RT",X8," ")</f>
        <v>4500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46535</v>
      </c>
      <c r="B9" s="2" t="s">
        <v>84</v>
      </c>
      <c r="C9" s="3" t="s">
        <v>179</v>
      </c>
      <c r="D9" s="4" t="s">
        <v>86</v>
      </c>
      <c r="E9" s="5" t="s">
        <v>43</v>
      </c>
      <c r="F9" s="6" t="n">
        <v>25160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n">
        <f aca="false">IF(E9="DR",F9," ")</f>
        <v>25160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46512</v>
      </c>
      <c r="T9" s="4" t="s">
        <v>71</v>
      </c>
      <c r="U9" s="3" t="s">
        <v>180</v>
      </c>
      <c r="V9" s="3" t="s">
        <v>73</v>
      </c>
      <c r="W9" s="42" t="s">
        <v>51</v>
      </c>
      <c r="X9" s="6" t="n">
        <v>3000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n">
        <f aca="false">IF(W9="CR",X9," ")</f>
        <v>3000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46522</v>
      </c>
      <c r="T10" s="4" t="s">
        <v>133</v>
      </c>
      <c r="U10" s="3" t="s">
        <v>181</v>
      </c>
      <c r="V10" s="3" t="s">
        <v>135</v>
      </c>
      <c r="W10" s="42" t="s">
        <v>57</v>
      </c>
      <c r="X10" s="6" t="n">
        <v>3000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n">
        <f aca="false">IF(W10="DV",X10," ")</f>
        <v>3000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46526</v>
      </c>
      <c r="T11" s="4" t="s">
        <v>76</v>
      </c>
      <c r="U11" s="3" t="s">
        <v>182</v>
      </c>
      <c r="V11" s="3" t="s">
        <v>78</v>
      </c>
      <c r="W11" s="42" t="s">
        <v>55</v>
      </c>
      <c r="X11" s="6" t="n">
        <v>1673.2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n">
        <f aca="false">IF(W11="RP",X11," ")</f>
        <v>1673.2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46532</v>
      </c>
      <c r="T12" s="4" t="s">
        <v>183</v>
      </c>
      <c r="U12" s="3" t="s">
        <v>184</v>
      </c>
      <c r="V12" s="3" t="s">
        <v>185</v>
      </c>
      <c r="W12" s="42" t="s">
        <v>51</v>
      </c>
      <c r="X12" s="6" t="n">
        <v>36000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n">
        <f aca="false">IF(W12="CR",X12," ")</f>
        <v>36000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46535</v>
      </c>
      <c r="T13" s="4" t="s">
        <v>81</v>
      </c>
      <c r="U13" s="3" t="s">
        <v>186</v>
      </c>
      <c r="V13" s="3" t="s">
        <v>83</v>
      </c>
      <c r="W13" s="42" t="s">
        <v>52</v>
      </c>
      <c r="X13" s="6" t="n">
        <v>5652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n">
        <f aca="false">IF(W13="W",X13," ")</f>
        <v>5652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S14" s="1" t="n">
        <v>46538</v>
      </c>
      <c r="T14" s="4" t="s">
        <v>87</v>
      </c>
      <c r="U14" s="3" t="s">
        <v>187</v>
      </c>
      <c r="V14" s="3" t="s">
        <v>89</v>
      </c>
      <c r="W14" s="42" t="s">
        <v>51</v>
      </c>
      <c r="X14" s="6" t="n">
        <v>300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n">
        <f aca="false">IF(W14="CR",X14," ")</f>
        <v>300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S15" s="1" t="n">
        <v>46538</v>
      </c>
      <c r="T15" s="4" t="s">
        <v>90</v>
      </c>
      <c r="U15" s="3" t="s">
        <v>188</v>
      </c>
      <c r="V15" s="3" t="s">
        <v>92</v>
      </c>
      <c r="W15" s="42" t="s">
        <v>50</v>
      </c>
      <c r="X15" s="6" t="n">
        <v>500</v>
      </c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n">
        <f aca="false">IF(W15="X",X15," ")</f>
        <v>500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May!A2</f>
        <v>119852.43</v>
      </c>
      <c r="B1" s="8" t="s">
        <v>0</v>
      </c>
      <c r="C1" s="9" t="n">
        <f aca="false">[1]Admin!$B$23</f>
        <v>46539</v>
      </c>
      <c r="D1" s="10" t="s">
        <v>1</v>
      </c>
      <c r="E1" s="11" t="n">
        <f aca="false">F1-SUM(G1:Q1)</f>
        <v>0</v>
      </c>
      <c r="F1" s="12" t="n">
        <f aca="false">SUM(F6:F200)</f>
        <v>35320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35320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26706.7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3900</v>
      </c>
      <c r="AC1" s="12" t="n">
        <f aca="false">SUM(AC6:AC200)</f>
        <v>5652</v>
      </c>
      <c r="AD1" s="12" t="n">
        <f aca="false">SUM(AD6:AD200)</f>
        <v>25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14456.5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1000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128465.73</v>
      </c>
      <c r="B2" s="18" t="s">
        <v>2</v>
      </c>
      <c r="C2" s="9" t="n">
        <f aca="false">[1]Admin!$B$24</f>
        <v>46568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46568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128465.73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  <c r="IW4" s="33"/>
    </row>
    <row r="5" customFormat="fals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</row>
    <row r="6" customFormat="false" ht="12.75" hidden="false" customHeight="false" outlineLevel="0" collapsed="false">
      <c r="A6" s="1" t="n">
        <v>46558</v>
      </c>
      <c r="B6" s="2" t="s">
        <v>58</v>
      </c>
      <c r="C6" s="3" t="s">
        <v>189</v>
      </c>
      <c r="D6" s="4" t="s">
        <v>70</v>
      </c>
      <c r="E6" s="38" t="s">
        <v>43</v>
      </c>
      <c r="F6" s="6" t="n">
        <v>8000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8000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46545</v>
      </c>
      <c r="T6" s="4" t="s">
        <v>76</v>
      </c>
      <c r="U6" s="3" t="s">
        <v>190</v>
      </c>
      <c r="V6" s="3" t="s">
        <v>191</v>
      </c>
      <c r="W6" s="40" t="s">
        <v>47</v>
      </c>
      <c r="X6" s="6" t="n">
        <v>14456.5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n">
        <f aca="false">IF(W6="RV",X6," ")</f>
        <v>14456.5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46563</v>
      </c>
      <c r="B7" s="2" t="s">
        <v>74</v>
      </c>
      <c r="C7" s="3" t="s">
        <v>192</v>
      </c>
      <c r="D7" s="4" t="s">
        <v>70</v>
      </c>
      <c r="E7" s="5" t="s">
        <v>43</v>
      </c>
      <c r="F7" s="6" t="n">
        <v>2400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2400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46539</v>
      </c>
      <c r="T7" s="4" t="s">
        <v>61</v>
      </c>
      <c r="U7" s="3" t="s">
        <v>193</v>
      </c>
      <c r="V7" s="3" t="s">
        <v>63</v>
      </c>
      <c r="W7" s="42" t="s">
        <v>51</v>
      </c>
      <c r="X7" s="6" t="n">
        <v>1200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n">
        <f aca="false">IF(W7="CR",X7," ")</f>
        <v>1200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46566</v>
      </c>
      <c r="B8" s="2" t="s">
        <v>84</v>
      </c>
      <c r="C8" s="3" t="s">
        <v>194</v>
      </c>
      <c r="D8" s="4" t="s">
        <v>86</v>
      </c>
      <c r="E8" s="5" t="s">
        <v>43</v>
      </c>
      <c r="F8" s="6" t="n">
        <v>24920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24920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46539</v>
      </c>
      <c r="T8" s="4" t="s">
        <v>66</v>
      </c>
      <c r="U8" s="3" t="s">
        <v>195</v>
      </c>
      <c r="V8" s="3" t="s">
        <v>68</v>
      </c>
      <c r="W8" s="42" t="s">
        <v>49</v>
      </c>
      <c r="X8" s="6" t="n">
        <v>1000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n">
        <f aca="false">IF(W8="DL",X8," ")</f>
        <v>1000</v>
      </c>
      <c r="AN8" s="6" t="str">
        <f aca="false">IF(W8="X",X8," ")</f>
        <v> </v>
      </c>
    </row>
    <row r="9" customFormat="false" ht="12.75" hidden="false" customHeight="false" outlineLevel="0" collapsed="false"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46543</v>
      </c>
      <c r="T9" s="4" t="s">
        <v>71</v>
      </c>
      <c r="U9" s="3" t="s">
        <v>196</v>
      </c>
      <c r="V9" s="3" t="s">
        <v>73</v>
      </c>
      <c r="W9" s="42" t="s">
        <v>51</v>
      </c>
      <c r="X9" s="6" t="n">
        <v>2400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n">
        <f aca="false">IF(W9="CR",X9," ")</f>
        <v>2400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46557</v>
      </c>
      <c r="T10" s="4" t="s">
        <v>76</v>
      </c>
      <c r="U10" s="3" t="s">
        <v>197</v>
      </c>
      <c r="V10" s="3" t="s">
        <v>78</v>
      </c>
      <c r="W10" s="42" t="s">
        <v>55</v>
      </c>
      <c r="X10" s="6" t="n">
        <v>1673.2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n">
        <f aca="false">IF(W10="RP",X10," ")</f>
        <v>1673.2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46563</v>
      </c>
      <c r="T11" s="4" t="s">
        <v>100</v>
      </c>
      <c r="U11" s="3" t="s">
        <v>198</v>
      </c>
      <c r="V11" s="3" t="s">
        <v>102</v>
      </c>
      <c r="W11" s="42" t="s">
        <v>53</v>
      </c>
      <c r="X11" s="6" t="n">
        <v>25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n">
        <f aca="false">IF(W11="B",X11," ")</f>
        <v>25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46566</v>
      </c>
      <c r="T12" s="4" t="s">
        <v>81</v>
      </c>
      <c r="U12" s="3" t="s">
        <v>199</v>
      </c>
      <c r="V12" s="3" t="s">
        <v>83</v>
      </c>
      <c r="W12" s="42" t="s">
        <v>52</v>
      </c>
      <c r="X12" s="6" t="n">
        <v>5652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n">
        <f aca="false">IF(W12="W",X12," ")</f>
        <v>5652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46568</v>
      </c>
      <c r="T13" s="4" t="s">
        <v>87</v>
      </c>
      <c r="U13" s="3" t="s">
        <v>200</v>
      </c>
      <c r="V13" s="3" t="s">
        <v>89</v>
      </c>
      <c r="W13" s="42" t="s">
        <v>51</v>
      </c>
      <c r="X13" s="6" t="n">
        <v>300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n">
        <f aca="false">IF(W13="CR",X13," ")</f>
        <v>300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W14" s="42"/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Jun!A2</f>
        <v>128465.73</v>
      </c>
      <c r="B1" s="8" t="s">
        <v>0</v>
      </c>
      <c r="C1" s="9" t="n">
        <f aca="false">[1]Admin!$B$25</f>
        <v>46569</v>
      </c>
      <c r="D1" s="10" t="s">
        <v>1</v>
      </c>
      <c r="E1" s="11" t="n">
        <f aca="false">F1-SUM(G1:Q1)</f>
        <v>0</v>
      </c>
      <c r="F1" s="12" t="n">
        <f aca="false">SUM(F6:F200)</f>
        <v>32800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32800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13292.2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4200</v>
      </c>
      <c r="AC1" s="12" t="n">
        <f aca="false">SUM(AC6:AC200)</f>
        <v>5652</v>
      </c>
      <c r="AD1" s="12" t="n">
        <f aca="false">SUM(AD6:AD200)</f>
        <v>167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0</v>
      </c>
      <c r="AJ1" s="12" t="n">
        <f aca="false">SUM(AJ6:AJ200)</f>
        <v>600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1000</v>
      </c>
      <c r="AN1" s="12" t="n">
        <f aca="false">SUM(AN6:AN200)</f>
        <v>0</v>
      </c>
    </row>
    <row r="2" customFormat="false" ht="15.75" hidden="false" customHeight="true" outlineLevel="0" collapsed="false">
      <c r="A2" s="17" t="n">
        <f aca="false">A1+F1-X1</f>
        <v>147973.53</v>
      </c>
      <c r="B2" s="18" t="s">
        <v>2</v>
      </c>
      <c r="C2" s="9" t="n">
        <f aca="false">[1]Admin!$B$26</f>
        <v>46599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46599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147973.53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  <c r="IW4" s="33"/>
    </row>
    <row r="5" customFormat="fals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</row>
    <row r="6" customFormat="false" ht="12.75" hidden="false" customHeight="false" outlineLevel="0" collapsed="false">
      <c r="A6" s="1" t="n">
        <v>46588</v>
      </c>
      <c r="B6" s="2" t="s">
        <v>58</v>
      </c>
      <c r="C6" s="3" t="s">
        <v>201</v>
      </c>
      <c r="D6" s="4" t="s">
        <v>70</v>
      </c>
      <c r="E6" s="38" t="s">
        <v>43</v>
      </c>
      <c r="F6" s="6" t="n">
        <v>8000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8000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46569</v>
      </c>
      <c r="T6" s="4" t="s">
        <v>61</v>
      </c>
      <c r="U6" s="3" t="s">
        <v>202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46593</v>
      </c>
      <c r="B7" s="2" t="s">
        <v>74</v>
      </c>
      <c r="C7" s="3" t="s">
        <v>203</v>
      </c>
      <c r="D7" s="4" t="s">
        <v>70</v>
      </c>
      <c r="E7" s="5" t="s">
        <v>43</v>
      </c>
      <c r="F7" s="6" t="n">
        <v>2400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2400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46569</v>
      </c>
      <c r="T7" s="4" t="s">
        <v>66</v>
      </c>
      <c r="U7" s="3" t="s">
        <v>204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46596</v>
      </c>
      <c r="B8" s="2" t="s">
        <v>84</v>
      </c>
      <c r="C8" s="3" t="s">
        <v>205</v>
      </c>
      <c r="D8" s="4" t="s">
        <v>86</v>
      </c>
      <c r="E8" s="5" t="s">
        <v>43</v>
      </c>
      <c r="F8" s="6" t="n">
        <v>22400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22400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46573</v>
      </c>
      <c r="T8" s="4" t="s">
        <v>71</v>
      </c>
      <c r="U8" s="3" t="s">
        <v>206</v>
      </c>
      <c r="V8" s="3" t="s">
        <v>73</v>
      </c>
      <c r="W8" s="42" t="s">
        <v>51</v>
      </c>
      <c r="X8" s="6" t="n">
        <v>2700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n">
        <f aca="false">IF(W8="CR",X8," ")</f>
        <v>2700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46587</v>
      </c>
      <c r="T9" s="4" t="s">
        <v>76</v>
      </c>
      <c r="U9" s="3" t="s">
        <v>207</v>
      </c>
      <c r="V9" s="3" t="s">
        <v>78</v>
      </c>
      <c r="W9" s="42" t="s">
        <v>55</v>
      </c>
      <c r="X9" s="6" t="n">
        <v>1673.2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n">
        <f aca="false">IF(W9="RP",X9," ")</f>
        <v>1673.2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46587</v>
      </c>
      <c r="T10" s="4" t="s">
        <v>76</v>
      </c>
      <c r="U10" s="3" t="s">
        <v>208</v>
      </c>
      <c r="V10" s="3" t="s">
        <v>138</v>
      </c>
      <c r="W10" s="42" t="s">
        <v>48</v>
      </c>
      <c r="X10" s="6" t="n">
        <v>600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n">
        <f aca="false">IF(W10="RC",X10," ")</f>
        <v>600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46596</v>
      </c>
      <c r="T11" s="4" t="s">
        <v>81</v>
      </c>
      <c r="U11" s="3" t="s">
        <v>209</v>
      </c>
      <c r="V11" s="3" t="s">
        <v>83</v>
      </c>
      <c r="W11" s="42" t="s">
        <v>52</v>
      </c>
      <c r="X11" s="6" t="n">
        <v>5652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n">
        <f aca="false">IF(W11="W",X11," ")</f>
        <v>5652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46599</v>
      </c>
      <c r="T12" s="4" t="s">
        <v>118</v>
      </c>
      <c r="U12" s="3" t="s">
        <v>210</v>
      </c>
      <c r="V12" s="3" t="s">
        <v>120</v>
      </c>
      <c r="W12" s="42" t="s">
        <v>53</v>
      </c>
      <c r="X12" s="6" t="n">
        <v>167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n">
        <f aca="false">IF(W12="B",X12," ")</f>
        <v>167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46599</v>
      </c>
      <c r="T13" s="4" t="s">
        <v>87</v>
      </c>
      <c r="U13" s="3" t="s">
        <v>211</v>
      </c>
      <c r="V13" s="3" t="s">
        <v>89</v>
      </c>
      <c r="W13" s="42" t="s">
        <v>51</v>
      </c>
      <c r="X13" s="6" t="n">
        <v>300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n">
        <f aca="false">IF(W13="CR",X13," ")</f>
        <v>300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W14" s="42"/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Jul!A2</f>
        <v>147973.53</v>
      </c>
      <c r="B1" s="8" t="s">
        <v>0</v>
      </c>
      <c r="C1" s="9" t="n">
        <f aca="false">[1]Admin!$B$27</f>
        <v>46600</v>
      </c>
      <c r="D1" s="10" t="s">
        <v>1</v>
      </c>
      <c r="E1" s="11" t="n">
        <f aca="false">F1-SUM(G1:Q1)</f>
        <v>0</v>
      </c>
      <c r="F1" s="12" t="n">
        <f aca="false">SUM(F6:F200)</f>
        <v>40440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35440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5000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15625.2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4000</v>
      </c>
      <c r="AC1" s="12" t="n">
        <f aca="false">SUM(AC6:AC200)</f>
        <v>5652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3000</v>
      </c>
      <c r="AM1" s="12" t="n">
        <f aca="false">SUM(AM6:AM200)</f>
        <v>1000</v>
      </c>
      <c r="AN1" s="12" t="n">
        <f aca="false">SUM(AN6:AN200)</f>
        <v>300</v>
      </c>
    </row>
    <row r="2" customFormat="false" ht="15" hidden="false" customHeight="true" outlineLevel="0" collapsed="false">
      <c r="A2" s="17" t="n">
        <f aca="false">A1+F1-X1</f>
        <v>172788.33</v>
      </c>
      <c r="B2" s="18" t="s">
        <v>2</v>
      </c>
      <c r="C2" s="9" t="n">
        <f aca="false">[1]Admin!$B$28</f>
        <v>46630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46630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172788.33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  <c r="IW4" s="33"/>
    </row>
    <row r="5" customFormat="fals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</row>
    <row r="6" customFormat="false" ht="12.75" hidden="false" customHeight="false" outlineLevel="0" collapsed="false">
      <c r="A6" s="1" t="n">
        <v>46614</v>
      </c>
      <c r="B6" s="2" t="s">
        <v>212</v>
      </c>
      <c r="C6" s="3" t="s">
        <v>213</v>
      </c>
      <c r="D6" s="4" t="s">
        <v>214</v>
      </c>
      <c r="E6" s="38" t="s">
        <v>49</v>
      </c>
      <c r="F6" s="6" t="n">
        <v>5000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n">
        <f aca="false">IF(E6="DL",F6," ")</f>
        <v>5000</v>
      </c>
      <c r="Q6" s="6" t="str">
        <f aca="false">IF(E6="X",F6," ")</f>
        <v> </v>
      </c>
      <c r="R6" s="39"/>
      <c r="S6" s="1" t="n">
        <v>46600</v>
      </c>
      <c r="T6" s="4" t="s">
        <v>61</v>
      </c>
      <c r="U6" s="3" t="s">
        <v>215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46619</v>
      </c>
      <c r="B7" s="2" t="s">
        <v>58</v>
      </c>
      <c r="C7" s="3" t="s">
        <v>216</v>
      </c>
      <c r="D7" s="4" t="s">
        <v>70</v>
      </c>
      <c r="E7" s="5" t="s">
        <v>43</v>
      </c>
      <c r="F7" s="6" t="n">
        <v>8000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8000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46600</v>
      </c>
      <c r="T7" s="4" t="s">
        <v>66</v>
      </c>
      <c r="U7" s="3" t="s">
        <v>217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46624</v>
      </c>
      <c r="B8" s="2" t="s">
        <v>74</v>
      </c>
      <c r="C8" s="3" t="s">
        <v>218</v>
      </c>
      <c r="D8" s="4" t="s">
        <v>70</v>
      </c>
      <c r="E8" s="5" t="s">
        <v>43</v>
      </c>
      <c r="F8" s="6" t="n">
        <v>2400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2400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46604</v>
      </c>
      <c r="T8" s="4" t="s">
        <v>71</v>
      </c>
      <c r="U8" s="3" t="s">
        <v>219</v>
      </c>
      <c r="V8" s="3" t="s">
        <v>73</v>
      </c>
      <c r="W8" s="42" t="s">
        <v>51</v>
      </c>
      <c r="X8" s="6" t="n">
        <v>2500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n">
        <f aca="false">IF(W8="CR",X8," ")</f>
        <v>2500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46627</v>
      </c>
      <c r="B9" s="2" t="s">
        <v>84</v>
      </c>
      <c r="C9" s="3" t="s">
        <v>220</v>
      </c>
      <c r="D9" s="4" t="s">
        <v>86</v>
      </c>
      <c r="E9" s="5" t="s">
        <v>43</v>
      </c>
      <c r="F9" s="6" t="n">
        <v>25040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n">
        <f aca="false">IF(E9="DR",F9," ")</f>
        <v>25040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46614</v>
      </c>
      <c r="T9" s="4" t="s">
        <v>133</v>
      </c>
      <c r="U9" s="3" t="s">
        <v>221</v>
      </c>
      <c r="V9" s="3" t="s">
        <v>135</v>
      </c>
      <c r="W9" s="42" t="s">
        <v>57</v>
      </c>
      <c r="X9" s="6" t="n">
        <v>3000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n">
        <f aca="false">IF(W9="DV",X9," ")</f>
        <v>3000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46618</v>
      </c>
      <c r="T10" s="4" t="s">
        <v>76</v>
      </c>
      <c r="U10" s="3" t="s">
        <v>222</v>
      </c>
      <c r="V10" s="3" t="s">
        <v>78</v>
      </c>
      <c r="W10" s="42" t="s">
        <v>55</v>
      </c>
      <c r="X10" s="6" t="n">
        <v>1673.2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n">
        <f aca="false">IF(W10="RP",X10," ")</f>
        <v>1673.2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46627</v>
      </c>
      <c r="T11" s="4" t="s">
        <v>81</v>
      </c>
      <c r="U11" s="3" t="s">
        <v>223</v>
      </c>
      <c r="V11" s="3" t="s">
        <v>83</v>
      </c>
      <c r="W11" s="42" t="s">
        <v>52</v>
      </c>
      <c r="X11" s="6" t="n">
        <v>5652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n">
        <f aca="false">IF(W11="W",X11," ")</f>
        <v>5652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46630</v>
      </c>
      <c r="T12" s="4" t="s">
        <v>87</v>
      </c>
      <c r="U12" s="3" t="s">
        <v>224</v>
      </c>
      <c r="V12" s="3" t="s">
        <v>89</v>
      </c>
      <c r="W12" s="42" t="s">
        <v>51</v>
      </c>
      <c r="X12" s="6" t="n">
        <v>300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n">
        <f aca="false">IF(W12="CR",X12," ")</f>
        <v>300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46630</v>
      </c>
      <c r="T13" s="4" t="s">
        <v>90</v>
      </c>
      <c r="U13" s="3" t="s">
        <v>225</v>
      </c>
      <c r="V13" s="3" t="s">
        <v>92</v>
      </c>
      <c r="W13" s="42" t="s">
        <v>50</v>
      </c>
      <c r="X13" s="6" t="n">
        <v>300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n">
        <f aca="false">IF(W13="X",X13," ")</f>
        <v>300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W14" s="42"/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Aug!A2</f>
        <v>172788.33</v>
      </c>
      <c r="B1" s="8" t="s">
        <v>0</v>
      </c>
      <c r="C1" s="9" t="n">
        <f aca="false">[1]Admin!$B$29</f>
        <v>46631</v>
      </c>
      <c r="D1" s="10" t="s">
        <v>1</v>
      </c>
      <c r="E1" s="11" t="n">
        <f aca="false">F1-SUM(G1:Q1)</f>
        <v>0</v>
      </c>
      <c r="F1" s="12" t="n">
        <f aca="false">SUM(F6:F200)</f>
        <v>34360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34360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23642.7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4400</v>
      </c>
      <c r="AC1" s="12" t="n">
        <f aca="false">SUM(AC6:AC200)</f>
        <v>5652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10917.5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1000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183505.63</v>
      </c>
      <c r="B2" s="18" t="s">
        <v>2</v>
      </c>
      <c r="C2" s="9" t="n">
        <f aca="false">[1]Admin!$B$30</f>
        <v>46660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46660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183505.63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  <c r="IW4" s="33"/>
    </row>
    <row r="5" customFormat="fals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</row>
    <row r="6" customFormat="false" ht="12.75" hidden="false" customHeight="false" outlineLevel="0" collapsed="false">
      <c r="A6" s="1" t="n">
        <v>46650</v>
      </c>
      <c r="B6" s="2" t="s">
        <v>58</v>
      </c>
      <c r="C6" s="3" t="s">
        <v>226</v>
      </c>
      <c r="D6" s="4" t="s">
        <v>70</v>
      </c>
      <c r="E6" s="38" t="s">
        <v>43</v>
      </c>
      <c r="F6" s="6" t="n">
        <v>8000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8000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46637</v>
      </c>
      <c r="T6" s="4" t="s">
        <v>76</v>
      </c>
      <c r="U6" s="3" t="s">
        <v>227</v>
      </c>
      <c r="V6" s="3" t="s">
        <v>228</v>
      </c>
      <c r="W6" s="40" t="s">
        <v>47</v>
      </c>
      <c r="X6" s="6" t="n">
        <v>10917.5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n">
        <f aca="false">IF(W6="RV",X6," ")</f>
        <v>10917.5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46655</v>
      </c>
      <c r="B7" s="2" t="s">
        <v>74</v>
      </c>
      <c r="C7" s="3" t="s">
        <v>229</v>
      </c>
      <c r="D7" s="4" t="s">
        <v>70</v>
      </c>
      <c r="E7" s="5" t="s">
        <v>43</v>
      </c>
      <c r="F7" s="6" t="n">
        <v>2400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2400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46631</v>
      </c>
      <c r="T7" s="4" t="s">
        <v>61</v>
      </c>
      <c r="U7" s="3" t="s">
        <v>230</v>
      </c>
      <c r="V7" s="3" t="s">
        <v>63</v>
      </c>
      <c r="W7" s="42" t="s">
        <v>51</v>
      </c>
      <c r="X7" s="6" t="n">
        <v>1200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n">
        <f aca="false">IF(W7="CR",X7," ")</f>
        <v>1200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46658</v>
      </c>
      <c r="B8" s="2" t="s">
        <v>84</v>
      </c>
      <c r="C8" s="3" t="s">
        <v>231</v>
      </c>
      <c r="D8" s="4" t="s">
        <v>86</v>
      </c>
      <c r="E8" s="5" t="s">
        <v>43</v>
      </c>
      <c r="F8" s="6" t="n">
        <v>23960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23960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46631</v>
      </c>
      <c r="T8" s="4" t="s">
        <v>66</v>
      </c>
      <c r="U8" s="3" t="s">
        <v>232</v>
      </c>
      <c r="V8" s="3" t="s">
        <v>68</v>
      </c>
      <c r="W8" s="42" t="s">
        <v>49</v>
      </c>
      <c r="X8" s="6" t="n">
        <v>1000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n">
        <f aca="false">IF(W8="DL",X8," ")</f>
        <v>1000</v>
      </c>
      <c r="AN8" s="6" t="str">
        <f aca="false">IF(W8="X",X8," ")</f>
        <v> </v>
      </c>
    </row>
    <row r="9" customFormat="false" ht="12.75" hidden="false" customHeight="false" outlineLevel="0" collapsed="false"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46635</v>
      </c>
      <c r="T9" s="4" t="s">
        <v>71</v>
      </c>
      <c r="U9" s="3" t="s">
        <v>233</v>
      </c>
      <c r="V9" s="3" t="s">
        <v>73</v>
      </c>
      <c r="W9" s="42" t="s">
        <v>51</v>
      </c>
      <c r="X9" s="6" t="n">
        <v>2900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n">
        <f aca="false">IF(W9="CR",X9," ")</f>
        <v>2900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46649</v>
      </c>
      <c r="T10" s="4" t="s">
        <v>76</v>
      </c>
      <c r="U10" s="3" t="s">
        <v>234</v>
      </c>
      <c r="V10" s="3" t="s">
        <v>78</v>
      </c>
      <c r="W10" s="42" t="s">
        <v>55</v>
      </c>
      <c r="X10" s="6" t="n">
        <v>1673.2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n">
        <f aca="false">IF(W10="RP",X10," ")</f>
        <v>1673.2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46658</v>
      </c>
      <c r="T11" s="4" t="s">
        <v>87</v>
      </c>
      <c r="U11" s="3" t="s">
        <v>235</v>
      </c>
      <c r="V11" s="3" t="s">
        <v>89</v>
      </c>
      <c r="W11" s="42" t="s">
        <v>51</v>
      </c>
      <c r="X11" s="6" t="n">
        <v>300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n">
        <f aca="false">IF(W11="CR",X11," ")</f>
        <v>300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46658</v>
      </c>
      <c r="T12" s="4" t="s">
        <v>81</v>
      </c>
      <c r="U12" s="3" t="s">
        <v>236</v>
      </c>
      <c r="V12" s="3" t="s">
        <v>83</v>
      </c>
      <c r="W12" s="42" t="s">
        <v>52</v>
      </c>
      <c r="X12" s="6" t="n">
        <v>5652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n">
        <f aca="false">IF(W12="W",X12," ")</f>
        <v>5652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W13" s="42"/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W14" s="42"/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of  &amp;N&amp;R&amp;F  &amp;A</oddFooter>
  </headerFooter>
  <colBreaks count="1" manualBreakCount="1">
    <brk id="17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Sep!A2</f>
        <v>183505.63</v>
      </c>
      <c r="B1" s="8" t="s">
        <v>0</v>
      </c>
      <c r="C1" s="9" t="n">
        <f aca="false">[1]Admin!$B$31</f>
        <v>46661</v>
      </c>
      <c r="D1" s="10" t="s">
        <v>1</v>
      </c>
      <c r="E1" s="11" t="n">
        <f aca="false">F1-SUM(G1:Q1)</f>
        <v>0</v>
      </c>
      <c r="F1" s="12" t="n">
        <f aca="false">SUM(F6:F200)</f>
        <v>20960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20960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23250.2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3800</v>
      </c>
      <c r="AC1" s="12" t="n">
        <f aca="false">SUM(AC6:AC200)</f>
        <v>5652</v>
      </c>
      <c r="AD1" s="12" t="n">
        <f aca="false">SUM(AD6:AD200)</f>
        <v>125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6000</v>
      </c>
      <c r="AM1" s="12" t="n">
        <f aca="false">SUM(AM6:AM200)</f>
        <v>1000</v>
      </c>
      <c r="AN1" s="12" t="n">
        <f aca="false">SUM(AN6:AN200)</f>
        <v>5000</v>
      </c>
    </row>
    <row r="2" customFormat="false" ht="15" hidden="false" customHeight="true" outlineLevel="0" collapsed="false">
      <c r="A2" s="17" t="n">
        <f aca="false">A1+F1-X1</f>
        <v>181215.43</v>
      </c>
      <c r="B2" s="18" t="s">
        <v>2</v>
      </c>
      <c r="C2" s="9" t="n">
        <f aca="false">[1]Admin!$B$32</f>
        <v>46691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46691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181215.43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  <c r="IW4" s="33"/>
    </row>
    <row r="5" customFormat="fals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</row>
    <row r="6" customFormat="false" ht="12.75" hidden="false" customHeight="false" outlineLevel="0" collapsed="false">
      <c r="A6" s="1" t="n">
        <v>46680</v>
      </c>
      <c r="B6" s="2" t="s">
        <v>58</v>
      </c>
      <c r="C6" s="3" t="s">
        <v>237</v>
      </c>
      <c r="D6" s="4" t="s">
        <v>70</v>
      </c>
      <c r="E6" s="38" t="s">
        <v>43</v>
      </c>
      <c r="F6" s="6" t="n">
        <v>8000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8000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46661</v>
      </c>
      <c r="T6" s="4" t="s">
        <v>61</v>
      </c>
      <c r="U6" s="3" t="s">
        <v>238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46685</v>
      </c>
      <c r="B7" s="2" t="s">
        <v>74</v>
      </c>
      <c r="C7" s="3" t="s">
        <v>239</v>
      </c>
      <c r="D7" s="4" t="s">
        <v>70</v>
      </c>
      <c r="E7" s="5" t="s">
        <v>43</v>
      </c>
      <c r="F7" s="6" t="n">
        <v>2400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2400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46661</v>
      </c>
      <c r="T7" s="4" t="s">
        <v>66</v>
      </c>
      <c r="U7" s="3" t="s">
        <v>240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46688</v>
      </c>
      <c r="B8" s="2" t="s">
        <v>84</v>
      </c>
      <c r="C8" s="3" t="s">
        <v>241</v>
      </c>
      <c r="D8" s="4" t="s">
        <v>86</v>
      </c>
      <c r="E8" s="5" t="s">
        <v>43</v>
      </c>
      <c r="F8" s="6" t="n">
        <v>10560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10560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46665</v>
      </c>
      <c r="T8" s="4" t="s">
        <v>71</v>
      </c>
      <c r="U8" s="3" t="s">
        <v>242</v>
      </c>
      <c r="V8" s="3" t="s">
        <v>73</v>
      </c>
      <c r="W8" s="42" t="s">
        <v>51</v>
      </c>
      <c r="X8" s="6" t="n">
        <v>2300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n">
        <f aca="false">IF(W8="CR",X8," ")</f>
        <v>2300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46675</v>
      </c>
      <c r="T9" s="4" t="s">
        <v>243</v>
      </c>
      <c r="U9" s="3" t="s">
        <v>244</v>
      </c>
      <c r="V9" s="3" t="s">
        <v>245</v>
      </c>
      <c r="W9" s="42" t="s">
        <v>50</v>
      </c>
      <c r="X9" s="6" t="n">
        <v>5000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n">
        <f aca="false">IF(W9="X",X9," ")</f>
        <v>5000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46679</v>
      </c>
      <c r="T10" s="4" t="s">
        <v>76</v>
      </c>
      <c r="U10" s="3" t="s">
        <v>246</v>
      </c>
      <c r="V10" s="3" t="s">
        <v>78</v>
      </c>
      <c r="W10" s="42" t="s">
        <v>55</v>
      </c>
      <c r="X10" s="6" t="n">
        <v>1673.2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n">
        <f aca="false">IF(W10="RP",X10," ")</f>
        <v>1673.2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46688</v>
      </c>
      <c r="T11" s="4" t="s">
        <v>81</v>
      </c>
      <c r="U11" s="3" t="s">
        <v>247</v>
      </c>
      <c r="V11" s="3" t="s">
        <v>83</v>
      </c>
      <c r="W11" s="42" t="s">
        <v>52</v>
      </c>
      <c r="X11" s="6" t="n">
        <v>5652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n">
        <f aca="false">IF(W11="W",X11," ")</f>
        <v>5652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46691</v>
      </c>
      <c r="T12" s="4" t="s">
        <v>118</v>
      </c>
      <c r="U12" s="3" t="s">
        <v>248</v>
      </c>
      <c r="V12" s="3" t="s">
        <v>120</v>
      </c>
      <c r="W12" s="42" t="s">
        <v>53</v>
      </c>
      <c r="X12" s="6" t="n">
        <v>125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n">
        <f aca="false">IF(W12="B",X12," ")</f>
        <v>125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46691</v>
      </c>
      <c r="T13" s="4" t="s">
        <v>87</v>
      </c>
      <c r="U13" s="3" t="s">
        <v>249</v>
      </c>
      <c r="V13" s="3" t="s">
        <v>89</v>
      </c>
      <c r="W13" s="42" t="s">
        <v>51</v>
      </c>
      <c r="X13" s="6" t="n">
        <v>300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n">
        <f aca="false">IF(W13="CR",X13," ")</f>
        <v>300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S14" s="1" t="n">
        <v>46691</v>
      </c>
      <c r="T14" s="4" t="s">
        <v>133</v>
      </c>
      <c r="U14" s="3" t="s">
        <v>250</v>
      </c>
      <c r="V14" s="3" t="s">
        <v>251</v>
      </c>
      <c r="W14" s="42" t="s">
        <v>57</v>
      </c>
      <c r="X14" s="6" t="n">
        <v>6000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n">
        <f aca="false">IF(W14="DV",X14," ")</f>
        <v>6000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2006-07-04T12:07:29Z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2007-03-03T16:28:32Z</cp:lastPrinted>
  <dcterms:modified xsi:type="dcterms:W3CDTF">2025-04-03T23:05:12Z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