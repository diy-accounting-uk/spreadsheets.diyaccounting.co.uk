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<sst xmlns="http://schemas.openxmlformats.org/spreadsheetml/2006/main" count="1444" uniqueCount="252">
  <si>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</si>
  <si>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</si>
  <si>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</si>
  <si>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</si>
  <si>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</si>
  <si>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</si>
  <si>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</si>
  <si>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</si>
  <si>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</si>
  <si>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</si>
  <si>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</si>
  <si>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</si>
  <si>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</si>
  <si>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</si>
  <si>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</si>
  <si>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</si>
  <si>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</si>
  <si>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</si>
  <si>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</si>
  <si>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</si>
  <si>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</si>
  <si>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</si>
  <si>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</si>
  <si>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</si>
  <si>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</si>
  <si>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</si>
  <si>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</si>
  <si>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</si>
  <si>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</si>
  <si>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</si>
  <si>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</si>
  <si>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</si>
  <si>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</si>
  <si>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</si>
  <si>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</si>
  <si>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</si>
  <si>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</si>
  <si>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</si>
  <si>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</si>
  <si>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</si>
  <si>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</si>
  <si>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</si>
  <si>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</si>
  <si>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</si>
  <si>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</si>
  <si>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</si>
  <si>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</si>
  <si>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</si>
  <si>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</si>
  <si>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</si>
  <si>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</si>
  <si>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</si>
  <si>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</si>
  <si>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</si>
  <si>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</si>
  <si>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</si>
  <si>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</si>
  <si>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</si>
  <si>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</si>
  <si>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</si>
  <si>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</si>
  <si>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</si>
  <si>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</si>
  <si>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</si>
  <si>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</si>
  <si>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</si>
  <si>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</si>
  <si>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</si>
  <si>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</si>
  <si>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</si>
  <si>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</si>
  <si>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</si>
  <si>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</si>
  <si>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</si>
  <si>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</si>
  <si>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</si>
  <si>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</si>
  <si>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</si>
  <si>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</si>
  <si>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</si>
  <si>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</si>
  <si>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</si>
  <si>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</si>
  <si>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</si>
  <si>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</si>
  <si>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</si>
  <si>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</si>
  <si>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</si>
  <si>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</si>
  <si>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</si>
  <si>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</si>
  <si>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</si>
  <si>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</si>
  <si>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</si>
  <si>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</si>
  <si>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</si>
  <si>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</si>
  <si>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</si>
  <si>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</si>
  <si>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</si>
  <si>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</si>
  <si>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</si>
  <si>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</si>
  <si>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</si>
  <si>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</si>
  <si>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</si>
  <si>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</si>
  <si>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</si>
  <si>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</si>
  <si>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</si>
  <si>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</si>
  <si>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</si>
  <si>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</si>
  <si>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</si>
  <si>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</si>
  <si>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</si>
  <si>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</si>
  <si>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</si>
  <si>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</si>
  <si>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</si>
  <si>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</si>
  <si>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</si>
  <si>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</si>
  <si>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</si>
  <si>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</si>
  <si>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</si>
  <si>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</si>
  <si>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</si>
  <si>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</si>
  <si>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</si>
  <si>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</si>
  <si>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</si>
  <si>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</si>
  <si>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Dividend</t>
  </si>
  <si>
    <t xml:space="preserve">BNK-DV-001</t>
  </si>
  <si>
    <t xml:space="preserve">Quarterly dividend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</si>
  <si>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</si>
  <si>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</si>
  <si>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</si>
  <si>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</si>
  <si>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</si>
  <si>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</si>
  <si>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</si>
  <si>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</si>
  <si>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</si>
  <si>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</si>
  <si>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</si>
  <si>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</si>
  <si>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</si>
  <si>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</si>
  <si>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</si>
  <si>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</si>
  <si>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</si>
  <si>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</si>
  <si>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</si>
  <si>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</si>
  <si>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</si>
  <si>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</si>
  <si>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</si>
  <si>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</si>
  <si>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</si>
  <si>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</si>
  <si>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</si>
  <si>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</si>
  <si>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</si>
  <si>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</si>
  <si>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</si>
  <si>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</si>
  <si>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</si>
  <si>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</si>
  <si>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</si>
  <si>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</si>
  <si>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</si>
  <si>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</si>
  <si>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</si>
  <si>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</si>
  <si>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</si>
  <si>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</si>
  <si>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</si>
  <si>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</si>
  <si>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</si>
  <si>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</si>
  <si>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</si>
  <si>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</si>
  <si>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</si>
  <si>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</si>
  <si>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</si>
  <si>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</si>
  <si>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</si>
  <si>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</si>
  <si>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</si>
  <si>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</si>
  <si>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</si>
  <si>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</si>
  <si>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</si>
  <si>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</si>
  <si>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</si>
  <si>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</si>
  <si>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</si>
  <si>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</si>
  <si>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</si>
  <si>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</si>
  <si>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</si>
  <si>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</si>
  <si>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</si>
  <si>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</si>
  <si>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</si>
  <si>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</si>
  <si>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</si>
  <si>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</si>
  <si>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</si>
  <si>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</si>
  <si>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</si>
  <si>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</si>
  <si>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</si>
  <si>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</si>
  <si>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</si>
  <si>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</si>
  <si>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</si>
  <si>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</si>
  <si>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</si>
  <si>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</si>
  <si>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</si>
  <si>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</si>
  <si>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</si>
  <si>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</si>
  <si>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</si>
  <si>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</si>
  <si>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</si>
  <si>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</si>
  <si>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</si>
  <si>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</si>
  <si>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</si>
  <si>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</si>
  <si>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</si>
  <si>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</si>
  <si>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</si>
  <si>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</si>
  <si>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</si>
  <si>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</si>
  <si>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</si>
  <si>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</si>
  <si>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</si>
  <si>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</si>
  <si>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</si>
  <si>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</si>
  <si>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</si>
  <si>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</si>
  <si>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</si>
  <si>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</si>
  <si>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</si>
  <si>
    <t xml:space="preserve">Final dividend payment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</si>
</sst>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44200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12525.2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3700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56674.8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56674.8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45971</v>
      </c>
      <c r="B6" s="2" t="s">
        <v>58</v>
      </c>
      <c r="C6" s="3" t="s">
        <v>59</v>
      </c>
      <c r="D6" s="4" t="s">
        <v>60</v>
      </c>
      <c r="E6" s="38" t="s">
        <v>43</v>
      </c>
      <c r="F6" s="6" t="n">
        <v>7200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7200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45962</v>
      </c>
      <c r="T6" s="4" t="s">
        <v>61</v>
      </c>
      <c r="U6" s="3" t="s">
        <v>62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45976</v>
      </c>
      <c r="B7" s="2" t="s">
        <v>64</v>
      </c>
      <c r="C7" s="3" t="s">
        <v>65</v>
      </c>
      <c r="D7" s="4" t="s">
        <v>60</v>
      </c>
      <c r="E7" s="5" t="s">
        <v>43</v>
      </c>
      <c r="F7" s="6" t="n">
        <v>1200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1200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45962</v>
      </c>
      <c r="T7" s="4" t="s">
        <v>66</v>
      </c>
      <c r="U7" s="3" t="s">
        <v>67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45981</v>
      </c>
      <c r="B8" s="2" t="s">
        <v>58</v>
      </c>
      <c r="C8" s="3" t="s">
        <v>69</v>
      </c>
      <c r="D8" s="4" t="s">
        <v>70</v>
      </c>
      <c r="E8" s="5" t="s">
        <v>43</v>
      </c>
      <c r="F8" s="6" t="n">
        <v>8000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8000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45966</v>
      </c>
      <c r="T8" s="4" t="s">
        <v>71</v>
      </c>
      <c r="U8" s="3" t="s">
        <v>72</v>
      </c>
      <c r="V8" s="3" t="s">
        <v>73</v>
      </c>
      <c r="W8" s="42" t="s">
        <v>51</v>
      </c>
      <c r="X8" s="6" t="n">
        <v>2200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2200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45986</v>
      </c>
      <c r="B9" s="2" t="s">
        <v>74</v>
      </c>
      <c r="C9" s="3" t="s">
        <v>75</v>
      </c>
      <c r="D9" s="4" t="s">
        <v>70</v>
      </c>
      <c r="E9" s="5" t="s">
        <v>43</v>
      </c>
      <c r="F9" s="6" t="n">
        <v>2400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2400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45980</v>
      </c>
      <c r="T9" s="4" t="s">
        <v>76</v>
      </c>
      <c r="U9" s="3" t="s">
        <v>77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45986</v>
      </c>
      <c r="B10" s="2" t="s">
        <v>79</v>
      </c>
      <c r="C10" s="3" t="s">
        <v>80</v>
      </c>
      <c r="D10" s="4" t="s">
        <v>60</v>
      </c>
      <c r="E10" s="5" t="s">
        <v>43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45989</v>
      </c>
      <c r="T10" s="4" t="s">
        <v>81</v>
      </c>
      <c r="U10" s="3" t="s">
        <v>82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45989</v>
      </c>
      <c r="B11" s="2" t="s">
        <v>84</v>
      </c>
      <c r="C11" s="3" t="s">
        <v>85</v>
      </c>
      <c r="D11" s="4" t="s">
        <v>86</v>
      </c>
      <c r="E11" s="5" t="s">
        <v>43</v>
      </c>
      <c r="F11" s="6" t="n">
        <v>23000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45991</v>
      </c>
      <c r="T11" s="4" t="s">
        <v>87</v>
      </c>
      <c r="U11" s="3" t="s">
        <v>88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45991</v>
      </c>
      <c r="T12" s="4" t="s">
        <v>90</v>
      </c>
      <c r="U12" s="3" t="s">
        <v>91</v>
      </c>
      <c r="V12" s="3" t="s">
        <v>92</v>
      </c>
      <c r="W12" s="42" t="s">
        <v>50</v>
      </c>
      <c r="X12" s="6" t="n">
        <v>500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n">
        <f aca="false">IF(W12="X",X12," ")</f>
        <v>500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Nov!A2</f>
        <v>56674.8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32920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14150.2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4300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1500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75444.6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75444.6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46011</v>
      </c>
      <c r="B6" s="2" t="s">
        <v>58</v>
      </c>
      <c r="C6" s="3" t="s">
        <v>93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45992</v>
      </c>
      <c r="T6" s="4" t="s">
        <v>61</v>
      </c>
      <c r="U6" s="3" t="s">
        <v>94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46016</v>
      </c>
      <c r="B7" s="2" t="s">
        <v>74</v>
      </c>
      <c r="C7" s="3" t="s">
        <v>95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45992</v>
      </c>
      <c r="T7" s="4" t="s">
        <v>66</v>
      </c>
      <c r="U7" s="3" t="s">
        <v>96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46019</v>
      </c>
      <c r="B8" s="2" t="s">
        <v>84</v>
      </c>
      <c r="C8" s="3" t="s">
        <v>97</v>
      </c>
      <c r="D8" s="4" t="s">
        <v>86</v>
      </c>
      <c r="E8" s="5" t="s">
        <v>43</v>
      </c>
      <c r="F8" s="6" t="n">
        <v>22520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22520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45996</v>
      </c>
      <c r="T8" s="4" t="s">
        <v>71</v>
      </c>
      <c r="U8" s="3" t="s">
        <v>98</v>
      </c>
      <c r="V8" s="3" t="s">
        <v>73</v>
      </c>
      <c r="W8" s="42" t="s">
        <v>51</v>
      </c>
      <c r="X8" s="6" t="n">
        <v>2800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2800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46010</v>
      </c>
      <c r="T9" s="4" t="s">
        <v>76</v>
      </c>
      <c r="U9" s="3" t="s">
        <v>99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46016</v>
      </c>
      <c r="T10" s="4" t="s">
        <v>100</v>
      </c>
      <c r="U10" s="3" t="s">
        <v>101</v>
      </c>
      <c r="V10" s="3" t="s">
        <v>102</v>
      </c>
      <c r="W10" s="42" t="s">
        <v>53</v>
      </c>
      <c r="X10" s="6" t="n">
        <v>25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n">
        <f aca="false">IF(W10="B",X10," ")</f>
        <v>25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46019</v>
      </c>
      <c r="T11" s="4" t="s">
        <v>81</v>
      </c>
      <c r="U11" s="3" t="s">
        <v>103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46022</v>
      </c>
      <c r="T12" s="4" t="s">
        <v>87</v>
      </c>
      <c r="U12" s="3" t="s">
        <v>104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45998</v>
      </c>
      <c r="T13" s="4" t="s">
        <v>76</v>
      </c>
      <c r="U13" s="3" t="s">
        <v>105</v>
      </c>
      <c r="V13" s="3" t="s">
        <v>106</v>
      </c>
      <c r="W13" s="42" t="s">
        <v>47</v>
      </c>
      <c r="X13" s="6" t="n">
        <v>1500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n">
        <f aca="false">IF(W13="RV",X13," ")</f>
        <v>1500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Dec!A2</f>
        <v>75444.6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27675.2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100</v>
      </c>
      <c r="AB1" s="12" t="n">
        <f aca="false">SUM(AB6:AB200)</f>
        <v>17000</v>
      </c>
      <c r="AC1" s="12" t="n">
        <f aca="false">SUM(AC6:AC200)</f>
        <v>5652</v>
      </c>
      <c r="AD1" s="12" t="n">
        <f aca="false">SUM(AD6:AD200)</f>
        <v>2250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82969.4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82969.4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46042</v>
      </c>
      <c r="B6" s="2" t="s">
        <v>58</v>
      </c>
      <c r="C6" s="3" t="s">
        <v>107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46023</v>
      </c>
      <c r="T6" s="4" t="s">
        <v>61</v>
      </c>
      <c r="U6" s="3" t="s">
        <v>108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46047</v>
      </c>
      <c r="B7" s="2" t="s">
        <v>74</v>
      </c>
      <c r="C7" s="3" t="s">
        <v>109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46023</v>
      </c>
      <c r="T7" s="4" t="s">
        <v>66</v>
      </c>
      <c r="U7" s="3" t="s">
        <v>110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46050</v>
      </c>
      <c r="B8" s="2" t="s">
        <v>84</v>
      </c>
      <c r="C8" s="3" t="s">
        <v>111</v>
      </c>
      <c r="D8" s="4" t="s">
        <v>86</v>
      </c>
      <c r="E8" s="5" t="s">
        <v>43</v>
      </c>
      <c r="F8" s="6" t="n">
        <v>24800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24800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46027</v>
      </c>
      <c r="T8" s="4" t="s">
        <v>71</v>
      </c>
      <c r="U8" s="3" t="s">
        <v>112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46032</v>
      </c>
      <c r="T9" s="4" t="s">
        <v>113</v>
      </c>
      <c r="U9" s="3" t="s">
        <v>114</v>
      </c>
      <c r="V9" s="3" t="s">
        <v>115</v>
      </c>
      <c r="W9" s="42" t="s">
        <v>42</v>
      </c>
      <c r="X9" s="6" t="n">
        <v>100</v>
      </c>
      <c r="Y9" s="6" t="str">
        <f aca="false">IF(W9="BS",X9," ")</f>
        <v> </v>
      </c>
      <c r="Z9" s="6" t="str">
        <f aca="false">IF(W9="BD",X9," ")</f>
        <v> </v>
      </c>
      <c r="AA9" s="6" t="n">
        <f aca="false">IF(W9="BC",X9," ")</f>
        <v>100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46041</v>
      </c>
      <c r="T10" s="4" t="s">
        <v>76</v>
      </c>
      <c r="U10" s="3" t="s">
        <v>116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46050</v>
      </c>
      <c r="T11" s="4" t="s">
        <v>81</v>
      </c>
      <c r="U11" s="3" t="s">
        <v>117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46052</v>
      </c>
      <c r="T12" s="4" t="s">
        <v>118</v>
      </c>
      <c r="U12" s="3" t="s">
        <v>119</v>
      </c>
      <c r="V12" s="3" t="s">
        <v>120</v>
      </c>
      <c r="W12" s="42" t="s">
        <v>53</v>
      </c>
      <c r="X12" s="6" t="n">
        <v>250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250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46052</v>
      </c>
      <c r="T13" s="4" t="s">
        <v>87</v>
      </c>
      <c r="U13" s="3" t="s">
        <v>121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46023</v>
      </c>
      <c r="T14" s="4" t="s">
        <v>122</v>
      </c>
      <c r="U14" s="3" t="s">
        <v>123</v>
      </c>
      <c r="V14" s="3" t="s">
        <v>124</v>
      </c>
      <c r="W14" s="42" t="s">
        <v>53</v>
      </c>
      <c r="X14" s="6" t="n">
        <v>2000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n">
        <f aca="false">IF(W14="B",X14," ")</f>
        <v>2000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46023</v>
      </c>
      <c r="T15" s="4" t="s">
        <v>122</v>
      </c>
      <c r="U15" s="3" t="s">
        <v>125</v>
      </c>
      <c r="V15" s="3" t="s">
        <v>126</v>
      </c>
      <c r="W15" s="42" t="s">
        <v>51</v>
      </c>
      <c r="X15" s="6" t="n">
        <v>13000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n">
        <f aca="false">IF(W15="CR",X15," ")</f>
        <v>13000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Jan!A2</f>
        <v>82969.4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16425.2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1000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100304.2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100304.2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46073</v>
      </c>
      <c r="B6" s="2" t="s">
        <v>58</v>
      </c>
      <c r="C6" s="3" t="s">
        <v>127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46054</v>
      </c>
      <c r="T6" s="4" t="s">
        <v>61</v>
      </c>
      <c r="U6" s="3" t="s">
        <v>128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46078</v>
      </c>
      <c r="B7" s="2" t="s">
        <v>74</v>
      </c>
      <c r="C7" s="3" t="s">
        <v>129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46054</v>
      </c>
      <c r="T7" s="4" t="s">
        <v>66</v>
      </c>
      <c r="U7" s="3" t="s">
        <v>130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46081</v>
      </c>
      <c r="B8" s="2" t="s">
        <v>84</v>
      </c>
      <c r="C8" s="3" t="s">
        <v>131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46058</v>
      </c>
      <c r="T8" s="4" t="s">
        <v>71</v>
      </c>
      <c r="U8" s="3" t="s">
        <v>132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46068</v>
      </c>
      <c r="T9" s="4" t="s">
        <v>133</v>
      </c>
      <c r="U9" s="3" t="s">
        <v>134</v>
      </c>
      <c r="V9" s="3" t="s">
        <v>135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46072</v>
      </c>
      <c r="T10" s="4" t="s">
        <v>76</v>
      </c>
      <c r="U10" s="3" t="s">
        <v>136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46072</v>
      </c>
      <c r="T11" s="4" t="s">
        <v>76</v>
      </c>
      <c r="U11" s="3" t="s">
        <v>137</v>
      </c>
      <c r="V11" s="3" t="s">
        <v>138</v>
      </c>
      <c r="W11" s="42" t="s">
        <v>48</v>
      </c>
      <c r="X11" s="6" t="n">
        <v>1000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n">
        <f aca="false">IF(W11="RC",X11," ")</f>
        <v>1000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46081</v>
      </c>
      <c r="T12" s="4" t="s">
        <v>81</v>
      </c>
      <c r="U12" s="3" t="s">
        <v>139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46081</v>
      </c>
      <c r="T13" s="4" t="s">
        <v>87</v>
      </c>
      <c r="U13" s="3" t="s">
        <v>140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46081</v>
      </c>
      <c r="T14" s="4" t="s">
        <v>90</v>
      </c>
      <c r="U14" s="3" t="s">
        <v>141</v>
      </c>
      <c r="V14" s="3" t="s">
        <v>92</v>
      </c>
      <c r="W14" s="42" t="s">
        <v>50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n">
        <f aca="false">IF(W14="X",X14," ")</f>
        <v>300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Feb!A2</f>
        <v>100304.2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38520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26233.37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4100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13808.17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112590.83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112590.83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46086</v>
      </c>
      <c r="B6" s="2" t="s">
        <v>142</v>
      </c>
      <c r="C6" s="3" t="s">
        <v>143</v>
      </c>
      <c r="D6" s="4" t="s">
        <v>144</v>
      </c>
      <c r="E6" s="38" t="s">
        <v>43</v>
      </c>
      <c r="F6" s="6" t="n">
        <v>2500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2500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46088</v>
      </c>
      <c r="T6" s="4" t="s">
        <v>76</v>
      </c>
      <c r="U6" s="3" t="s">
        <v>145</v>
      </c>
      <c r="V6" s="3" t="s">
        <v>146</v>
      </c>
      <c r="W6" s="40" t="s">
        <v>47</v>
      </c>
      <c r="X6" s="6" t="n">
        <v>13808.17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13808.17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46101</v>
      </c>
      <c r="B7" s="2" t="s">
        <v>58</v>
      </c>
      <c r="C7" s="3" t="s">
        <v>147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46082</v>
      </c>
      <c r="T7" s="4" t="s">
        <v>61</v>
      </c>
      <c r="U7" s="3" t="s">
        <v>148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46106</v>
      </c>
      <c r="B8" s="2" t="s">
        <v>74</v>
      </c>
      <c r="C8" s="3" t="s">
        <v>149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46082</v>
      </c>
      <c r="T8" s="4" t="s">
        <v>66</v>
      </c>
      <c r="U8" s="3" t="s">
        <v>150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46109</v>
      </c>
      <c r="B9" s="2" t="s">
        <v>84</v>
      </c>
      <c r="C9" s="3" t="s">
        <v>151</v>
      </c>
      <c r="D9" s="4" t="s">
        <v>86</v>
      </c>
      <c r="E9" s="5" t="s">
        <v>43</v>
      </c>
      <c r="F9" s="6" t="n">
        <v>25620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25620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46086</v>
      </c>
      <c r="T9" s="4" t="s">
        <v>71</v>
      </c>
      <c r="U9" s="3" t="s">
        <v>152</v>
      </c>
      <c r="V9" s="3" t="s">
        <v>73</v>
      </c>
      <c r="W9" s="42" t="s">
        <v>51</v>
      </c>
      <c r="X9" s="6" t="n">
        <v>2600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2600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46100</v>
      </c>
      <c r="T10" s="4" t="s">
        <v>76</v>
      </c>
      <c r="U10" s="3" t="s">
        <v>153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46109</v>
      </c>
      <c r="T11" s="4" t="s">
        <v>81</v>
      </c>
      <c r="U11" s="3" t="s">
        <v>154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46112</v>
      </c>
      <c r="T12" s="4" t="s">
        <v>87</v>
      </c>
      <c r="U12" s="3" t="s">
        <v>155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Mar!A2</f>
        <v>112590.83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20233.2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10600</v>
      </c>
      <c r="AC1" s="12" t="n">
        <f aca="false">SUM(AC6:AC200)</f>
        <v>5652</v>
      </c>
      <c r="AD1" s="12" t="n">
        <f aca="false">SUM(AD6:AD200)</f>
        <v>1308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126117.63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126117.63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46132</v>
      </c>
      <c r="B6" s="2" t="s">
        <v>58</v>
      </c>
      <c r="C6" s="3" t="s">
        <v>156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46113</v>
      </c>
      <c r="T6" s="4" t="s">
        <v>61</v>
      </c>
      <c r="U6" s="3" t="s">
        <v>157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46137</v>
      </c>
      <c r="B7" s="2" t="s">
        <v>74</v>
      </c>
      <c r="C7" s="3" t="s">
        <v>158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46113</v>
      </c>
      <c r="T7" s="4" t="s">
        <v>66</v>
      </c>
      <c r="U7" s="3" t="s">
        <v>159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46140</v>
      </c>
      <c r="B8" s="2" t="s">
        <v>84</v>
      </c>
      <c r="C8" s="3" t="s">
        <v>160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46117</v>
      </c>
      <c r="T8" s="4" t="s">
        <v>71</v>
      </c>
      <c r="U8" s="3" t="s">
        <v>161</v>
      </c>
      <c r="V8" s="3" t="s">
        <v>73</v>
      </c>
      <c r="W8" s="42" t="s">
        <v>51</v>
      </c>
      <c r="X8" s="6" t="n">
        <v>2100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2100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46131</v>
      </c>
      <c r="T9" s="4" t="s">
        <v>76</v>
      </c>
      <c r="U9" s="3" t="s">
        <v>162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46140</v>
      </c>
      <c r="T10" s="4" t="s">
        <v>81</v>
      </c>
      <c r="U10" s="3" t="s">
        <v>163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46142</v>
      </c>
      <c r="T11" s="4" t="s">
        <v>118</v>
      </c>
      <c r="U11" s="3" t="s">
        <v>164</v>
      </c>
      <c r="V11" s="3" t="s">
        <v>120</v>
      </c>
      <c r="W11" s="42" t="s">
        <v>53</v>
      </c>
      <c r="X11" s="6" t="n">
        <v>208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208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46142</v>
      </c>
      <c r="T12" s="4" t="s">
        <v>87</v>
      </c>
      <c r="U12" s="3" t="s">
        <v>165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46113</v>
      </c>
      <c r="T13" s="4" t="s">
        <v>122</v>
      </c>
      <c r="U13" s="3" t="s">
        <v>166</v>
      </c>
      <c r="V13" s="3" t="s">
        <v>167</v>
      </c>
      <c r="W13" s="42" t="s">
        <v>53</v>
      </c>
      <c r="X13" s="6" t="n">
        <v>1100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1100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46113</v>
      </c>
      <c r="T14" s="4" t="s">
        <v>122</v>
      </c>
      <c r="U14" s="3" t="s">
        <v>168</v>
      </c>
      <c r="V14" s="3" t="s">
        <v>169</v>
      </c>
      <c r="W14" s="42" t="s">
        <v>51</v>
      </c>
      <c r="X14" s="6" t="n">
        <v>7000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7000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Apr!A2</f>
        <v>126117.63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50560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56825.2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40500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4500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119852.43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119852.43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46157</v>
      </c>
      <c r="B6" s="2" t="s">
        <v>170</v>
      </c>
      <c r="C6" s="3" t="s">
        <v>171</v>
      </c>
      <c r="D6" s="4" t="s">
        <v>172</v>
      </c>
      <c r="E6" s="38" t="s">
        <v>43</v>
      </c>
      <c r="F6" s="6" t="n">
        <v>15000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15000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46143</v>
      </c>
      <c r="T6" s="4" t="s">
        <v>61</v>
      </c>
      <c r="U6" s="3" t="s">
        <v>173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46162</v>
      </c>
      <c r="B7" s="2" t="s">
        <v>58</v>
      </c>
      <c r="C7" s="3" t="s">
        <v>174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46143</v>
      </c>
      <c r="T7" s="4" t="s">
        <v>66</v>
      </c>
      <c r="U7" s="3" t="s">
        <v>175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46167</v>
      </c>
      <c r="B8" s="2" t="s">
        <v>74</v>
      </c>
      <c r="C8" s="3" t="s">
        <v>176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46143</v>
      </c>
      <c r="T8" s="4" t="s">
        <v>76</v>
      </c>
      <c r="U8" s="3" t="s">
        <v>177</v>
      </c>
      <c r="V8" s="3" t="s">
        <v>178</v>
      </c>
      <c r="W8" s="42" t="s">
        <v>56</v>
      </c>
      <c r="X8" s="6" t="n">
        <v>4500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n">
        <f aca="false">IF(W8="RT",X8," ")</f>
        <v>4500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46170</v>
      </c>
      <c r="B9" s="2" t="s">
        <v>84</v>
      </c>
      <c r="C9" s="3" t="s">
        <v>179</v>
      </c>
      <c r="D9" s="4" t="s">
        <v>86</v>
      </c>
      <c r="E9" s="5" t="s">
        <v>43</v>
      </c>
      <c r="F9" s="6" t="n">
        <v>25160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25160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46147</v>
      </c>
      <c r="T9" s="4" t="s">
        <v>71</v>
      </c>
      <c r="U9" s="3" t="s">
        <v>180</v>
      </c>
      <c r="V9" s="3" t="s">
        <v>73</v>
      </c>
      <c r="W9" s="42" t="s">
        <v>51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3000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46157</v>
      </c>
      <c r="T10" s="4" t="s">
        <v>133</v>
      </c>
      <c r="U10" s="3" t="s">
        <v>181</v>
      </c>
      <c r="V10" s="3" t="s">
        <v>135</v>
      </c>
      <c r="W10" s="42" t="s">
        <v>57</v>
      </c>
      <c r="X10" s="6" t="n">
        <v>3000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n">
        <f aca="false">IF(W10="DV",X10," ")</f>
        <v>3000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46161</v>
      </c>
      <c r="T11" s="4" t="s">
        <v>76</v>
      </c>
      <c r="U11" s="3" t="s">
        <v>182</v>
      </c>
      <c r="V11" s="3" t="s">
        <v>78</v>
      </c>
      <c r="W11" s="42" t="s">
        <v>55</v>
      </c>
      <c r="X11" s="6" t="n">
        <v>1673.2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n">
        <f aca="false">IF(W11="RP",X11," ")</f>
        <v>1673.2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46167</v>
      </c>
      <c r="T12" s="4" t="s">
        <v>183</v>
      </c>
      <c r="U12" s="3" t="s">
        <v>184</v>
      </c>
      <c r="V12" s="3" t="s">
        <v>185</v>
      </c>
      <c r="W12" s="42" t="s">
        <v>51</v>
      </c>
      <c r="X12" s="6" t="n">
        <v>36000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36000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46170</v>
      </c>
      <c r="T13" s="4" t="s">
        <v>81</v>
      </c>
      <c r="U13" s="3" t="s">
        <v>186</v>
      </c>
      <c r="V13" s="3" t="s">
        <v>83</v>
      </c>
      <c r="W13" s="42" t="s">
        <v>52</v>
      </c>
      <c r="X13" s="6" t="n">
        <v>5652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n">
        <f aca="false">IF(W13="W",X13," ")</f>
        <v>5652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46173</v>
      </c>
      <c r="T14" s="4" t="s">
        <v>87</v>
      </c>
      <c r="U14" s="3" t="s">
        <v>187</v>
      </c>
      <c r="V14" s="3" t="s">
        <v>89</v>
      </c>
      <c r="W14" s="42" t="s">
        <v>51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300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46173</v>
      </c>
      <c r="T15" s="4" t="s">
        <v>90</v>
      </c>
      <c r="U15" s="3" t="s">
        <v>188</v>
      </c>
      <c r="V15" s="3" t="s">
        <v>92</v>
      </c>
      <c r="W15" s="42" t="s">
        <v>50</v>
      </c>
      <c r="X15" s="6" t="n">
        <v>500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n">
        <f aca="false">IF(W15="X",X15," ")</f>
        <v>500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May!A2</f>
        <v>119852.43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35320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26706.7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3900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14456.5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128465.73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128465.73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46193</v>
      </c>
      <c r="B6" s="2" t="s">
        <v>58</v>
      </c>
      <c r="C6" s="3" t="s">
        <v>189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46180</v>
      </c>
      <c r="T6" s="4" t="s">
        <v>76</v>
      </c>
      <c r="U6" s="3" t="s">
        <v>190</v>
      </c>
      <c r="V6" s="3" t="s">
        <v>191</v>
      </c>
      <c r="W6" s="40" t="s">
        <v>47</v>
      </c>
      <c r="X6" s="6" t="n">
        <v>14456.5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14456.5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46198</v>
      </c>
      <c r="B7" s="2" t="s">
        <v>74</v>
      </c>
      <c r="C7" s="3" t="s">
        <v>192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46174</v>
      </c>
      <c r="T7" s="4" t="s">
        <v>61</v>
      </c>
      <c r="U7" s="3" t="s">
        <v>193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46201</v>
      </c>
      <c r="B8" s="2" t="s">
        <v>84</v>
      </c>
      <c r="C8" s="3" t="s">
        <v>194</v>
      </c>
      <c r="D8" s="4" t="s">
        <v>86</v>
      </c>
      <c r="E8" s="5" t="s">
        <v>43</v>
      </c>
      <c r="F8" s="6" t="n">
        <v>24920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24920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46174</v>
      </c>
      <c r="T8" s="4" t="s">
        <v>66</v>
      </c>
      <c r="U8" s="3" t="s">
        <v>195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46178</v>
      </c>
      <c r="T9" s="4" t="s">
        <v>71</v>
      </c>
      <c r="U9" s="3" t="s">
        <v>196</v>
      </c>
      <c r="V9" s="3" t="s">
        <v>73</v>
      </c>
      <c r="W9" s="42" t="s">
        <v>51</v>
      </c>
      <c r="X9" s="6" t="n">
        <v>2400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2400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46192</v>
      </c>
      <c r="T10" s="4" t="s">
        <v>76</v>
      </c>
      <c r="U10" s="3" t="s">
        <v>197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46198</v>
      </c>
      <c r="T11" s="4" t="s">
        <v>100</v>
      </c>
      <c r="U11" s="3" t="s">
        <v>198</v>
      </c>
      <c r="V11" s="3" t="s">
        <v>102</v>
      </c>
      <c r="W11" s="42" t="s">
        <v>53</v>
      </c>
      <c r="X11" s="6" t="n">
        <v>25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46201</v>
      </c>
      <c r="T12" s="4" t="s">
        <v>81</v>
      </c>
      <c r="U12" s="3" t="s">
        <v>199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46203</v>
      </c>
      <c r="T13" s="4" t="s">
        <v>87</v>
      </c>
      <c r="U13" s="3" t="s">
        <v>200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Jun!A2</f>
        <v>128465.73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32800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13292.2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4200</v>
      </c>
      <c r="AC1" s="12" t="n">
        <f aca="false">SUM(AC6:AC200)</f>
        <v>5652</v>
      </c>
      <c r="AD1" s="12" t="n">
        <f aca="false">SUM(AD6:AD200)</f>
        <v>167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600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.75" hidden="false" customHeight="true" outlineLevel="0" collapsed="false">
      <c r="A2" s="17" t="n">
        <f aca="false">A1+F1-X1</f>
        <v>147973.53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147973.53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46223</v>
      </c>
      <c r="B6" s="2" t="s">
        <v>58</v>
      </c>
      <c r="C6" s="3" t="s">
        <v>201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46204</v>
      </c>
      <c r="T6" s="4" t="s">
        <v>61</v>
      </c>
      <c r="U6" s="3" t="s">
        <v>202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46228</v>
      </c>
      <c r="B7" s="2" t="s">
        <v>74</v>
      </c>
      <c r="C7" s="3" t="s">
        <v>203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46204</v>
      </c>
      <c r="T7" s="4" t="s">
        <v>66</v>
      </c>
      <c r="U7" s="3" t="s">
        <v>204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46231</v>
      </c>
      <c r="B8" s="2" t="s">
        <v>84</v>
      </c>
      <c r="C8" s="3" t="s">
        <v>205</v>
      </c>
      <c r="D8" s="4" t="s">
        <v>86</v>
      </c>
      <c r="E8" s="5" t="s">
        <v>43</v>
      </c>
      <c r="F8" s="6" t="n">
        <v>22400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46208</v>
      </c>
      <c r="T8" s="4" t="s">
        <v>71</v>
      </c>
      <c r="U8" s="3" t="s">
        <v>206</v>
      </c>
      <c r="V8" s="3" t="s">
        <v>73</v>
      </c>
      <c r="W8" s="42" t="s">
        <v>51</v>
      </c>
      <c r="X8" s="6" t="n">
        <v>2700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2700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46222</v>
      </c>
      <c r="T9" s="4" t="s">
        <v>76</v>
      </c>
      <c r="U9" s="3" t="s">
        <v>207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46222</v>
      </c>
      <c r="T10" s="4" t="s">
        <v>76</v>
      </c>
      <c r="U10" s="3" t="s">
        <v>208</v>
      </c>
      <c r="V10" s="3" t="s">
        <v>138</v>
      </c>
      <c r="W10" s="42" t="s">
        <v>48</v>
      </c>
      <c r="X10" s="6" t="n">
        <v>600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n">
        <f aca="false">IF(W10="RC",X10," ")</f>
        <v>600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46231</v>
      </c>
      <c r="T11" s="4" t="s">
        <v>81</v>
      </c>
      <c r="U11" s="3" t="s">
        <v>209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46234</v>
      </c>
      <c r="T12" s="4" t="s">
        <v>118</v>
      </c>
      <c r="U12" s="3" t="s">
        <v>210</v>
      </c>
      <c r="V12" s="3" t="s">
        <v>120</v>
      </c>
      <c r="W12" s="42" t="s">
        <v>53</v>
      </c>
      <c r="X12" s="6" t="n">
        <v>167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167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46234</v>
      </c>
      <c r="T13" s="4" t="s">
        <v>87</v>
      </c>
      <c r="U13" s="3" t="s">
        <v>211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Jul!A2</f>
        <v>147973.53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35440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5000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15625.2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172788.33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172788.33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46249</v>
      </c>
      <c r="B6" s="2" t="s">
        <v>212</v>
      </c>
      <c r="C6" s="3" t="s">
        <v>213</v>
      </c>
      <c r="D6" s="4" t="s">
        <v>214</v>
      </c>
      <c r="E6" s="38" t="s">
        <v>49</v>
      </c>
      <c r="F6" s="6" t="n">
        <v>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f aca="false">IF(E6="DL",F6," ")</f>
        <v>5000</v>
      </c>
      <c r="Q6" s="6" t="str">
        <f aca="false">IF(E6="X",F6," ")</f>
        <v> </v>
      </c>
      <c r="R6" s="39"/>
      <c r="S6" s="1" t="n">
        <v>46235</v>
      </c>
      <c r="T6" s="4" t="s">
        <v>61</v>
      </c>
      <c r="U6" s="3" t="s">
        <v>215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46254</v>
      </c>
      <c r="B7" s="2" t="s">
        <v>58</v>
      </c>
      <c r="C7" s="3" t="s">
        <v>216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46235</v>
      </c>
      <c r="T7" s="4" t="s">
        <v>66</v>
      </c>
      <c r="U7" s="3" t="s">
        <v>217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46259</v>
      </c>
      <c r="B8" s="2" t="s">
        <v>74</v>
      </c>
      <c r="C8" s="3" t="s">
        <v>218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46239</v>
      </c>
      <c r="T8" s="4" t="s">
        <v>71</v>
      </c>
      <c r="U8" s="3" t="s">
        <v>219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46262</v>
      </c>
      <c r="B9" s="2" t="s">
        <v>84</v>
      </c>
      <c r="C9" s="3" t="s">
        <v>220</v>
      </c>
      <c r="D9" s="4" t="s">
        <v>86</v>
      </c>
      <c r="E9" s="5" t="s">
        <v>43</v>
      </c>
      <c r="F9" s="6" t="n">
        <v>25040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25040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46249</v>
      </c>
      <c r="T9" s="4" t="s">
        <v>133</v>
      </c>
      <c r="U9" s="3" t="s">
        <v>221</v>
      </c>
      <c r="V9" s="3" t="s">
        <v>135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46253</v>
      </c>
      <c r="T10" s="4" t="s">
        <v>76</v>
      </c>
      <c r="U10" s="3" t="s">
        <v>222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46262</v>
      </c>
      <c r="T11" s="4" t="s">
        <v>81</v>
      </c>
      <c r="U11" s="3" t="s">
        <v>223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46265</v>
      </c>
      <c r="T12" s="4" t="s">
        <v>87</v>
      </c>
      <c r="U12" s="3" t="s">
        <v>224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46265</v>
      </c>
      <c r="T13" s="4" t="s">
        <v>90</v>
      </c>
      <c r="U13" s="3" t="s">
        <v>225</v>
      </c>
      <c r="V13" s="3" t="s">
        <v>92</v>
      </c>
      <c r="W13" s="42" t="s">
        <v>50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n">
        <f aca="false">IF(W13="X",X13," ")</f>
        <v>300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Aug!A2</f>
        <v>172788.33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34360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23642.7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4400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10917.5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183505.63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183505.63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46285</v>
      </c>
      <c r="B6" s="2" t="s">
        <v>58</v>
      </c>
      <c r="C6" s="3" t="s">
        <v>226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46272</v>
      </c>
      <c r="T6" s="4" t="s">
        <v>76</v>
      </c>
      <c r="U6" s="3" t="s">
        <v>227</v>
      </c>
      <c r="V6" s="3" t="s">
        <v>228</v>
      </c>
      <c r="W6" s="40" t="s">
        <v>47</v>
      </c>
      <c r="X6" s="6" t="n">
        <v>10917.5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10917.5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46290</v>
      </c>
      <c r="B7" s="2" t="s">
        <v>74</v>
      </c>
      <c r="C7" s="3" t="s">
        <v>229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46266</v>
      </c>
      <c r="T7" s="4" t="s">
        <v>61</v>
      </c>
      <c r="U7" s="3" t="s">
        <v>230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46293</v>
      </c>
      <c r="B8" s="2" t="s">
        <v>84</v>
      </c>
      <c r="C8" s="3" t="s">
        <v>231</v>
      </c>
      <c r="D8" s="4" t="s">
        <v>86</v>
      </c>
      <c r="E8" s="5" t="s">
        <v>43</v>
      </c>
      <c r="F8" s="6" t="n">
        <v>23960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23960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46266</v>
      </c>
      <c r="T8" s="4" t="s">
        <v>66</v>
      </c>
      <c r="U8" s="3" t="s">
        <v>232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46270</v>
      </c>
      <c r="T9" s="4" t="s">
        <v>71</v>
      </c>
      <c r="U9" s="3" t="s">
        <v>233</v>
      </c>
      <c r="V9" s="3" t="s">
        <v>73</v>
      </c>
      <c r="W9" s="42" t="s">
        <v>51</v>
      </c>
      <c r="X9" s="6" t="n">
        <v>2900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2900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46284</v>
      </c>
      <c r="T10" s="4" t="s">
        <v>76</v>
      </c>
      <c r="U10" s="3" t="s">
        <v>234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46293</v>
      </c>
      <c r="T11" s="4" t="s">
        <v>87</v>
      </c>
      <c r="U11" s="3" t="s">
        <v>235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46293</v>
      </c>
      <c r="T12" s="4" t="s">
        <v>81</v>
      </c>
      <c r="U12" s="3" t="s">
        <v>236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Sep!A2</f>
        <v>183505.63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20960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23250.2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125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6000</v>
      </c>
      <c r="AM1" s="12" t="n">
        <f aca="false">SUM(AM6:AM200)</f>
        <v>1000</v>
      </c>
      <c r="AN1" s="12" t="n">
        <f aca="false">SUM(AN6:AN200)</f>
        <v>5000</v>
      </c>
    </row>
    <row r="2" customFormat="false" ht="15" hidden="false" customHeight="true" outlineLevel="0" collapsed="false">
      <c r="A2" s="17" t="n">
        <f aca="false">A1+F1-X1</f>
        <v>181215.43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181215.43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46315</v>
      </c>
      <c r="B6" s="2" t="s">
        <v>58</v>
      </c>
      <c r="C6" s="3" t="s">
        <v>237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46296</v>
      </c>
      <c r="T6" s="4" t="s">
        <v>61</v>
      </c>
      <c r="U6" s="3" t="s">
        <v>238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46320</v>
      </c>
      <c r="B7" s="2" t="s">
        <v>74</v>
      </c>
      <c r="C7" s="3" t="s">
        <v>239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46296</v>
      </c>
      <c r="T7" s="4" t="s">
        <v>66</v>
      </c>
      <c r="U7" s="3" t="s">
        <v>240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46323</v>
      </c>
      <c r="B8" s="2" t="s">
        <v>84</v>
      </c>
      <c r="C8" s="3" t="s">
        <v>241</v>
      </c>
      <c r="D8" s="4" t="s">
        <v>86</v>
      </c>
      <c r="E8" s="5" t="s">
        <v>43</v>
      </c>
      <c r="F8" s="6" t="n">
        <v>10560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10560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46300</v>
      </c>
      <c r="T8" s="4" t="s">
        <v>71</v>
      </c>
      <c r="U8" s="3" t="s">
        <v>242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46310</v>
      </c>
      <c r="T9" s="4" t="s">
        <v>243</v>
      </c>
      <c r="U9" s="3" t="s">
        <v>244</v>
      </c>
      <c r="V9" s="3" t="s">
        <v>245</v>
      </c>
      <c r="W9" s="42" t="s">
        <v>50</v>
      </c>
      <c r="X9" s="6" t="n">
        <v>5000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n">
        <f aca="false">IF(W9="X",X9," ")</f>
        <v>5000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46314</v>
      </c>
      <c r="T10" s="4" t="s">
        <v>76</v>
      </c>
      <c r="U10" s="3" t="s">
        <v>246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46323</v>
      </c>
      <c r="T11" s="4" t="s">
        <v>81</v>
      </c>
      <c r="U11" s="3" t="s">
        <v>247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46326</v>
      </c>
      <c r="T12" s="4" t="s">
        <v>118</v>
      </c>
      <c r="U12" s="3" t="s">
        <v>248</v>
      </c>
      <c r="V12" s="3" t="s">
        <v>120</v>
      </c>
      <c r="W12" s="42" t="s">
        <v>53</v>
      </c>
      <c r="X12" s="6" t="n">
        <v>125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125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46326</v>
      </c>
      <c r="T13" s="4" t="s">
        <v>87</v>
      </c>
      <c r="U13" s="3" t="s">
        <v>249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46326</v>
      </c>
      <c r="T14" s="4" t="s">
        <v>133</v>
      </c>
      <c r="U14" s="3" t="s">
        <v>250</v>
      </c>
      <c r="V14" s="3" t="s">
        <v>251</v>
      </c>
      <c r="W14" s="42" t="s">
        <v>57</v>
      </c>
      <c r="X14" s="6" t="n">
        <v>6000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n">
        <f aca="false">IF(W14="DV",X14," ")</f>
        <v>6000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