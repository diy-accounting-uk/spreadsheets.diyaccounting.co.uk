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ov" sheetId="1" state="visible" r:id="rId3"/>
    <sheet name="Dec" sheetId="2" state="visible" r:id="rId4"/>
    <sheet name="Jan" sheetId="3" state="visible" r:id="rId5"/>
    <sheet name="Feb" sheetId="4" state="visible" r:id="rId6"/>
    <sheet name="Mar" sheetId="5" state="visible" r:id="rId7"/>
    <sheet name="Apr" sheetId="6" state="visible" r:id="rId8"/>
    <sheet name="May" sheetId="7" state="visible" r:id="rId9"/>
    <sheet name="Jun" sheetId="8" state="visible" r:id="rId10"/>
    <sheet name="Jul" sheetId="9" state="visible" r:id="rId11"/>
    <sheet name="Aug" sheetId="10" state="visible" r:id="rId12"/>
    <sheet name="Sep" sheetId="11" state="visible" r:id="rId13"/>
    <sheet name="Oct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Apr!$A$1:$AI$75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Feb!$A$1:$AJ$75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<sst xmlns="http://schemas.openxmlformats.org/spreadsheetml/2006/main" count="1440" uniqueCount="249">
  <si>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</si>
  <si>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</si>
  <si>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</si>
  <si>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</si>
  <si>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</si>
  <si>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CURRENT ACCOUNT STATEMENT RECEIPTS</t>
  </si>
  <si>
    <t xml:space="preserve">Enter Purchase Invoice No.</t>
  </si>
  <si>
    <t xml:space="preserve">Cheque number  Direct Debit</t>
  </si>
  <si>
    <t xml:space="preserve">CURRENT ACCOUNT STATEMENT PAYMENTS</t>
  </si>
  <si>
    <t xml:space="preserve">&lt;  Statement Bank Balance</t>
  </si>
  <si>
    <t xml:space="preserve">Amounts received from each Source</t>
  </si>
  <si>
    <t xml:space="preserve">Transfers From Savings</t>
  </si>
  <si>
    <t xml:space="preserve">Transfers   From        Cr Card</t>
  </si>
  <si>
    <t xml:space="preserve">Transfers     From      Cash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</si>
  <si>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</si>
  <si>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</si>
  <si>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</si>
  <si>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</si>
  <si>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HMRC   Vat Refunded</t>
  </si>
  <si>
    <t xml:space="preserve">HMRC CIS Refunded</t>
  </si>
  <si>
    <t xml:space="preserve">Directors Loan Account</t>
  </si>
  <si>
    <t xml:space="preserve">Bank Contra items</t>
  </si>
  <si>
    <t xml:space="preserve">Amounts Paid by invoice number</t>
  </si>
  <si>
    <t xml:space="preserve">Transfers  To   Savings</t>
  </si>
  <si>
    <t xml:space="preserve">Transfers      To     Credit Card</t>
  </si>
  <si>
    <t xml:space="preserve">Transfers      To       Cash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</si>
  <si>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</si>
  <si>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</si>
  <si>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</si>
  <si>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</si>
  <si>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</si>
  <si>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</si>
  <si>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</si>
  <si>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</si>
  <si>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</si>
  <si>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</si>
  <si>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</si>
  <si>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</si>
  <si>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</si>
  <si>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</si>
  <si>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BS</t>
  </si>
  <si>
    <t xml:space="preserve">BD</t>
  </si>
  <si>
    <t xml:space="preserve">BC</t>
  </si>
  <si>
    <t xml:space="preserve">DR</t>
  </si>
  <si>
    <t xml:space="preserve">K</t>
  </si>
  <si>
    <t xml:space="preserve">LDR</t>
  </si>
  <si>
    <t xml:space="preserve">LCR</t>
  </si>
  <si>
    <t xml:space="preserve">RV</t>
  </si>
  <si>
    <t xml:space="preserve">RC</t>
  </si>
  <si>
    <t xml:space="preserve">DL</t>
  </si>
  <si>
    <t xml:space="preserve">X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</si>
  <si>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</si>
  <si>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</si>
  <si>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</si>
  <si>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</si>
  <si>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</si>
  <si>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RT</t>
  </si>
  <si>
    <t xml:space="preserve">DV</t>
  </si>
  <si>
    <t xml:space="preserve">Acme Corp</t>
  </si>
  <si>
    <t xml:space="preserve">BNK-DR-037</t>
  </si>
  <si>
    <t xml:space="preserve">Opening debtor receipt</t>
  </si>
  <si>
    <t xml:space="preserve">WorkSpace Ltd</t>
  </si>
  <si>
    <t xml:space="preserve">BNK-CR-001</t>
  </si>
  <si>
    <t xml:space="preserve">Office rent payment</t>
  </si>
  <si>
    <t xml:space="preserve">Beta Systems</t>
  </si>
  <si>
    <t xml:space="preserve">BNK-DR-038</t>
  </si>
  <si>
    <t xml:space="preserve">Director</t>
  </si>
  <si>
    <t xml:space="preserve">BNK-DL-001</t>
  </si>
  <si>
    <t xml:space="preserve">Directors loan repayment</t>
  </si>
  <si>
    <t xml:space="preserve">BNK-DR-001</t>
  </si>
  <si>
    <t xml:space="preserve">Customer receipt</t>
  </si>
  <si>
    <t xml:space="preserve">Various suppliers</t>
  </si>
  <si>
    <t xml:space="preserve">BNK-CR-MISC-001</t>
  </si>
  <si>
    <t xml:space="preserve">Aggregate supplier payments</t>
  </si>
  <si>
    <t xml:space="preserve">TechStart Ltd</t>
  </si>
  <si>
    <t xml:space="preserve">BNK-DR-013</t>
  </si>
  <si>
    <t xml:space="preserve">HMRC</t>
  </si>
  <si>
    <t xml:space="preserve">BNK-RP-001</t>
  </si>
  <si>
    <t xml:space="preserve">Monthly PAYE/NI payment</t>
  </si>
  <si>
    <t xml:space="preserve">Gamma Ltd</t>
  </si>
  <si>
    <t xml:space="preserve">BNK-DR-039</t>
  </si>
  <si>
    <t xml:space="preserve">Payroll</t>
  </si>
  <si>
    <t xml:space="preserve">BNK-W-001</t>
  </si>
  <si>
    <t xml:space="preserve">Monthly net wages (all staff)</t>
  </si>
  <si>
    <t xml:space="preserve">Various customers</t>
  </si>
  <si>
    <t xml:space="preserve">BNK-DR-025</t>
  </si>
  <si>
    <t xml:space="preserve">Aggregate customer receipts</t>
  </si>
  <si>
    <t xml:space="preserve">Smith &amp; Co</t>
  </si>
  <si>
    <t xml:space="preserve">BNK-CR-013</t>
  </si>
  <si>
    <t xml:space="preserve">Accountancy fee payment</t>
  </si>
  <si>
    <t xml:space="preserve">Credit card payment</t>
  </si>
  <si>
    <t xml:space="preserve">BNK-X-CC-001</t>
  </si>
  <si>
    <t xml:space="preserve">Pay credit card balance</t>
  </si>
  <si>
    <t xml:space="preserve">BNK-DR-002</t>
  </si>
  <si>
    <t xml:space="preserve">BNK-CR-002</t>
  </si>
  <si>
    <t xml:space="preserve">BNK-DR-014</t>
  </si>
  <si>
    <t xml:space="preserve">BNK-DL-002</t>
  </si>
  <si>
    <t xml:space="preserve">BNK-DR-026</t>
  </si>
  <si>
    <t xml:space="preserve">BNK-CR-MISC-002</t>
  </si>
  <si>
    <t xml:space="preserve">BNK-RP-002</t>
  </si>
  <si>
    <t xml:space="preserve">HSBC</t>
  </si>
  <si>
    <t xml:space="preserve">BNK-B-001</t>
  </si>
  <si>
    <t xml:space="preserve">Bank charges</t>
  </si>
  <si>
    <t xml:space="preserve">BNK-W-002</t>
  </si>
  <si>
    <t xml:space="preserve">BNK-CR-014</t>
  </si>
  <si>
    <t xml:space="preserve">BNK-RV-VAT-000</t>
  </si>
  <si>
    <t xml:space="preserve">VAT payment, prior year fourth quarter</t>
  </si>
  <si>
    <t xml:space="preserve">BNK-DR-003</t>
  </si>
  <si>
    <t xml:space="preserve">BNK-CR-003</t>
  </si>
  <si>
    <t xml:space="preserve">BNK-DR-015</t>
  </si>
  <si>
    <t xml:space="preserve">BNK-DL-003</t>
  </si>
  <si>
    <t xml:space="preserve">BNK-DR-027</t>
  </si>
  <si>
    <t xml:space="preserve">BNK-CR-MISC-003</t>
  </si>
  <si>
    <t xml:space="preserve">BNK-RP-003</t>
  </si>
  <si>
    <t xml:space="preserve">BNK-W-003</t>
  </si>
  <si>
    <t xml:space="preserve">Directors loan interest</t>
  </si>
  <si>
    <t xml:space="preserve">BNK-B-INT-001</t>
  </si>
  <si>
    <t xml:space="preserve">Quarterly loan interest payment</t>
  </si>
  <si>
    <t xml:space="preserve">BNK-CR-015</t>
  </si>
  <si>
    <t xml:space="preserve">Close Brothers Asset Finance</t>
  </si>
  <si>
    <t xml:space="preserve">BNK-HP-INT-001</t>
  </si>
  <si>
    <t xml:space="preserve">HP-2025-01 admin charges and interest</t>
  </si>
  <si>
    <t xml:space="preserve">BNK-HP-CAP-001</t>
  </si>
  <si>
    <t xml:space="preserve">HP-2025-01 capital repayment</t>
  </si>
  <si>
    <t xml:space="preserve">BNK-DR-004</t>
  </si>
  <si>
    <t xml:space="preserve">BNK-CR-004</t>
  </si>
  <si>
    <t xml:space="preserve">BNK-DR-016</t>
  </si>
  <si>
    <t xml:space="preserve">BNK-DL-004</t>
  </si>
  <si>
    <t xml:space="preserve">BNK-DR-028</t>
  </si>
  <si>
    <t xml:space="preserve">BNK-CR-MISC-004</t>
  </si>
  <si>
    <t xml:space="preserve">Dividend</t>
  </si>
  <si>
    <t xml:space="preserve">BNK-DV-001</t>
  </si>
  <si>
    <t xml:space="preserve">Quarterly dividend payment</t>
  </si>
  <si>
    <t xml:space="preserve">BNK-RP-004</t>
  </si>
  <si>
    <t xml:space="preserve">BNK-RC-CIS-001</t>
  </si>
  <si>
    <t xml:space="preserve">CIS deduction remittance</t>
  </si>
  <si>
    <t xml:space="preserve">BNK-W-004</t>
  </si>
  <si>
    <t xml:space="preserve">BNK-CR-016</t>
  </si>
  <si>
    <t xml:space="preserve">BNK-X-CC-002</t>
  </si>
  <si>
    <t xml:space="preserve">Innovate UK</t>
  </si>
  <si>
    <t xml:space="preserve">BNK-RV-001</t>
  </si>
  <si>
    <t xml:space="preserve">Grant received</t>
  </si>
  <si>
    <t xml:space="preserve">BNK-RV-VAT-001</t>
  </si>
  <si>
    <t xml:space="preserve">VAT payment Q1 Apr-Jun</t>
  </si>
  <si>
    <t xml:space="preserve">BNK-DR-005</t>
  </si>
  <si>
    <t xml:space="preserve">BNK-CR-005</t>
  </si>
  <si>
    <t xml:space="preserve">BNK-DR-017</t>
  </si>
  <si>
    <t xml:space="preserve">BNK-DL-005</t>
  </si>
  <si>
    <t xml:space="preserve">BNK-DR-029</t>
  </si>
  <si>
    <t xml:space="preserve">BNK-CR-MISC-005</t>
  </si>
  <si>
    <t xml:space="preserve">BNK-RP-005</t>
  </si>
  <si>
    <t xml:space="preserve">BNK-W-005</t>
  </si>
  <si>
    <t xml:space="preserve">BNK-CR-017</t>
  </si>
  <si>
    <t xml:space="preserve">BNK-DR-006</t>
  </si>
  <si>
    <t xml:space="preserve">BNK-CR-006</t>
  </si>
  <si>
    <t xml:space="preserve">BNK-DR-018</t>
  </si>
  <si>
    <t xml:space="preserve">BNK-DL-006</t>
  </si>
  <si>
    <t xml:space="preserve">BNK-DR-030</t>
  </si>
  <si>
    <t xml:space="preserve">BNK-CR-MISC-006</t>
  </si>
  <si>
    <t xml:space="preserve">BNK-RP-006</t>
  </si>
  <si>
    <t xml:space="preserve">BNK-W-006</t>
  </si>
  <si>
    <t xml:space="preserve">BNK-B-INT-002</t>
  </si>
  <si>
    <t xml:space="preserve">BNK-CR-018</t>
  </si>
  <si>
    <t xml:space="preserve">BNK-HP-INT-002</t>
  </si>
  <si>
    <t xml:space="preserve">HP-2025-02 admin charges and interest</t>
  </si>
  <si>
    <t xml:space="preserve">BNK-HP-CAP-002</t>
  </si>
  <si>
    <t xml:space="preserve">HP-2025-02 capital repayment</t>
  </si>
  <si>
    <t xml:space="preserve">Private buyer</t>
  </si>
  <si>
    <t xml:space="preserve">BNK-DR-040</t>
  </si>
  <si>
    <t xml:space="preserve">Van sale proceeds</t>
  </si>
  <si>
    <t xml:space="preserve">BNK-CR-007</t>
  </si>
  <si>
    <t xml:space="preserve">BNK-DR-007</t>
  </si>
  <si>
    <t xml:space="preserve">BNK-DL-007</t>
  </si>
  <si>
    <t xml:space="preserve">BNK-DR-019</t>
  </si>
  <si>
    <t xml:space="preserve">BNK-RT-CT-001</t>
  </si>
  <si>
    <t xml:space="preserve">Corporation Tax prior year</t>
  </si>
  <si>
    <t xml:space="preserve">BNK-DR-031</t>
  </si>
  <si>
    <t xml:space="preserve">BNK-CR-MISC-007</t>
  </si>
  <si>
    <t xml:space="preserve">BNK-DV-002</t>
  </si>
  <si>
    <t xml:space="preserve">BNK-RP-007</t>
  </si>
  <si>
    <t xml:space="preserve">Ford</t>
  </si>
  <si>
    <t xml:space="preserve">BNK-CR-FA-001</t>
  </si>
  <si>
    <t xml:space="preserve">Ford Transit Custom purchase</t>
  </si>
  <si>
    <t xml:space="preserve">BNK-W-007</t>
  </si>
  <si>
    <t xml:space="preserve">BNK-CR-019</t>
  </si>
  <si>
    <t xml:space="preserve">BNK-X-CC-003</t>
  </si>
  <si>
    <t xml:space="preserve">BNK-DR-008</t>
  </si>
  <si>
    <t xml:space="preserve">BNK-RV-VAT-002</t>
  </si>
  <si>
    <t xml:space="preserve">VAT payment Q2 Jul-Sep</t>
  </si>
  <si>
    <t xml:space="preserve">BNK-DR-020</t>
  </si>
  <si>
    <t xml:space="preserve">BNK-CR-008</t>
  </si>
  <si>
    <t xml:space="preserve">BNK-DR-032</t>
  </si>
  <si>
    <t xml:space="preserve">BNK-DL-008</t>
  </si>
  <si>
    <t xml:space="preserve">BNK-CR-MISC-008</t>
  </si>
  <si>
    <t xml:space="preserve">BNK-RP-008</t>
  </si>
  <si>
    <t xml:space="preserve">BNK-B-002</t>
  </si>
  <si>
    <t xml:space="preserve">BNK-W-008</t>
  </si>
  <si>
    <t xml:space="preserve">BNK-CR-020</t>
  </si>
  <si>
    <t xml:space="preserve">BNK-DR-009</t>
  </si>
  <si>
    <t xml:space="preserve">BNK-CR-009</t>
  </si>
  <si>
    <t xml:space="preserve">BNK-DR-021</t>
  </si>
  <si>
    <t xml:space="preserve">BNK-DL-009</t>
  </si>
  <si>
    <t xml:space="preserve">BNK-DR-033</t>
  </si>
  <si>
    <t xml:space="preserve">BNK-CR-MISC-009</t>
  </si>
  <si>
    <t xml:space="preserve">BNK-RP-009</t>
  </si>
  <si>
    <t xml:space="preserve">BNK-RC-CIS-002</t>
  </si>
  <si>
    <t xml:space="preserve">BNK-W-009</t>
  </si>
  <si>
    <t xml:space="preserve">BNK-B-INT-003</t>
  </si>
  <si>
    <t xml:space="preserve">BNK-CR-021</t>
  </si>
  <si>
    <t xml:space="preserve">Director loan</t>
  </si>
  <si>
    <t xml:space="preserve">BNK-DL-IN-001</t>
  </si>
  <si>
    <t xml:space="preserve">Directors loan advance</t>
  </si>
  <si>
    <t xml:space="preserve">BNK-CR-010</t>
  </si>
  <si>
    <t xml:space="preserve">BNK-DR-010</t>
  </si>
  <si>
    <t xml:space="preserve">BNK-DL-010</t>
  </si>
  <si>
    <t xml:space="preserve">BNK-DR-022</t>
  </si>
  <si>
    <t xml:space="preserve">BNK-CR-MISC-010</t>
  </si>
  <si>
    <t xml:space="preserve">BNK-DR-034</t>
  </si>
  <si>
    <t xml:space="preserve">BNK-DV-003</t>
  </si>
  <si>
    <t xml:space="preserve">BNK-RP-010</t>
  </si>
  <si>
    <t xml:space="preserve">BNK-W-010</t>
  </si>
  <si>
    <t xml:space="preserve">BNK-CR-022</t>
  </si>
  <si>
    <t xml:space="preserve">BNK-X-CC-004</t>
  </si>
  <si>
    <t xml:space="preserve">BNK-DR-011</t>
  </si>
  <si>
    <t xml:space="preserve">BNK-RV-VAT-003</t>
  </si>
  <si>
    <t xml:space="preserve">VAT payment Q3 Oct-Dec</t>
  </si>
  <si>
    <t xml:space="preserve">BNK-DR-023</t>
  </si>
  <si>
    <t xml:space="preserve">BNK-CR-011</t>
  </si>
  <si>
    <t xml:space="preserve">BNK-DR-035</t>
  </si>
  <si>
    <t xml:space="preserve">BNK-DL-011</t>
  </si>
  <si>
    <t xml:space="preserve">BNK-CR-MISC-011</t>
  </si>
  <si>
    <t xml:space="preserve">BNK-RP-011</t>
  </si>
  <si>
    <t xml:space="preserve">BNK-CR-023</t>
  </si>
  <si>
    <t xml:space="preserve">BNK-W-011</t>
  </si>
  <si>
    <t xml:space="preserve">BNK-DR-012</t>
  </si>
  <si>
    <t xml:space="preserve">BNK-CR-012</t>
  </si>
  <si>
    <t xml:space="preserve">BNK-DR-024</t>
  </si>
  <si>
    <t xml:space="preserve">BNK-DL-012</t>
  </si>
  <si>
    <t xml:space="preserve">BNK-DR-036</t>
  </si>
  <si>
    <t xml:space="preserve">BNK-CR-MISC-012</t>
  </si>
  <si>
    <t xml:space="preserve">Internal transfer</t>
  </si>
  <si>
    <t xml:space="preserve">BNK-X-001</t>
  </si>
  <si>
    <t xml:space="preserve">Transfer to savings account</t>
  </si>
  <si>
    <t xml:space="preserve">BNK-RP-012</t>
  </si>
  <si>
    <t xml:space="preserve">BNK-W-012</t>
  </si>
  <si>
    <t xml:space="preserve">BNK-B-INT-004</t>
  </si>
  <si>
    <t xml:space="preserve">BNK-CR-024</t>
  </si>
  <si>
    <t xml:space="preserve">BNK-DV-004</t>
  </si>
  <si>
    <t xml:space="preserve">Final dividend payment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</si>
</sst>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46327</v>
          </cell>
        </row>
        <row r="10">
          <cell r="B10">
            <v>46356</v>
          </cell>
        </row>
        <row r="11">
          <cell r="B11">
            <v>46357</v>
          </cell>
        </row>
        <row r="12">
          <cell r="B12">
            <v>46387</v>
          </cell>
        </row>
        <row r="13">
          <cell r="B13">
            <v>46388</v>
          </cell>
        </row>
        <row r="14">
          <cell r="B14">
            <v>46418</v>
          </cell>
        </row>
        <row r="15">
          <cell r="B15">
            <v>46419</v>
          </cell>
        </row>
        <row r="16">
          <cell r="B16">
            <v>46446</v>
          </cell>
        </row>
        <row r="17">
          <cell r="B17">
            <v>46447</v>
          </cell>
        </row>
        <row r="18">
          <cell r="B18">
            <v>46477</v>
          </cell>
        </row>
        <row r="19">
          <cell r="B19">
            <v>46478</v>
          </cell>
        </row>
        <row r="20">
          <cell r="B20">
            <v>46507</v>
          </cell>
        </row>
        <row r="21">
          <cell r="B21">
            <v>46508</v>
          </cell>
        </row>
        <row r="22">
          <cell r="B22">
            <v>46538</v>
          </cell>
        </row>
        <row r="23">
          <cell r="B23">
            <v>46539</v>
          </cell>
        </row>
        <row r="24">
          <cell r="B24">
            <v>46568</v>
          </cell>
        </row>
        <row r="25">
          <cell r="B25">
            <v>46569</v>
          </cell>
        </row>
        <row r="26">
          <cell r="B26">
            <v>46599</v>
          </cell>
        </row>
        <row r="27">
          <cell r="B27">
            <v>46600</v>
          </cell>
        </row>
        <row r="28">
          <cell r="B28">
            <v>46630</v>
          </cell>
        </row>
        <row r="29">
          <cell r="B29">
            <v>46631</v>
          </cell>
        </row>
        <row r="30">
          <cell r="B30">
            <v>46660</v>
          </cell>
        </row>
        <row r="31">
          <cell r="B31">
            <v>46661</v>
          </cell>
        </row>
        <row r="32">
          <cell r="B32">
            <v>46691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7" t="n">
        <v>25000</v>
      </c>
      <c r="B1" s="8" t="s">
        <v>0</v>
      </c>
      <c r="C1" s="9" t="n">
        <f aca="false">[1]Admin!$B$9</f>
        <v>46327</v>
      </c>
      <c r="D1" s="10" t="s">
        <v>1</v>
      </c>
      <c r="E1" s="11" t="n">
        <f aca="false">F1-SUM(G1:Q1)</f>
        <v>0</v>
      </c>
      <c r="F1" s="12" t="n">
        <f aca="false">SUM(F6:F200)</f>
        <v>44200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44200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12525.2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3700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500</v>
      </c>
    </row>
    <row r="2" customFormat="false" ht="15" hidden="false" customHeight="true" outlineLevel="0" collapsed="false">
      <c r="A2" s="17" t="n">
        <f aca="false">A1+F1-X1</f>
        <v>56674.8</v>
      </c>
      <c r="B2" s="18" t="s">
        <v>2</v>
      </c>
      <c r="C2" s="9" t="n">
        <f aca="false">[1]Admin!$B$10</f>
        <v>46356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46356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56674.8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45971</v>
      </c>
      <c r="B6" s="2" t="s">
        <v>58</v>
      </c>
      <c r="C6" s="3" t="s">
        <v>59</v>
      </c>
      <c r="D6" s="4" t="s">
        <v>60</v>
      </c>
      <c r="E6" s="38" t="s">
        <v>43</v>
      </c>
      <c r="F6" s="6" t="n">
        <v>7200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7200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45962</v>
      </c>
      <c r="T6" s="4" t="s">
        <v>61</v>
      </c>
      <c r="U6" s="3" t="s">
        <v>62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45976</v>
      </c>
      <c r="B7" s="2" t="s">
        <v>64</v>
      </c>
      <c r="C7" s="3" t="s">
        <v>65</v>
      </c>
      <c r="D7" s="4" t="s">
        <v>60</v>
      </c>
      <c r="E7" s="5" t="s">
        <v>43</v>
      </c>
      <c r="F7" s="6" t="n">
        <v>1200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1200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45962</v>
      </c>
      <c r="T7" s="4" t="s">
        <v>66</v>
      </c>
      <c r="U7" s="3" t="s">
        <v>67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45981</v>
      </c>
      <c r="B8" s="2" t="s">
        <v>58</v>
      </c>
      <c r="C8" s="3" t="s">
        <v>69</v>
      </c>
      <c r="D8" s="4" t="s">
        <v>70</v>
      </c>
      <c r="E8" s="5" t="s">
        <v>43</v>
      </c>
      <c r="F8" s="6" t="n">
        <v>8000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8000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45966</v>
      </c>
      <c r="T8" s="4" t="s">
        <v>71</v>
      </c>
      <c r="U8" s="3" t="s">
        <v>72</v>
      </c>
      <c r="V8" s="3" t="s">
        <v>73</v>
      </c>
      <c r="W8" s="42" t="s">
        <v>51</v>
      </c>
      <c r="X8" s="6" t="n">
        <v>2200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2200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45986</v>
      </c>
      <c r="B9" s="2" t="s">
        <v>74</v>
      </c>
      <c r="C9" s="3" t="s">
        <v>75</v>
      </c>
      <c r="D9" s="4" t="s">
        <v>70</v>
      </c>
      <c r="E9" s="5" t="s">
        <v>43</v>
      </c>
      <c r="F9" s="6" t="n">
        <v>2400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2400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45980</v>
      </c>
      <c r="T9" s="4" t="s">
        <v>76</v>
      </c>
      <c r="U9" s="3" t="s">
        <v>77</v>
      </c>
      <c r="V9" s="3" t="s">
        <v>78</v>
      </c>
      <c r="W9" s="42" t="s">
        <v>55</v>
      </c>
      <c r="X9" s="6" t="n">
        <v>1673.2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n">
        <f aca="false">IF(W9="RP",X9," ")</f>
        <v>1673.2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45986</v>
      </c>
      <c r="B10" s="2" t="s">
        <v>79</v>
      </c>
      <c r="C10" s="3" t="s">
        <v>80</v>
      </c>
      <c r="D10" s="4" t="s">
        <v>60</v>
      </c>
      <c r="E10" s="5" t="s">
        <v>43</v>
      </c>
      <c r="F10" s="6" t="n">
        <v>2400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2400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45989</v>
      </c>
      <c r="T10" s="4" t="s">
        <v>81</v>
      </c>
      <c r="U10" s="3" t="s">
        <v>82</v>
      </c>
      <c r="V10" s="3" t="s">
        <v>83</v>
      </c>
      <c r="W10" s="42" t="s">
        <v>52</v>
      </c>
      <c r="X10" s="6" t="n">
        <v>5652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n">
        <f aca="false">IF(W10="W",X10," ")</f>
        <v>5652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45989</v>
      </c>
      <c r="B11" s="2" t="s">
        <v>84</v>
      </c>
      <c r="C11" s="3" t="s">
        <v>85</v>
      </c>
      <c r="D11" s="4" t="s">
        <v>86</v>
      </c>
      <c r="E11" s="5" t="s">
        <v>43</v>
      </c>
      <c r="F11" s="6" t="n">
        <v>23000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23000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45991</v>
      </c>
      <c r="T11" s="4" t="s">
        <v>87</v>
      </c>
      <c r="U11" s="3" t="s">
        <v>88</v>
      </c>
      <c r="V11" s="3" t="s">
        <v>89</v>
      </c>
      <c r="W11" s="42" t="s">
        <v>51</v>
      </c>
      <c r="X11" s="6" t="n">
        <v>300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n">
        <f aca="false">IF(W11="CR",X11," ")</f>
        <v>300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45991</v>
      </c>
      <c r="T12" s="4" t="s">
        <v>90</v>
      </c>
      <c r="U12" s="3" t="s">
        <v>91</v>
      </c>
      <c r="V12" s="3" t="s">
        <v>92</v>
      </c>
      <c r="W12" s="42" t="s">
        <v>50</v>
      </c>
      <c r="X12" s="6" t="n">
        <v>500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n">
        <f aca="false">IF(W12="X",X12," ")</f>
        <v>500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/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Nov!A2</f>
        <v>56674.8</v>
      </c>
      <c r="B1" s="8" t="s">
        <v>0</v>
      </c>
      <c r="C1" s="9" t="n">
        <f aca="false">[1]Admin!$B$11</f>
        <v>46357</v>
      </c>
      <c r="D1" s="10" t="s">
        <v>1</v>
      </c>
      <c r="E1" s="11" t="n">
        <f aca="false">F1-SUM(G1:Q1)</f>
        <v>0</v>
      </c>
      <c r="F1" s="12" t="n">
        <f aca="false">SUM(F6:F200)</f>
        <v>32920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32920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14150.2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4300</v>
      </c>
      <c r="AC1" s="12" t="n">
        <f aca="false">SUM(AC6:AC200)</f>
        <v>5652</v>
      </c>
      <c r="AD1" s="12" t="n">
        <f aca="false">SUM(AD6:AD200)</f>
        <v>25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1500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75444.6</v>
      </c>
      <c r="B2" s="18" t="s">
        <v>2</v>
      </c>
      <c r="C2" s="9" t="n">
        <f aca="false">[1]Admin!$B$12</f>
        <v>46387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46387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75444.6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46011</v>
      </c>
      <c r="B6" s="2" t="s">
        <v>58</v>
      </c>
      <c r="C6" s="3" t="s">
        <v>93</v>
      </c>
      <c r="D6" s="4" t="s">
        <v>70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45992</v>
      </c>
      <c r="T6" s="4" t="s">
        <v>61</v>
      </c>
      <c r="U6" s="3" t="s">
        <v>94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46016</v>
      </c>
      <c r="B7" s="2" t="s">
        <v>74</v>
      </c>
      <c r="C7" s="3" t="s">
        <v>95</v>
      </c>
      <c r="D7" s="4" t="s">
        <v>70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45992</v>
      </c>
      <c r="T7" s="4" t="s">
        <v>66</v>
      </c>
      <c r="U7" s="3" t="s">
        <v>96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46019</v>
      </c>
      <c r="B8" s="2" t="s">
        <v>84</v>
      </c>
      <c r="C8" s="3" t="s">
        <v>97</v>
      </c>
      <c r="D8" s="4" t="s">
        <v>86</v>
      </c>
      <c r="E8" s="5" t="s">
        <v>43</v>
      </c>
      <c r="F8" s="6" t="n">
        <v>22520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22520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45996</v>
      </c>
      <c r="T8" s="4" t="s">
        <v>71</v>
      </c>
      <c r="U8" s="3" t="s">
        <v>98</v>
      </c>
      <c r="V8" s="3" t="s">
        <v>73</v>
      </c>
      <c r="W8" s="42" t="s">
        <v>51</v>
      </c>
      <c r="X8" s="6" t="n">
        <v>2800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2800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46010</v>
      </c>
      <c r="T9" s="4" t="s">
        <v>76</v>
      </c>
      <c r="U9" s="3" t="s">
        <v>99</v>
      </c>
      <c r="V9" s="3" t="s">
        <v>78</v>
      </c>
      <c r="W9" s="42" t="s">
        <v>55</v>
      </c>
      <c r="X9" s="6" t="n">
        <v>1673.2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n">
        <f aca="false">IF(W9="RP",X9," ")</f>
        <v>1673.2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46016</v>
      </c>
      <c r="T10" s="4" t="s">
        <v>100</v>
      </c>
      <c r="U10" s="3" t="s">
        <v>101</v>
      </c>
      <c r="V10" s="3" t="s">
        <v>102</v>
      </c>
      <c r="W10" s="42" t="s">
        <v>53</v>
      </c>
      <c r="X10" s="6" t="n">
        <v>25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n">
        <f aca="false">IF(W10="B",X10," ")</f>
        <v>25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46019</v>
      </c>
      <c r="T11" s="4" t="s">
        <v>81</v>
      </c>
      <c r="U11" s="3" t="s">
        <v>103</v>
      </c>
      <c r="V11" s="3" t="s">
        <v>83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46022</v>
      </c>
      <c r="T12" s="4" t="s">
        <v>87</v>
      </c>
      <c r="U12" s="3" t="s">
        <v>104</v>
      </c>
      <c r="V12" s="3" t="s">
        <v>89</v>
      </c>
      <c r="W12" s="42" t="s">
        <v>51</v>
      </c>
      <c r="X12" s="6" t="n">
        <v>300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45998</v>
      </c>
      <c r="T13" s="4" t="s">
        <v>76</v>
      </c>
      <c r="U13" s="3" t="s">
        <v>105</v>
      </c>
      <c r="V13" s="3" t="s">
        <v>106</v>
      </c>
      <c r="W13" s="42" t="s">
        <v>47</v>
      </c>
      <c r="X13" s="6" t="n">
        <v>1500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n">
        <f aca="false">IF(W13="RV",X13," ")</f>
        <v>1500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Dec!A2</f>
        <v>75444.6</v>
      </c>
      <c r="B1" s="8" t="s">
        <v>0</v>
      </c>
      <c r="C1" s="9" t="n">
        <f aca="false">[1]Admin!$B$13</f>
        <v>46388</v>
      </c>
      <c r="D1" s="10" t="s">
        <v>1</v>
      </c>
      <c r="E1" s="11" t="n">
        <f aca="false">F1-SUM(G1:Q1)</f>
        <v>0</v>
      </c>
      <c r="F1" s="12" t="n">
        <f aca="false">SUM(F6:F200)</f>
        <v>35200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35200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27575.2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17000</v>
      </c>
      <c r="AC1" s="12" t="n">
        <f aca="false">SUM(AC6:AC200)</f>
        <v>5652</v>
      </c>
      <c r="AD1" s="12" t="n">
        <f aca="false">SUM(AD6:AD200)</f>
        <v>2250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83069.4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46418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83069.4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46042</v>
      </c>
      <c r="B6" s="2" t="s">
        <v>58</v>
      </c>
      <c r="C6" s="3" t="s">
        <v>107</v>
      </c>
      <c r="D6" s="4" t="s">
        <v>70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46023</v>
      </c>
      <c r="T6" s="4" t="s">
        <v>61</v>
      </c>
      <c r="U6" s="3" t="s">
        <v>108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46047</v>
      </c>
      <c r="B7" s="2" t="s">
        <v>74</v>
      </c>
      <c r="C7" s="3" t="s">
        <v>109</v>
      </c>
      <c r="D7" s="4" t="s">
        <v>70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46023</v>
      </c>
      <c r="T7" s="4" t="s">
        <v>66</v>
      </c>
      <c r="U7" s="3" t="s">
        <v>110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46050</v>
      </c>
      <c r="B8" s="2" t="s">
        <v>84</v>
      </c>
      <c r="C8" s="3" t="s">
        <v>111</v>
      </c>
      <c r="D8" s="4" t="s">
        <v>86</v>
      </c>
      <c r="E8" s="5" t="s">
        <v>43</v>
      </c>
      <c r="F8" s="6" t="n">
        <v>24800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24800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46027</v>
      </c>
      <c r="T8" s="4" t="s">
        <v>71</v>
      </c>
      <c r="U8" s="3" t="s">
        <v>112</v>
      </c>
      <c r="V8" s="3" t="s">
        <v>73</v>
      </c>
      <c r="W8" s="42" t="s">
        <v>51</v>
      </c>
      <c r="X8" s="6" t="n">
        <v>2500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2500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46041</v>
      </c>
      <c r="T9" s="4" t="s">
        <v>76</v>
      </c>
      <c r="U9" s="3" t="s">
        <v>113</v>
      </c>
      <c r="V9" s="3" t="s">
        <v>78</v>
      </c>
      <c r="W9" s="42" t="s">
        <v>55</v>
      </c>
      <c r="X9" s="6" t="n">
        <v>1673.2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n">
        <f aca="false">IF(W9="RP",X9," ")</f>
        <v>1673.2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46050</v>
      </c>
      <c r="T10" s="4" t="s">
        <v>81</v>
      </c>
      <c r="U10" s="3" t="s">
        <v>114</v>
      </c>
      <c r="V10" s="3" t="s">
        <v>83</v>
      </c>
      <c r="W10" s="42" t="s">
        <v>52</v>
      </c>
      <c r="X10" s="6" t="n">
        <v>5652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n">
        <f aca="false">IF(W10="W",X10," ")</f>
        <v>5652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46052</v>
      </c>
      <c r="T11" s="4" t="s">
        <v>115</v>
      </c>
      <c r="U11" s="3" t="s">
        <v>116</v>
      </c>
      <c r="V11" s="3" t="s">
        <v>117</v>
      </c>
      <c r="W11" s="42" t="s">
        <v>53</v>
      </c>
      <c r="X11" s="6" t="n">
        <v>250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n">
        <f aca="false">IF(W11="B",X11," ")</f>
        <v>250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46052</v>
      </c>
      <c r="T12" s="4" t="s">
        <v>87</v>
      </c>
      <c r="U12" s="3" t="s">
        <v>118</v>
      </c>
      <c r="V12" s="3" t="s">
        <v>89</v>
      </c>
      <c r="W12" s="42" t="s">
        <v>51</v>
      </c>
      <c r="X12" s="6" t="n">
        <v>300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46023</v>
      </c>
      <c r="T13" s="4" t="s">
        <v>119</v>
      </c>
      <c r="U13" s="3" t="s">
        <v>120</v>
      </c>
      <c r="V13" s="3" t="s">
        <v>121</v>
      </c>
      <c r="W13" s="42" t="s">
        <v>53</v>
      </c>
      <c r="X13" s="6" t="n">
        <v>2000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n">
        <f aca="false">IF(W13="B",X13," ")</f>
        <v>2000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S14" s="1" t="n">
        <v>46023</v>
      </c>
      <c r="T14" s="4" t="s">
        <v>119</v>
      </c>
      <c r="U14" s="3" t="s">
        <v>122</v>
      </c>
      <c r="V14" s="3" t="s">
        <v>123</v>
      </c>
      <c r="W14" s="42" t="s">
        <v>51</v>
      </c>
      <c r="X14" s="6" t="n">
        <v>13000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n">
        <f aca="false">IF(W14="CR",X14," ")</f>
        <v>13000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Jan!A2</f>
        <v>83069.4</v>
      </c>
      <c r="B1" s="8" t="s">
        <v>0</v>
      </c>
      <c r="C1" s="9" t="n">
        <f aca="false">[1]Admin!$B$15</f>
        <v>46419</v>
      </c>
      <c r="D1" s="10" t="s">
        <v>1</v>
      </c>
      <c r="E1" s="11" t="n">
        <f aca="false">F1-SUM(G1:Q1)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33760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16425.2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3800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1000</v>
      </c>
      <c r="AK1" s="12" t="n">
        <f aca="false">SUM(AK6:AK200)</f>
        <v>0</v>
      </c>
      <c r="AL1" s="12" t="n">
        <f aca="false">SUM(AL6:AL200)</f>
        <v>3000</v>
      </c>
      <c r="AM1" s="12" t="n">
        <f aca="false">SUM(AM6:AM200)</f>
        <v>1000</v>
      </c>
      <c r="AN1" s="12" t="n">
        <f aca="false">SUM(AN6:AN200)</f>
        <v>300</v>
      </c>
    </row>
    <row r="2" customFormat="false" ht="15" hidden="false" customHeight="true" outlineLevel="0" collapsed="false">
      <c r="A2" s="17" t="n">
        <f aca="false">A1+F1-X1</f>
        <v>100404.2</v>
      </c>
      <c r="B2" s="18" t="s">
        <v>2</v>
      </c>
      <c r="C2" s="9" t="n">
        <f aca="false">[1]Admin!$B$16</f>
        <v>46446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46446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100404.2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46073</v>
      </c>
      <c r="B6" s="2" t="s">
        <v>58</v>
      </c>
      <c r="C6" s="3" t="s">
        <v>124</v>
      </c>
      <c r="D6" s="4" t="s">
        <v>70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46054</v>
      </c>
      <c r="T6" s="4" t="s">
        <v>61</v>
      </c>
      <c r="U6" s="3" t="s">
        <v>125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46078</v>
      </c>
      <c r="B7" s="2" t="s">
        <v>74</v>
      </c>
      <c r="C7" s="3" t="s">
        <v>126</v>
      </c>
      <c r="D7" s="4" t="s">
        <v>70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46054</v>
      </c>
      <c r="T7" s="4" t="s">
        <v>66</v>
      </c>
      <c r="U7" s="3" t="s">
        <v>127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46081</v>
      </c>
      <c r="B8" s="2" t="s">
        <v>84</v>
      </c>
      <c r="C8" s="3" t="s">
        <v>128</v>
      </c>
      <c r="D8" s="4" t="s">
        <v>86</v>
      </c>
      <c r="E8" s="5" t="s">
        <v>43</v>
      </c>
      <c r="F8" s="6" t="n">
        <v>23360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23360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46058</v>
      </c>
      <c r="T8" s="4" t="s">
        <v>71</v>
      </c>
      <c r="U8" s="3" t="s">
        <v>129</v>
      </c>
      <c r="V8" s="3" t="s">
        <v>73</v>
      </c>
      <c r="W8" s="42" t="s">
        <v>51</v>
      </c>
      <c r="X8" s="6" t="n">
        <v>2300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2300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46068</v>
      </c>
      <c r="T9" s="4" t="s">
        <v>130</v>
      </c>
      <c r="U9" s="3" t="s">
        <v>131</v>
      </c>
      <c r="V9" s="3" t="s">
        <v>132</v>
      </c>
      <c r="W9" s="42" t="s">
        <v>57</v>
      </c>
      <c r="X9" s="6" t="n">
        <v>3000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n">
        <f aca="false">IF(W9="DV",X9," ")</f>
        <v>3000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46072</v>
      </c>
      <c r="T10" s="4" t="s">
        <v>76</v>
      </c>
      <c r="U10" s="3" t="s">
        <v>133</v>
      </c>
      <c r="V10" s="3" t="s">
        <v>78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46072</v>
      </c>
      <c r="T11" s="4" t="s">
        <v>76</v>
      </c>
      <c r="U11" s="3" t="s">
        <v>134</v>
      </c>
      <c r="V11" s="3" t="s">
        <v>135</v>
      </c>
      <c r="W11" s="42" t="s">
        <v>48</v>
      </c>
      <c r="X11" s="6" t="n">
        <v>1000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n">
        <f aca="false">IF(W11="RC",X11," ")</f>
        <v>1000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46081</v>
      </c>
      <c r="T12" s="4" t="s">
        <v>81</v>
      </c>
      <c r="U12" s="3" t="s">
        <v>136</v>
      </c>
      <c r="V12" s="3" t="s">
        <v>83</v>
      </c>
      <c r="W12" s="42" t="s">
        <v>52</v>
      </c>
      <c r="X12" s="6" t="n">
        <v>5652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n">
        <f aca="false">IF(W12="W",X12," ")</f>
        <v>5652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46081</v>
      </c>
      <c r="T13" s="4" t="s">
        <v>87</v>
      </c>
      <c r="U13" s="3" t="s">
        <v>137</v>
      </c>
      <c r="V13" s="3" t="s">
        <v>89</v>
      </c>
      <c r="W13" s="42" t="s">
        <v>51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n">
        <f aca="false">IF(W13="CR",X13," ")</f>
        <v>300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S14" s="1" t="n">
        <v>46081</v>
      </c>
      <c r="T14" s="4" t="s">
        <v>90</v>
      </c>
      <c r="U14" s="3" t="s">
        <v>138</v>
      </c>
      <c r="V14" s="3" t="s">
        <v>92</v>
      </c>
      <c r="W14" s="42" t="s">
        <v>50</v>
      </c>
      <c r="X14" s="6" t="n">
        <v>300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n">
        <f aca="false">IF(W14="X",X14," ")</f>
        <v>300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Feb!A2</f>
        <v>100404.2</v>
      </c>
      <c r="B1" s="8" t="s">
        <v>0</v>
      </c>
      <c r="C1" s="9" t="n">
        <f aca="false">[1]Admin!$B$17</f>
        <v>46447</v>
      </c>
      <c r="D1" s="10" t="s">
        <v>1</v>
      </c>
      <c r="E1" s="11" t="n">
        <f aca="false">F1-SUM(G1:Q1)</f>
        <v>0</v>
      </c>
      <c r="F1" s="12" t="n">
        <f aca="false">SUM(F6:F200)</f>
        <v>38520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38520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26233.37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4100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13808.17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112690.83</v>
      </c>
      <c r="B2" s="18" t="s">
        <v>2</v>
      </c>
      <c r="C2" s="9" t="n">
        <f aca="false">[1]Admin!$B$18</f>
        <v>46477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46477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112690.83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46086</v>
      </c>
      <c r="B6" s="2" t="s">
        <v>139</v>
      </c>
      <c r="C6" s="3" t="s">
        <v>140</v>
      </c>
      <c r="D6" s="4" t="s">
        <v>141</v>
      </c>
      <c r="E6" s="38" t="s">
        <v>43</v>
      </c>
      <c r="F6" s="6" t="n">
        <v>2500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2500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46088</v>
      </c>
      <c r="T6" s="4" t="s">
        <v>76</v>
      </c>
      <c r="U6" s="3" t="s">
        <v>142</v>
      </c>
      <c r="V6" s="3" t="s">
        <v>143</v>
      </c>
      <c r="W6" s="40" t="s">
        <v>47</v>
      </c>
      <c r="X6" s="6" t="n">
        <v>13808.17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n">
        <f aca="false">IF(W6="RV",X6," ")</f>
        <v>13808.17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46101</v>
      </c>
      <c r="B7" s="2" t="s">
        <v>58</v>
      </c>
      <c r="C7" s="3" t="s">
        <v>144</v>
      </c>
      <c r="D7" s="4" t="s">
        <v>70</v>
      </c>
      <c r="E7" s="5" t="s">
        <v>43</v>
      </c>
      <c r="F7" s="6" t="n">
        <v>8000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8000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46082</v>
      </c>
      <c r="T7" s="4" t="s">
        <v>61</v>
      </c>
      <c r="U7" s="3" t="s">
        <v>145</v>
      </c>
      <c r="V7" s="3" t="s">
        <v>63</v>
      </c>
      <c r="W7" s="42" t="s">
        <v>51</v>
      </c>
      <c r="X7" s="6" t="n">
        <v>1200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n">
        <f aca="false">IF(W7="CR",X7," ")</f>
        <v>1200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46106</v>
      </c>
      <c r="B8" s="2" t="s">
        <v>74</v>
      </c>
      <c r="C8" s="3" t="s">
        <v>146</v>
      </c>
      <c r="D8" s="4" t="s">
        <v>70</v>
      </c>
      <c r="E8" s="5" t="s">
        <v>43</v>
      </c>
      <c r="F8" s="6" t="n">
        <v>2400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2400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46082</v>
      </c>
      <c r="T8" s="4" t="s">
        <v>66</v>
      </c>
      <c r="U8" s="3" t="s">
        <v>147</v>
      </c>
      <c r="V8" s="3" t="s">
        <v>68</v>
      </c>
      <c r="W8" s="42" t="s">
        <v>49</v>
      </c>
      <c r="X8" s="6" t="n">
        <v>1000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n">
        <f aca="false">IF(W8="DL",X8," ")</f>
        <v>1000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46109</v>
      </c>
      <c r="B9" s="2" t="s">
        <v>84</v>
      </c>
      <c r="C9" s="3" t="s">
        <v>148</v>
      </c>
      <c r="D9" s="4" t="s">
        <v>86</v>
      </c>
      <c r="E9" s="5" t="s">
        <v>43</v>
      </c>
      <c r="F9" s="6" t="n">
        <v>25620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25620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46086</v>
      </c>
      <c r="T9" s="4" t="s">
        <v>71</v>
      </c>
      <c r="U9" s="3" t="s">
        <v>149</v>
      </c>
      <c r="V9" s="3" t="s">
        <v>73</v>
      </c>
      <c r="W9" s="42" t="s">
        <v>51</v>
      </c>
      <c r="X9" s="6" t="n">
        <v>2600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n">
        <f aca="false">IF(W9="CR",X9," ")</f>
        <v>2600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46100</v>
      </c>
      <c r="T10" s="4" t="s">
        <v>76</v>
      </c>
      <c r="U10" s="3" t="s">
        <v>150</v>
      </c>
      <c r="V10" s="3" t="s">
        <v>78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46109</v>
      </c>
      <c r="T11" s="4" t="s">
        <v>81</v>
      </c>
      <c r="U11" s="3" t="s">
        <v>151</v>
      </c>
      <c r="V11" s="3" t="s">
        <v>83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46112</v>
      </c>
      <c r="T12" s="4" t="s">
        <v>87</v>
      </c>
      <c r="U12" s="3" t="s">
        <v>152</v>
      </c>
      <c r="V12" s="3" t="s">
        <v>89</v>
      </c>
      <c r="W12" s="42" t="s">
        <v>51</v>
      </c>
      <c r="X12" s="6" t="n">
        <v>300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/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Mar!A2</f>
        <v>112690.83</v>
      </c>
      <c r="B1" s="8" t="s">
        <v>0</v>
      </c>
      <c r="C1" s="9" t="n">
        <f aca="false">[1]Admin!$B$19</f>
        <v>46478</v>
      </c>
      <c r="D1" s="10" t="s">
        <v>1</v>
      </c>
      <c r="E1" s="11" t="n">
        <f aca="false">F1-SUM(G1:Q1)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33760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20233.2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10600</v>
      </c>
      <c r="AC1" s="12" t="n">
        <f aca="false">SUM(AC6:AC200)</f>
        <v>5652</v>
      </c>
      <c r="AD1" s="12" t="n">
        <f aca="false">SUM(AD6:AD200)</f>
        <v>1308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126217.63</v>
      </c>
      <c r="B2" s="18" t="s">
        <v>2</v>
      </c>
      <c r="C2" s="9" t="n">
        <f aca="false">[1]Admin!$B$20</f>
        <v>46507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46507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126217.63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46132</v>
      </c>
      <c r="B6" s="2" t="s">
        <v>58</v>
      </c>
      <c r="C6" s="3" t="s">
        <v>153</v>
      </c>
      <c r="D6" s="4" t="s">
        <v>70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46113</v>
      </c>
      <c r="T6" s="4" t="s">
        <v>61</v>
      </c>
      <c r="U6" s="3" t="s">
        <v>154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46137</v>
      </c>
      <c r="B7" s="2" t="s">
        <v>74</v>
      </c>
      <c r="C7" s="3" t="s">
        <v>155</v>
      </c>
      <c r="D7" s="4" t="s">
        <v>70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46113</v>
      </c>
      <c r="T7" s="4" t="s">
        <v>66</v>
      </c>
      <c r="U7" s="3" t="s">
        <v>156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46140</v>
      </c>
      <c r="B8" s="2" t="s">
        <v>84</v>
      </c>
      <c r="C8" s="3" t="s">
        <v>157</v>
      </c>
      <c r="D8" s="4" t="s">
        <v>86</v>
      </c>
      <c r="E8" s="5" t="s">
        <v>43</v>
      </c>
      <c r="F8" s="6" t="n">
        <v>23360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23360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46117</v>
      </c>
      <c r="T8" s="4" t="s">
        <v>71</v>
      </c>
      <c r="U8" s="3" t="s">
        <v>158</v>
      </c>
      <c r="V8" s="3" t="s">
        <v>73</v>
      </c>
      <c r="W8" s="42" t="s">
        <v>51</v>
      </c>
      <c r="X8" s="6" t="n">
        <v>2100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2100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46131</v>
      </c>
      <c r="T9" s="4" t="s">
        <v>76</v>
      </c>
      <c r="U9" s="3" t="s">
        <v>159</v>
      </c>
      <c r="V9" s="3" t="s">
        <v>78</v>
      </c>
      <c r="W9" s="42" t="s">
        <v>55</v>
      </c>
      <c r="X9" s="6" t="n">
        <v>1673.2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n">
        <f aca="false">IF(W9="RP",X9," ")</f>
        <v>1673.2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46140</v>
      </c>
      <c r="T10" s="4" t="s">
        <v>81</v>
      </c>
      <c r="U10" s="3" t="s">
        <v>160</v>
      </c>
      <c r="V10" s="3" t="s">
        <v>83</v>
      </c>
      <c r="W10" s="42" t="s">
        <v>52</v>
      </c>
      <c r="X10" s="6" t="n">
        <v>5652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n">
        <f aca="false">IF(W10="W",X10," ")</f>
        <v>5652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46142</v>
      </c>
      <c r="T11" s="4" t="s">
        <v>115</v>
      </c>
      <c r="U11" s="3" t="s">
        <v>161</v>
      </c>
      <c r="V11" s="3" t="s">
        <v>117</v>
      </c>
      <c r="W11" s="42" t="s">
        <v>53</v>
      </c>
      <c r="X11" s="6" t="n">
        <v>208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n">
        <f aca="false">IF(W11="B",X11," ")</f>
        <v>208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46142</v>
      </c>
      <c r="T12" s="4" t="s">
        <v>87</v>
      </c>
      <c r="U12" s="3" t="s">
        <v>162</v>
      </c>
      <c r="V12" s="3" t="s">
        <v>89</v>
      </c>
      <c r="W12" s="42" t="s">
        <v>51</v>
      </c>
      <c r="X12" s="6" t="n">
        <v>300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46113</v>
      </c>
      <c r="T13" s="4" t="s">
        <v>119</v>
      </c>
      <c r="U13" s="3" t="s">
        <v>163</v>
      </c>
      <c r="V13" s="3" t="s">
        <v>164</v>
      </c>
      <c r="W13" s="42" t="s">
        <v>53</v>
      </c>
      <c r="X13" s="6" t="n">
        <v>1100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n">
        <f aca="false">IF(W13="B",X13," ")</f>
        <v>1100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S14" s="1" t="n">
        <v>46113</v>
      </c>
      <c r="T14" s="4" t="s">
        <v>119</v>
      </c>
      <c r="U14" s="3" t="s">
        <v>165</v>
      </c>
      <c r="V14" s="3" t="s">
        <v>166</v>
      </c>
      <c r="W14" s="42" t="s">
        <v>51</v>
      </c>
      <c r="X14" s="6" t="n">
        <v>7000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n">
        <f aca="false">IF(W14="CR",X14," ")</f>
        <v>7000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Apr!A2</f>
        <v>126217.63</v>
      </c>
      <c r="B1" s="8" t="s">
        <v>0</v>
      </c>
      <c r="C1" s="9" t="n">
        <f aca="false">[1]Admin!$B$21</f>
        <v>46508</v>
      </c>
      <c r="D1" s="10" t="s">
        <v>1</v>
      </c>
      <c r="E1" s="11" t="n">
        <f aca="false">F1-SUM(G1:Q1)</f>
        <v>0</v>
      </c>
      <c r="F1" s="12" t="n">
        <f aca="false">SUM(F6:F200)</f>
        <v>50560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50560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56825.2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40500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4500</v>
      </c>
      <c r="AL1" s="12" t="n">
        <f aca="false">SUM(AL6:AL200)</f>
        <v>3000</v>
      </c>
      <c r="AM1" s="12" t="n">
        <f aca="false">SUM(AM6:AM200)</f>
        <v>1000</v>
      </c>
      <c r="AN1" s="12" t="n">
        <f aca="false">SUM(AN6:AN200)</f>
        <v>500</v>
      </c>
    </row>
    <row r="2" customFormat="false" ht="15" hidden="false" customHeight="true" outlineLevel="0" collapsed="false">
      <c r="A2" s="17" t="n">
        <f aca="false">A1+F1-X1</f>
        <v>119952.43</v>
      </c>
      <c r="B2" s="18" t="s">
        <v>2</v>
      </c>
      <c r="C2" s="9" t="n">
        <f aca="false">[1]Admin!$B$22</f>
        <v>46538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46538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119952.43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46157</v>
      </c>
      <c r="B6" s="2" t="s">
        <v>167</v>
      </c>
      <c r="C6" s="3" t="s">
        <v>168</v>
      </c>
      <c r="D6" s="4" t="s">
        <v>169</v>
      </c>
      <c r="E6" s="38" t="s">
        <v>43</v>
      </c>
      <c r="F6" s="6" t="n">
        <v>15000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15000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46143</v>
      </c>
      <c r="T6" s="4" t="s">
        <v>61</v>
      </c>
      <c r="U6" s="3" t="s">
        <v>170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46162</v>
      </c>
      <c r="B7" s="2" t="s">
        <v>58</v>
      </c>
      <c r="C7" s="3" t="s">
        <v>171</v>
      </c>
      <c r="D7" s="4" t="s">
        <v>70</v>
      </c>
      <c r="E7" s="5" t="s">
        <v>43</v>
      </c>
      <c r="F7" s="6" t="n">
        <v>8000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8000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46143</v>
      </c>
      <c r="T7" s="4" t="s">
        <v>66</v>
      </c>
      <c r="U7" s="3" t="s">
        <v>172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46167</v>
      </c>
      <c r="B8" s="2" t="s">
        <v>74</v>
      </c>
      <c r="C8" s="3" t="s">
        <v>173</v>
      </c>
      <c r="D8" s="4" t="s">
        <v>70</v>
      </c>
      <c r="E8" s="5" t="s">
        <v>43</v>
      </c>
      <c r="F8" s="6" t="n">
        <v>2400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2400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46143</v>
      </c>
      <c r="T8" s="4" t="s">
        <v>76</v>
      </c>
      <c r="U8" s="3" t="s">
        <v>174</v>
      </c>
      <c r="V8" s="3" t="s">
        <v>175</v>
      </c>
      <c r="W8" s="42" t="s">
        <v>56</v>
      </c>
      <c r="X8" s="6" t="n">
        <v>4500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n">
        <f aca="false">IF(W8="RT",X8," ")</f>
        <v>4500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46170</v>
      </c>
      <c r="B9" s="2" t="s">
        <v>84</v>
      </c>
      <c r="C9" s="3" t="s">
        <v>176</v>
      </c>
      <c r="D9" s="4" t="s">
        <v>86</v>
      </c>
      <c r="E9" s="5" t="s">
        <v>43</v>
      </c>
      <c r="F9" s="6" t="n">
        <v>25160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25160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46147</v>
      </c>
      <c r="T9" s="4" t="s">
        <v>71</v>
      </c>
      <c r="U9" s="3" t="s">
        <v>177</v>
      </c>
      <c r="V9" s="3" t="s">
        <v>73</v>
      </c>
      <c r="W9" s="42" t="s">
        <v>51</v>
      </c>
      <c r="X9" s="6" t="n">
        <v>3000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n">
        <f aca="false">IF(W9="CR",X9," ")</f>
        <v>3000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46157</v>
      </c>
      <c r="T10" s="4" t="s">
        <v>130</v>
      </c>
      <c r="U10" s="3" t="s">
        <v>178</v>
      </c>
      <c r="V10" s="3" t="s">
        <v>132</v>
      </c>
      <c r="W10" s="42" t="s">
        <v>57</v>
      </c>
      <c r="X10" s="6" t="n">
        <v>3000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n">
        <f aca="false">IF(W10="DV",X10," ")</f>
        <v>3000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46161</v>
      </c>
      <c r="T11" s="4" t="s">
        <v>76</v>
      </c>
      <c r="U11" s="3" t="s">
        <v>179</v>
      </c>
      <c r="V11" s="3" t="s">
        <v>78</v>
      </c>
      <c r="W11" s="42" t="s">
        <v>55</v>
      </c>
      <c r="X11" s="6" t="n">
        <v>1673.2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n">
        <f aca="false">IF(W11="RP",X11," ")</f>
        <v>1673.2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46167</v>
      </c>
      <c r="T12" s="4" t="s">
        <v>180</v>
      </c>
      <c r="U12" s="3" t="s">
        <v>181</v>
      </c>
      <c r="V12" s="3" t="s">
        <v>182</v>
      </c>
      <c r="W12" s="42" t="s">
        <v>51</v>
      </c>
      <c r="X12" s="6" t="n">
        <v>36000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36000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46170</v>
      </c>
      <c r="T13" s="4" t="s">
        <v>81</v>
      </c>
      <c r="U13" s="3" t="s">
        <v>183</v>
      </c>
      <c r="V13" s="3" t="s">
        <v>83</v>
      </c>
      <c r="W13" s="42" t="s">
        <v>52</v>
      </c>
      <c r="X13" s="6" t="n">
        <v>5652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n">
        <f aca="false">IF(W13="W",X13," ")</f>
        <v>5652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S14" s="1" t="n">
        <v>46173</v>
      </c>
      <c r="T14" s="4" t="s">
        <v>87</v>
      </c>
      <c r="U14" s="3" t="s">
        <v>184</v>
      </c>
      <c r="V14" s="3" t="s">
        <v>89</v>
      </c>
      <c r="W14" s="42" t="s">
        <v>51</v>
      </c>
      <c r="X14" s="6" t="n">
        <v>300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n">
        <f aca="false">IF(W14="CR",X14," ")</f>
        <v>300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S15" s="1" t="n">
        <v>46173</v>
      </c>
      <c r="T15" s="4" t="s">
        <v>90</v>
      </c>
      <c r="U15" s="3" t="s">
        <v>185</v>
      </c>
      <c r="V15" s="3" t="s">
        <v>92</v>
      </c>
      <c r="W15" s="42" t="s">
        <v>50</v>
      </c>
      <c r="X15" s="6" t="n">
        <v>500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n">
        <f aca="false">IF(W15="X",X15," ")</f>
        <v>500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May!A2</f>
        <v>119952.43</v>
      </c>
      <c r="B1" s="8" t="s">
        <v>0</v>
      </c>
      <c r="C1" s="9" t="n">
        <f aca="false">[1]Admin!$B$23</f>
        <v>46539</v>
      </c>
      <c r="D1" s="10" t="s">
        <v>1</v>
      </c>
      <c r="E1" s="11" t="n">
        <f aca="false">F1-SUM(G1:Q1)</f>
        <v>0</v>
      </c>
      <c r="F1" s="12" t="n">
        <f aca="false">SUM(F6:F200)</f>
        <v>35320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35320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26706.7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3900</v>
      </c>
      <c r="AC1" s="12" t="n">
        <f aca="false">SUM(AC6:AC200)</f>
        <v>5652</v>
      </c>
      <c r="AD1" s="12" t="n">
        <f aca="false">SUM(AD6:AD200)</f>
        <v>25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14456.5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128565.73</v>
      </c>
      <c r="B2" s="18" t="s">
        <v>2</v>
      </c>
      <c r="C2" s="9" t="n">
        <f aca="false">[1]Admin!$B$24</f>
        <v>46568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46568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128565.73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46193</v>
      </c>
      <c r="B6" s="2" t="s">
        <v>58</v>
      </c>
      <c r="C6" s="3" t="s">
        <v>186</v>
      </c>
      <c r="D6" s="4" t="s">
        <v>70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46180</v>
      </c>
      <c r="T6" s="4" t="s">
        <v>76</v>
      </c>
      <c r="U6" s="3" t="s">
        <v>187</v>
      </c>
      <c r="V6" s="3" t="s">
        <v>188</v>
      </c>
      <c r="W6" s="40" t="s">
        <v>47</v>
      </c>
      <c r="X6" s="6" t="n">
        <v>14456.5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n">
        <f aca="false">IF(W6="RV",X6," ")</f>
        <v>14456.5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46198</v>
      </c>
      <c r="B7" s="2" t="s">
        <v>74</v>
      </c>
      <c r="C7" s="3" t="s">
        <v>189</v>
      </c>
      <c r="D7" s="4" t="s">
        <v>70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46174</v>
      </c>
      <c r="T7" s="4" t="s">
        <v>61</v>
      </c>
      <c r="U7" s="3" t="s">
        <v>190</v>
      </c>
      <c r="V7" s="3" t="s">
        <v>63</v>
      </c>
      <c r="W7" s="42" t="s">
        <v>51</v>
      </c>
      <c r="X7" s="6" t="n">
        <v>1200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n">
        <f aca="false">IF(W7="CR",X7," ")</f>
        <v>1200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46201</v>
      </c>
      <c r="B8" s="2" t="s">
        <v>84</v>
      </c>
      <c r="C8" s="3" t="s">
        <v>191</v>
      </c>
      <c r="D8" s="4" t="s">
        <v>86</v>
      </c>
      <c r="E8" s="5" t="s">
        <v>43</v>
      </c>
      <c r="F8" s="6" t="n">
        <v>24920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24920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46174</v>
      </c>
      <c r="T8" s="4" t="s">
        <v>66</v>
      </c>
      <c r="U8" s="3" t="s">
        <v>192</v>
      </c>
      <c r="V8" s="3" t="s">
        <v>68</v>
      </c>
      <c r="W8" s="42" t="s">
        <v>49</v>
      </c>
      <c r="X8" s="6" t="n">
        <v>1000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n">
        <f aca="false">IF(W8="DL",X8," ")</f>
        <v>1000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46178</v>
      </c>
      <c r="T9" s="4" t="s">
        <v>71</v>
      </c>
      <c r="U9" s="3" t="s">
        <v>193</v>
      </c>
      <c r="V9" s="3" t="s">
        <v>73</v>
      </c>
      <c r="W9" s="42" t="s">
        <v>51</v>
      </c>
      <c r="X9" s="6" t="n">
        <v>2400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n">
        <f aca="false">IF(W9="CR",X9," ")</f>
        <v>2400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46192</v>
      </c>
      <c r="T10" s="4" t="s">
        <v>76</v>
      </c>
      <c r="U10" s="3" t="s">
        <v>194</v>
      </c>
      <c r="V10" s="3" t="s">
        <v>78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46198</v>
      </c>
      <c r="T11" s="4" t="s">
        <v>100</v>
      </c>
      <c r="U11" s="3" t="s">
        <v>195</v>
      </c>
      <c r="V11" s="3" t="s">
        <v>102</v>
      </c>
      <c r="W11" s="42" t="s">
        <v>53</v>
      </c>
      <c r="X11" s="6" t="n">
        <v>25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n">
        <f aca="false">IF(W11="B",X11," ")</f>
        <v>25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46201</v>
      </c>
      <c r="T12" s="4" t="s">
        <v>81</v>
      </c>
      <c r="U12" s="3" t="s">
        <v>196</v>
      </c>
      <c r="V12" s="3" t="s">
        <v>83</v>
      </c>
      <c r="W12" s="42" t="s">
        <v>52</v>
      </c>
      <c r="X12" s="6" t="n">
        <v>5652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n">
        <f aca="false">IF(W12="W",X12," ")</f>
        <v>5652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46203</v>
      </c>
      <c r="T13" s="4" t="s">
        <v>87</v>
      </c>
      <c r="U13" s="3" t="s">
        <v>197</v>
      </c>
      <c r="V13" s="3" t="s">
        <v>89</v>
      </c>
      <c r="W13" s="42" t="s">
        <v>51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n">
        <f aca="false">IF(W13="CR",X13," ")</f>
        <v>300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Jun!A2</f>
        <v>128565.73</v>
      </c>
      <c r="B1" s="8" t="s">
        <v>0</v>
      </c>
      <c r="C1" s="9" t="n">
        <f aca="false">[1]Admin!$B$25</f>
        <v>46569</v>
      </c>
      <c r="D1" s="10" t="s">
        <v>1</v>
      </c>
      <c r="E1" s="11" t="n">
        <f aca="false">F1-SUM(G1:Q1)</f>
        <v>0</v>
      </c>
      <c r="F1" s="12" t="n">
        <f aca="false">SUM(F6:F200)</f>
        <v>32800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32800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13292.2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4200</v>
      </c>
      <c r="AC1" s="12" t="n">
        <f aca="false">SUM(AC6:AC200)</f>
        <v>5652</v>
      </c>
      <c r="AD1" s="12" t="n">
        <f aca="false">SUM(AD6:AD200)</f>
        <v>167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600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.75" hidden="false" customHeight="true" outlineLevel="0" collapsed="false">
      <c r="A2" s="17" t="n">
        <f aca="false">A1+F1-X1</f>
        <v>148073.53</v>
      </c>
      <c r="B2" s="18" t="s">
        <v>2</v>
      </c>
      <c r="C2" s="9" t="n">
        <f aca="false">[1]Admin!$B$26</f>
        <v>46599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46599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148073.53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46223</v>
      </c>
      <c r="B6" s="2" t="s">
        <v>58</v>
      </c>
      <c r="C6" s="3" t="s">
        <v>198</v>
      </c>
      <c r="D6" s="4" t="s">
        <v>70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46204</v>
      </c>
      <c r="T6" s="4" t="s">
        <v>61</v>
      </c>
      <c r="U6" s="3" t="s">
        <v>199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46228</v>
      </c>
      <c r="B7" s="2" t="s">
        <v>74</v>
      </c>
      <c r="C7" s="3" t="s">
        <v>200</v>
      </c>
      <c r="D7" s="4" t="s">
        <v>70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46204</v>
      </c>
      <c r="T7" s="4" t="s">
        <v>66</v>
      </c>
      <c r="U7" s="3" t="s">
        <v>201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46231</v>
      </c>
      <c r="B8" s="2" t="s">
        <v>84</v>
      </c>
      <c r="C8" s="3" t="s">
        <v>202</v>
      </c>
      <c r="D8" s="4" t="s">
        <v>86</v>
      </c>
      <c r="E8" s="5" t="s">
        <v>43</v>
      </c>
      <c r="F8" s="6" t="n">
        <v>22400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22400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46208</v>
      </c>
      <c r="T8" s="4" t="s">
        <v>71</v>
      </c>
      <c r="U8" s="3" t="s">
        <v>203</v>
      </c>
      <c r="V8" s="3" t="s">
        <v>73</v>
      </c>
      <c r="W8" s="42" t="s">
        <v>51</v>
      </c>
      <c r="X8" s="6" t="n">
        <v>2700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2700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46222</v>
      </c>
      <c r="T9" s="4" t="s">
        <v>76</v>
      </c>
      <c r="U9" s="3" t="s">
        <v>204</v>
      </c>
      <c r="V9" s="3" t="s">
        <v>78</v>
      </c>
      <c r="W9" s="42" t="s">
        <v>55</v>
      </c>
      <c r="X9" s="6" t="n">
        <v>1673.2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n">
        <f aca="false">IF(W9="RP",X9," ")</f>
        <v>1673.2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46222</v>
      </c>
      <c r="T10" s="4" t="s">
        <v>76</v>
      </c>
      <c r="U10" s="3" t="s">
        <v>205</v>
      </c>
      <c r="V10" s="3" t="s">
        <v>135</v>
      </c>
      <c r="W10" s="42" t="s">
        <v>48</v>
      </c>
      <c r="X10" s="6" t="n">
        <v>600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n">
        <f aca="false">IF(W10="RC",X10," ")</f>
        <v>600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46231</v>
      </c>
      <c r="T11" s="4" t="s">
        <v>81</v>
      </c>
      <c r="U11" s="3" t="s">
        <v>206</v>
      </c>
      <c r="V11" s="3" t="s">
        <v>83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46234</v>
      </c>
      <c r="T12" s="4" t="s">
        <v>115</v>
      </c>
      <c r="U12" s="3" t="s">
        <v>207</v>
      </c>
      <c r="V12" s="3" t="s">
        <v>117</v>
      </c>
      <c r="W12" s="42" t="s">
        <v>53</v>
      </c>
      <c r="X12" s="6" t="n">
        <v>167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n">
        <f aca="false">IF(W12="B",X12," ")</f>
        <v>167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46234</v>
      </c>
      <c r="T13" s="4" t="s">
        <v>87</v>
      </c>
      <c r="U13" s="3" t="s">
        <v>208</v>
      </c>
      <c r="V13" s="3" t="s">
        <v>89</v>
      </c>
      <c r="W13" s="42" t="s">
        <v>51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n">
        <f aca="false">IF(W13="CR",X13," ")</f>
        <v>300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Jul!A2</f>
        <v>148073.53</v>
      </c>
      <c r="B1" s="8" t="s">
        <v>0</v>
      </c>
      <c r="C1" s="9" t="n">
        <f aca="false">[1]Admin!$B$27</f>
        <v>46600</v>
      </c>
      <c r="D1" s="10" t="s">
        <v>1</v>
      </c>
      <c r="E1" s="11" t="n">
        <f aca="false">F1-SUM(G1:Q1)</f>
        <v>0</v>
      </c>
      <c r="F1" s="12" t="n">
        <f aca="false">SUM(F6:F200)</f>
        <v>40440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35440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5000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15625.2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4000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3000</v>
      </c>
      <c r="AM1" s="12" t="n">
        <f aca="false">SUM(AM6:AM200)</f>
        <v>1000</v>
      </c>
      <c r="AN1" s="12" t="n">
        <f aca="false">SUM(AN6:AN200)</f>
        <v>300</v>
      </c>
    </row>
    <row r="2" customFormat="false" ht="15" hidden="false" customHeight="true" outlineLevel="0" collapsed="false">
      <c r="A2" s="17" t="n">
        <f aca="false">A1+F1-X1</f>
        <v>172888.33</v>
      </c>
      <c r="B2" s="18" t="s">
        <v>2</v>
      </c>
      <c r="C2" s="9" t="n">
        <f aca="false">[1]Admin!$B$28</f>
        <v>46630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46630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172888.33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46249</v>
      </c>
      <c r="B6" s="2" t="s">
        <v>209</v>
      </c>
      <c r="C6" s="3" t="s">
        <v>210</v>
      </c>
      <c r="D6" s="4" t="s">
        <v>211</v>
      </c>
      <c r="E6" s="38" t="s">
        <v>49</v>
      </c>
      <c r="F6" s="6" t="n">
        <v>5000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f aca="false">IF(E6="DL",F6," ")</f>
        <v>5000</v>
      </c>
      <c r="Q6" s="6" t="str">
        <f aca="false">IF(E6="X",F6," ")</f>
        <v> </v>
      </c>
      <c r="R6" s="39"/>
      <c r="S6" s="1" t="n">
        <v>46235</v>
      </c>
      <c r="T6" s="4" t="s">
        <v>61</v>
      </c>
      <c r="U6" s="3" t="s">
        <v>212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46254</v>
      </c>
      <c r="B7" s="2" t="s">
        <v>58</v>
      </c>
      <c r="C7" s="3" t="s">
        <v>213</v>
      </c>
      <c r="D7" s="4" t="s">
        <v>70</v>
      </c>
      <c r="E7" s="5" t="s">
        <v>43</v>
      </c>
      <c r="F7" s="6" t="n">
        <v>8000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8000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46235</v>
      </c>
      <c r="T7" s="4" t="s">
        <v>66</v>
      </c>
      <c r="U7" s="3" t="s">
        <v>214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46259</v>
      </c>
      <c r="B8" s="2" t="s">
        <v>74</v>
      </c>
      <c r="C8" s="3" t="s">
        <v>215</v>
      </c>
      <c r="D8" s="4" t="s">
        <v>70</v>
      </c>
      <c r="E8" s="5" t="s">
        <v>43</v>
      </c>
      <c r="F8" s="6" t="n">
        <v>2400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2400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46239</v>
      </c>
      <c r="T8" s="4" t="s">
        <v>71</v>
      </c>
      <c r="U8" s="3" t="s">
        <v>216</v>
      </c>
      <c r="V8" s="3" t="s">
        <v>73</v>
      </c>
      <c r="W8" s="42" t="s">
        <v>51</v>
      </c>
      <c r="X8" s="6" t="n">
        <v>2500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2500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46262</v>
      </c>
      <c r="B9" s="2" t="s">
        <v>84</v>
      </c>
      <c r="C9" s="3" t="s">
        <v>217</v>
      </c>
      <c r="D9" s="4" t="s">
        <v>86</v>
      </c>
      <c r="E9" s="5" t="s">
        <v>43</v>
      </c>
      <c r="F9" s="6" t="n">
        <v>25040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25040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46249</v>
      </c>
      <c r="T9" s="4" t="s">
        <v>130</v>
      </c>
      <c r="U9" s="3" t="s">
        <v>218</v>
      </c>
      <c r="V9" s="3" t="s">
        <v>132</v>
      </c>
      <c r="W9" s="42" t="s">
        <v>57</v>
      </c>
      <c r="X9" s="6" t="n">
        <v>3000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n">
        <f aca="false">IF(W9="DV",X9," ")</f>
        <v>3000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46253</v>
      </c>
      <c r="T10" s="4" t="s">
        <v>76</v>
      </c>
      <c r="U10" s="3" t="s">
        <v>219</v>
      </c>
      <c r="V10" s="3" t="s">
        <v>78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46262</v>
      </c>
      <c r="T11" s="4" t="s">
        <v>81</v>
      </c>
      <c r="U11" s="3" t="s">
        <v>220</v>
      </c>
      <c r="V11" s="3" t="s">
        <v>83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46265</v>
      </c>
      <c r="T12" s="4" t="s">
        <v>87</v>
      </c>
      <c r="U12" s="3" t="s">
        <v>221</v>
      </c>
      <c r="V12" s="3" t="s">
        <v>89</v>
      </c>
      <c r="W12" s="42" t="s">
        <v>51</v>
      </c>
      <c r="X12" s="6" t="n">
        <v>300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46265</v>
      </c>
      <c r="T13" s="4" t="s">
        <v>90</v>
      </c>
      <c r="U13" s="3" t="s">
        <v>222</v>
      </c>
      <c r="V13" s="3" t="s">
        <v>92</v>
      </c>
      <c r="W13" s="42" t="s">
        <v>50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n">
        <f aca="false">IF(W13="X",X13," ")</f>
        <v>300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Aug!A2</f>
        <v>172888.33</v>
      </c>
      <c r="B1" s="8" t="s">
        <v>0</v>
      </c>
      <c r="C1" s="9" t="n">
        <f aca="false">[1]Admin!$B$29</f>
        <v>46631</v>
      </c>
      <c r="D1" s="10" t="s">
        <v>1</v>
      </c>
      <c r="E1" s="11" t="n">
        <f aca="false">F1-SUM(G1:Q1)</f>
        <v>0</v>
      </c>
      <c r="F1" s="12" t="n">
        <f aca="false">SUM(F6:F200)</f>
        <v>34360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34360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23642.7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4400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10917.5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183605.63</v>
      </c>
      <c r="B2" s="18" t="s">
        <v>2</v>
      </c>
      <c r="C2" s="9" t="n">
        <f aca="false">[1]Admin!$B$30</f>
        <v>46660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46660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183605.63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46285</v>
      </c>
      <c r="B6" s="2" t="s">
        <v>58</v>
      </c>
      <c r="C6" s="3" t="s">
        <v>223</v>
      </c>
      <c r="D6" s="4" t="s">
        <v>70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46272</v>
      </c>
      <c r="T6" s="4" t="s">
        <v>76</v>
      </c>
      <c r="U6" s="3" t="s">
        <v>224</v>
      </c>
      <c r="V6" s="3" t="s">
        <v>225</v>
      </c>
      <c r="W6" s="40" t="s">
        <v>47</v>
      </c>
      <c r="X6" s="6" t="n">
        <v>10917.5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n">
        <f aca="false">IF(W6="RV",X6," ")</f>
        <v>10917.5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46290</v>
      </c>
      <c r="B7" s="2" t="s">
        <v>74</v>
      </c>
      <c r="C7" s="3" t="s">
        <v>226</v>
      </c>
      <c r="D7" s="4" t="s">
        <v>70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46266</v>
      </c>
      <c r="T7" s="4" t="s">
        <v>61</v>
      </c>
      <c r="U7" s="3" t="s">
        <v>227</v>
      </c>
      <c r="V7" s="3" t="s">
        <v>63</v>
      </c>
      <c r="W7" s="42" t="s">
        <v>51</v>
      </c>
      <c r="X7" s="6" t="n">
        <v>1200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n">
        <f aca="false">IF(W7="CR",X7," ")</f>
        <v>1200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46293</v>
      </c>
      <c r="B8" s="2" t="s">
        <v>84</v>
      </c>
      <c r="C8" s="3" t="s">
        <v>228</v>
      </c>
      <c r="D8" s="4" t="s">
        <v>86</v>
      </c>
      <c r="E8" s="5" t="s">
        <v>43</v>
      </c>
      <c r="F8" s="6" t="n">
        <v>23960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23960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46266</v>
      </c>
      <c r="T8" s="4" t="s">
        <v>66</v>
      </c>
      <c r="U8" s="3" t="s">
        <v>229</v>
      </c>
      <c r="V8" s="3" t="s">
        <v>68</v>
      </c>
      <c r="W8" s="42" t="s">
        <v>49</v>
      </c>
      <c r="X8" s="6" t="n">
        <v>1000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n">
        <f aca="false">IF(W8="DL",X8," ")</f>
        <v>1000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46270</v>
      </c>
      <c r="T9" s="4" t="s">
        <v>71</v>
      </c>
      <c r="U9" s="3" t="s">
        <v>230</v>
      </c>
      <c r="V9" s="3" t="s">
        <v>73</v>
      </c>
      <c r="W9" s="42" t="s">
        <v>51</v>
      </c>
      <c r="X9" s="6" t="n">
        <v>2900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n">
        <f aca="false">IF(W9="CR",X9," ")</f>
        <v>2900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46284</v>
      </c>
      <c r="T10" s="4" t="s">
        <v>76</v>
      </c>
      <c r="U10" s="3" t="s">
        <v>231</v>
      </c>
      <c r="V10" s="3" t="s">
        <v>78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46293</v>
      </c>
      <c r="T11" s="4" t="s">
        <v>87</v>
      </c>
      <c r="U11" s="3" t="s">
        <v>232</v>
      </c>
      <c r="V11" s="3" t="s">
        <v>89</v>
      </c>
      <c r="W11" s="42" t="s">
        <v>51</v>
      </c>
      <c r="X11" s="6" t="n">
        <v>300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n">
        <f aca="false">IF(W11="CR",X11," ")</f>
        <v>300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46293</v>
      </c>
      <c r="T12" s="4" t="s">
        <v>81</v>
      </c>
      <c r="U12" s="3" t="s">
        <v>233</v>
      </c>
      <c r="V12" s="3" t="s">
        <v>83</v>
      </c>
      <c r="W12" s="42" t="s">
        <v>52</v>
      </c>
      <c r="X12" s="6" t="n">
        <v>5652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n">
        <f aca="false">IF(W12="W",X12," ")</f>
        <v>5652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/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of  &amp;N&amp;R&amp;F  &amp;A</oddFooter>
  </headerFooter>
  <colBreaks count="1" manualBreakCount="1">
    <brk id="17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Sep!A2</f>
        <v>183605.63</v>
      </c>
      <c r="B1" s="8" t="s">
        <v>0</v>
      </c>
      <c r="C1" s="9" t="n">
        <f aca="false">[1]Admin!$B$31</f>
        <v>46661</v>
      </c>
      <c r="D1" s="10" t="s">
        <v>1</v>
      </c>
      <c r="E1" s="11" t="n">
        <f aca="false">F1-SUM(G1:Q1)</f>
        <v>0</v>
      </c>
      <c r="F1" s="12" t="n">
        <f aca="false">SUM(F6:F200)</f>
        <v>20960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20960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23250.2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3800</v>
      </c>
      <c r="AC1" s="12" t="n">
        <f aca="false">SUM(AC6:AC200)</f>
        <v>5652</v>
      </c>
      <c r="AD1" s="12" t="n">
        <f aca="false">SUM(AD6:AD200)</f>
        <v>125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6000</v>
      </c>
      <c r="AM1" s="12" t="n">
        <f aca="false">SUM(AM6:AM200)</f>
        <v>1000</v>
      </c>
      <c r="AN1" s="12" t="n">
        <f aca="false">SUM(AN6:AN200)</f>
        <v>5000</v>
      </c>
    </row>
    <row r="2" customFormat="false" ht="15" hidden="false" customHeight="true" outlineLevel="0" collapsed="false">
      <c r="A2" s="17" t="n">
        <f aca="false">A1+F1-X1</f>
        <v>181315.43</v>
      </c>
      <c r="B2" s="18" t="s">
        <v>2</v>
      </c>
      <c r="C2" s="9" t="n">
        <f aca="false">[1]Admin!$B$32</f>
        <v>46691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46691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181315.43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46315</v>
      </c>
      <c r="B6" s="2" t="s">
        <v>58</v>
      </c>
      <c r="C6" s="3" t="s">
        <v>234</v>
      </c>
      <c r="D6" s="4" t="s">
        <v>70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46296</v>
      </c>
      <c r="T6" s="4" t="s">
        <v>61</v>
      </c>
      <c r="U6" s="3" t="s">
        <v>235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46320</v>
      </c>
      <c r="B7" s="2" t="s">
        <v>74</v>
      </c>
      <c r="C7" s="3" t="s">
        <v>236</v>
      </c>
      <c r="D7" s="4" t="s">
        <v>70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46296</v>
      </c>
      <c r="T7" s="4" t="s">
        <v>66</v>
      </c>
      <c r="U7" s="3" t="s">
        <v>237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46323</v>
      </c>
      <c r="B8" s="2" t="s">
        <v>84</v>
      </c>
      <c r="C8" s="3" t="s">
        <v>238</v>
      </c>
      <c r="D8" s="4" t="s">
        <v>86</v>
      </c>
      <c r="E8" s="5" t="s">
        <v>43</v>
      </c>
      <c r="F8" s="6" t="n">
        <v>10560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10560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46300</v>
      </c>
      <c r="T8" s="4" t="s">
        <v>71</v>
      </c>
      <c r="U8" s="3" t="s">
        <v>239</v>
      </c>
      <c r="V8" s="3" t="s">
        <v>73</v>
      </c>
      <c r="W8" s="42" t="s">
        <v>51</v>
      </c>
      <c r="X8" s="6" t="n">
        <v>2300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2300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46310</v>
      </c>
      <c r="T9" s="4" t="s">
        <v>240</v>
      </c>
      <c r="U9" s="3" t="s">
        <v>241</v>
      </c>
      <c r="V9" s="3" t="s">
        <v>242</v>
      </c>
      <c r="W9" s="42" t="s">
        <v>50</v>
      </c>
      <c r="X9" s="6" t="n">
        <v>5000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n">
        <f aca="false">IF(W9="X",X9," ")</f>
        <v>5000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46314</v>
      </c>
      <c r="T10" s="4" t="s">
        <v>76</v>
      </c>
      <c r="U10" s="3" t="s">
        <v>243</v>
      </c>
      <c r="V10" s="3" t="s">
        <v>78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46323</v>
      </c>
      <c r="T11" s="4" t="s">
        <v>81</v>
      </c>
      <c r="U11" s="3" t="s">
        <v>244</v>
      </c>
      <c r="V11" s="3" t="s">
        <v>83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46326</v>
      </c>
      <c r="T12" s="4" t="s">
        <v>115</v>
      </c>
      <c r="U12" s="3" t="s">
        <v>245</v>
      </c>
      <c r="V12" s="3" t="s">
        <v>117</v>
      </c>
      <c r="W12" s="42" t="s">
        <v>53</v>
      </c>
      <c r="X12" s="6" t="n">
        <v>125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n">
        <f aca="false">IF(W12="B",X12," ")</f>
        <v>125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46326</v>
      </c>
      <c r="T13" s="4" t="s">
        <v>87</v>
      </c>
      <c r="U13" s="3" t="s">
        <v>246</v>
      </c>
      <c r="V13" s="3" t="s">
        <v>89</v>
      </c>
      <c r="W13" s="42" t="s">
        <v>51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n">
        <f aca="false">IF(W13="CR",X13," ")</f>
        <v>300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S14" s="1" t="n">
        <v>46326</v>
      </c>
      <c r="T14" s="4" t="s">
        <v>130</v>
      </c>
      <c r="U14" s="3" t="s">
        <v>247</v>
      </c>
      <c r="V14" s="3" t="s">
        <v>248</v>
      </c>
      <c r="W14" s="42" t="s">
        <v>57</v>
      </c>
      <c r="X14" s="6" t="n">
        <v>6000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n">
        <f aca="false">IF(W14="DV",X14," ")</f>
        <v>6000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2007-03-03T16:28:32Z</cp:lastPrinted>
  <dcterms:modified xsi:type="dcterms:W3CDTF">2025-04-03T23:05:12Z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