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<sst xmlns="http://schemas.openxmlformats.org/spreadsheetml/2006/main" count="1150" uniqueCount="78">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</sst>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15153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4301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54047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54047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45940</v>
      </c>
      <c r="B6" s="2" t="s">
        <v>58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45931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45945</v>
      </c>
      <c r="B7" s="2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45931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45950</v>
      </c>
      <c r="B8" s="2" t="s">
        <v>58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45935</v>
      </c>
      <c r="T8" s="4" t="s">
        <v>62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45955</v>
      </c>
      <c r="B9" s="2" t="s">
        <v>63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45949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65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45958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67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45960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45960</v>
      </c>
      <c r="T12" s="4" t="s">
        <v>69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46296</v>
      </c>
      <c r="T13" s="4" t="s">
        <v>64</v>
      </c>
      <c r="W13" s="42" t="s">
        <v>55</v>
      </c>
      <c r="X13" s="6" t="n">
        <v>2800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n">
        <f aca="false">IF(W13="RP",X13," ")</f>
        <v>2800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54047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12478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74489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74489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45981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45986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45989</v>
      </c>
      <c r="B8" s="2" t="s">
        <v>67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62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45986</v>
      </c>
      <c r="T10" s="4" t="s">
        <v>70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45989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74489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12403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97286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97286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67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46021</v>
      </c>
      <c r="T11" s="4" t="s">
        <v>71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97286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20053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6301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110993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110993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46029</v>
      </c>
      <c r="T9" s="4" t="s">
        <v>64</v>
      </c>
      <c r="W9" s="42" t="s">
        <v>55</v>
      </c>
      <c r="X9" s="6" t="n">
        <v>3800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3800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46037</v>
      </c>
      <c r="T10" s="4" t="s">
        <v>72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46041</v>
      </c>
      <c r="T11" s="4" t="s">
        <v>64</v>
      </c>
      <c r="W11" s="42" t="s">
        <v>55</v>
      </c>
      <c r="X11" s="6" t="n">
        <v>1501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1501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46041</v>
      </c>
      <c r="T12" s="4" t="s">
        <v>64</v>
      </c>
      <c r="W12" s="42" t="s">
        <v>55</v>
      </c>
      <c r="X12" s="6" t="n">
        <v>1000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n">
        <f aca="false">IF(W12="RP",X12," ")</f>
        <v>1000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46050</v>
      </c>
      <c r="T13" s="4" t="s">
        <v>66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46053</v>
      </c>
      <c r="T14" s="4" t="s">
        <v>68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46053</v>
      </c>
      <c r="T15" s="4" t="s">
        <v>69</v>
      </c>
      <c r="W15" s="42" t="s">
        <v>50</v>
      </c>
      <c r="X15" s="6" t="n">
        <v>300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300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110993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36020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2500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12253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137260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137260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46058</v>
      </c>
      <c r="B6" s="2" t="s">
        <v>73</v>
      </c>
      <c r="E6" s="38" t="s">
        <v>47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2500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46054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46078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46058</v>
      </c>
      <c r="T8" s="4" t="s">
        <v>62</v>
      </c>
      <c r="W8" s="42" t="s">
        <v>51</v>
      </c>
      <c r="X8" s="6" t="n">
        <v>2600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2600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46081</v>
      </c>
      <c r="B9" s="2" t="s">
        <v>67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46072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46081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46081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/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137260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11961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3600</v>
      </c>
      <c r="AC1" s="12" t="n">
        <f aca="false">SUM(AC6:AC200)</f>
        <v>5652</v>
      </c>
      <c r="AD1" s="12" t="n">
        <f aca="false">SUM(AD6:AD200)</f>
        <v>208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159059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159059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46101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46109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46086</v>
      </c>
      <c r="T8" s="4" t="s">
        <v>62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46100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46111</v>
      </c>
      <c r="T11" s="4" t="s">
        <v>71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159059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59853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9201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149766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149766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46127</v>
      </c>
      <c r="B6" s="2" t="s">
        <v>74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46132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46137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46113</v>
      </c>
      <c r="T8" s="4" t="s">
        <v>64</v>
      </c>
      <c r="W8" s="42" t="s">
        <v>55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n">
        <f aca="false">IF(W8="RP",X8," ")</f>
        <v>4500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46140</v>
      </c>
      <c r="B9" s="2" t="s">
        <v>67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46117</v>
      </c>
      <c r="T9" s="4" t="s">
        <v>62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46119</v>
      </c>
      <c r="T10" s="4" t="s">
        <v>64</v>
      </c>
      <c r="W10" s="42" t="s">
        <v>55</v>
      </c>
      <c r="X10" s="6" t="n">
        <v>3200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3200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46127</v>
      </c>
      <c r="T11" s="4" t="s">
        <v>72</v>
      </c>
      <c r="W11" s="42" t="s">
        <v>57</v>
      </c>
      <c r="X11" s="6" t="n">
        <v>3000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n">
        <f aca="false">IF(W11="DV",X11," ")</f>
        <v>3000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46131</v>
      </c>
      <c r="T12" s="4" t="s">
        <v>64</v>
      </c>
      <c r="W12" s="42" t="s">
        <v>55</v>
      </c>
      <c r="X12" s="6" t="n">
        <v>1501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n">
        <f aca="false">IF(W12="RP",X12," ")</f>
        <v>1501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46137</v>
      </c>
      <c r="T13" s="4" t="s">
        <v>75</v>
      </c>
      <c r="W13" s="42" t="s">
        <v>51</v>
      </c>
      <c r="X13" s="6" t="n">
        <v>36000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36000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46140</v>
      </c>
      <c r="T14" s="4" t="s">
        <v>66</v>
      </c>
      <c r="W14" s="42" t="s">
        <v>52</v>
      </c>
      <c r="X14" s="6" t="n">
        <v>5652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n">
        <f aca="false">IF(W14="W",X14," ")</f>
        <v>5652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46142</v>
      </c>
      <c r="T15" s="4" t="s">
        <v>68</v>
      </c>
      <c r="W15" s="42" t="s">
        <v>51</v>
      </c>
      <c r="X15" s="6" t="n">
        <v>300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n">
        <f aca="false">IF(W15="CR",X15," ")</f>
        <v>300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S16" s="1" t="n">
        <v>46142</v>
      </c>
      <c r="T16" s="4" t="s">
        <v>69</v>
      </c>
      <c r="W16" s="42" t="s">
        <v>50</v>
      </c>
      <c r="X16" s="6" t="n">
        <v>500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n">
        <f aca="false">IF(W16="X",X16," ")</f>
        <v>500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149766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12078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173008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173008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46162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46170</v>
      </c>
      <c r="B8" s="2" t="s">
        <v>67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46147</v>
      </c>
      <c r="T8" s="4" t="s">
        <v>62</v>
      </c>
      <c r="W8" s="42" t="s">
        <v>51</v>
      </c>
      <c r="X8" s="6" t="n">
        <v>2400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2400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46161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46167</v>
      </c>
      <c r="T10" s="4" t="s">
        <v>70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46170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46172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173008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2101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192688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192688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46174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67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46178</v>
      </c>
      <c r="T8" s="4" t="s">
        <v>62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46192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64</v>
      </c>
      <c r="W10" s="42" t="s">
        <v>55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600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46201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46203</v>
      </c>
      <c r="T12" s="4" t="s">
        <v>71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192688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41940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1500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15453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219175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219175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46210</v>
      </c>
      <c r="B6" s="2" t="s">
        <v>64</v>
      </c>
      <c r="E6" s="38" t="s">
        <v>47</v>
      </c>
      <c r="F6" s="6" t="n">
        <v>1500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1500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46204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46218</v>
      </c>
      <c r="B7" s="2" t="s">
        <v>76</v>
      </c>
      <c r="E7" s="5" t="s">
        <v>49</v>
      </c>
      <c r="F7" s="6" t="n">
        <v>5000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f aca="false">IF(E7="DL",F7," ")</f>
        <v>5000</v>
      </c>
      <c r="Q7" s="6" t="str">
        <f aca="false">IF(E7="X",F7," ")</f>
        <v> </v>
      </c>
      <c r="R7" s="41"/>
      <c r="S7" s="1" t="n">
        <v>46204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46223</v>
      </c>
      <c r="B8" s="2" t="s">
        <v>58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46228</v>
      </c>
      <c r="B9" s="2" t="s">
        <v>63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46218</v>
      </c>
      <c r="T9" s="4" t="s">
        <v>72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46231</v>
      </c>
      <c r="B10" s="2" t="s">
        <v>67</v>
      </c>
      <c r="E10" s="5" t="s">
        <v>43</v>
      </c>
      <c r="F10" s="6" t="n">
        <v>25040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25040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64</v>
      </c>
      <c r="W10" s="42" t="s">
        <v>55</v>
      </c>
      <c r="X10" s="6" t="n">
        <v>1501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1501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69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219175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12553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240982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240982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46254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46235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46259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46262</v>
      </c>
      <c r="B8" s="2" t="s">
        <v>67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46239</v>
      </c>
      <c r="T8" s="4" t="s">
        <v>62</v>
      </c>
      <c r="W8" s="42" t="s">
        <v>51</v>
      </c>
      <c r="X8" s="6" t="n">
        <v>2900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2900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46253</v>
      </c>
      <c r="T9" s="4" t="s">
        <v>64</v>
      </c>
      <c r="W9" s="42" t="s">
        <v>55</v>
      </c>
      <c r="X9" s="6" t="n">
        <v>1501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1501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46262</v>
      </c>
      <c r="T10" s="4" t="s">
        <v>68</v>
      </c>
      <c r="W10" s="42" t="s">
        <v>51</v>
      </c>
      <c r="X10" s="6" t="n">
        <v>300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n">
        <f aca="false">IF(W10="CR",X10," ")</f>
        <v>300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/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240982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23078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1501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238864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238864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46266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67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46270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46280</v>
      </c>
      <c r="T9" s="4" t="s">
        <v>77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64</v>
      </c>
      <c r="W10" s="42" t="s">
        <v>55</v>
      </c>
      <c r="X10" s="6" t="n">
        <v>1501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1501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46295</v>
      </c>
      <c r="T12" s="4" t="s">
        <v>71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46295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46295</v>
      </c>
      <c r="T14" s="4" t="s">
        <v>72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