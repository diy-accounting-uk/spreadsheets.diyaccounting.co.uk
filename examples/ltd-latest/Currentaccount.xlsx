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ct" sheetId="1" state="visible" r:id="rId3"/>
    <sheet name="Nov" sheetId="2" state="visible" r:id="rId4"/>
    <sheet name="Dec" sheetId="3" state="visible" r:id="rId5"/>
    <sheet name="Jan" sheetId="4" state="visible" r:id="rId6"/>
    <sheet name="Feb" sheetId="5" state="visible" r:id="rId7"/>
    <sheet name="Mar" sheetId="6" state="visible" r:id="rId8"/>
    <sheet name="Apr" sheetId="7" state="visible" r:id="rId9"/>
    <sheet name="May" sheetId="8" state="visible" r:id="rId10"/>
    <sheet name="Jun" sheetId="9" state="visible" r:id="rId11"/>
    <sheet name="Jul" sheetId="10" state="visible" r:id="rId12"/>
    <sheet name="Aug" sheetId="11" state="visible" r:id="rId13"/>
    <sheet name="Sep" sheetId="12" state="visible" r:id="rId14"/>
  </sheets>
  <externalReferences>
    <externalReference r:id="rId15"/>
  </externalReferences>
  <definedNames>
    <definedName function="false" hidden="false" localSheetId="0" name="_xlnm_Print_Area" vbProcedure="false">Apr!$A$1:$AI$75</definedName>
    <definedName function="false" hidden="false" localSheetId="0" name="_xlnm_Print_Titles" vbProcedure="false">Apr!$1:$5</definedName>
    <definedName function="false" hidden="false" localSheetId="1" name="_xlnm_Print_Area" vbProcedure="false">May!$A$1:$AJ$75</definedName>
    <definedName function="false" hidden="false" localSheetId="1" name="_xlnm_Print_Titles" vbProcedure="false">May!$1:$5</definedName>
    <definedName function="false" hidden="false" localSheetId="2" name="_xlnm_Print_Area" vbProcedure="false">Jun!$A$1:$AJ$75</definedName>
    <definedName function="false" hidden="false" localSheetId="2" name="_xlnm_Print_Titles" vbProcedure="false">Jun!$1:$5</definedName>
    <definedName function="false" hidden="false" localSheetId="3" name="_xlnm_Print_Area" vbProcedure="false">Jul!$A$1:$AJ$75</definedName>
    <definedName function="false" hidden="false" localSheetId="3" name="_xlnm_Print_Titles" vbProcedure="false">Jul!$1:$5</definedName>
    <definedName function="false" hidden="false" localSheetId="4" name="_xlnm_Print_Area" vbProcedure="false">Aug!$A$1:$AJ$75</definedName>
    <definedName function="false" hidden="false" localSheetId="4" name="_xlnm_Print_Titles" vbProcedure="false">Aug!$1:$5</definedName>
    <definedName function="false" hidden="false" localSheetId="5" name="_xlnm_Print_Area" vbProcedure="false">Sep!$A$1:$AJ$75</definedName>
    <definedName function="false" hidden="false" localSheetId="5" name="_xlnm_Print_Titles" vbProcedure="false">Sep!$1:$5</definedName>
    <definedName function="false" hidden="false" localSheetId="6" name="_xlnm_Print_Area" vbProcedure="false">Oct!$A$1:$AJ$75</definedName>
    <definedName function="false" hidden="false" localSheetId="6" name="_xlnm_Print_Titles" vbProcedure="false">Oct!$1:$5</definedName>
    <definedName function="false" hidden="false" localSheetId="7" name="_xlnm_Print_Area" vbProcedure="false">Nov!$A$1:$AJ$75</definedName>
    <definedName function="false" hidden="false" localSheetId="7" name="_xlnm_Print_Titles" vbProcedure="false">Nov!$1:$5</definedName>
    <definedName function="false" hidden="false" localSheetId="8" name="_xlnm_Print_Area" vbProcedure="false">Dec!$A$1:$AJ$75</definedName>
    <definedName function="false" hidden="false" localSheetId="8" name="_xlnm_Print_Titles" vbProcedure="false">Dec!$1:$5</definedName>
    <definedName function="false" hidden="false" localSheetId="9" name="_xlnm_Print_Area" vbProcedure="false">Jan!$A$1:$AJ$75</definedName>
    <definedName function="false" hidden="false" localSheetId="9" name="_xlnm_Print_Titles" vbProcedure="false">Jan!$1:$5</definedName>
    <definedName function="false" hidden="false" localSheetId="10" name="_xlnm_Print_Area" vbProcedure="false">Feb!$A$1:$AJ$75</definedName>
    <definedName function="false" hidden="false" localSheetId="10" name="_xlnm_Print_Titles" vbProcedure="false">Feb!$1:$5</definedName>
    <definedName function="false" hidden="false" localSheetId="11" name="_xlnm_Print_Area" vbProcedure="false">Mar!$A$1:$AJ$75</definedName>
    <definedName function="false" hidden="false" localSheetId="11" name="_xlnm_Print_Titles" vbProcedure="false">Mar!$1:$5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<sst xmlns="http://schemas.openxmlformats.org/spreadsheetml/2006/main" count="1158" uniqueCount="79">
  <si>
    <t xml:space="preserve">&lt;  Opening Bank Balance</t>
  </si>
  <si>
    <t xml:space="preserve">Totals &gt;</t>
  </si>
  <si>
    <t xml:space="preserve">&lt;  Closing Bank Balance</t>
  </si>
  <si>
    <t xml:space="preserve">Deposit   Bank     Reference</t>
  </si>
  <si>
    <t xml:space="preserve">Enter Code Letters</t>
  </si>
  <si>
    <t xml:space="preserve">CURRENT ACCOUNT STATEMENT RECEIPTS</t>
  </si>
  <si>
    <t xml:space="preserve">Enter Purchase Invoice No.</t>
  </si>
  <si>
    <t xml:space="preserve">Cheque number  Direct Debit</t>
  </si>
  <si>
    <t xml:space="preserve">CURRENT ACCOUNT STATEMENT PAYMENTS</t>
  </si>
  <si>
    <t xml:space="preserve">&lt;  Statement Bank Balance</t>
  </si>
  <si>
    <t xml:space="preserve">Amounts received from each Source</t>
  </si>
  <si>
    <t xml:space="preserve">Transfers From Savings</t>
  </si>
  <si>
    <t xml:space="preserve">Transfers   From        Cr Card</t>
  </si>
  <si>
    <t xml:space="preserve">Transfers     From      Cash</t>
  </si>
  <si>
    <t xml:space="preserve">Amount Received Debtors</t>
  </si>
  <si>
    <t xml:space="preserve">Interest Received</t>
  </si>
  <si>
    <t xml:space="preserve">Long Term Debtor</t>
  </si>
  <si>
    <t xml:space="preserve">Long Term Creditor</t>
  </si>
  <si>
    <t xml:space="preserve">HMRC   Vat Refunded</t>
  </si>
  <si>
    <t xml:space="preserve">HMRC CIS Refunded</t>
  </si>
  <si>
    <t xml:space="preserve">Directors Loan Account</t>
  </si>
  <si>
    <t xml:space="preserve">Bank Contra items</t>
  </si>
  <si>
    <t xml:space="preserve">Amounts Paid by invoice number</t>
  </si>
  <si>
    <t xml:space="preserve">Transfers  To   Savings</t>
  </si>
  <si>
    <t xml:space="preserve">Transfers      To     Credit Card</t>
  </si>
  <si>
    <t xml:space="preserve">Transfers      To       Cash</t>
  </si>
  <si>
    <t xml:space="preserve">Amount Paid Creditors</t>
  </si>
  <si>
    <t xml:space="preserve">Net        Wages      Paid</t>
  </si>
  <si>
    <t xml:space="preserve">Bank Charges Paid</t>
  </si>
  <si>
    <t xml:space="preserve">Interest Paid</t>
  </si>
  <si>
    <t xml:space="preserve">HMRC Paye Payments</t>
  </si>
  <si>
    <t xml:space="preserve">HMRC    Vat Payments</t>
  </si>
  <si>
    <t xml:space="preserve">HMRC CIS Payments</t>
  </si>
  <si>
    <t xml:space="preserve">HMRC Corp Tax Payment</t>
  </si>
  <si>
    <t xml:space="preserve">Dividends Paid</t>
  </si>
  <si>
    <t xml:space="preserve">Payment Date </t>
  </si>
  <si>
    <t xml:space="preserve">Suppliers paid</t>
  </si>
  <si>
    <t xml:space="preserve">Date</t>
  </si>
  <si>
    <t xml:space="preserve">Source of Funds Received</t>
  </si>
  <si>
    <t xml:space="preserve">Sales Invoice</t>
  </si>
  <si>
    <t xml:space="preserve">BS</t>
  </si>
  <si>
    <t xml:space="preserve">BD</t>
  </si>
  <si>
    <t xml:space="preserve">BC</t>
  </si>
  <si>
    <t xml:space="preserve">DR</t>
  </si>
  <si>
    <t xml:space="preserve">K</t>
  </si>
  <si>
    <t xml:space="preserve">LDR</t>
  </si>
  <si>
    <t xml:space="preserve">LCR</t>
  </si>
  <si>
    <t xml:space="preserve">RV</t>
  </si>
  <si>
    <t xml:space="preserve">RC</t>
  </si>
  <si>
    <t xml:space="preserve">DL</t>
  </si>
  <si>
    <t xml:space="preserve">X</t>
  </si>
  <si>
    <t xml:space="preserve">CR</t>
  </si>
  <si>
    <t xml:space="preserve">W</t>
  </si>
  <si>
    <t xml:space="preserve">B</t>
  </si>
  <si>
    <t xml:space="preserve">J</t>
  </si>
  <si>
    <t xml:space="preserve">RP</t>
  </si>
  <si>
    <t xml:space="preserve">RT</t>
  </si>
  <si>
    <t xml:space="preserve">DV</t>
  </si>
  <si>
    <t xml:space="preserve">Acme Corp</t>
  </si>
  <si>
    <t xml:space="preserve">WorkSpace Ltd</t>
  </si>
  <si>
    <t xml:space="preserve">Beta Systems</t>
  </si>
  <si>
    <t xml:space="preserve">Director</t>
  </si>
  <si>
    <t xml:space="preserve">Various suppliers</t>
  </si>
  <si>
    <t xml:space="preserve">TechStart Ltd</t>
  </si>
  <si>
    <t xml:space="preserve">HMRC</t>
  </si>
  <si>
    <t xml:space="preserve">Gamma Ltd</t>
  </si>
  <si>
    <t xml:space="preserve">Payroll</t>
  </si>
  <si>
    <t xml:space="preserve">Various customers</t>
  </si>
  <si>
    <t xml:space="preserve">Smith &amp; Co</t>
  </si>
  <si>
    <t xml:space="preserve">Credit card payment</t>
  </si>
  <si>
    <t xml:space="preserve">HSBC</t>
  </si>
  <si>
    <t xml:space="preserve">Directors loan interest</t>
  </si>
  <si>
    <t xml:space="preserve">Close Brothers Asset Finance</t>
  </si>
  <si>
    <t xml:space="preserve">Dividend</t>
  </si>
  <si>
    <t xml:space="preserve">Innovate UK</t>
  </si>
  <si>
    <t xml:space="preserve">Private buyer</t>
  </si>
  <si>
    <t xml:space="preserve">Ford</t>
  </si>
  <si>
    <t xml:space="preserve">Director loan</t>
  </si>
  <si>
    <t xml:space="preserve">Internal transfer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</si>
</sst>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\-mmm\-yy"/>
    <numFmt numFmtId="166" formatCode="#,##0_ ;[RED]\-#,##0\ "/>
    <numFmt numFmtId="167" formatCode="0"/>
    <numFmt numFmtId="168" formatCode="0_ ;[RED]\-0\ "/>
    <numFmt numFmtId="169" formatCode="#,##0.00_ ;[RED]\-#,##0.00\ "/>
  </numFmts>
  <fonts count="8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10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99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FFFF00"/>
        <bgColor rgb="FFFFFF00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6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7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7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6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7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7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6" fillId="2" borderId="6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6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7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46296</v>
          </cell>
        </row>
        <row r="10">
          <cell r="B10">
            <v>46326</v>
          </cell>
        </row>
        <row r="11">
          <cell r="B11">
            <v>46327</v>
          </cell>
        </row>
        <row r="12">
          <cell r="B12">
            <v>46356</v>
          </cell>
        </row>
        <row r="13">
          <cell r="B13">
            <v>46357</v>
          </cell>
        </row>
        <row r="14">
          <cell r="B14">
            <v>46387</v>
          </cell>
        </row>
        <row r="15">
          <cell r="B15">
            <v>46388</v>
          </cell>
        </row>
        <row r="16">
          <cell r="B16">
            <v>46418</v>
          </cell>
        </row>
        <row r="17">
          <cell r="B17">
            <v>46419</v>
          </cell>
        </row>
        <row r="18">
          <cell r="B18">
            <v>46446</v>
          </cell>
        </row>
        <row r="19">
          <cell r="B19">
            <v>46447</v>
          </cell>
        </row>
        <row r="20">
          <cell r="B20">
            <v>46477</v>
          </cell>
        </row>
        <row r="21">
          <cell r="B21">
            <v>46478</v>
          </cell>
        </row>
        <row r="22">
          <cell r="B22">
            <v>46507</v>
          </cell>
        </row>
        <row r="23">
          <cell r="B23">
            <v>46508</v>
          </cell>
        </row>
        <row r="24">
          <cell r="B24">
            <v>46538</v>
          </cell>
        </row>
        <row r="25">
          <cell r="B25">
            <v>46539</v>
          </cell>
        </row>
        <row r="26">
          <cell r="B26">
            <v>46568</v>
          </cell>
        </row>
        <row r="27">
          <cell r="B27">
            <v>46569</v>
          </cell>
        </row>
        <row r="28">
          <cell r="B28">
            <v>46599</v>
          </cell>
        </row>
        <row r="29">
          <cell r="B29">
            <v>46600</v>
          </cell>
        </row>
        <row r="30">
          <cell r="B30">
            <v>46630</v>
          </cell>
        </row>
        <row r="31">
          <cell r="B31">
            <v>46631</v>
          </cell>
        </row>
        <row r="32">
          <cell r="B32">
            <v>46660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7" t="n">
        <v>25000</v>
      </c>
      <c r="B1" s="8" t="s">
        <v>0</v>
      </c>
      <c r="C1" s="9" t="n">
        <f aca="false">[1]Admin!$B$9</f>
        <v>46296</v>
      </c>
      <c r="D1" s="10" t="s">
        <v>1</v>
      </c>
      <c r="E1" s="11" t="n">
        <f aca="false">F1-SUM(G1:Q1)</f>
        <v>0</v>
      </c>
      <c r="F1" s="12" t="n">
        <f aca="false">SUM(F6:F200)</f>
        <v>44200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44200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12525.2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3700</v>
      </c>
      <c r="AC1" s="12" t="n">
        <f aca="false">SUM(AC6:AC200)</f>
        <v>5652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1673.2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1000</v>
      </c>
      <c r="AN1" s="12" t="n">
        <f aca="false">SUM(AN6:AN200)</f>
        <v>500</v>
      </c>
    </row>
    <row r="2" customFormat="false" ht="15" hidden="false" customHeight="true" outlineLevel="0" collapsed="false">
      <c r="A2" s="17" t="n">
        <f aca="false">A1+F1-X1</f>
        <v>56674.8</v>
      </c>
      <c r="B2" s="18" t="s">
        <v>2</v>
      </c>
      <c r="C2" s="9" t="n">
        <f aca="false">[1]Admin!$B$10</f>
        <v>46326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46326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56674.8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A6" s="1" t="n">
        <v>45940</v>
      </c>
      <c r="B6" s="2" t="s">
        <v>58</v>
      </c>
      <c r="E6" s="38" t="s">
        <v>43</v>
      </c>
      <c r="F6" s="6" t="n">
        <v>7200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n">
        <f aca="false">IF(E6="DR",F6," ")</f>
        <v>7200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45931</v>
      </c>
      <c r="T6" s="4" t="s">
        <v>59</v>
      </c>
      <c r="W6" s="40" t="s">
        <v>51</v>
      </c>
      <c r="X6" s="6" t="n">
        <v>1200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n">
        <f aca="false">IF(W6="CR",X6," ")</f>
        <v>1200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45945</v>
      </c>
      <c r="B7" s="2" t="s">
        <v>60</v>
      </c>
      <c r="E7" s="5" t="s">
        <v>43</v>
      </c>
      <c r="F7" s="6" t="n">
        <v>1200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1200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45931</v>
      </c>
      <c r="T7" s="4" t="s">
        <v>61</v>
      </c>
      <c r="W7" s="42" t="s">
        <v>49</v>
      </c>
      <c r="X7" s="6" t="n">
        <v>1000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n">
        <f aca="false">IF(W7="DL",X7," ")</f>
        <v>1000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45950</v>
      </c>
      <c r="B8" s="2" t="s">
        <v>58</v>
      </c>
      <c r="E8" s="5" t="s">
        <v>43</v>
      </c>
      <c r="F8" s="6" t="n">
        <v>8000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8000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45935</v>
      </c>
      <c r="T8" s="4" t="s">
        <v>62</v>
      </c>
      <c r="W8" s="42" t="s">
        <v>51</v>
      </c>
      <c r="X8" s="6" t="n">
        <v>2200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n">
        <f aca="false">IF(W8="CR",X8," ")</f>
        <v>2200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A9" s="1" t="n">
        <v>45955</v>
      </c>
      <c r="B9" s="2" t="s">
        <v>63</v>
      </c>
      <c r="E9" s="5" t="s">
        <v>43</v>
      </c>
      <c r="F9" s="6" t="n">
        <v>2400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n">
        <f aca="false">IF(E9="DR",F9," ")</f>
        <v>2400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45949</v>
      </c>
      <c r="T9" s="4" t="s">
        <v>64</v>
      </c>
      <c r="W9" s="42" t="s">
        <v>55</v>
      </c>
      <c r="X9" s="6" t="n">
        <v>1673.2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n">
        <f aca="false">IF(W9="RP",X9," ")</f>
        <v>1673.2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A10" s="1" t="n">
        <v>45955</v>
      </c>
      <c r="B10" s="2" t="s">
        <v>65</v>
      </c>
      <c r="E10" s="5" t="s">
        <v>43</v>
      </c>
      <c r="F10" s="6" t="n">
        <v>2400</v>
      </c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n">
        <f aca="false">IF(E10="DR",F10," ")</f>
        <v>2400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45958</v>
      </c>
      <c r="T10" s="4" t="s">
        <v>66</v>
      </c>
      <c r="W10" s="42" t="s">
        <v>52</v>
      </c>
      <c r="X10" s="6" t="n">
        <v>5652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n">
        <f aca="false">IF(W10="W",X10," ")</f>
        <v>5652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A11" s="1" t="n">
        <v>45958</v>
      </c>
      <c r="B11" s="2" t="s">
        <v>67</v>
      </c>
      <c r="E11" s="5" t="s">
        <v>43</v>
      </c>
      <c r="F11" s="6" t="n">
        <v>23000</v>
      </c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n">
        <f aca="false">IF(E11="DR",F11," ")</f>
        <v>23000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45960</v>
      </c>
      <c r="T11" s="4" t="s">
        <v>68</v>
      </c>
      <c r="W11" s="42" t="s">
        <v>51</v>
      </c>
      <c r="X11" s="6" t="n">
        <v>300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n">
        <f aca="false">IF(W11="CR",X11," ")</f>
        <v>300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45960</v>
      </c>
      <c r="T12" s="4" t="s">
        <v>69</v>
      </c>
      <c r="W12" s="42" t="s">
        <v>50</v>
      </c>
      <c r="X12" s="6" t="n">
        <v>500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n">
        <f aca="false">IF(W12="X",X12," ")</f>
        <v>500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W13" s="42"/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W14" s="42"/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/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0784722222222222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Oct!A2</f>
        <v>56674.8</v>
      </c>
      <c r="B1" s="8" t="s">
        <v>0</v>
      </c>
      <c r="C1" s="9" t="n">
        <f aca="false">[1]Admin!$B$11</f>
        <v>46327</v>
      </c>
      <c r="D1" s="10" t="s">
        <v>1</v>
      </c>
      <c r="E1" s="11" t="n">
        <f aca="false">F1-SUM(G1:Q1)</f>
        <v>0</v>
      </c>
      <c r="F1" s="12" t="n">
        <f aca="false">SUM(F6:F200)</f>
        <v>32920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32920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14150.2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4300</v>
      </c>
      <c r="AC1" s="12" t="n">
        <f aca="false">SUM(AC6:AC200)</f>
        <v>5652</v>
      </c>
      <c r="AD1" s="12" t="n">
        <f aca="false">SUM(AD6:AD200)</f>
        <v>25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3173.2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1000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75444.6</v>
      </c>
      <c r="B2" s="18" t="s">
        <v>2</v>
      </c>
      <c r="C2" s="9" t="n">
        <f aca="false">[1]Admin!$B$12</f>
        <v>46356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46356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75444.6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A6" s="1" t="n">
        <v>45981</v>
      </c>
      <c r="B6" s="2" t="s">
        <v>58</v>
      </c>
      <c r="E6" s="38" t="s">
        <v>43</v>
      </c>
      <c r="F6" s="6" t="n">
        <v>8000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n">
        <f aca="false">IF(E6="DR",F6," ")</f>
        <v>8000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45962</v>
      </c>
      <c r="T6" s="4" t="s">
        <v>59</v>
      </c>
      <c r="W6" s="40" t="s">
        <v>51</v>
      </c>
      <c r="X6" s="6" t="n">
        <v>1200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n">
        <f aca="false">IF(W6="CR",X6," ")</f>
        <v>1200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45986</v>
      </c>
      <c r="B7" s="2" t="s">
        <v>63</v>
      </c>
      <c r="E7" s="5" t="s">
        <v>43</v>
      </c>
      <c r="F7" s="6" t="n">
        <v>2400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2400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45962</v>
      </c>
      <c r="T7" s="4" t="s">
        <v>61</v>
      </c>
      <c r="W7" s="42" t="s">
        <v>49</v>
      </c>
      <c r="X7" s="6" t="n">
        <v>1000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n">
        <f aca="false">IF(W7="DL",X7," ")</f>
        <v>1000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45989</v>
      </c>
      <c r="B8" s="2" t="s">
        <v>67</v>
      </c>
      <c r="E8" s="5" t="s">
        <v>43</v>
      </c>
      <c r="F8" s="6" t="n">
        <v>22520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22520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45966</v>
      </c>
      <c r="T8" s="4" t="s">
        <v>62</v>
      </c>
      <c r="W8" s="42" t="s">
        <v>51</v>
      </c>
      <c r="X8" s="6" t="n">
        <v>2800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n">
        <f aca="false">IF(W8="CR",X8," ")</f>
        <v>2800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45980</v>
      </c>
      <c r="T9" s="4" t="s">
        <v>64</v>
      </c>
      <c r="W9" s="42" t="s">
        <v>55</v>
      </c>
      <c r="X9" s="6" t="n">
        <v>1673.2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n">
        <f aca="false">IF(W9="RP",X9," ")</f>
        <v>1673.2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45986</v>
      </c>
      <c r="T10" s="4" t="s">
        <v>70</v>
      </c>
      <c r="W10" s="42" t="s">
        <v>53</v>
      </c>
      <c r="X10" s="6" t="n">
        <v>25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n">
        <f aca="false">IF(W10="B",X10," ")</f>
        <v>25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45989</v>
      </c>
      <c r="T11" s="4" t="s">
        <v>66</v>
      </c>
      <c r="W11" s="42" t="s">
        <v>52</v>
      </c>
      <c r="X11" s="6" t="n">
        <v>5652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n">
        <f aca="false">IF(W11="W",X11," ")</f>
        <v>5652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45991</v>
      </c>
      <c r="T12" s="4" t="s">
        <v>68</v>
      </c>
      <c r="W12" s="42" t="s">
        <v>51</v>
      </c>
      <c r="X12" s="6" t="n">
        <v>300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n">
        <f aca="false">IF(W12="CR",X12," ")</f>
        <v>300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S13" s="1" t="n">
        <v>45968</v>
      </c>
      <c r="T13" s="4" t="s">
        <v>64</v>
      </c>
      <c r="W13" s="42" t="s">
        <v>55</v>
      </c>
      <c r="X13" s="6" t="n">
        <v>1500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n">
        <f aca="false">IF(W13="RP",X13," ")</f>
        <v>1500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W14" s="42"/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/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Nov!A2</f>
        <v>75444.6</v>
      </c>
      <c r="B1" s="8" t="s">
        <v>0</v>
      </c>
      <c r="C1" s="9" t="n">
        <f aca="false">[1]Admin!$B$13</f>
        <v>46357</v>
      </c>
      <c r="D1" s="10" t="s">
        <v>1</v>
      </c>
      <c r="E1" s="11" t="n">
        <f aca="false">F1-SUM(G1:Q1)</f>
        <v>0</v>
      </c>
      <c r="F1" s="12" t="n">
        <f aca="false">SUM(F6:F200)</f>
        <v>35200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35200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27575.2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17000</v>
      </c>
      <c r="AC1" s="12" t="n">
        <f aca="false">SUM(AC6:AC200)</f>
        <v>5652</v>
      </c>
      <c r="AD1" s="12" t="n">
        <f aca="false">SUM(AD6:AD200)</f>
        <v>2250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1673.2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1000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83069.4</v>
      </c>
      <c r="B2" s="18" t="s">
        <v>2</v>
      </c>
      <c r="C2" s="9" t="n">
        <f aca="false">[1]Admin!$B$14</f>
        <v>46387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46387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83069.4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A6" s="1" t="n">
        <v>46011</v>
      </c>
      <c r="B6" s="2" t="s">
        <v>58</v>
      </c>
      <c r="E6" s="38" t="s">
        <v>43</v>
      </c>
      <c r="F6" s="6" t="n">
        <v>8000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n">
        <f aca="false">IF(E6="DR",F6," ")</f>
        <v>8000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45992</v>
      </c>
      <c r="T6" s="4" t="s">
        <v>59</v>
      </c>
      <c r="W6" s="40" t="s">
        <v>51</v>
      </c>
      <c r="X6" s="6" t="n">
        <v>1200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n">
        <f aca="false">IF(W6="CR",X6," ")</f>
        <v>1200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46016</v>
      </c>
      <c r="B7" s="2" t="s">
        <v>63</v>
      </c>
      <c r="E7" s="5" t="s">
        <v>43</v>
      </c>
      <c r="F7" s="6" t="n">
        <v>2400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2400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45992</v>
      </c>
      <c r="T7" s="4" t="s">
        <v>61</v>
      </c>
      <c r="W7" s="42" t="s">
        <v>49</v>
      </c>
      <c r="X7" s="6" t="n">
        <v>1000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n">
        <f aca="false">IF(W7="DL",X7," ")</f>
        <v>1000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46019</v>
      </c>
      <c r="B8" s="2" t="s">
        <v>67</v>
      </c>
      <c r="E8" s="5" t="s">
        <v>43</v>
      </c>
      <c r="F8" s="6" t="n">
        <v>24800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24800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45996</v>
      </c>
      <c r="T8" s="4" t="s">
        <v>62</v>
      </c>
      <c r="W8" s="42" t="s">
        <v>51</v>
      </c>
      <c r="X8" s="6" t="n">
        <v>2500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n">
        <f aca="false">IF(W8="CR",X8," ")</f>
        <v>2500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46010</v>
      </c>
      <c r="T9" s="4" t="s">
        <v>64</v>
      </c>
      <c r="W9" s="42" t="s">
        <v>55</v>
      </c>
      <c r="X9" s="6" t="n">
        <v>1673.2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n">
        <f aca="false">IF(W9="RP",X9," ")</f>
        <v>1673.2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46019</v>
      </c>
      <c r="T10" s="4" t="s">
        <v>66</v>
      </c>
      <c r="W10" s="42" t="s">
        <v>52</v>
      </c>
      <c r="X10" s="6" t="n">
        <v>5652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n">
        <f aca="false">IF(W10="W",X10," ")</f>
        <v>5652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46021</v>
      </c>
      <c r="T11" s="4" t="s">
        <v>71</v>
      </c>
      <c r="W11" s="42" t="s">
        <v>53</v>
      </c>
      <c r="X11" s="6" t="n">
        <v>250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n">
        <f aca="false">IF(W11="B",X11," ")</f>
        <v>250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46021</v>
      </c>
      <c r="T12" s="4" t="s">
        <v>68</v>
      </c>
      <c r="W12" s="42" t="s">
        <v>51</v>
      </c>
      <c r="X12" s="6" t="n">
        <v>300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n">
        <f aca="false">IF(W12="CR",X12," ")</f>
        <v>300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S13" s="1" t="n">
        <v>45992</v>
      </c>
      <c r="T13" s="4" t="s">
        <v>72</v>
      </c>
      <c r="W13" s="42" t="s">
        <v>53</v>
      </c>
      <c r="X13" s="6" t="n">
        <v>2000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n">
        <f aca="false">IF(W13="B",X13," ")</f>
        <v>2000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S14" s="1" t="n">
        <v>45992</v>
      </c>
      <c r="T14" s="4" t="s">
        <v>72</v>
      </c>
      <c r="W14" s="42" t="s">
        <v>51</v>
      </c>
      <c r="X14" s="6" t="n">
        <v>13000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n">
        <f aca="false">IF(W14="CR",X14," ")</f>
        <v>13000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/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Dec!A2</f>
        <v>83069.4</v>
      </c>
      <c r="B1" s="8" t="s">
        <v>0</v>
      </c>
      <c r="C1" s="9" t="n">
        <f aca="false">[1]Admin!$B$15</f>
        <v>46388</v>
      </c>
      <c r="D1" s="10" t="s">
        <v>1</v>
      </c>
      <c r="E1" s="11" t="n">
        <f aca="false">F1-SUM(G1:Q1)</f>
        <v>0</v>
      </c>
      <c r="F1" s="12" t="n">
        <f aca="false">SUM(F6:F200)</f>
        <v>33760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33760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16425.2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3800</v>
      </c>
      <c r="AC1" s="12" t="n">
        <f aca="false">SUM(AC6:AC200)</f>
        <v>5652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1673.2</v>
      </c>
      <c r="AI1" s="12" t="n">
        <f aca="false">SUM(AI6:AI200)</f>
        <v>0</v>
      </c>
      <c r="AJ1" s="12" t="n">
        <f aca="false">SUM(AJ6:AJ200)</f>
        <v>1000</v>
      </c>
      <c r="AK1" s="12" t="n">
        <f aca="false">SUM(AK6:AK200)</f>
        <v>0</v>
      </c>
      <c r="AL1" s="12" t="n">
        <f aca="false">SUM(AL6:AL200)</f>
        <v>3000</v>
      </c>
      <c r="AM1" s="12" t="n">
        <f aca="false">SUM(AM6:AM200)</f>
        <v>1000</v>
      </c>
      <c r="AN1" s="12" t="n">
        <f aca="false">SUM(AN6:AN200)</f>
        <v>300</v>
      </c>
    </row>
    <row r="2" customFormat="false" ht="15" hidden="false" customHeight="true" outlineLevel="0" collapsed="false">
      <c r="A2" s="17" t="n">
        <f aca="false">A1+F1-X1</f>
        <v>100404.2</v>
      </c>
      <c r="B2" s="18" t="s">
        <v>2</v>
      </c>
      <c r="C2" s="9" t="n">
        <f aca="false">[1]Admin!$B$16</f>
        <v>46418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46418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100404.2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A6" s="1" t="n">
        <v>46042</v>
      </c>
      <c r="B6" s="2" t="s">
        <v>58</v>
      </c>
      <c r="E6" s="38" t="s">
        <v>43</v>
      </c>
      <c r="F6" s="6" t="n">
        <v>8000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n">
        <f aca="false">IF(E6="DR",F6," ")</f>
        <v>8000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46023</v>
      </c>
      <c r="T6" s="4" t="s">
        <v>59</v>
      </c>
      <c r="W6" s="40" t="s">
        <v>51</v>
      </c>
      <c r="X6" s="6" t="n">
        <v>1200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n">
        <f aca="false">IF(W6="CR",X6," ")</f>
        <v>1200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46047</v>
      </c>
      <c r="B7" s="2" t="s">
        <v>63</v>
      </c>
      <c r="E7" s="5" t="s">
        <v>43</v>
      </c>
      <c r="F7" s="6" t="n">
        <v>2400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2400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46023</v>
      </c>
      <c r="T7" s="4" t="s">
        <v>61</v>
      </c>
      <c r="W7" s="42" t="s">
        <v>49</v>
      </c>
      <c r="X7" s="6" t="n">
        <v>1000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n">
        <f aca="false">IF(W7="DL",X7," ")</f>
        <v>1000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46050</v>
      </c>
      <c r="B8" s="2" t="s">
        <v>67</v>
      </c>
      <c r="E8" s="5" t="s">
        <v>43</v>
      </c>
      <c r="F8" s="6" t="n">
        <v>23360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23360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46027</v>
      </c>
      <c r="T8" s="4" t="s">
        <v>62</v>
      </c>
      <c r="W8" s="42" t="s">
        <v>51</v>
      </c>
      <c r="X8" s="6" t="n">
        <v>2300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n">
        <f aca="false">IF(W8="CR",X8," ")</f>
        <v>2300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46037</v>
      </c>
      <c r="T9" s="4" t="s">
        <v>73</v>
      </c>
      <c r="W9" s="42" t="s">
        <v>57</v>
      </c>
      <c r="X9" s="6" t="n">
        <v>3000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n">
        <f aca="false">IF(W9="DV",X9," ")</f>
        <v>3000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46041</v>
      </c>
      <c r="T10" s="4" t="s">
        <v>64</v>
      </c>
      <c r="W10" s="42" t="s">
        <v>55</v>
      </c>
      <c r="X10" s="6" t="n">
        <v>1673.2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n">
        <f aca="false">IF(W10="RP",X10," ")</f>
        <v>1673.2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46041</v>
      </c>
      <c r="T11" s="4" t="s">
        <v>64</v>
      </c>
      <c r="W11" s="42" t="s">
        <v>48</v>
      </c>
      <c r="X11" s="6" t="n">
        <v>1000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n">
        <f aca="false">IF(W11="RC",X11," ")</f>
        <v>1000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46050</v>
      </c>
      <c r="T12" s="4" t="s">
        <v>66</v>
      </c>
      <c r="W12" s="42" t="s">
        <v>52</v>
      </c>
      <c r="X12" s="6" t="n">
        <v>5652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n">
        <f aca="false">IF(W12="W",X12," ")</f>
        <v>5652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S13" s="1" t="n">
        <v>46053</v>
      </c>
      <c r="T13" s="4" t="s">
        <v>68</v>
      </c>
      <c r="W13" s="42" t="s">
        <v>51</v>
      </c>
      <c r="X13" s="6" t="n">
        <v>300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n">
        <f aca="false">IF(W13="CR",X13," ")</f>
        <v>300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S14" s="1" t="n">
        <v>46053</v>
      </c>
      <c r="T14" s="4" t="s">
        <v>69</v>
      </c>
      <c r="W14" s="42" t="s">
        <v>50</v>
      </c>
      <c r="X14" s="6" t="n">
        <v>300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n">
        <f aca="false">IF(W14="X",X14," ")</f>
        <v>300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/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Jan!A2</f>
        <v>100404.2</v>
      </c>
      <c r="B1" s="8" t="s">
        <v>0</v>
      </c>
      <c r="C1" s="9" t="n">
        <f aca="false">[1]Admin!$B$17</f>
        <v>46419</v>
      </c>
      <c r="D1" s="10" t="s">
        <v>1</v>
      </c>
      <c r="E1" s="11" t="n">
        <f aca="false">F1-SUM(G1:Q1)</f>
        <v>0</v>
      </c>
      <c r="F1" s="12" t="n">
        <f aca="false">SUM(F6:F200)</f>
        <v>38520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38520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26233.37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4100</v>
      </c>
      <c r="AC1" s="12" t="n">
        <f aca="false">SUM(AC6:AC200)</f>
        <v>5652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15481.37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1000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112690.83</v>
      </c>
      <c r="B2" s="18" t="s">
        <v>2</v>
      </c>
      <c r="C2" s="9" t="n">
        <f aca="false">[1]Admin!$B$18</f>
        <v>46446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46446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112690.83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A6" s="1" t="n">
        <v>46058</v>
      </c>
      <c r="B6" s="2" t="s">
        <v>74</v>
      </c>
      <c r="E6" s="38" t="s">
        <v>43</v>
      </c>
      <c r="F6" s="6" t="n">
        <v>2500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n">
        <f aca="false">IF(E6="DR",F6," ")</f>
        <v>2500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46060</v>
      </c>
      <c r="T6" s="4" t="s">
        <v>64</v>
      </c>
      <c r="W6" s="40" t="s">
        <v>55</v>
      </c>
      <c r="X6" s="6" t="n">
        <v>13808.17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n">
        <f aca="false">IF(W6="RP",X6," ")</f>
        <v>13808.17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46073</v>
      </c>
      <c r="B7" s="2" t="s">
        <v>58</v>
      </c>
      <c r="E7" s="5" t="s">
        <v>43</v>
      </c>
      <c r="F7" s="6" t="n">
        <v>8000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8000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46054</v>
      </c>
      <c r="T7" s="4" t="s">
        <v>59</v>
      </c>
      <c r="W7" s="42" t="s">
        <v>51</v>
      </c>
      <c r="X7" s="6" t="n">
        <v>1200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n">
        <f aca="false">IF(W7="CR",X7," ")</f>
        <v>1200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46078</v>
      </c>
      <c r="B8" s="2" t="s">
        <v>63</v>
      </c>
      <c r="E8" s="5" t="s">
        <v>43</v>
      </c>
      <c r="F8" s="6" t="n">
        <v>2400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2400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46054</v>
      </c>
      <c r="T8" s="4" t="s">
        <v>61</v>
      </c>
      <c r="W8" s="42" t="s">
        <v>49</v>
      </c>
      <c r="X8" s="6" t="n">
        <v>1000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n">
        <f aca="false">IF(W8="DL",X8," ")</f>
        <v>1000</v>
      </c>
      <c r="AN8" s="6" t="str">
        <f aca="false">IF(W8="X",X8," ")</f>
        <v> </v>
      </c>
    </row>
    <row r="9" customFormat="false" ht="12.75" hidden="false" customHeight="false" outlineLevel="0" collapsed="false">
      <c r="A9" s="1" t="n">
        <v>46081</v>
      </c>
      <c r="B9" s="2" t="s">
        <v>67</v>
      </c>
      <c r="E9" s="5" t="s">
        <v>43</v>
      </c>
      <c r="F9" s="6" t="n">
        <v>25620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n">
        <f aca="false">IF(E9="DR",F9," ")</f>
        <v>25620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46058</v>
      </c>
      <c r="T9" s="4" t="s">
        <v>62</v>
      </c>
      <c r="W9" s="42" t="s">
        <v>51</v>
      </c>
      <c r="X9" s="6" t="n">
        <v>2600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n">
        <f aca="false">IF(W9="CR",X9," ")</f>
        <v>2600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46072</v>
      </c>
      <c r="T10" s="4" t="s">
        <v>64</v>
      </c>
      <c r="W10" s="42" t="s">
        <v>55</v>
      </c>
      <c r="X10" s="6" t="n">
        <v>1673.2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n">
        <f aca="false">IF(W10="RP",X10," ")</f>
        <v>1673.2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46081</v>
      </c>
      <c r="T11" s="4" t="s">
        <v>66</v>
      </c>
      <c r="W11" s="42" t="s">
        <v>52</v>
      </c>
      <c r="X11" s="6" t="n">
        <v>5652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n">
        <f aca="false">IF(W11="W",X11," ")</f>
        <v>5652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46081</v>
      </c>
      <c r="T12" s="4" t="s">
        <v>68</v>
      </c>
      <c r="W12" s="42" t="s">
        <v>51</v>
      </c>
      <c r="X12" s="6" t="n">
        <v>300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n">
        <f aca="false">IF(W12="CR",X12," ")</f>
        <v>300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W13" s="42"/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W14" s="42"/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/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Feb!A2</f>
        <v>112690.83</v>
      </c>
      <c r="B1" s="8" t="s">
        <v>0</v>
      </c>
      <c r="C1" s="9" t="n">
        <f aca="false">[1]Admin!$B$19</f>
        <v>46447</v>
      </c>
      <c r="D1" s="10" t="s">
        <v>1</v>
      </c>
      <c r="E1" s="11" t="n">
        <f aca="false">F1-SUM(G1:Q1)</f>
        <v>0</v>
      </c>
      <c r="F1" s="12" t="n">
        <f aca="false">SUM(F6:F200)</f>
        <v>33760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33760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20233.2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10600</v>
      </c>
      <c r="AC1" s="12" t="n">
        <f aca="false">SUM(AC6:AC200)</f>
        <v>5652</v>
      </c>
      <c r="AD1" s="12" t="n">
        <f aca="false">SUM(AD6:AD200)</f>
        <v>1308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1673.2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1000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126217.63</v>
      </c>
      <c r="B2" s="18" t="s">
        <v>2</v>
      </c>
      <c r="C2" s="9" t="n">
        <f aca="false">[1]Admin!$B$20</f>
        <v>46477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46477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126217.63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A6" s="1" t="n">
        <v>46101</v>
      </c>
      <c r="B6" s="2" t="s">
        <v>58</v>
      </c>
      <c r="E6" s="38" t="s">
        <v>43</v>
      </c>
      <c r="F6" s="6" t="n">
        <v>8000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n">
        <f aca="false">IF(E6="DR",F6," ")</f>
        <v>8000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46082</v>
      </c>
      <c r="T6" s="4" t="s">
        <v>59</v>
      </c>
      <c r="W6" s="40" t="s">
        <v>51</v>
      </c>
      <c r="X6" s="6" t="n">
        <v>1200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n">
        <f aca="false">IF(W6="CR",X6," ")</f>
        <v>1200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46106</v>
      </c>
      <c r="B7" s="2" t="s">
        <v>63</v>
      </c>
      <c r="E7" s="5" t="s">
        <v>43</v>
      </c>
      <c r="F7" s="6" t="n">
        <v>2400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2400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46082</v>
      </c>
      <c r="T7" s="4" t="s">
        <v>61</v>
      </c>
      <c r="W7" s="42" t="s">
        <v>49</v>
      </c>
      <c r="X7" s="6" t="n">
        <v>1000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n">
        <f aca="false">IF(W7="DL",X7," ")</f>
        <v>1000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46109</v>
      </c>
      <c r="B8" s="2" t="s">
        <v>67</v>
      </c>
      <c r="E8" s="5" t="s">
        <v>43</v>
      </c>
      <c r="F8" s="6" t="n">
        <v>23360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23360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46086</v>
      </c>
      <c r="T8" s="4" t="s">
        <v>62</v>
      </c>
      <c r="W8" s="42" t="s">
        <v>51</v>
      </c>
      <c r="X8" s="6" t="n">
        <v>2100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n">
        <f aca="false">IF(W8="CR",X8," ")</f>
        <v>2100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46100</v>
      </c>
      <c r="T9" s="4" t="s">
        <v>64</v>
      </c>
      <c r="W9" s="42" t="s">
        <v>55</v>
      </c>
      <c r="X9" s="6" t="n">
        <v>1673.2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n">
        <f aca="false">IF(W9="RP",X9," ")</f>
        <v>1673.2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46109</v>
      </c>
      <c r="T10" s="4" t="s">
        <v>66</v>
      </c>
      <c r="W10" s="42" t="s">
        <v>52</v>
      </c>
      <c r="X10" s="6" t="n">
        <v>5652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n">
        <f aca="false">IF(W10="W",X10," ")</f>
        <v>5652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46111</v>
      </c>
      <c r="T11" s="4" t="s">
        <v>71</v>
      </c>
      <c r="W11" s="42" t="s">
        <v>53</v>
      </c>
      <c r="X11" s="6" t="n">
        <v>208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n">
        <f aca="false">IF(W11="B",X11," ")</f>
        <v>208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46111</v>
      </c>
      <c r="T12" s="4" t="s">
        <v>68</v>
      </c>
      <c r="W12" s="42" t="s">
        <v>51</v>
      </c>
      <c r="X12" s="6" t="n">
        <v>300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n">
        <f aca="false">IF(W12="CR",X12," ")</f>
        <v>300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S13" s="1" t="n">
        <v>46082</v>
      </c>
      <c r="T13" s="4" t="s">
        <v>72</v>
      </c>
      <c r="W13" s="42" t="s">
        <v>53</v>
      </c>
      <c r="X13" s="6" t="n">
        <v>1100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n">
        <f aca="false">IF(W13="B",X13," ")</f>
        <v>1100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S14" s="1" t="n">
        <v>46082</v>
      </c>
      <c r="T14" s="4" t="s">
        <v>72</v>
      </c>
      <c r="W14" s="42" t="s">
        <v>51</v>
      </c>
      <c r="X14" s="6" t="n">
        <v>7000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n">
        <f aca="false">IF(W14="CR",X14," ")</f>
        <v>7000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/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Mar!A2</f>
        <v>126217.63</v>
      </c>
      <c r="B1" s="8" t="s">
        <v>0</v>
      </c>
      <c r="C1" s="9" t="n">
        <f aca="false">[1]Admin!$B$21</f>
        <v>46478</v>
      </c>
      <c r="D1" s="10" t="s">
        <v>1</v>
      </c>
      <c r="E1" s="11" t="n">
        <f aca="false">F1-SUM(G1:Q1)</f>
        <v>0</v>
      </c>
      <c r="F1" s="12" t="n">
        <f aca="false">SUM(F6:F200)</f>
        <v>50560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50560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56825.2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40500</v>
      </c>
      <c r="AC1" s="12" t="n">
        <f aca="false">SUM(AC6:AC200)</f>
        <v>5652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1673.2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4500</v>
      </c>
      <c r="AL1" s="12" t="n">
        <f aca="false">SUM(AL6:AL200)</f>
        <v>3000</v>
      </c>
      <c r="AM1" s="12" t="n">
        <f aca="false">SUM(AM6:AM200)</f>
        <v>1000</v>
      </c>
      <c r="AN1" s="12" t="n">
        <f aca="false">SUM(AN6:AN200)</f>
        <v>500</v>
      </c>
    </row>
    <row r="2" customFormat="false" ht="15" hidden="false" customHeight="true" outlineLevel="0" collapsed="false">
      <c r="A2" s="17" t="n">
        <f aca="false">A1+F1-X1</f>
        <v>119952.43</v>
      </c>
      <c r="B2" s="18" t="s">
        <v>2</v>
      </c>
      <c r="C2" s="9" t="n">
        <f aca="false">[1]Admin!$B$22</f>
        <v>46507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46507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119952.43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A6" s="1" t="n">
        <v>46127</v>
      </c>
      <c r="B6" s="2" t="s">
        <v>75</v>
      </c>
      <c r="E6" s="38" t="s">
        <v>43</v>
      </c>
      <c r="F6" s="6" t="n">
        <v>15000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n">
        <f aca="false">IF(E6="DR",F6," ")</f>
        <v>15000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46113</v>
      </c>
      <c r="T6" s="4" t="s">
        <v>59</v>
      </c>
      <c r="W6" s="40" t="s">
        <v>51</v>
      </c>
      <c r="X6" s="6" t="n">
        <v>1200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n">
        <f aca="false">IF(W6="CR",X6," ")</f>
        <v>1200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46132</v>
      </c>
      <c r="B7" s="2" t="s">
        <v>58</v>
      </c>
      <c r="E7" s="5" t="s">
        <v>43</v>
      </c>
      <c r="F7" s="6" t="n">
        <v>8000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8000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46113</v>
      </c>
      <c r="T7" s="4" t="s">
        <v>61</v>
      </c>
      <c r="W7" s="42" t="s">
        <v>49</v>
      </c>
      <c r="X7" s="6" t="n">
        <v>1000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n">
        <f aca="false">IF(W7="DL",X7," ")</f>
        <v>1000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46137</v>
      </c>
      <c r="B8" s="2" t="s">
        <v>63</v>
      </c>
      <c r="E8" s="5" t="s">
        <v>43</v>
      </c>
      <c r="F8" s="6" t="n">
        <v>2400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2400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46113</v>
      </c>
      <c r="T8" s="4" t="s">
        <v>64</v>
      </c>
      <c r="W8" s="42" t="s">
        <v>56</v>
      </c>
      <c r="X8" s="6" t="n">
        <v>4500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n">
        <f aca="false">IF(W8="RT",X8," ")</f>
        <v>4500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A9" s="1" t="n">
        <v>46140</v>
      </c>
      <c r="B9" s="2" t="s">
        <v>67</v>
      </c>
      <c r="E9" s="5" t="s">
        <v>43</v>
      </c>
      <c r="F9" s="6" t="n">
        <v>25160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n">
        <f aca="false">IF(E9="DR",F9," ")</f>
        <v>25160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46117</v>
      </c>
      <c r="T9" s="4" t="s">
        <v>62</v>
      </c>
      <c r="W9" s="42" t="s">
        <v>51</v>
      </c>
      <c r="X9" s="6" t="n">
        <v>3000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n">
        <f aca="false">IF(W9="CR",X9," ")</f>
        <v>3000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46127</v>
      </c>
      <c r="T10" s="4" t="s">
        <v>73</v>
      </c>
      <c r="W10" s="42" t="s">
        <v>57</v>
      </c>
      <c r="X10" s="6" t="n">
        <v>3000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n">
        <f aca="false">IF(W10="DV",X10," ")</f>
        <v>3000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46131</v>
      </c>
      <c r="T11" s="4" t="s">
        <v>64</v>
      </c>
      <c r="W11" s="42" t="s">
        <v>55</v>
      </c>
      <c r="X11" s="6" t="n">
        <v>1673.2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n">
        <f aca="false">IF(W11="RP",X11," ")</f>
        <v>1673.2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46137</v>
      </c>
      <c r="T12" s="4" t="s">
        <v>76</v>
      </c>
      <c r="W12" s="42" t="s">
        <v>51</v>
      </c>
      <c r="X12" s="6" t="n">
        <v>36000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n">
        <f aca="false">IF(W12="CR",X12," ")</f>
        <v>36000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S13" s="1" t="n">
        <v>46140</v>
      </c>
      <c r="T13" s="4" t="s">
        <v>66</v>
      </c>
      <c r="W13" s="42" t="s">
        <v>52</v>
      </c>
      <c r="X13" s="6" t="n">
        <v>5652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n">
        <f aca="false">IF(W13="W",X13," ")</f>
        <v>5652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S14" s="1" t="n">
        <v>46142</v>
      </c>
      <c r="T14" s="4" t="s">
        <v>68</v>
      </c>
      <c r="W14" s="42" t="s">
        <v>51</v>
      </c>
      <c r="X14" s="6" t="n">
        <v>300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n">
        <f aca="false">IF(W14="CR",X14," ")</f>
        <v>300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S15" s="1" t="n">
        <v>46142</v>
      </c>
      <c r="T15" s="4" t="s">
        <v>69</v>
      </c>
      <c r="W15" s="42" t="s">
        <v>50</v>
      </c>
      <c r="X15" s="6" t="n">
        <v>500</v>
      </c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n">
        <f aca="false">IF(W15="X",X15," ")</f>
        <v>500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Apr!A2</f>
        <v>119952.43</v>
      </c>
      <c r="B1" s="8" t="s">
        <v>0</v>
      </c>
      <c r="C1" s="9" t="n">
        <f aca="false">[1]Admin!$B$23</f>
        <v>46508</v>
      </c>
      <c r="D1" s="10" t="s">
        <v>1</v>
      </c>
      <c r="E1" s="11" t="n">
        <f aca="false">F1-SUM(G1:Q1)</f>
        <v>0</v>
      </c>
      <c r="F1" s="12" t="n">
        <f aca="false">SUM(F6:F200)</f>
        <v>35320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35320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26706.7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3900</v>
      </c>
      <c r="AC1" s="12" t="n">
        <f aca="false">SUM(AC6:AC200)</f>
        <v>5652</v>
      </c>
      <c r="AD1" s="12" t="n">
        <f aca="false">SUM(AD6:AD200)</f>
        <v>25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16129.7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1000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128565.73</v>
      </c>
      <c r="B2" s="18" t="s">
        <v>2</v>
      </c>
      <c r="C2" s="9" t="n">
        <f aca="false">[1]Admin!$B$24</f>
        <v>46538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46538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128565.73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A6" s="1" t="n">
        <v>46162</v>
      </c>
      <c r="B6" s="2" t="s">
        <v>58</v>
      </c>
      <c r="E6" s="38" t="s">
        <v>43</v>
      </c>
      <c r="F6" s="6" t="n">
        <v>8000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n">
        <f aca="false">IF(E6="DR",F6," ")</f>
        <v>8000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46149</v>
      </c>
      <c r="T6" s="4" t="s">
        <v>64</v>
      </c>
      <c r="W6" s="40" t="s">
        <v>55</v>
      </c>
      <c r="X6" s="6" t="n">
        <v>14456.5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n">
        <f aca="false">IF(W6="RP",X6," ")</f>
        <v>14456.5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46167</v>
      </c>
      <c r="B7" s="2" t="s">
        <v>63</v>
      </c>
      <c r="E7" s="5" t="s">
        <v>43</v>
      </c>
      <c r="F7" s="6" t="n">
        <v>2400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2400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46143</v>
      </c>
      <c r="T7" s="4" t="s">
        <v>59</v>
      </c>
      <c r="W7" s="42" t="s">
        <v>51</v>
      </c>
      <c r="X7" s="6" t="n">
        <v>1200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n">
        <f aca="false">IF(W7="CR",X7," ")</f>
        <v>1200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46170</v>
      </c>
      <c r="B8" s="2" t="s">
        <v>67</v>
      </c>
      <c r="E8" s="5" t="s">
        <v>43</v>
      </c>
      <c r="F8" s="6" t="n">
        <v>24920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24920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46143</v>
      </c>
      <c r="T8" s="4" t="s">
        <v>61</v>
      </c>
      <c r="W8" s="42" t="s">
        <v>49</v>
      </c>
      <c r="X8" s="6" t="n">
        <v>1000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n">
        <f aca="false">IF(W8="DL",X8," ")</f>
        <v>1000</v>
      </c>
      <c r="AN8" s="6" t="str">
        <f aca="false">IF(W8="X",X8," ")</f>
        <v> </v>
      </c>
    </row>
    <row r="9" customFormat="false" ht="12.75" hidden="false" customHeight="false" outlineLevel="0" collapsed="false"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46147</v>
      </c>
      <c r="T9" s="4" t="s">
        <v>62</v>
      </c>
      <c r="W9" s="42" t="s">
        <v>51</v>
      </c>
      <c r="X9" s="6" t="n">
        <v>2400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n">
        <f aca="false">IF(W9="CR",X9," ")</f>
        <v>2400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46161</v>
      </c>
      <c r="T10" s="4" t="s">
        <v>64</v>
      </c>
      <c r="W10" s="42" t="s">
        <v>55</v>
      </c>
      <c r="X10" s="6" t="n">
        <v>1673.2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n">
        <f aca="false">IF(W10="RP",X10," ")</f>
        <v>1673.2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46167</v>
      </c>
      <c r="T11" s="4" t="s">
        <v>70</v>
      </c>
      <c r="W11" s="42" t="s">
        <v>53</v>
      </c>
      <c r="X11" s="6" t="n">
        <v>25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n">
        <f aca="false">IF(W11="B",X11," ")</f>
        <v>25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46170</v>
      </c>
      <c r="T12" s="4" t="s">
        <v>66</v>
      </c>
      <c r="W12" s="42" t="s">
        <v>52</v>
      </c>
      <c r="X12" s="6" t="n">
        <v>5652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n">
        <f aca="false">IF(W12="W",X12," ")</f>
        <v>5652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S13" s="1" t="n">
        <v>46172</v>
      </c>
      <c r="T13" s="4" t="s">
        <v>68</v>
      </c>
      <c r="W13" s="42" t="s">
        <v>51</v>
      </c>
      <c r="X13" s="6" t="n">
        <v>300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n">
        <f aca="false">IF(W13="CR",X13," ")</f>
        <v>300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W14" s="42"/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/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May!A2</f>
        <v>128565.73</v>
      </c>
      <c r="B1" s="8" t="s">
        <v>0</v>
      </c>
      <c r="C1" s="9" t="n">
        <f aca="false">[1]Admin!$B$25</f>
        <v>46539</v>
      </c>
      <c r="D1" s="10" t="s">
        <v>1</v>
      </c>
      <c r="E1" s="11" t="n">
        <f aca="false">F1-SUM(G1:Q1)</f>
        <v>0</v>
      </c>
      <c r="F1" s="12" t="n">
        <f aca="false">SUM(F6:F200)</f>
        <v>32800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32800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13292.2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4200</v>
      </c>
      <c r="AC1" s="12" t="n">
        <f aca="false">SUM(AC6:AC200)</f>
        <v>5652</v>
      </c>
      <c r="AD1" s="12" t="n">
        <f aca="false">SUM(AD6:AD200)</f>
        <v>167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1673.2</v>
      </c>
      <c r="AI1" s="12" t="n">
        <f aca="false">SUM(AI6:AI200)</f>
        <v>0</v>
      </c>
      <c r="AJ1" s="12" t="n">
        <f aca="false">SUM(AJ6:AJ200)</f>
        <v>600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1000</v>
      </c>
      <c r="AN1" s="12" t="n">
        <f aca="false">SUM(AN6:AN200)</f>
        <v>0</v>
      </c>
    </row>
    <row r="2" customFormat="false" ht="15.75" hidden="false" customHeight="true" outlineLevel="0" collapsed="false">
      <c r="A2" s="17" t="n">
        <f aca="false">A1+F1-X1</f>
        <v>148073.53</v>
      </c>
      <c r="B2" s="18" t="s">
        <v>2</v>
      </c>
      <c r="C2" s="9" t="n">
        <f aca="false">[1]Admin!$B$26</f>
        <v>46568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46568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148073.53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A6" s="1" t="n">
        <v>46193</v>
      </c>
      <c r="B6" s="2" t="s">
        <v>58</v>
      </c>
      <c r="E6" s="38" t="s">
        <v>43</v>
      </c>
      <c r="F6" s="6" t="n">
        <v>8000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n">
        <f aca="false">IF(E6="DR",F6," ")</f>
        <v>8000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46174</v>
      </c>
      <c r="T6" s="4" t="s">
        <v>59</v>
      </c>
      <c r="W6" s="40" t="s">
        <v>51</v>
      </c>
      <c r="X6" s="6" t="n">
        <v>1200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n">
        <f aca="false">IF(W6="CR",X6," ")</f>
        <v>1200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46198</v>
      </c>
      <c r="B7" s="2" t="s">
        <v>63</v>
      </c>
      <c r="E7" s="5" t="s">
        <v>43</v>
      </c>
      <c r="F7" s="6" t="n">
        <v>2400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2400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46174</v>
      </c>
      <c r="T7" s="4" t="s">
        <v>61</v>
      </c>
      <c r="W7" s="42" t="s">
        <v>49</v>
      </c>
      <c r="X7" s="6" t="n">
        <v>1000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n">
        <f aca="false">IF(W7="DL",X7," ")</f>
        <v>1000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46201</v>
      </c>
      <c r="B8" s="2" t="s">
        <v>67</v>
      </c>
      <c r="E8" s="5" t="s">
        <v>43</v>
      </c>
      <c r="F8" s="6" t="n">
        <v>22400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22400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46178</v>
      </c>
      <c r="T8" s="4" t="s">
        <v>62</v>
      </c>
      <c r="W8" s="42" t="s">
        <v>51</v>
      </c>
      <c r="X8" s="6" t="n">
        <v>2700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n">
        <f aca="false">IF(W8="CR",X8," ")</f>
        <v>2700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46192</v>
      </c>
      <c r="T9" s="4" t="s">
        <v>64</v>
      </c>
      <c r="W9" s="42" t="s">
        <v>55</v>
      </c>
      <c r="X9" s="6" t="n">
        <v>1673.2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n">
        <f aca="false">IF(W9="RP",X9," ")</f>
        <v>1673.2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46192</v>
      </c>
      <c r="T10" s="4" t="s">
        <v>64</v>
      </c>
      <c r="W10" s="42" t="s">
        <v>48</v>
      </c>
      <c r="X10" s="6" t="n">
        <v>600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n">
        <f aca="false">IF(W10="RC",X10," ")</f>
        <v>600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46201</v>
      </c>
      <c r="T11" s="4" t="s">
        <v>66</v>
      </c>
      <c r="W11" s="42" t="s">
        <v>52</v>
      </c>
      <c r="X11" s="6" t="n">
        <v>5652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n">
        <f aca="false">IF(W11="W",X11," ")</f>
        <v>5652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46203</v>
      </c>
      <c r="T12" s="4" t="s">
        <v>71</v>
      </c>
      <c r="W12" s="42" t="s">
        <v>53</v>
      </c>
      <c r="X12" s="6" t="n">
        <v>167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n">
        <f aca="false">IF(W12="B",X12," ")</f>
        <v>167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S13" s="1" t="n">
        <v>46203</v>
      </c>
      <c r="T13" s="4" t="s">
        <v>68</v>
      </c>
      <c r="W13" s="42" t="s">
        <v>51</v>
      </c>
      <c r="X13" s="6" t="n">
        <v>300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n">
        <f aca="false">IF(W13="CR",X13," ")</f>
        <v>300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W14" s="42"/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/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Jun!A2</f>
        <v>148073.53</v>
      </c>
      <c r="B1" s="8" t="s">
        <v>0</v>
      </c>
      <c r="C1" s="9" t="n">
        <f aca="false">[1]Admin!$B$27</f>
        <v>46569</v>
      </c>
      <c r="D1" s="10" t="s">
        <v>1</v>
      </c>
      <c r="E1" s="11" t="n">
        <f aca="false">F1-SUM(G1:Q1)</f>
        <v>0</v>
      </c>
      <c r="F1" s="12" t="n">
        <f aca="false">SUM(F6:F200)</f>
        <v>40440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35440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5000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15625.2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4000</v>
      </c>
      <c r="AC1" s="12" t="n">
        <f aca="false">SUM(AC6:AC200)</f>
        <v>5652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1673.2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3000</v>
      </c>
      <c r="AM1" s="12" t="n">
        <f aca="false">SUM(AM6:AM200)</f>
        <v>1000</v>
      </c>
      <c r="AN1" s="12" t="n">
        <f aca="false">SUM(AN6:AN200)</f>
        <v>300</v>
      </c>
    </row>
    <row r="2" customFormat="false" ht="15" hidden="false" customHeight="true" outlineLevel="0" collapsed="false">
      <c r="A2" s="17" t="n">
        <f aca="false">A1+F1-X1</f>
        <v>172888.33</v>
      </c>
      <c r="B2" s="18" t="s">
        <v>2</v>
      </c>
      <c r="C2" s="9" t="n">
        <f aca="false">[1]Admin!$B$28</f>
        <v>46599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46599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172888.33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A6" s="1" t="n">
        <v>46218</v>
      </c>
      <c r="B6" s="2" t="s">
        <v>77</v>
      </c>
      <c r="E6" s="38" t="s">
        <v>49</v>
      </c>
      <c r="F6" s="6" t="n">
        <v>5000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n">
        <f aca="false">IF(E6="DL",F6," ")</f>
        <v>5000</v>
      </c>
      <c r="Q6" s="6" t="str">
        <f aca="false">IF(E6="X",F6," ")</f>
        <v> </v>
      </c>
      <c r="R6" s="39"/>
      <c r="S6" s="1" t="n">
        <v>46204</v>
      </c>
      <c r="T6" s="4" t="s">
        <v>59</v>
      </c>
      <c r="W6" s="40" t="s">
        <v>51</v>
      </c>
      <c r="X6" s="6" t="n">
        <v>1200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n">
        <f aca="false">IF(W6="CR",X6," ")</f>
        <v>1200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46223</v>
      </c>
      <c r="B7" s="2" t="s">
        <v>58</v>
      </c>
      <c r="E7" s="5" t="s">
        <v>43</v>
      </c>
      <c r="F7" s="6" t="n">
        <v>8000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8000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46204</v>
      </c>
      <c r="T7" s="4" t="s">
        <v>61</v>
      </c>
      <c r="W7" s="42" t="s">
        <v>49</v>
      </c>
      <c r="X7" s="6" t="n">
        <v>1000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n">
        <f aca="false">IF(W7="DL",X7," ")</f>
        <v>1000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46228</v>
      </c>
      <c r="B8" s="2" t="s">
        <v>63</v>
      </c>
      <c r="E8" s="5" t="s">
        <v>43</v>
      </c>
      <c r="F8" s="6" t="n">
        <v>2400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2400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46208</v>
      </c>
      <c r="T8" s="4" t="s">
        <v>62</v>
      </c>
      <c r="W8" s="42" t="s">
        <v>51</v>
      </c>
      <c r="X8" s="6" t="n">
        <v>2500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n">
        <f aca="false">IF(W8="CR",X8," ")</f>
        <v>2500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A9" s="1" t="n">
        <v>46231</v>
      </c>
      <c r="B9" s="2" t="s">
        <v>67</v>
      </c>
      <c r="E9" s="5" t="s">
        <v>43</v>
      </c>
      <c r="F9" s="6" t="n">
        <v>25040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n">
        <f aca="false">IF(E9="DR",F9," ")</f>
        <v>25040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46218</v>
      </c>
      <c r="T9" s="4" t="s">
        <v>73</v>
      </c>
      <c r="W9" s="42" t="s">
        <v>57</v>
      </c>
      <c r="X9" s="6" t="n">
        <v>3000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n">
        <f aca="false">IF(W9="DV",X9," ")</f>
        <v>3000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46222</v>
      </c>
      <c r="T10" s="4" t="s">
        <v>64</v>
      </c>
      <c r="W10" s="42" t="s">
        <v>55</v>
      </c>
      <c r="X10" s="6" t="n">
        <v>1673.2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n">
        <f aca="false">IF(W10="RP",X10," ")</f>
        <v>1673.2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46231</v>
      </c>
      <c r="T11" s="4" t="s">
        <v>66</v>
      </c>
      <c r="W11" s="42" t="s">
        <v>52</v>
      </c>
      <c r="X11" s="6" t="n">
        <v>5652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n">
        <f aca="false">IF(W11="W",X11," ")</f>
        <v>5652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46234</v>
      </c>
      <c r="T12" s="4" t="s">
        <v>68</v>
      </c>
      <c r="W12" s="42" t="s">
        <v>51</v>
      </c>
      <c r="X12" s="6" t="n">
        <v>300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n">
        <f aca="false">IF(W12="CR",X12," ")</f>
        <v>300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S13" s="1" t="n">
        <v>46234</v>
      </c>
      <c r="T13" s="4" t="s">
        <v>69</v>
      </c>
      <c r="W13" s="42" t="s">
        <v>50</v>
      </c>
      <c r="X13" s="6" t="n">
        <v>300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n">
        <f aca="false">IF(W13="X",X13," ")</f>
        <v>300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W14" s="42"/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/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Jul!A2</f>
        <v>172888.33</v>
      </c>
      <c r="B1" s="8" t="s">
        <v>0</v>
      </c>
      <c r="C1" s="9" t="n">
        <f aca="false">[1]Admin!$B$29</f>
        <v>46600</v>
      </c>
      <c r="D1" s="10" t="s">
        <v>1</v>
      </c>
      <c r="E1" s="11" t="n">
        <f aca="false">F1-SUM(G1:Q1)</f>
        <v>0</v>
      </c>
      <c r="F1" s="12" t="n">
        <f aca="false">SUM(F6:F200)</f>
        <v>34360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34360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23642.7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4400</v>
      </c>
      <c r="AC1" s="12" t="n">
        <f aca="false">SUM(AC6:AC200)</f>
        <v>5652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12590.7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1000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183605.63</v>
      </c>
      <c r="B2" s="18" t="s">
        <v>2</v>
      </c>
      <c r="C2" s="9" t="n">
        <f aca="false">[1]Admin!$B$30</f>
        <v>46630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46630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183605.63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A6" s="1" t="n">
        <v>46254</v>
      </c>
      <c r="B6" s="2" t="s">
        <v>58</v>
      </c>
      <c r="E6" s="38" t="s">
        <v>43</v>
      </c>
      <c r="F6" s="6" t="n">
        <v>8000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n">
        <f aca="false">IF(E6="DR",F6," ")</f>
        <v>8000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46241</v>
      </c>
      <c r="T6" s="4" t="s">
        <v>64</v>
      </c>
      <c r="W6" s="40" t="s">
        <v>55</v>
      </c>
      <c r="X6" s="6" t="n">
        <v>10917.5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n">
        <f aca="false">IF(W6="RP",X6," ")</f>
        <v>10917.5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46259</v>
      </c>
      <c r="B7" s="2" t="s">
        <v>63</v>
      </c>
      <c r="E7" s="5" t="s">
        <v>43</v>
      </c>
      <c r="F7" s="6" t="n">
        <v>2400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2400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46235</v>
      </c>
      <c r="T7" s="4" t="s">
        <v>59</v>
      </c>
      <c r="W7" s="42" t="s">
        <v>51</v>
      </c>
      <c r="X7" s="6" t="n">
        <v>1200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n">
        <f aca="false">IF(W7="CR",X7," ")</f>
        <v>1200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46262</v>
      </c>
      <c r="B8" s="2" t="s">
        <v>67</v>
      </c>
      <c r="E8" s="5" t="s">
        <v>43</v>
      </c>
      <c r="F8" s="6" t="n">
        <v>23960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23960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46235</v>
      </c>
      <c r="T8" s="4" t="s">
        <v>61</v>
      </c>
      <c r="W8" s="42" t="s">
        <v>49</v>
      </c>
      <c r="X8" s="6" t="n">
        <v>1000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n">
        <f aca="false">IF(W8="DL",X8," ")</f>
        <v>1000</v>
      </c>
      <c r="AN8" s="6" t="str">
        <f aca="false">IF(W8="X",X8," ")</f>
        <v> </v>
      </c>
    </row>
    <row r="9" customFormat="false" ht="12.75" hidden="false" customHeight="false" outlineLevel="0" collapsed="false"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46239</v>
      </c>
      <c r="T9" s="4" t="s">
        <v>62</v>
      </c>
      <c r="W9" s="42" t="s">
        <v>51</v>
      </c>
      <c r="X9" s="6" t="n">
        <v>2900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n">
        <f aca="false">IF(W9="CR",X9," ")</f>
        <v>2900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46253</v>
      </c>
      <c r="T10" s="4" t="s">
        <v>64</v>
      </c>
      <c r="W10" s="42" t="s">
        <v>55</v>
      </c>
      <c r="X10" s="6" t="n">
        <v>1673.2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n">
        <f aca="false">IF(W10="RP",X10," ")</f>
        <v>1673.2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46262</v>
      </c>
      <c r="T11" s="4" t="s">
        <v>68</v>
      </c>
      <c r="W11" s="42" t="s">
        <v>51</v>
      </c>
      <c r="X11" s="6" t="n">
        <v>300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n">
        <f aca="false">IF(W11="CR",X11," ")</f>
        <v>300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46262</v>
      </c>
      <c r="T12" s="4" t="s">
        <v>66</v>
      </c>
      <c r="W12" s="42" t="s">
        <v>52</v>
      </c>
      <c r="X12" s="6" t="n">
        <v>5652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n">
        <f aca="false">IF(W12="W",X12," ")</f>
        <v>5652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W13" s="42"/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W14" s="42"/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/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of  &amp;N&amp;R&amp;F  &amp;A</oddFooter>
  </headerFooter>
  <colBreaks count="1" manualBreakCount="1">
    <brk id="17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Aug!A2</f>
        <v>183605.63</v>
      </c>
      <c r="B1" s="8" t="s">
        <v>0</v>
      </c>
      <c r="C1" s="9" t="n">
        <f aca="false">[1]Admin!$B$31</f>
        <v>46631</v>
      </c>
      <c r="D1" s="10" t="s">
        <v>1</v>
      </c>
      <c r="E1" s="11" t="n">
        <f aca="false">F1-SUM(G1:Q1)</f>
        <v>0</v>
      </c>
      <c r="F1" s="12" t="n">
        <f aca="false">SUM(F6:F200)</f>
        <v>20960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20960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23250.2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3800</v>
      </c>
      <c r="AC1" s="12" t="n">
        <f aca="false">SUM(AC6:AC200)</f>
        <v>5652</v>
      </c>
      <c r="AD1" s="12" t="n">
        <f aca="false">SUM(AD6:AD200)</f>
        <v>125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1673.2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6000</v>
      </c>
      <c r="AM1" s="12" t="n">
        <f aca="false">SUM(AM6:AM200)</f>
        <v>1000</v>
      </c>
      <c r="AN1" s="12" t="n">
        <f aca="false">SUM(AN6:AN200)</f>
        <v>5000</v>
      </c>
    </row>
    <row r="2" customFormat="false" ht="15" hidden="false" customHeight="true" outlineLevel="0" collapsed="false">
      <c r="A2" s="17" t="n">
        <f aca="false">A1+F1-X1</f>
        <v>181315.43</v>
      </c>
      <c r="B2" s="18" t="s">
        <v>2</v>
      </c>
      <c r="C2" s="9" t="n">
        <f aca="false">[1]Admin!$B$32</f>
        <v>46660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46660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181315.43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A6" s="1" t="n">
        <v>46285</v>
      </c>
      <c r="B6" s="2" t="s">
        <v>58</v>
      </c>
      <c r="E6" s="38" t="s">
        <v>43</v>
      </c>
      <c r="F6" s="6" t="n">
        <v>8000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n">
        <f aca="false">IF(E6="DR",F6," ")</f>
        <v>8000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46266</v>
      </c>
      <c r="T6" s="4" t="s">
        <v>59</v>
      </c>
      <c r="W6" s="40" t="s">
        <v>51</v>
      </c>
      <c r="X6" s="6" t="n">
        <v>1200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n">
        <f aca="false">IF(W6="CR",X6," ")</f>
        <v>1200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46290</v>
      </c>
      <c r="B7" s="2" t="s">
        <v>63</v>
      </c>
      <c r="E7" s="5" t="s">
        <v>43</v>
      </c>
      <c r="F7" s="6" t="n">
        <v>2400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2400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46266</v>
      </c>
      <c r="T7" s="4" t="s">
        <v>61</v>
      </c>
      <c r="W7" s="42" t="s">
        <v>49</v>
      </c>
      <c r="X7" s="6" t="n">
        <v>1000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n">
        <f aca="false">IF(W7="DL",X7," ")</f>
        <v>1000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46293</v>
      </c>
      <c r="B8" s="2" t="s">
        <v>67</v>
      </c>
      <c r="E8" s="5" t="s">
        <v>43</v>
      </c>
      <c r="F8" s="6" t="n">
        <v>10560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10560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46270</v>
      </c>
      <c r="T8" s="4" t="s">
        <v>62</v>
      </c>
      <c r="W8" s="42" t="s">
        <v>51</v>
      </c>
      <c r="X8" s="6" t="n">
        <v>2300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n">
        <f aca="false">IF(W8="CR",X8," ")</f>
        <v>2300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46280</v>
      </c>
      <c r="T9" s="4" t="s">
        <v>78</v>
      </c>
      <c r="W9" s="42" t="s">
        <v>50</v>
      </c>
      <c r="X9" s="6" t="n">
        <v>5000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n">
        <f aca="false">IF(W9="X",X9," ")</f>
        <v>5000</v>
      </c>
    </row>
    <row r="10" customFormat="false" ht="12.75" hidden="false" customHeight="false" outlineLevel="0" collapsed="false"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46284</v>
      </c>
      <c r="T10" s="4" t="s">
        <v>64</v>
      </c>
      <c r="W10" s="42" t="s">
        <v>55</v>
      </c>
      <c r="X10" s="6" t="n">
        <v>1673.2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n">
        <f aca="false">IF(W10="RP",X10," ")</f>
        <v>1673.2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46293</v>
      </c>
      <c r="T11" s="4" t="s">
        <v>66</v>
      </c>
      <c r="W11" s="42" t="s">
        <v>52</v>
      </c>
      <c r="X11" s="6" t="n">
        <v>5652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n">
        <f aca="false">IF(W11="W",X11," ")</f>
        <v>5652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46295</v>
      </c>
      <c r="T12" s="4" t="s">
        <v>71</v>
      </c>
      <c r="W12" s="42" t="s">
        <v>53</v>
      </c>
      <c r="X12" s="6" t="n">
        <v>125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n">
        <f aca="false">IF(W12="B",X12," ")</f>
        <v>125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S13" s="1" t="n">
        <v>46295</v>
      </c>
      <c r="T13" s="4" t="s">
        <v>68</v>
      </c>
      <c r="W13" s="42" t="s">
        <v>51</v>
      </c>
      <c r="X13" s="6" t="n">
        <v>300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n">
        <f aca="false">IF(W13="CR",X13," ")</f>
        <v>300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S14" s="1" t="n">
        <v>46295</v>
      </c>
      <c r="T14" s="4" t="s">
        <v>73</v>
      </c>
      <c r="W14" s="42" t="s">
        <v>57</v>
      </c>
      <c r="X14" s="6" t="n">
        <v>6000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n">
        <f aca="false">IF(W14="DV",X14," ")</f>
        <v>6000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/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2006-07-04T12:07:29Z</dcterms:created>
  <dc:creator>Terry</dc:creator>
  <dc:description/>
  <dc:language>en-US</dc:language>
  <cp:lastModifiedBy>Cartwright, Antony</cp:lastModifiedBy>
  <cp:lastPrinted>2007-03-03T16:28:32Z</cp:lastPrinted>
  <dcterms:modified xsi:type="dcterms:W3CDTF">2025-04-03T23:05:12Z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