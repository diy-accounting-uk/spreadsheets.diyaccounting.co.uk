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l" sheetId="1" state="visible" r:id="rId3"/>
    <sheet name="Aug" sheetId="2" state="visible" r:id="rId4"/>
    <sheet name="Sep" sheetId="3" state="visible" r:id="rId5"/>
    <sheet name="Oct" sheetId="4" state="visible" r:id="rId6"/>
    <sheet name="Nov" sheetId="5" state="visible" r:id="rId7"/>
    <sheet name="Dec" sheetId="6" state="visible" r:id="rId8"/>
    <sheet name="Jan" sheetId="7" state="visible" r:id="rId9"/>
    <sheet name="Feb" sheetId="8" state="visible" r:id="rId10"/>
    <sheet name="Mar" sheetId="9" state="visible" r:id="rId11"/>
    <sheet name="Apr" sheetId="10" state="visible" r:id="rId12"/>
    <sheet name="May" sheetId="11" state="visible" r:id="rId13"/>
    <sheet name="Jun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<sst xmlns="http://schemas.openxmlformats.org/spreadsheetml/2006/main" count="1149" uniqueCount="78">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</sst>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[1]Admin!$B$9</f>
        <v>45748</v>
      </c>
      <c r="D1" s="9" t="s">
        <v>0</v>
      </c>
      <c r="E1" s="10" t="n">
        <f aca="false">F1-SUM(G1:Q1)</f>
        <v>-132727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24400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137927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54600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54600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45839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45857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45839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45866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45843</v>
      </c>
      <c r="B8" s="2" t="s">
        <v>61</v>
      </c>
      <c r="E8" s="5" t="s">
        <v>50</v>
      </c>
      <c r="F8" s="6" t="n">
        <v>2200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46204</v>
      </c>
      <c r="Q8" s="6" t="s">
        <v>58</v>
      </c>
      <c r="R8" s="40"/>
      <c r="S8" s="1" t="s">
        <v>54</v>
      </c>
      <c r="T8" s="4" t="n">
        <v>2800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45848</v>
      </c>
      <c r="B9" s="2" t="s">
        <v>62</v>
      </c>
      <c r="E9" s="5" t="s">
        <v>42</v>
      </c>
      <c r="F9" s="6" t="n">
        <v>7200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7200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45853</v>
      </c>
      <c r="B10" s="2" t="s">
        <v>63</v>
      </c>
      <c r="E10" s="5" t="s">
        <v>42</v>
      </c>
      <c r="F10" s="6" t="n">
        <v>1200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1200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45858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45863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45863</v>
      </c>
      <c r="B13" s="2" t="s">
        <v>65</v>
      </c>
      <c r="E13" s="5" t="s">
        <v>42</v>
      </c>
      <c r="F13" s="6" t="n">
        <v>2400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2400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45866</v>
      </c>
      <c r="B14" s="2" t="s">
        <v>66</v>
      </c>
      <c r="E14" s="5" t="s">
        <v>42</v>
      </c>
      <c r="F14" s="6" t="n">
        <v>3200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n">
        <f aca="false">IF(E14="DR",F14," ")</f>
        <v>3200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45868</v>
      </c>
      <c r="B15" s="2" t="s">
        <v>67</v>
      </c>
      <c r="E15" s="5" t="s">
        <v>50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A16" s="1" t="n">
        <v>45868</v>
      </c>
      <c r="B16" s="2" t="s">
        <v>68</v>
      </c>
      <c r="E16" s="5" t="s">
        <v>49</v>
      </c>
      <c r="F16" s="6" t="n">
        <v>500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Jul!A2</f>
        <v>54600</v>
      </c>
      <c r="B1" s="51" t="s">
        <v>69</v>
      </c>
      <c r="C1" s="8" t="n">
        <f aca="false">[1]Admin!$B$11</f>
        <v>45778</v>
      </c>
      <c r="D1" s="9" t="s">
        <v>0</v>
      </c>
      <c r="E1" s="10" t="n">
        <f aca="false">F1-SUM(G1:Q1)</f>
        <v>-132379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137679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74100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74100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45870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45888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45870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45894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45874</v>
      </c>
      <c r="B8" s="2" t="s">
        <v>61</v>
      </c>
      <c r="E8" s="5" t="s">
        <v>50</v>
      </c>
      <c r="F8" s="6" t="n">
        <v>2800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45897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45889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45894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45897</v>
      </c>
      <c r="B11" s="2" t="s">
        <v>66</v>
      </c>
      <c r="E11" s="5" t="s">
        <v>42</v>
      </c>
      <c r="F11" s="6" t="n">
        <v>3800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3800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45900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Aug!A2</f>
        <v>74100</v>
      </c>
      <c r="B1" s="51" t="s">
        <v>69</v>
      </c>
      <c r="C1" s="8" t="n">
        <f aca="false">[1]Admin!$B$13</f>
        <v>45809</v>
      </c>
      <c r="D1" s="9" t="s">
        <v>0</v>
      </c>
      <c r="E1" s="10" t="n">
        <f aca="false">F1-SUM(G1:Q1)</f>
        <v>-132777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137777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94000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94000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45901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45919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45901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45928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45905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45930</v>
      </c>
      <c r="Q8" s="6" t="s">
        <v>71</v>
      </c>
      <c r="R8" s="40"/>
      <c r="S8" s="1" t="s">
        <v>52</v>
      </c>
      <c r="T8" s="4" t="n">
        <v>250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45920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45925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45928</v>
      </c>
      <c r="B11" s="2" t="s">
        <v>66</v>
      </c>
      <c r="E11" s="5" t="s">
        <v>42</v>
      </c>
      <c r="F11" s="6" t="n">
        <v>4500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45930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Sep!A2</f>
        <v>94000</v>
      </c>
      <c r="B1" s="51" t="s">
        <v>69</v>
      </c>
      <c r="C1" s="8" t="n">
        <f aca="false">[1]Admin!$B$15</f>
        <v>45839</v>
      </c>
      <c r="D1" s="9" t="s">
        <v>0</v>
      </c>
      <c r="E1" s="10" t="n">
        <f aca="false">F1-SUM(G1:Q1)</f>
        <v>-224638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14000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229738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113100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113100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45931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45937</v>
      </c>
      <c r="Q6" s="6" t="s">
        <v>58</v>
      </c>
      <c r="R6" s="38"/>
      <c r="S6" s="1" t="s">
        <v>54</v>
      </c>
      <c r="T6" s="4" t="n">
        <v>3800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45931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45945</v>
      </c>
      <c r="Q7" s="6" t="s">
        <v>72</v>
      </c>
      <c r="R7" s="40"/>
      <c r="S7" s="1" t="s">
        <v>56</v>
      </c>
      <c r="T7" s="4" t="n">
        <v>3000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45935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45949</v>
      </c>
      <c r="Q8" s="6" t="s">
        <v>58</v>
      </c>
      <c r="R8" s="40"/>
      <c r="S8" s="1" t="s">
        <v>54</v>
      </c>
      <c r="T8" s="4" t="n">
        <v>1501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45950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45949</v>
      </c>
      <c r="Q9" s="6" t="s">
        <v>58</v>
      </c>
      <c r="R9" s="40"/>
      <c r="S9" s="1" t="s">
        <v>54</v>
      </c>
      <c r="T9" s="4" t="n">
        <v>1000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45955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45958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45958</v>
      </c>
      <c r="B11" s="2" t="s">
        <v>66</v>
      </c>
      <c r="E11" s="5" t="s">
        <v>42</v>
      </c>
      <c r="F11" s="6" t="n">
        <v>3600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3600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45961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45961</v>
      </c>
      <c r="B13" s="2" t="s">
        <v>68</v>
      </c>
      <c r="E13" s="5" t="s">
        <v>49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Oct!A2</f>
        <v>113100</v>
      </c>
      <c r="B1" s="51" t="s">
        <v>69</v>
      </c>
      <c r="C1" s="8" t="n">
        <f aca="false">[1]Admin!$B$17</f>
        <v>45870</v>
      </c>
      <c r="D1" s="9" t="s">
        <v>0</v>
      </c>
      <c r="E1" s="10" t="n">
        <f aca="false">F1-SUM(G1:Q1)</f>
        <v>-86869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14600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2500</v>
      </c>
      <c r="O1" s="11" t="n">
        <f aca="false">SUM(O6:O200)</f>
        <v>0</v>
      </c>
      <c r="P1" s="11" t="n">
        <f aca="false">SUM(P6:P200)</f>
        <v>91969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135300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135300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45962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45980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45962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45989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45966</v>
      </c>
      <c r="B8" s="2" t="s">
        <v>61</v>
      </c>
      <c r="E8" s="5" t="s">
        <v>50</v>
      </c>
      <c r="F8" s="6" t="n">
        <v>2600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45966</v>
      </c>
      <c r="B9" s="2" t="s">
        <v>73</v>
      </c>
      <c r="E9" s="5" t="s">
        <v>46</v>
      </c>
      <c r="F9" s="6" t="n">
        <v>2500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2500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45981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45986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45989</v>
      </c>
      <c r="B12" s="2" t="s">
        <v>66</v>
      </c>
      <c r="E12" s="5" t="s">
        <v>42</v>
      </c>
      <c r="F12" s="6" t="n">
        <v>4200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4200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45992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Nov!A2</f>
        <v>135300</v>
      </c>
      <c r="B1" s="51" t="s">
        <v>69</v>
      </c>
      <c r="C1" s="8" t="n">
        <f aca="false">[1]Admin!$B$19</f>
        <v>45901</v>
      </c>
      <c r="D1" s="9" t="s">
        <v>0</v>
      </c>
      <c r="E1" s="10" t="n">
        <f aca="false">F1-SUM(G1:Q1)</f>
        <v>-133450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138050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153300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153300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45992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46010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45992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46019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45996</v>
      </c>
      <c r="B8" s="2" t="s">
        <v>61</v>
      </c>
      <c r="E8" s="5" t="s">
        <v>50</v>
      </c>
      <c r="F8" s="6" t="n">
        <v>2100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46021</v>
      </c>
      <c r="Q8" s="6" t="s">
        <v>71</v>
      </c>
      <c r="R8" s="40"/>
      <c r="S8" s="1" t="s">
        <v>52</v>
      </c>
      <c r="T8" s="4" t="n">
        <v>208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46011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46016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46019</v>
      </c>
      <c r="B11" s="2" t="s">
        <v>66</v>
      </c>
      <c r="E11" s="5" t="s">
        <v>42</v>
      </c>
      <c r="F11" s="6" t="n">
        <v>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46021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Dec!A2</f>
        <v>153300</v>
      </c>
      <c r="B1" s="51" t="s">
        <v>69</v>
      </c>
      <c r="C1" s="8" t="n">
        <f aca="false">[1]Admin!$B$21</f>
        <v>45931</v>
      </c>
      <c r="D1" s="9" t="s">
        <v>0</v>
      </c>
      <c r="E1" s="10" t="n">
        <f aca="false">F1-SUM(G1:Q1)</f>
        <v>-188180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30400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230180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225700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225700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46023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46023</v>
      </c>
      <c r="Q6" s="6" t="s">
        <v>58</v>
      </c>
      <c r="R6" s="38"/>
      <c r="S6" s="1" t="s">
        <v>54</v>
      </c>
      <c r="T6" s="4" t="n">
        <v>4500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46023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46029</v>
      </c>
      <c r="Q7" s="6" t="s">
        <v>58</v>
      </c>
      <c r="R7" s="40"/>
      <c r="S7" s="1" t="s">
        <v>54</v>
      </c>
      <c r="T7" s="4" t="n">
        <v>3200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46027</v>
      </c>
      <c r="B8" s="2" t="s">
        <v>61</v>
      </c>
      <c r="E8" s="5" t="s">
        <v>50</v>
      </c>
      <c r="F8" s="6" t="n">
        <v>3000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46037</v>
      </c>
      <c r="Q8" s="6" t="s">
        <v>72</v>
      </c>
      <c r="R8" s="40"/>
      <c r="S8" s="1" t="s">
        <v>56</v>
      </c>
      <c r="T8" s="4" t="n">
        <v>3000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46037</v>
      </c>
      <c r="B9" s="2" t="s">
        <v>74</v>
      </c>
      <c r="E9" s="5" t="s">
        <v>42</v>
      </c>
      <c r="F9" s="6" t="n">
        <v>15000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15000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46041</v>
      </c>
      <c r="Q9" s="6" t="s">
        <v>58</v>
      </c>
      <c r="R9" s="40"/>
      <c r="S9" s="1" t="s">
        <v>54</v>
      </c>
      <c r="T9" s="4" t="n">
        <v>1501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46042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46050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46047</v>
      </c>
      <c r="B11" s="2" t="s">
        <v>75</v>
      </c>
      <c r="E11" s="5" t="s">
        <v>50</v>
      </c>
      <c r="F11" s="6" t="n">
        <v>36000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46047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46050</v>
      </c>
      <c r="B13" s="2" t="s">
        <v>66</v>
      </c>
      <c r="E13" s="5" t="s">
        <v>42</v>
      </c>
      <c r="F13" s="6" t="n">
        <v>5000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5000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46053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46053</v>
      </c>
      <c r="B15" s="2" t="s">
        <v>68</v>
      </c>
      <c r="E15" s="5" t="s">
        <v>49</v>
      </c>
      <c r="F15" s="6" t="n">
        <v>500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Jan!A2</f>
        <v>225700</v>
      </c>
      <c r="B1" s="51" t="s">
        <v>69</v>
      </c>
      <c r="C1" s="8" t="n">
        <f aca="false">[1]Admin!$B$23</f>
        <v>45962</v>
      </c>
      <c r="D1" s="9" t="s">
        <v>0</v>
      </c>
      <c r="E1" s="10" t="n">
        <f aca="false">F1-SUM(G1:Q1)</f>
        <v>-133331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14500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138231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245100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245100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46054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46072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46054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46078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46058</v>
      </c>
      <c r="B8" s="2" t="s">
        <v>61</v>
      </c>
      <c r="E8" s="5" t="s">
        <v>50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46081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46073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46078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46081</v>
      </c>
      <c r="B11" s="2" t="s">
        <v>66</v>
      </c>
      <c r="E11" s="5" t="s">
        <v>42</v>
      </c>
      <c r="F11" s="6" t="n">
        <v>4100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4100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46083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Feb!A2</f>
        <v>245100</v>
      </c>
      <c r="B1" s="51" t="s">
        <v>69</v>
      </c>
      <c r="C1" s="8" t="n">
        <f aca="false">[1]Admin!$B$25</f>
        <v>45992</v>
      </c>
      <c r="D1" s="9" t="s">
        <v>0</v>
      </c>
      <c r="E1" s="10" t="n">
        <f aca="false">F1-SUM(G1:Q1)</f>
        <v>-179221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184421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.75" hidden="false" customHeight="true" outlineLevel="0" collapsed="false">
      <c r="A2" s="16" t="n">
        <f aca="false">A1+F1-X1</f>
        <v>264200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264200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46082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46100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46082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46100</v>
      </c>
      <c r="Q7" s="6" t="s">
        <v>58</v>
      </c>
      <c r="R7" s="40"/>
      <c r="S7" s="1" t="s">
        <v>54</v>
      </c>
      <c r="T7" s="4" t="n">
        <v>600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46086</v>
      </c>
      <c r="B8" s="2" t="s">
        <v>61</v>
      </c>
      <c r="E8" s="5" t="s">
        <v>50</v>
      </c>
      <c r="F8" s="6" t="n">
        <v>2700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46109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46101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46112</v>
      </c>
      <c r="Q9" s="6" t="s">
        <v>71</v>
      </c>
      <c r="R9" s="40"/>
      <c r="S9" s="1" t="s">
        <v>52</v>
      </c>
      <c r="T9" s="4" t="n">
        <v>167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46106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46109</v>
      </c>
      <c r="B11" s="2" t="s">
        <v>66</v>
      </c>
      <c r="E11" s="5" t="s">
        <v>42</v>
      </c>
      <c r="F11" s="6" t="n">
        <v>3500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46112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Mar!A2</f>
        <v>264200</v>
      </c>
      <c r="B1" s="51" t="s">
        <v>69</v>
      </c>
      <c r="C1" s="8" t="n">
        <f aca="false">[1]Admin!$B$27</f>
        <v>46023</v>
      </c>
      <c r="D1" s="9" t="s">
        <v>0</v>
      </c>
      <c r="E1" s="10" t="n">
        <f aca="false">F1-SUM(G1:Q1)</f>
        <v>-128098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15200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1500</v>
      </c>
      <c r="O1" s="11" t="n">
        <f aca="false">SUM(O6:O200)</f>
        <v>0</v>
      </c>
      <c r="P1" s="11" t="n">
        <f aca="false">SUM(P6:P200)</f>
        <v>138398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291200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291200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46113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46127</v>
      </c>
      <c r="Q6" s="6" t="s">
        <v>72</v>
      </c>
      <c r="R6" s="38"/>
      <c r="S6" s="1" t="s">
        <v>56</v>
      </c>
      <c r="T6" s="4" t="n">
        <v>3000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46113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46131</v>
      </c>
      <c r="Q7" s="6" t="s">
        <v>58</v>
      </c>
      <c r="R7" s="40"/>
      <c r="S7" s="1" t="s">
        <v>54</v>
      </c>
      <c r="T7" s="4" t="n">
        <v>1501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46117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46140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46119</v>
      </c>
      <c r="B9" s="2" t="s">
        <v>58</v>
      </c>
      <c r="E9" s="5" t="s">
        <v>46</v>
      </c>
      <c r="F9" s="6" t="n">
        <v>1500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1500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46127</v>
      </c>
      <c r="B10" s="2" t="s">
        <v>76</v>
      </c>
      <c r="E10" s="5" t="s">
        <v>48</v>
      </c>
      <c r="F10" s="6" t="n">
        <v>5000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46132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46137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46140</v>
      </c>
      <c r="B13" s="2" t="s">
        <v>66</v>
      </c>
      <c r="E13" s="5" t="s">
        <v>42</v>
      </c>
      <c r="F13" s="6" t="n">
        <v>4800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4800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46143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46143</v>
      </c>
      <c r="B15" s="2" t="s">
        <v>68</v>
      </c>
      <c r="E15" s="5" t="s">
        <v>49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Apr!A2</f>
        <v>291200</v>
      </c>
      <c r="B1" s="51" t="s">
        <v>69</v>
      </c>
      <c r="C1" s="8" t="n">
        <f aca="false">[1]Admin!$B$29</f>
        <v>46054</v>
      </c>
      <c r="D1" s="9" t="s">
        <v>0</v>
      </c>
      <c r="E1" s="10" t="n">
        <f aca="false">F1-SUM(G1:Q1)</f>
        <v>-86931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14300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92331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310900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310900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46143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46161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46143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46170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46147</v>
      </c>
      <c r="B8" s="2" t="s">
        <v>61</v>
      </c>
      <c r="E8" s="5" t="s">
        <v>50</v>
      </c>
      <c r="F8" s="6" t="n">
        <v>2900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46162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46167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46170</v>
      </c>
      <c r="B11" s="2" t="s">
        <v>67</v>
      </c>
      <c r="E11" s="5" t="s">
        <v>50</v>
      </c>
      <c r="F11" s="6" t="n">
        <v>300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46170</v>
      </c>
      <c r="B12" s="2" t="s">
        <v>66</v>
      </c>
      <c r="E12" s="5" t="s">
        <v>42</v>
      </c>
      <c r="F12" s="6" t="n">
        <v>3900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3900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May!A2</f>
        <v>310900</v>
      </c>
      <c r="B1" s="51" t="s">
        <v>69</v>
      </c>
      <c r="C1" s="8" t="n">
        <f aca="false">[1]Admin!$B$31</f>
        <v>46082</v>
      </c>
      <c r="D1" s="9" t="s">
        <v>0</v>
      </c>
      <c r="E1" s="10" t="n">
        <f aca="false">F1-SUM(G1:Q1)</f>
        <v>-175001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14800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184801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335500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335500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46174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46192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46174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46201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46178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46204</v>
      </c>
      <c r="Q8" s="6" t="s">
        <v>71</v>
      </c>
      <c r="R8" s="40"/>
      <c r="S8" s="1" t="s">
        <v>52</v>
      </c>
      <c r="T8" s="4" t="n">
        <v>125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46188</v>
      </c>
      <c r="B9" s="2" t="s">
        <v>77</v>
      </c>
      <c r="E9" s="5" t="s">
        <v>49</v>
      </c>
      <c r="F9" s="6" t="n">
        <v>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46204</v>
      </c>
      <c r="Q9" s="6" t="s">
        <v>72</v>
      </c>
      <c r="R9" s="40"/>
      <c r="S9" s="1" t="s">
        <v>56</v>
      </c>
      <c r="T9" s="4" t="n">
        <v>6000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46193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46198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46201</v>
      </c>
      <c r="B12" s="2" t="s">
        <v>66</v>
      </c>
      <c r="E12" s="5" t="s">
        <v>42</v>
      </c>
      <c r="F12" s="6" t="n">
        <v>4400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46204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