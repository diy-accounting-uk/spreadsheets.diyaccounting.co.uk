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un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<sst xmlns="http://schemas.openxmlformats.org/spreadsheetml/2006/main" count="876" uniqueCount="58">
  <si>
    <t xml:space="preserve">&lt;  Opening Bank Balance</t>
  </si>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</sst>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/>
      <c r="B1" s="8" t="s">
        <v>0</v>
      </c>
      <c r="C1" s="9" t="n">
        <f aca="false">[1]Admin!$B$9</f>
        <v>45748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[1]Admin!$B$10</f>
        <v>45777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45777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Jun!A2</f>
        <v>0</v>
      </c>
      <c r="B1" s="8" t="s">
        <v>0</v>
      </c>
      <c r="C1" s="9" t="n">
        <f aca="false">[1]Admin!$B$11</f>
        <v>45778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[1]Admin!$B$12</f>
        <v>45808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45808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Jul!A2</f>
        <v>0</v>
      </c>
      <c r="B1" s="8" t="s">
        <v>0</v>
      </c>
      <c r="C1" s="9" t="n">
        <f aca="false">[1]Admin!$B$13</f>
        <v>45809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[1]Admin!$B$14</f>
        <v>45838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45838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Aug!A2</f>
        <v>0</v>
      </c>
      <c r="B1" s="8" t="s">
        <v>0</v>
      </c>
      <c r="C1" s="9" t="n">
        <f aca="false">[1]Admin!$B$15</f>
        <v>45839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[1]Admin!$B$16</f>
        <v>45869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45869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Sep!A2</f>
        <v>0</v>
      </c>
      <c r="B1" s="8" t="s">
        <v>0</v>
      </c>
      <c r="C1" s="9" t="n">
        <f aca="false">[1]Admin!$B$17</f>
        <v>45870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[1]Admin!$B$18</f>
        <v>45900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45900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Oct!A2</f>
        <v>0</v>
      </c>
      <c r="B1" s="8" t="s">
        <v>0</v>
      </c>
      <c r="C1" s="9" t="n">
        <f aca="false">[1]Admin!$B$19</f>
        <v>45901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[1]Admin!$B$20</f>
        <v>45930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45930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Nov!A2</f>
        <v>0</v>
      </c>
      <c r="B1" s="8" t="s">
        <v>0</v>
      </c>
      <c r="C1" s="9" t="n">
        <f aca="false">[1]Admin!$B$21</f>
        <v>45931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[1]Admin!$B$22</f>
        <v>45961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45961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Dec!A2</f>
        <v>0</v>
      </c>
      <c r="B1" s="8" t="s">
        <v>0</v>
      </c>
      <c r="C1" s="9" t="n">
        <f aca="false">[1]Admin!$B$23</f>
        <v>45962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[1]Admin!$B$24</f>
        <v>45991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45991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Jan!A2</f>
        <v>0</v>
      </c>
      <c r="B1" s="8" t="s">
        <v>0</v>
      </c>
      <c r="C1" s="9" t="n">
        <f aca="false">[1]Admin!$B$25</f>
        <v>45992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.7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[1]Admin!$B$26</f>
        <v>46022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46022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Feb!A2</f>
        <v>0</v>
      </c>
      <c r="B1" s="8" t="s">
        <v>0</v>
      </c>
      <c r="C1" s="9" t="n">
        <f aca="false">[1]Admin!$B$27</f>
        <v>46023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[1]Admin!$B$28</f>
        <v>46053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46053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Mar!A2</f>
        <v>0</v>
      </c>
      <c r="B1" s="8" t="s">
        <v>0</v>
      </c>
      <c r="C1" s="9" t="n">
        <f aca="false">[1]Admin!$B$29</f>
        <v>46054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[1]Admin!$B$30</f>
        <v>46081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46081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1" t="n">
        <f aca="false">Apr!A2</f>
        <v>0</v>
      </c>
      <c r="B1" s="8" t="s">
        <v>0</v>
      </c>
      <c r="C1" s="9" t="n">
        <f aca="false">[1]Admin!$B$31</f>
        <v>46082</v>
      </c>
      <c r="D1" s="10" t="s">
        <v>1</v>
      </c>
      <c r="E1" s="11" t="n">
        <f aca="false">F1-SUM(G1:Q1)</f>
        <v>0</v>
      </c>
      <c r="F1" s="12" t="n">
        <f aca="false">SUM(F6:F200)</f>
        <v>0</v>
      </c>
      <c r="G1" s="12" t="n">
        <f aca="false">SUM(G6:G200)</f>
        <v>0</v>
      </c>
      <c r="H1" s="12" t="n">
        <f aca="false">SUM(H6:H200)</f>
        <v>0</v>
      </c>
      <c r="I1" s="12" t="n">
        <f aca="false">SUM(I6:I200)</f>
        <v>0</v>
      </c>
      <c r="J1" s="12" t="n">
        <f aca="false">SUM(J6:J200)</f>
        <v>0</v>
      </c>
      <c r="K1" s="12" t="n">
        <f aca="false">SUM(K6:K200)</f>
        <v>0</v>
      </c>
      <c r="L1" s="12" t="n">
        <f aca="false">SUM(L6:L200)</f>
        <v>0</v>
      </c>
      <c r="M1" s="12" t="n">
        <f aca="false">SUM(M6:M200)</f>
        <v>0</v>
      </c>
      <c r="N1" s="12" t="n">
        <f aca="false">SUM(N6:N200)</f>
        <v>0</v>
      </c>
      <c r="O1" s="12" t="n">
        <f aca="false">SUM(O6:O200)</f>
        <v>0</v>
      </c>
      <c r="P1" s="12" t="n">
        <f aca="false">SUM(P6:P200)</f>
        <v>0</v>
      </c>
      <c r="Q1" s="12" t="n">
        <f aca="false">SUM(Q6:Q200)</f>
        <v>0</v>
      </c>
      <c r="R1" s="13"/>
      <c r="S1" s="14" t="str">
        <f aca="false">IF(W1=0," ","Check all payment code letters entered")</f>
        <v> </v>
      </c>
      <c r="T1" s="14"/>
      <c r="U1" s="15"/>
      <c r="V1" s="16" t="s">
        <v>1</v>
      </c>
      <c r="W1" s="11" t="n">
        <f aca="false">X1-SUM(Y1:AN1)</f>
        <v>0</v>
      </c>
      <c r="X1" s="12" t="n">
        <f aca="false">SUM(X6:X200)</f>
        <v>0</v>
      </c>
      <c r="Y1" s="12" t="n">
        <f aca="false">SUM(Y6:Y200)</f>
        <v>0</v>
      </c>
      <c r="Z1" s="12" t="n">
        <f aca="false">SUM(Z6:Z200)</f>
        <v>0</v>
      </c>
      <c r="AA1" s="12" t="n">
        <f aca="false">SUM(AA6:AA200)</f>
        <v>0</v>
      </c>
      <c r="AB1" s="12" t="n">
        <f aca="false">SUM(AB6:AB200)</f>
        <v>0</v>
      </c>
      <c r="AC1" s="12" t="n">
        <f aca="false">SUM(AC6:AC200)</f>
        <v>0</v>
      </c>
      <c r="AD1" s="12" t="n">
        <f aca="false">SUM(AD6:AD200)</f>
        <v>0</v>
      </c>
      <c r="AE1" s="12" t="n">
        <f aca="false">SUM(AE6:AE200)</f>
        <v>0</v>
      </c>
      <c r="AF1" s="12" t="n">
        <f aca="false">SUM(AF6:AF200)</f>
        <v>0</v>
      </c>
      <c r="AG1" s="12" t="n">
        <f aca="false">SUM(AG6:AG200)</f>
        <v>0</v>
      </c>
      <c r="AH1" s="12" t="n">
        <f aca="false">SUM(AH6:AH200)</f>
        <v>0</v>
      </c>
      <c r="AI1" s="12" t="n">
        <f aca="false">SUM(AI6:AI200)</f>
        <v>0</v>
      </c>
      <c r="AJ1" s="12" t="n">
        <f aca="false">SUM(AJ6:AJ200)</f>
        <v>0</v>
      </c>
      <c r="AK1" s="12" t="n">
        <f aca="false">SUM(AK6:AK200)</f>
        <v>0</v>
      </c>
      <c r="AL1" s="12" t="n">
        <f aca="false">SUM(AL6:AL200)</f>
        <v>0</v>
      </c>
      <c r="AM1" s="12" t="n">
        <f aca="false">SUM(AM6:AM200)</f>
        <v>0</v>
      </c>
      <c r="AN1" s="12" t="n">
        <f aca="false">SUM(AN6:AN200)</f>
        <v>0</v>
      </c>
    </row>
    <row r="2" customFormat="false" ht="15" hidden="false" customHeight="true" outlineLevel="0" collapsed="false">
      <c r="A2" s="17" t="n">
        <f aca="false">A1+F1-X1</f>
        <v>0</v>
      </c>
      <c r="B2" s="18" t="s">
        <v>2</v>
      </c>
      <c r="C2" s="9" t="n">
        <f aca="false">[1]Admin!$B$32</f>
        <v>46112</v>
      </c>
      <c r="D2" s="19" t="s">
        <v>3</v>
      </c>
      <c r="E2" s="20" t="s">
        <v>4</v>
      </c>
      <c r="F2" s="21" t="s">
        <v>5</v>
      </c>
      <c r="G2" s="21"/>
      <c r="H2" s="21"/>
      <c r="I2" s="21"/>
      <c r="J2" s="21"/>
      <c r="K2" s="21"/>
      <c r="L2" s="21"/>
      <c r="M2" s="21"/>
      <c r="N2" s="21"/>
      <c r="O2" s="21"/>
      <c r="P2" s="21"/>
      <c r="Q2" s="21"/>
      <c r="R2" s="13"/>
      <c r="S2" s="14" t="str">
        <f aca="false">IF(E1=0," ","Check all Receipts Code Letters entered")</f>
        <v> </v>
      </c>
      <c r="T2" s="14"/>
      <c r="U2" s="22" t="s">
        <v>6</v>
      </c>
      <c r="V2" s="23" t="s">
        <v>7</v>
      </c>
      <c r="W2" s="20" t="s">
        <v>4</v>
      </c>
      <c r="X2" s="21" t="s">
        <v>8</v>
      </c>
      <c r="Y2" s="21"/>
      <c r="Z2" s="21"/>
      <c r="AA2" s="21"/>
      <c r="AB2" s="21"/>
      <c r="AC2" s="21"/>
      <c r="AD2" s="21"/>
      <c r="AE2" s="21"/>
      <c r="AF2" s="21"/>
      <c r="AG2" s="21"/>
      <c r="AH2" s="21"/>
      <c r="AI2" s="21"/>
      <c r="AJ2" s="21"/>
      <c r="AK2" s="21"/>
      <c r="AL2" s="21"/>
      <c r="AM2" s="21"/>
      <c r="AN2" s="21"/>
    </row>
    <row r="3" customFormat="false" ht="19.5" hidden="false" customHeight="true" outlineLevel="0" collapsed="false">
      <c r="A3" s="7"/>
      <c r="B3" s="24" t="s">
        <v>9</v>
      </c>
      <c r="C3" s="25" t="n">
        <f aca="false">C2</f>
        <v>46112</v>
      </c>
      <c r="D3" s="19"/>
      <c r="E3" s="20"/>
      <c r="F3" s="26" t="s">
        <v>10</v>
      </c>
      <c r="G3" s="26" t="s">
        <v>11</v>
      </c>
      <c r="H3" s="26" t="s">
        <v>12</v>
      </c>
      <c r="I3" s="26" t="s">
        <v>13</v>
      </c>
      <c r="J3" s="26" t="s">
        <v>14</v>
      </c>
      <c r="K3" s="26" t="s">
        <v>15</v>
      </c>
      <c r="L3" s="26" t="s">
        <v>16</v>
      </c>
      <c r="M3" s="26" t="s">
        <v>17</v>
      </c>
      <c r="N3" s="26" t="s">
        <v>18</v>
      </c>
      <c r="O3" s="26" t="s">
        <v>19</v>
      </c>
      <c r="P3" s="26" t="s">
        <v>20</v>
      </c>
      <c r="Q3" s="26" t="s">
        <v>21</v>
      </c>
      <c r="R3" s="13"/>
      <c r="S3" s="27"/>
      <c r="T3" s="28"/>
      <c r="U3" s="22"/>
      <c r="V3" s="23"/>
      <c r="W3" s="20"/>
      <c r="X3" s="26" t="s">
        <v>22</v>
      </c>
      <c r="Y3" s="26" t="s">
        <v>23</v>
      </c>
      <c r="Z3" s="26" t="s">
        <v>24</v>
      </c>
      <c r="AA3" s="26" t="s">
        <v>25</v>
      </c>
      <c r="AB3" s="26" t="s">
        <v>26</v>
      </c>
      <c r="AC3" s="26" t="s">
        <v>27</v>
      </c>
      <c r="AD3" s="26" t="s">
        <v>28</v>
      </c>
      <c r="AE3" s="26" t="s">
        <v>29</v>
      </c>
      <c r="AF3" s="26" t="s">
        <v>16</v>
      </c>
      <c r="AG3" s="26" t="s">
        <v>17</v>
      </c>
      <c r="AH3" s="26" t="s">
        <v>30</v>
      </c>
      <c r="AI3" s="26" t="s">
        <v>31</v>
      </c>
      <c r="AJ3" s="26" t="s">
        <v>32</v>
      </c>
      <c r="AK3" s="26" t="s">
        <v>33</v>
      </c>
      <c r="AL3" s="26" t="s">
        <v>34</v>
      </c>
      <c r="AM3" s="26" t="s">
        <v>20</v>
      </c>
      <c r="AN3" s="26" t="s">
        <v>21</v>
      </c>
    </row>
    <row r="4" s="33" customFormat="true" ht="19.5" hidden="false" customHeight="true" outlineLevel="0" collapsed="false">
      <c r="A4" s="29" t="n">
        <f aca="false">A2-A3</f>
        <v>0</v>
      </c>
      <c r="B4" s="30" t="str">
        <f aca="false">IF(A4=0,"&lt;  Bank  - Statement Balance","  Reconcile Bank Statement")</f>
        <v>&lt;  Bank  - Statement Balance</v>
      </c>
      <c r="C4" s="30"/>
      <c r="D4" s="19"/>
      <c r="E4" s="20"/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13"/>
      <c r="S4" s="31" t="s">
        <v>35</v>
      </c>
      <c r="T4" s="32" t="s">
        <v>36</v>
      </c>
      <c r="U4" s="22"/>
      <c r="V4" s="23"/>
      <c r="W4" s="20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</row>
    <row r="5" s="33" customFormat="true" ht="15" hidden="false" customHeight="true" outlineLevel="0" collapsed="false">
      <c r="A5" s="34" t="s">
        <v>37</v>
      </c>
      <c r="B5" s="35" t="s">
        <v>38</v>
      </c>
      <c r="C5" s="36" t="s">
        <v>39</v>
      </c>
      <c r="D5" s="19"/>
      <c r="E5" s="20"/>
      <c r="F5" s="26"/>
      <c r="G5" s="37" t="s">
        <v>40</v>
      </c>
      <c r="H5" s="37" t="s">
        <v>41</v>
      </c>
      <c r="I5" s="37" t="s">
        <v>42</v>
      </c>
      <c r="J5" s="37" t="s">
        <v>43</v>
      </c>
      <c r="K5" s="37" t="s">
        <v>44</v>
      </c>
      <c r="L5" s="37" t="s">
        <v>45</v>
      </c>
      <c r="M5" s="37" t="s">
        <v>46</v>
      </c>
      <c r="N5" s="37" t="s">
        <v>47</v>
      </c>
      <c r="O5" s="37" t="s">
        <v>48</v>
      </c>
      <c r="P5" s="37" t="s">
        <v>49</v>
      </c>
      <c r="Q5" s="37" t="s">
        <v>50</v>
      </c>
      <c r="R5" s="13"/>
      <c r="S5" s="31"/>
      <c r="T5" s="32"/>
      <c r="U5" s="22"/>
      <c r="V5" s="23"/>
      <c r="W5" s="20"/>
      <c r="X5" s="26"/>
      <c r="Y5" s="37" t="s">
        <v>40</v>
      </c>
      <c r="Z5" s="37" t="s">
        <v>41</v>
      </c>
      <c r="AA5" s="37" t="s">
        <v>42</v>
      </c>
      <c r="AB5" s="37" t="s">
        <v>51</v>
      </c>
      <c r="AC5" s="37" t="s">
        <v>52</v>
      </c>
      <c r="AD5" s="37" t="s">
        <v>53</v>
      </c>
      <c r="AE5" s="37" t="s">
        <v>54</v>
      </c>
      <c r="AF5" s="37" t="s">
        <v>45</v>
      </c>
      <c r="AG5" s="37" t="s">
        <v>46</v>
      </c>
      <c r="AH5" s="37" t="s">
        <v>55</v>
      </c>
      <c r="AI5" s="37" t="s">
        <v>47</v>
      </c>
      <c r="AJ5" s="37" t="s">
        <v>48</v>
      </c>
      <c r="AK5" s="37" t="s">
        <v>56</v>
      </c>
      <c r="AL5" s="37" t="s">
        <v>57</v>
      </c>
      <c r="AM5" s="37" t="s">
        <v>49</v>
      </c>
      <c r="AN5" s="37" t="s">
        <v>50</v>
      </c>
    </row>
    <row r="6" customFormat="false" ht="12.75" hidden="false" customHeight="false" outlineLevel="0" collapsed="false">
      <c r="E6" s="38" t="str">
        <f aca="false">IF(F6&lt;&gt;0,"Enter Code"," ")</f>
        <v> 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str">
        <f aca="false">IF(E6="DL",F6," ")</f>
        <v> </v>
      </c>
      <c r="Q6" s="6" t="str">
        <f aca="false">IF(E6="X",F6," ")</f>
        <v> </v>
      </c>
      <c r="R6" s="39"/>
      <c r="W6" s="40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E7" s="5" t="str">
        <f aca="false">IF(F7&lt;&gt;0,"Enter Code"," ")</f>
        <v> 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str">
        <f aca="false">IF(E7="DL",F7," ")</f>
        <v> </v>
      </c>
      <c r="Q7" s="6" t="str">
        <f aca="false">IF(E7="X",F7," ")</f>
        <v> </v>
      </c>
      <c r="R7" s="41"/>
      <c r="W7" s="42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E8" s="5" t="str">
        <f aca="false">IF(F8&lt;&gt;0,"Enter Code"," ")</f>
        <v> 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str">
        <f aca="false">IF(E8="DL",F8," ")</f>
        <v> </v>
      </c>
      <c r="Q8" s="6" t="str">
        <f aca="false">IF(E8="X",F8," ")</f>
        <v> </v>
      </c>
      <c r="R8" s="41"/>
      <c r="W8" s="42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E9" s="5" t="str">
        <f aca="false">IF(F9&lt;&gt;0,"Enter Code"," ")</f>
        <v> 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str">
        <f aca="false">IF(E9="DL",F9," ")</f>
        <v> </v>
      </c>
      <c r="Q9" s="6" t="str">
        <f aca="false">IF(E9="X",F9," ")</f>
        <v> </v>
      </c>
      <c r="R9" s="41"/>
      <c r="W9" s="42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E10" s="5" t="str">
        <f aca="false">IF(F10&lt;&gt;0,"Enter Code"," ")</f>
        <v> 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str">
        <f aca="false">IF(E10="DL",F10," ")</f>
        <v> </v>
      </c>
      <c r="Q10" s="6" t="str">
        <f aca="false">IF(E10="X",F10," ")</f>
        <v> </v>
      </c>
      <c r="R10" s="41"/>
      <c r="W10" s="42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E11" s="5" t="str">
        <f aca="false">IF(F11&lt;&gt;0,"Enter Code"," ")</f>
        <v> 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P11" s="6" t="str">
        <f aca="false">IF(E11="DL",F11," ")</f>
        <v> </v>
      </c>
      <c r="Q11" s="6" t="str">
        <f aca="false">IF(E11="X",F11," ")</f>
        <v> </v>
      </c>
      <c r="R11" s="41"/>
      <c r="W11" s="42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E12" s="5" t="str">
        <f aca="false">IF(F12&lt;&gt;0,"Enter Code"," ")</f>
        <v> 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P12" s="6" t="str">
        <f aca="false">IF(E12="DL",F12," ")</f>
        <v> </v>
      </c>
      <c r="Q12" s="6" t="str">
        <f aca="false">IF(E12="X",F12," ")</f>
        <v> </v>
      </c>
      <c r="R12" s="41"/>
      <c r="W12" s="42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E13" s="5" t="str">
        <f aca="false">IF(F13&lt;&gt;0,"Enter Code"," ")</f>
        <v> 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P13" s="6" t="str">
        <f aca="false">IF(E13="DL",F13," ")</f>
        <v> </v>
      </c>
      <c r="Q13" s="6" t="str">
        <f aca="false">IF(E13="X",F13," ")</f>
        <v> </v>
      </c>
      <c r="R13" s="41"/>
      <c r="W13" s="42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E14" s="5" t="str">
        <f aca="false">IF(F14&lt;&gt;0,"Enter Code"," ")</f>
        <v> 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P14" s="6" t="str">
        <f aca="false">IF(E14="DL",F14," ")</f>
        <v> </v>
      </c>
      <c r="Q14" s="6" t="str">
        <f aca="false">IF(E14="X",F14," ")</f>
        <v> </v>
      </c>
      <c r="R14" s="41"/>
      <c r="W14" s="42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E15" s="5" t="str">
        <f aca="false">IF(F15&lt;&gt;0,"Enter Code"," ")</f>
        <v> 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P15" s="6" t="str">
        <f aca="false">IF(E15="DL",F15," ")</f>
        <v> </v>
      </c>
      <c r="Q15" s="6" t="str">
        <f aca="false">IF(E15="X",F15," ")</f>
        <v> </v>
      </c>
      <c r="R15" s="41"/>
      <c r="W15" s="42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E16" s="5" t="str">
        <f aca="false">IF(F16&lt;&gt;0,"Enter Code"," ")</f>
        <v> 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P16" s="6" t="str">
        <f aca="false">IF(E16="DL",F16," ")</f>
        <v> </v>
      </c>
      <c r="Q16" s="6" t="str">
        <f aca="false">IF(E16="X",F16," ")</f>
        <v> </v>
      </c>
      <c r="R16" s="41"/>
      <c r="W16" s="42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E17" s="5" t="str">
        <f aca="false">IF(F17&lt;&gt;0,"Enter Code"," ")</f>
        <v> </v>
      </c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P17" s="6" t="str">
        <f aca="false">IF(E17="DL",F17," ")</f>
        <v> </v>
      </c>
      <c r="Q17" s="6" t="str">
        <f aca="false">IF(E17="X",F17," ")</f>
        <v> </v>
      </c>
      <c r="R17" s="41"/>
      <c r="W17" s="42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E18" s="5" t="str">
        <f aca="false">IF(F18&lt;&gt;0,"Enter Code"," ")</f>
        <v> </v>
      </c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P18" s="6" t="str">
        <f aca="false">IF(E18="DL",F18," ")</f>
        <v> </v>
      </c>
      <c r="Q18" s="6" t="str">
        <f aca="false">IF(E18="X",F18," ")</f>
        <v> </v>
      </c>
      <c r="R18" s="41"/>
      <c r="W18" s="42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E19" s="5" t="str">
        <f aca="false">IF(F19&lt;&gt;0,"Enter Code"," ")</f>
        <v> </v>
      </c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P19" s="6" t="str">
        <f aca="false">IF(E19="DL",F19," ")</f>
        <v> </v>
      </c>
      <c r="Q19" s="6" t="str">
        <f aca="false">IF(E19="X",F19," ")</f>
        <v> </v>
      </c>
      <c r="R19" s="41"/>
      <c r="W19" s="42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E20" s="5" t="str">
        <f aca="false">IF(F20&lt;&gt;0,"Enter Code"," ")</f>
        <v> </v>
      </c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P20" s="6" t="str">
        <f aca="false">IF(E20="DL",F20," ")</f>
        <v> </v>
      </c>
      <c r="Q20" s="6" t="str">
        <f aca="false">IF(E20="X",F20," ")</f>
        <v> </v>
      </c>
      <c r="R20" s="41"/>
      <c r="W20" s="42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E21" s="5" t="str">
        <f aca="false">IF(F21&lt;&gt;0,"Enter Code"," ")</f>
        <v> </v>
      </c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P21" s="6" t="str">
        <f aca="false">IF(E21="DL",F21," ")</f>
        <v> </v>
      </c>
      <c r="Q21" s="6" t="str">
        <f aca="false">IF(E21="X",F21," ")</f>
        <v> </v>
      </c>
      <c r="R21" s="41"/>
      <c r="W21" s="42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E22" s="5" t="str">
        <f aca="false">IF(F22&lt;&gt;0,"Enter Code"," ")</f>
        <v> </v>
      </c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P22" s="6" t="str">
        <f aca="false">IF(E22="DL",F22," ")</f>
        <v> </v>
      </c>
      <c r="Q22" s="6" t="str">
        <f aca="false">IF(E22="X",F22," ")</f>
        <v> </v>
      </c>
      <c r="R22" s="41"/>
      <c r="W22" s="42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E23" s="5" t="str">
        <f aca="false">IF(F23&lt;&gt;0,"Enter Code"," ")</f>
        <v> </v>
      </c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P23" s="6" t="str">
        <f aca="false">IF(E23="DL",F23," ")</f>
        <v> </v>
      </c>
      <c r="Q23" s="6" t="str">
        <f aca="false">IF(E23="X",F23," ")</f>
        <v> </v>
      </c>
      <c r="R23" s="41"/>
      <c r="W23" s="42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E24" s="5" t="str">
        <f aca="false">IF(F24&lt;&gt;0,"Enter Code"," ")</f>
        <v> </v>
      </c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P24" s="6" t="str">
        <f aca="false">IF(E24="DL",F24," ")</f>
        <v> </v>
      </c>
      <c r="Q24" s="6" t="str">
        <f aca="false">IF(E24="X",F24," ")</f>
        <v> </v>
      </c>
      <c r="R24" s="41"/>
      <c r="W24" s="42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E25" s="5" t="str">
        <f aca="false">IF(F25&lt;&gt;0,"Enter Code"," ")</f>
        <v> </v>
      </c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P25" s="6" t="str">
        <f aca="false">IF(E25="DL",F25," ")</f>
        <v> </v>
      </c>
      <c r="Q25" s="6" t="str">
        <f aca="false">IF(E25="X",F25," ")</f>
        <v> </v>
      </c>
      <c r="R25" s="41"/>
      <c r="W25" s="42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E26" s="5" t="str">
        <f aca="false">IF(F26&lt;&gt;0,"Enter Code"," ")</f>
        <v> </v>
      </c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P26" s="6" t="str">
        <f aca="false">IF(E26="DL",F26," ")</f>
        <v> </v>
      </c>
      <c r="Q26" s="6" t="str">
        <f aca="false">IF(E26="X",F26," ")</f>
        <v> </v>
      </c>
      <c r="R26" s="41"/>
      <c r="W26" s="42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E27" s="5" t="str">
        <f aca="false">IF(F27&lt;&gt;0,"Enter Code"," ")</f>
        <v> </v>
      </c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P27" s="6" t="str">
        <f aca="false">IF(E27="DL",F27," ")</f>
        <v> </v>
      </c>
      <c r="Q27" s="6" t="str">
        <f aca="false">IF(E27="X",F27," ")</f>
        <v> </v>
      </c>
      <c r="R27" s="41"/>
      <c r="W27" s="42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E28" s="5" t="str">
        <f aca="false">IF(F28&lt;&gt;0,"Enter Code"," ")</f>
        <v> </v>
      </c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P28" s="6" t="str">
        <f aca="false">IF(E28="DL",F28," ")</f>
        <v> </v>
      </c>
      <c r="Q28" s="6" t="str">
        <f aca="false">IF(E28="X",F28," ")</f>
        <v> </v>
      </c>
      <c r="R28" s="41"/>
      <c r="W28" s="42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E29" s="5" t="str">
        <f aca="false">IF(F29&lt;&gt;0,"Enter Code"," ")</f>
        <v> </v>
      </c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P29" s="6" t="str">
        <f aca="false">IF(E29="DL",F29," ")</f>
        <v> </v>
      </c>
      <c r="Q29" s="6" t="str">
        <f aca="false">IF(E29="X",F29," ")</f>
        <v> </v>
      </c>
      <c r="R29" s="41"/>
      <c r="W29" s="42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E30" s="5" t="str">
        <f aca="false">IF(F30&lt;&gt;0,"Enter Code"," ")</f>
        <v> </v>
      </c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P30" s="6" t="str">
        <f aca="false">IF(E30="DL",F30," ")</f>
        <v> </v>
      </c>
      <c r="Q30" s="6" t="str">
        <f aca="false">IF(E30="X",F30," ")</f>
        <v> </v>
      </c>
      <c r="R30" s="41"/>
      <c r="W30" s="42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E31" s="5" t="str">
        <f aca="false">IF(F31&lt;&gt;0,"Enter Code"," ")</f>
        <v> </v>
      </c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P31" s="6" t="str">
        <f aca="false">IF(E31="DL",F31," ")</f>
        <v> </v>
      </c>
      <c r="Q31" s="6" t="str">
        <f aca="false">IF(E31="X",F31," ")</f>
        <v> </v>
      </c>
      <c r="R31" s="41"/>
      <c r="W31" s="42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E32" s="5" t="str">
        <f aca="false">IF(F32&lt;&gt;0,"Enter Code"," ")</f>
        <v> </v>
      </c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P32" s="6" t="str">
        <f aca="false">IF(E32="DL",F32," ")</f>
        <v> </v>
      </c>
      <c r="Q32" s="6" t="str">
        <f aca="false">IF(E32="X",F32," ")</f>
        <v> </v>
      </c>
      <c r="R32" s="41"/>
      <c r="W32" s="42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E33" s="5" t="str">
        <f aca="false">IF(F33&lt;&gt;0,"Enter Code"," ")</f>
        <v> </v>
      </c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P33" s="6" t="str">
        <f aca="false">IF(E33="DL",F33," ")</f>
        <v> </v>
      </c>
      <c r="Q33" s="6" t="str">
        <f aca="false">IF(E33="X",F33," ")</f>
        <v> </v>
      </c>
      <c r="R33" s="41"/>
      <c r="W33" s="42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E34" s="5" t="str">
        <f aca="false">IF(F34&lt;&gt;0,"Enter Code"," ")</f>
        <v> </v>
      </c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P34" s="6" t="str">
        <f aca="false">IF(E34="DL",F34," ")</f>
        <v> </v>
      </c>
      <c r="Q34" s="6" t="str">
        <f aca="false">IF(E34="X",F34," ")</f>
        <v> </v>
      </c>
      <c r="R34" s="41"/>
      <c r="W34" s="42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E35" s="5" t="str">
        <f aca="false">IF(F35&lt;&gt;0,"Enter Code"," ")</f>
        <v> </v>
      </c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P35" s="6" t="str">
        <f aca="false">IF(E35="DL",F35," ")</f>
        <v> </v>
      </c>
      <c r="Q35" s="6" t="str">
        <f aca="false">IF(E35="X",F35," ")</f>
        <v> </v>
      </c>
      <c r="R35" s="41"/>
      <c r="W35" s="42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E36" s="5" t="str">
        <f aca="false">IF(F36&lt;&gt;0,"Enter Code"," ")</f>
        <v> </v>
      </c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P36" s="6" t="str">
        <f aca="false">IF(E36="DL",F36," ")</f>
        <v> </v>
      </c>
      <c r="Q36" s="6" t="str">
        <f aca="false">IF(E36="X",F36," ")</f>
        <v> </v>
      </c>
      <c r="R36" s="41"/>
      <c r="W36" s="42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E37" s="5" t="str">
        <f aca="false">IF(F37&lt;&gt;0,"Enter Code"," ")</f>
        <v> </v>
      </c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P37" s="6" t="str">
        <f aca="false">IF(E37="DL",F37," ")</f>
        <v> </v>
      </c>
      <c r="Q37" s="6" t="str">
        <f aca="false">IF(E37="X",F37," ")</f>
        <v> </v>
      </c>
      <c r="R37" s="41"/>
      <c r="W37" s="42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E38" s="5" t="str">
        <f aca="false">IF(F38&lt;&gt;0,"Enter Code"," ")</f>
        <v> </v>
      </c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P38" s="6" t="str">
        <f aca="false">IF(E38="DL",F38," ")</f>
        <v> </v>
      </c>
      <c r="Q38" s="6" t="str">
        <f aca="false">IF(E38="X",F38," ")</f>
        <v> </v>
      </c>
      <c r="R38" s="41"/>
      <c r="W38" s="42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E39" s="5" t="str">
        <f aca="false">IF(F39&lt;&gt;0,"Enter Code"," ")</f>
        <v> </v>
      </c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P39" s="6" t="str">
        <f aca="false">IF(E39="DL",F39," ")</f>
        <v> </v>
      </c>
      <c r="Q39" s="6" t="str">
        <f aca="false">IF(E39="X",F39," ")</f>
        <v> </v>
      </c>
      <c r="R39" s="41"/>
      <c r="W39" s="42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E40" s="5" t="str">
        <f aca="false">IF(F40&lt;&gt;0,"Enter Code"," ")</f>
        <v> </v>
      </c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P40" s="6" t="str">
        <f aca="false">IF(E40="DL",F40," ")</f>
        <v> </v>
      </c>
      <c r="Q40" s="6" t="str">
        <f aca="false">IF(E40="X",F40," ")</f>
        <v> </v>
      </c>
      <c r="R40" s="41"/>
      <c r="W40" s="42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E41" s="5" t="str">
        <f aca="false">IF(F41&lt;&gt;0,"Enter Code"," ")</f>
        <v> </v>
      </c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P41" s="6" t="str">
        <f aca="false">IF(E41="DL",F41," ")</f>
        <v> </v>
      </c>
      <c r="Q41" s="6" t="str">
        <f aca="false">IF(E41="X",F41," ")</f>
        <v> </v>
      </c>
      <c r="R41" s="41"/>
      <c r="W41" s="42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E42" s="5" t="str">
        <f aca="false">IF(F42&lt;&gt;0,"Enter Code"," ")</f>
        <v> </v>
      </c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P42" s="6" t="str">
        <f aca="false">IF(E42="DL",F42," ")</f>
        <v> </v>
      </c>
      <c r="Q42" s="6" t="str">
        <f aca="false">IF(E42="X",F42," ")</f>
        <v> </v>
      </c>
      <c r="R42" s="41"/>
      <c r="W42" s="42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E43" s="5" t="str">
        <f aca="false">IF(F43&lt;&gt;0,"Enter Code"," ")</f>
        <v> </v>
      </c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P43" s="6" t="str">
        <f aca="false">IF(E43="DL",F43," ")</f>
        <v> </v>
      </c>
      <c r="Q43" s="6" t="str">
        <f aca="false">IF(E43="X",F43," ")</f>
        <v> </v>
      </c>
      <c r="R43" s="41"/>
      <c r="W43" s="42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E44" s="5" t="str">
        <f aca="false">IF(F44&lt;&gt;0,"Enter Code"," ")</f>
        <v> </v>
      </c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P44" s="6" t="str">
        <f aca="false">IF(E44="DL",F44," ")</f>
        <v> </v>
      </c>
      <c r="Q44" s="6" t="str">
        <f aca="false">IF(E44="X",F44," ")</f>
        <v> </v>
      </c>
      <c r="R44" s="41"/>
      <c r="W44" s="42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E45" s="5" t="str">
        <f aca="false">IF(F45&lt;&gt;0,"Enter Code"," ")</f>
        <v> </v>
      </c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P45" s="6" t="str">
        <f aca="false">IF(E45="DL",F45," ")</f>
        <v> </v>
      </c>
      <c r="Q45" s="6" t="str">
        <f aca="false">IF(E45="X",F45," ")</f>
        <v> </v>
      </c>
      <c r="R45" s="41"/>
      <c r="W45" s="42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E46" s="5" t="str">
        <f aca="false">IF(F46&lt;&gt;0,"Enter Code"," ")</f>
        <v> </v>
      </c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P46" s="6" t="str">
        <f aca="false">IF(E46="DL",F46," ")</f>
        <v> </v>
      </c>
      <c r="Q46" s="6" t="str">
        <f aca="false">IF(E46="X",F46," ")</f>
        <v> </v>
      </c>
      <c r="R46" s="41"/>
      <c r="W46" s="42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E47" s="5" t="str">
        <f aca="false">IF(F47&lt;&gt;0,"Enter Code"," ")</f>
        <v> </v>
      </c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P47" s="6" t="str">
        <f aca="false">IF(E47="DL",F47," ")</f>
        <v> </v>
      </c>
      <c r="Q47" s="6" t="str">
        <f aca="false">IF(E47="X",F47," ")</f>
        <v> </v>
      </c>
      <c r="R47" s="41"/>
      <c r="W47" s="42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E48" s="5" t="str">
        <f aca="false">IF(F48&lt;&gt;0,"Enter Code"," ")</f>
        <v> </v>
      </c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P48" s="6" t="str">
        <f aca="false">IF(E48="DL",F48," ")</f>
        <v> </v>
      </c>
      <c r="Q48" s="6" t="str">
        <f aca="false">IF(E48="X",F48," ")</f>
        <v> </v>
      </c>
      <c r="R48" s="41"/>
      <c r="W48" s="42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E49" s="5" t="str">
        <f aca="false">IF(F49&lt;&gt;0,"Enter Code"," ")</f>
        <v> </v>
      </c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P49" s="6" t="str">
        <f aca="false">IF(E49="DL",F49," ")</f>
        <v> </v>
      </c>
      <c r="Q49" s="6" t="str">
        <f aca="false">IF(E49="X",F49," ")</f>
        <v> </v>
      </c>
      <c r="R49" s="41"/>
      <c r="W49" s="42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E50" s="5" t="str">
        <f aca="false">IF(F50&lt;&gt;0,"Enter Code"," ")</f>
        <v> </v>
      </c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P50" s="6" t="str">
        <f aca="false">IF(E50="DL",F50," ")</f>
        <v> </v>
      </c>
      <c r="Q50" s="6" t="str">
        <f aca="false">IF(E50="X",F50," ")</f>
        <v> </v>
      </c>
      <c r="R50" s="41"/>
      <c r="W50" s="42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E51" s="5" t="str">
        <f aca="false">IF(F51&lt;&gt;0,"Enter Code"," ")</f>
        <v> </v>
      </c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P51" s="6" t="str">
        <f aca="false">IF(E51="DL",F51," ")</f>
        <v> </v>
      </c>
      <c r="Q51" s="6" t="str">
        <f aca="false">IF(E51="X",F51," ")</f>
        <v> </v>
      </c>
      <c r="R51" s="41"/>
      <c r="W51" s="42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E52" s="5" t="str">
        <f aca="false">IF(F52&lt;&gt;0,"Enter Code"," ")</f>
        <v> </v>
      </c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P52" s="6" t="str">
        <f aca="false">IF(E52="DL",F52," ")</f>
        <v> </v>
      </c>
      <c r="Q52" s="6" t="str">
        <f aca="false">IF(E52="X",F52," ")</f>
        <v> </v>
      </c>
      <c r="R52" s="41"/>
      <c r="W52" s="42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E53" s="5" t="str">
        <f aca="false">IF(F53&lt;&gt;0,"Enter Code"," ")</f>
        <v> </v>
      </c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P53" s="6" t="str">
        <f aca="false">IF(E53="DL",F53," ")</f>
        <v> </v>
      </c>
      <c r="Q53" s="6" t="str">
        <f aca="false">IF(E53="X",F53," ")</f>
        <v> </v>
      </c>
      <c r="R53" s="41"/>
      <c r="W53" s="42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E54" s="5" t="str">
        <f aca="false">IF(F54&lt;&gt;0,"Enter Code"," ")</f>
        <v> </v>
      </c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P54" s="6" t="str">
        <f aca="false">IF(E54="DL",F54," ")</f>
        <v> </v>
      </c>
      <c r="Q54" s="6" t="str">
        <f aca="false">IF(E54="X",F54," ")</f>
        <v> </v>
      </c>
      <c r="R54" s="41"/>
      <c r="W54" s="42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E55" s="5" t="str">
        <f aca="false">IF(F55&lt;&gt;0,"Enter Code"," ")</f>
        <v> </v>
      </c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P55" s="6" t="str">
        <f aca="false">IF(E55="DL",F55," ")</f>
        <v> </v>
      </c>
      <c r="Q55" s="6" t="str">
        <f aca="false">IF(E55="X",F55," ")</f>
        <v> </v>
      </c>
      <c r="R55" s="41"/>
      <c r="W55" s="42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E56" s="5" t="str">
        <f aca="false">IF(F56&lt;&gt;0,"Enter Code"," ")</f>
        <v> </v>
      </c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P56" s="6" t="str">
        <f aca="false">IF(E56="DL",F56," ")</f>
        <v> </v>
      </c>
      <c r="Q56" s="6" t="str">
        <f aca="false">IF(E56="X",F56," ")</f>
        <v> </v>
      </c>
      <c r="R56" s="41"/>
      <c r="W56" s="42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E57" s="5" t="str">
        <f aca="false">IF(F57&lt;&gt;0,"Enter Code"," ")</f>
        <v> </v>
      </c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P57" s="6" t="str">
        <f aca="false">IF(E57="DL",F57," ")</f>
        <v> </v>
      </c>
      <c r="Q57" s="6" t="str">
        <f aca="false">IF(E57="X",F57," ")</f>
        <v> </v>
      </c>
      <c r="R57" s="41"/>
      <c r="W57" s="42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E58" s="5" t="str">
        <f aca="false">IF(F58&lt;&gt;0,"Enter Code"," ")</f>
        <v> </v>
      </c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P58" s="6" t="str">
        <f aca="false">IF(E58="DL",F58," ")</f>
        <v> </v>
      </c>
      <c r="Q58" s="6" t="str">
        <f aca="false">IF(E58="X",F58," ")</f>
        <v> </v>
      </c>
      <c r="R58" s="41"/>
      <c r="W58" s="42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E59" s="5" t="str">
        <f aca="false">IF(F59&lt;&gt;0,"Enter Code"," ")</f>
        <v> </v>
      </c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P59" s="6" t="str">
        <f aca="false">IF(E59="DL",F59," ")</f>
        <v> </v>
      </c>
      <c r="Q59" s="6" t="str">
        <f aca="false">IF(E59="X",F59," ")</f>
        <v> </v>
      </c>
      <c r="R59" s="41"/>
      <c r="W59" s="42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E60" s="5" t="str">
        <f aca="false">IF(F60&lt;&gt;0,"Enter Code"," ")</f>
        <v> </v>
      </c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P60" s="6" t="str">
        <f aca="false">IF(E60="DL",F60," ")</f>
        <v> </v>
      </c>
      <c r="Q60" s="6" t="str">
        <f aca="false">IF(E60="X",F60," ")</f>
        <v> </v>
      </c>
      <c r="R60" s="41"/>
      <c r="W60" s="42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E61" s="5" t="str">
        <f aca="false">IF(F61&lt;&gt;0,"Enter Code"," ")</f>
        <v> </v>
      </c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P61" s="6" t="str">
        <f aca="false">IF(E61="DL",F61," ")</f>
        <v> </v>
      </c>
      <c r="Q61" s="6" t="str">
        <f aca="false">IF(E61="X",F61," ")</f>
        <v> </v>
      </c>
      <c r="R61" s="41"/>
      <c r="W61" s="42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E62" s="5" t="str">
        <f aca="false">IF(F62&lt;&gt;0,"Enter Code"," ")</f>
        <v> </v>
      </c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P62" s="6" t="str">
        <f aca="false">IF(E62="DL",F62," ")</f>
        <v> </v>
      </c>
      <c r="Q62" s="6" t="str">
        <f aca="false">IF(E62="X",F62," ")</f>
        <v> </v>
      </c>
      <c r="R62" s="41"/>
      <c r="W62" s="42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E63" s="5" t="str">
        <f aca="false">IF(F63&lt;&gt;0,"Enter Code"," ")</f>
        <v> </v>
      </c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P63" s="6" t="str">
        <f aca="false">IF(E63="DL",F63," ")</f>
        <v> </v>
      </c>
      <c r="Q63" s="6" t="str">
        <f aca="false">IF(E63="X",F63," ")</f>
        <v> </v>
      </c>
      <c r="R63" s="41"/>
      <c r="W63" s="42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E64" s="5" t="str">
        <f aca="false">IF(F64&lt;&gt;0,"Enter Code"," ")</f>
        <v> </v>
      </c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P64" s="6" t="str">
        <f aca="false">IF(E64="DL",F64," ")</f>
        <v> </v>
      </c>
      <c r="Q64" s="6" t="str">
        <f aca="false">IF(E64="X",F64," ")</f>
        <v> </v>
      </c>
      <c r="R64" s="41"/>
      <c r="W64" s="42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E65" s="5" t="str">
        <f aca="false">IF(F65&lt;&gt;0,"Enter Code"," ")</f>
        <v> </v>
      </c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P65" s="6" t="str">
        <f aca="false">IF(E65="DL",F65," ")</f>
        <v> </v>
      </c>
      <c r="Q65" s="6" t="str">
        <f aca="false">IF(E65="X",F65," ")</f>
        <v> </v>
      </c>
      <c r="R65" s="41"/>
      <c r="W65" s="42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E66" s="5" t="str">
        <f aca="false">IF(F66&lt;&gt;0,"Enter Code"," ")</f>
        <v> </v>
      </c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P66" s="6" t="str">
        <f aca="false">IF(E66="DL",F66," ")</f>
        <v> </v>
      </c>
      <c r="Q66" s="6" t="str">
        <f aca="false">IF(E66="X",F66," ")</f>
        <v> </v>
      </c>
      <c r="R66" s="41"/>
      <c r="W66" s="42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E67" s="5" t="str">
        <f aca="false">IF(F67&lt;&gt;0,"Enter Code"," ")</f>
        <v> </v>
      </c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P67" s="6" t="str">
        <f aca="false">IF(E67="DL",F67," ")</f>
        <v> </v>
      </c>
      <c r="Q67" s="6" t="str">
        <f aca="false">IF(E67="X",F67," ")</f>
        <v> </v>
      </c>
      <c r="R67" s="41"/>
      <c r="W67" s="42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E68" s="5" t="str">
        <f aca="false">IF(F68&lt;&gt;0,"Enter Code"," ")</f>
        <v> </v>
      </c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P68" s="6" t="str">
        <f aca="false">IF(E68="DL",F68," ")</f>
        <v> </v>
      </c>
      <c r="Q68" s="6" t="str">
        <f aca="false">IF(E68="X",F68," ")</f>
        <v> </v>
      </c>
      <c r="R68" s="41"/>
      <c r="W68" s="42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E69" s="5" t="str">
        <f aca="false">IF(F69&lt;&gt;0,"Enter Code"," ")</f>
        <v> </v>
      </c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P69" s="6" t="str">
        <f aca="false">IF(E69="DL",F69," ")</f>
        <v> </v>
      </c>
      <c r="Q69" s="6" t="str">
        <f aca="false">IF(E69="X",F69," ")</f>
        <v> </v>
      </c>
      <c r="R69" s="41"/>
      <c r="W69" s="42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1"/>
      <c r="W70" s="42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1"/>
      <c r="W71" s="42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1"/>
      <c r="W72" s="42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1"/>
      <c r="W73" s="42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1"/>
      <c r="W74" s="42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1"/>
      <c r="W75" s="42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1"/>
      <c r="W76" s="42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1"/>
      <c r="W77" s="42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1"/>
      <c r="W78" s="42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1"/>
      <c r="W79" s="42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1"/>
      <c r="W80" s="42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1"/>
      <c r="W81" s="42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1"/>
      <c r="W82" s="42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1"/>
      <c r="W83" s="42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1"/>
      <c r="W84" s="42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1"/>
      <c r="W85" s="42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1"/>
      <c r="W86" s="42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1"/>
      <c r="W87" s="42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1"/>
      <c r="W88" s="42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1"/>
      <c r="W89" s="42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1"/>
      <c r="W90" s="42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1"/>
      <c r="W91" s="42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1"/>
      <c r="W92" s="42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1"/>
      <c r="W93" s="42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1"/>
      <c r="W94" s="42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1"/>
      <c r="W95" s="42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1"/>
      <c r="W96" s="42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1"/>
      <c r="W97" s="42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1"/>
      <c r="W98" s="42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1"/>
      <c r="W99" s="42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1"/>
      <c r="W100" s="42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1"/>
      <c r="W101" s="42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1"/>
      <c r="W102" s="42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1"/>
      <c r="W103" s="42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1"/>
      <c r="W104" s="42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1"/>
      <c r="W105" s="42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1"/>
      <c r="W106" s="42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1"/>
      <c r="W107" s="42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1"/>
      <c r="W108" s="42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1"/>
      <c r="W109" s="42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1"/>
      <c r="W110" s="42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1"/>
      <c r="W111" s="42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1"/>
      <c r="W112" s="42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1"/>
      <c r="W113" s="42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1"/>
      <c r="W114" s="42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1"/>
      <c r="W115" s="42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1"/>
      <c r="W116" s="42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1"/>
      <c r="W117" s="42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1"/>
      <c r="W118" s="42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1"/>
      <c r="W119" s="42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1"/>
      <c r="W120" s="42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1"/>
      <c r="W121" s="42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1"/>
      <c r="W122" s="42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1"/>
      <c r="W123" s="42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1"/>
      <c r="W124" s="42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1"/>
      <c r="W125" s="42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1"/>
      <c r="W126" s="42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1"/>
      <c r="W127" s="42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1"/>
      <c r="W128" s="42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1"/>
      <c r="W129" s="42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1"/>
      <c r="W130" s="42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1"/>
      <c r="W131" s="42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1"/>
      <c r="W132" s="42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1"/>
      <c r="W133" s="42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1"/>
      <c r="W134" s="42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1"/>
      <c r="W135" s="42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1"/>
      <c r="W136" s="42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1"/>
      <c r="W137" s="42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1"/>
      <c r="W138" s="42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1"/>
      <c r="W139" s="42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1"/>
      <c r="W140" s="42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1"/>
      <c r="W141" s="42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1"/>
      <c r="W142" s="42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1"/>
      <c r="W143" s="42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1"/>
      <c r="W144" s="42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1"/>
      <c r="W145" s="42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1"/>
      <c r="W146" s="42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1"/>
      <c r="W147" s="42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1"/>
      <c r="W148" s="42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1"/>
      <c r="W149" s="42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1"/>
      <c r="W150" s="42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1"/>
      <c r="W151" s="42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1"/>
      <c r="W152" s="42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1"/>
      <c r="W153" s="42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1"/>
      <c r="W154" s="42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1"/>
      <c r="W155" s="42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1"/>
      <c r="W156" s="42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1"/>
      <c r="W157" s="42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1"/>
      <c r="W158" s="42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1"/>
      <c r="W159" s="42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1"/>
      <c r="W160" s="42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1"/>
      <c r="W161" s="42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1"/>
      <c r="W162" s="42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1"/>
      <c r="W163" s="42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1"/>
      <c r="W164" s="42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1"/>
      <c r="W165" s="42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1"/>
      <c r="W166" s="42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1"/>
      <c r="W167" s="42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1"/>
      <c r="W168" s="42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1"/>
      <c r="W169" s="42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1"/>
      <c r="W170" s="42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1"/>
      <c r="W171" s="42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1"/>
      <c r="W172" s="42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1"/>
      <c r="W173" s="42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9"/>
      <c r="W174" s="42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3"/>
      <c r="W175" s="42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1"/>
      <c r="W176" s="42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1"/>
      <c r="W177" s="42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1"/>
      <c r="W178" s="42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1"/>
      <c r="W179" s="42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1"/>
      <c r="W180" s="42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1"/>
      <c r="W181" s="42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1"/>
      <c r="W182" s="42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1"/>
      <c r="W183" s="42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1"/>
      <c r="W184" s="42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1"/>
      <c r="W185" s="42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1"/>
      <c r="W186" s="42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1"/>
      <c r="W187" s="42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1"/>
      <c r="W188" s="42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1"/>
      <c r="W189" s="42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1"/>
      <c r="W190" s="42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1"/>
      <c r="W191" s="42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1"/>
      <c r="W192" s="42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1"/>
      <c r="W193" s="42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1"/>
      <c r="W194" s="42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1"/>
      <c r="W195" s="42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1"/>
      <c r="W196" s="42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1"/>
      <c r="W197" s="42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1"/>
      <c r="W198" s="42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1"/>
      <c r="W199" s="42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4"/>
      <c r="B200" s="45"/>
      <c r="C200" s="46"/>
      <c r="D200" s="47"/>
      <c r="E200" s="48" t="str">
        <f aca="false">IF(F200&lt;&gt;0,"Enter Code"," ")</f>
        <v> </v>
      </c>
      <c r="F200" s="49"/>
      <c r="G200" s="49" t="str">
        <f aca="false">IF(E200="BS",F200," ")</f>
        <v> </v>
      </c>
      <c r="H200" s="49" t="str">
        <f aca="false">IF(E200="BD",F200," ")</f>
        <v> </v>
      </c>
      <c r="I200" s="49" t="str">
        <f aca="false">IF(E200="BC",F200," ")</f>
        <v> </v>
      </c>
      <c r="J200" s="49" t="str">
        <f aca="false">IF(E200="DR",F200," ")</f>
        <v> </v>
      </c>
      <c r="K200" s="49" t="str">
        <f aca="false">IF(E200="K",F200," ")</f>
        <v> </v>
      </c>
      <c r="L200" s="49" t="str">
        <f aca="false">IF(E200="LDR",F200," ")</f>
        <v> </v>
      </c>
      <c r="M200" s="49" t="str">
        <f aca="false">IF(E200="LCR",F200," ")</f>
        <v> </v>
      </c>
      <c r="N200" s="49" t="str">
        <f aca="false">IF(E200="RV",F200," ")</f>
        <v> </v>
      </c>
      <c r="O200" s="49" t="str">
        <f aca="false">IF(E200="RC",F200," ")</f>
        <v> </v>
      </c>
      <c r="P200" s="49" t="str">
        <f aca="false">IF(E200="DL",F200," ")</f>
        <v> </v>
      </c>
      <c r="Q200" s="49" t="str">
        <f aca="false">IF(E200="X",F200," ")</f>
        <v> </v>
      </c>
      <c r="R200" s="43"/>
      <c r="S200" s="44"/>
      <c r="T200" s="47"/>
      <c r="U200" s="46"/>
      <c r="V200" s="46"/>
      <c r="W200" s="50" t="str">
        <f aca="false">IF(X200&lt;&gt;0,"Enter Code"," ")</f>
        <v> </v>
      </c>
      <c r="X200" s="49"/>
      <c r="Y200" s="49" t="str">
        <f aca="false">IF(W200="BS",X200," ")</f>
        <v> </v>
      </c>
      <c r="Z200" s="49" t="str">
        <f aca="false">IF(W200="BD",X200," ")</f>
        <v> </v>
      </c>
      <c r="AA200" s="49" t="str">
        <f aca="false">IF(W200="BC",X200," ")</f>
        <v> </v>
      </c>
      <c r="AB200" s="49" t="str">
        <f aca="false">IF(W200="CR",X200," ")</f>
        <v> </v>
      </c>
      <c r="AC200" s="49" t="str">
        <f aca="false">IF(W200="W",X200," ")</f>
        <v> </v>
      </c>
      <c r="AD200" s="49" t="str">
        <f aca="false">IF(W200="B",X200," ")</f>
        <v> </v>
      </c>
      <c r="AE200" s="49" t="str">
        <f aca="false">IF(W200="J",X200," ")</f>
        <v> </v>
      </c>
      <c r="AF200" s="49" t="str">
        <f aca="false">IF(W200="LDR",X200," ")</f>
        <v> </v>
      </c>
      <c r="AG200" s="49" t="str">
        <f aca="false">IF(W200="LCR",X200," ")</f>
        <v> </v>
      </c>
      <c r="AH200" s="49" t="str">
        <f aca="false">IF(W200="RP",X200," ")</f>
        <v> </v>
      </c>
      <c r="AI200" s="49" t="str">
        <f aca="false">IF(W200="RV",X200," ")</f>
        <v> </v>
      </c>
      <c r="AJ200" s="49" t="str">
        <f aca="false">IF(W200="RC",X200," ")</f>
        <v> </v>
      </c>
      <c r="AK200" s="49" t="str">
        <f aca="false">IF(W200="RT",X200," ")</f>
        <v> </v>
      </c>
      <c r="AL200" s="49" t="str">
        <f aca="false">IF(W200="DV",X200," ")</f>
        <v> </v>
      </c>
      <c r="AM200" s="49" t="str">
        <f aca="false">IF(W200="DL",X200," ")</f>
        <v> </v>
      </c>
      <c r="AN200" s="49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