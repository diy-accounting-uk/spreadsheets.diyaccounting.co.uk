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<sst xmlns="http://schemas.openxmlformats.org/spreadsheetml/2006/main" count="1150" uniqueCount="78">
  <si>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</si>
  <si>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</si>
  <si>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</si>
  <si>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</si>
  <si>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</si>
  <si>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</si>
  <si>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</si>
  <si>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</si>
  <si>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</si>
  <si>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</si>
  <si>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</si>
  <si>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</si>
  <si>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</si>
  <si>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</si>
  <si>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</si>
  <si>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</si>
  <si>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</si>
  <si>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</si>
  <si>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</si>
  <si>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</si>
  <si>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</si>
  <si>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</si>
  <si>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</si>
  <si>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</si>
  <si>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</si>
  <si>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</si>
  <si>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</si>
  <si>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</si>
  <si>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</si>
  <si>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</si>
  <si>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</si>
  <si>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</si>
  <si>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</si>
  <si>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</si>
  <si>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</si>
  <si>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</si>
  <si>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</si>
  <si>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</si>
  <si>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</si>
  <si>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</si>
  <si>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</si>
  <si>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</si>
  <si>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</si>
  <si>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</si>
  <si>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</si>
  <si>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</si>
  <si>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</si>
  <si>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</si>
  <si>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</si>
  <si>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</si>
  <si>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</si>
  <si>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</si>
  <si>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</si>
  <si>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</si>
  <si>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</si>
  <si>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</si>
  <si>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</si>
  <si>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</si>
  <si>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</si>
  <si>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WorkSpace Ltd</t>
  </si>
  <si>
    <t xml:space="preserve">Beta Systems</t>
  </si>
  <si>
    <t xml:space="preserve">Director</t>
  </si>
  <si>
    <t xml:space="preserve">Various suppliers</t>
  </si>
  <si>
    <t xml:space="preserve">TechStart Ltd</t>
  </si>
  <si>
    <t xml:space="preserve">HMRC</t>
  </si>
  <si>
    <t xml:space="preserve">Gamma Ltd</t>
  </si>
  <si>
    <t xml:space="preserve">Payroll</t>
  </si>
  <si>
    <t xml:space="preserve">Various customers</t>
  </si>
  <si>
    <t xml:space="preserve">Smith &amp; Co</t>
  </si>
  <si>
    <t xml:space="preserve">Credit card payment</t>
  </si>
  <si>
    <t xml:space="preserve">HSBC</t>
  </si>
  <si>
    <t xml:space="preserve">Directors loan interest</t>
  </si>
  <si>
    <t xml:space="preserve">Dividend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</si>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</sst>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56674.8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56674.8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45940</v>
      </c>
      <c r="B6" s="2" t="s">
        <v>58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45931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45945</v>
      </c>
      <c r="B7" s="2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45931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45950</v>
      </c>
      <c r="B8" s="2" t="s">
        <v>58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45935</v>
      </c>
      <c r="T8" s="4" t="s">
        <v>62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45955</v>
      </c>
      <c r="B9" s="2" t="s">
        <v>63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45949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45955</v>
      </c>
      <c r="B10" s="2" t="s">
        <v>65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45958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45958</v>
      </c>
      <c r="B11" s="2" t="s">
        <v>67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45960</v>
      </c>
      <c r="T11" s="4" t="s">
        <v>68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45960</v>
      </c>
      <c r="T12" s="4" t="s">
        <v>69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Oct!A2</f>
        <v>56674.8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14150.2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3173.2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75444.6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75444.6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45981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45962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45986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45962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45989</v>
      </c>
      <c r="B8" s="2" t="s">
        <v>67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45966</v>
      </c>
      <c r="T8" s="4" t="s">
        <v>62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45980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45986</v>
      </c>
      <c r="T10" s="4" t="s">
        <v>70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45989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45991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45968</v>
      </c>
      <c r="T13" s="4" t="s">
        <v>64</v>
      </c>
      <c r="W13" s="42" t="s">
        <v>55</v>
      </c>
      <c r="X13" s="6" t="n">
        <v>1500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n">
        <f aca="false">IF(W13="RP",X13," ")</f>
        <v>1500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75444.6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12575.2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98069.4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98069.4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46011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45992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46016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45992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46019</v>
      </c>
      <c r="B8" s="2" t="s">
        <v>67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45996</v>
      </c>
      <c r="T8" s="4" t="s">
        <v>62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46010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46019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46021</v>
      </c>
      <c r="T11" s="4" t="s">
        <v>71</v>
      </c>
      <c r="W11" s="42" t="s">
        <v>53</v>
      </c>
      <c r="X11" s="6" t="n">
        <v>250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250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46021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98069.4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16425.2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2673.2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115404.2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115404.2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46042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46023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46047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46023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46050</v>
      </c>
      <c r="B8" s="2" t="s">
        <v>67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46027</v>
      </c>
      <c r="T8" s="4" t="s">
        <v>62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46037</v>
      </c>
      <c r="T9" s="4" t="s">
        <v>72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46041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46041</v>
      </c>
      <c r="T11" s="4" t="s">
        <v>64</v>
      </c>
      <c r="W11" s="42" t="s">
        <v>55</v>
      </c>
      <c r="X11" s="6" t="n">
        <v>1000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1000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46050</v>
      </c>
      <c r="T12" s="4" t="s">
        <v>66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46053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46053</v>
      </c>
      <c r="T14" s="4" t="s">
        <v>69</v>
      </c>
      <c r="W14" s="42" t="s">
        <v>50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n">
        <f aca="false">IF(W14="X",X14," ")</f>
        <v>300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115404.2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36020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2500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26233.37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15481.37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127690.83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127690.83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46058</v>
      </c>
      <c r="B6" s="2" t="s">
        <v>73</v>
      </c>
      <c r="E6" s="38" t="s">
        <v>47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n">
        <f aca="false">IF(E6="RV",F6," ")</f>
        <v>2500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46060</v>
      </c>
      <c r="T6" s="4" t="s">
        <v>64</v>
      </c>
      <c r="W6" s="40" t="s">
        <v>55</v>
      </c>
      <c r="X6" s="6" t="n">
        <v>13808.17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n">
        <f aca="false">IF(W6="RP",X6," ")</f>
        <v>13808.17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46073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46054</v>
      </c>
      <c r="T7" s="4" t="s">
        <v>59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46078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46054</v>
      </c>
      <c r="T8" s="4" t="s">
        <v>61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46081</v>
      </c>
      <c r="B9" s="2" t="s">
        <v>67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46058</v>
      </c>
      <c r="T9" s="4" t="s">
        <v>62</v>
      </c>
      <c r="W9" s="42" t="s">
        <v>51</v>
      </c>
      <c r="X9" s="6" t="n">
        <v>2600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2600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46072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46081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46081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127690.83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12133.2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3600</v>
      </c>
      <c r="AC1" s="12" t="n">
        <f aca="false">SUM(AC6:AC200)</f>
        <v>5652</v>
      </c>
      <c r="AD1" s="12" t="n">
        <f aca="false">SUM(AD6:AD200)</f>
        <v>208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149317.63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149317.63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46101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46082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46106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46082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46109</v>
      </c>
      <c r="B8" s="2" t="s">
        <v>67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46086</v>
      </c>
      <c r="T8" s="4" t="s">
        <v>62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46100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46109</v>
      </c>
      <c r="T10" s="4" t="s">
        <v>66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46111</v>
      </c>
      <c r="T11" s="4" t="s">
        <v>71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46111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149317.63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56825.2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6173.2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143052.43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143052.43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46127</v>
      </c>
      <c r="B6" s="2" t="s">
        <v>74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46113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46132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46113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46137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46113</v>
      </c>
      <c r="T8" s="4" t="s">
        <v>64</v>
      </c>
      <c r="W8" s="42" t="s">
        <v>55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n">
        <f aca="false">IF(W8="RP",X8," ")</f>
        <v>4500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46140</v>
      </c>
      <c r="B9" s="2" t="s">
        <v>67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46117</v>
      </c>
      <c r="T9" s="4" t="s">
        <v>62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46127</v>
      </c>
      <c r="T10" s="4" t="s">
        <v>72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46131</v>
      </c>
      <c r="T11" s="4" t="s">
        <v>64</v>
      </c>
      <c r="W11" s="42" t="s">
        <v>55</v>
      </c>
      <c r="X11" s="6" t="n">
        <v>1673.2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1673.2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46137</v>
      </c>
      <c r="T12" s="4" t="s">
        <v>75</v>
      </c>
      <c r="W12" s="42" t="s">
        <v>51</v>
      </c>
      <c r="X12" s="6" t="n">
        <v>36000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36000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46140</v>
      </c>
      <c r="T13" s="4" t="s">
        <v>66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46142</v>
      </c>
      <c r="T14" s="4" t="s">
        <v>68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46142</v>
      </c>
      <c r="T15" s="4" t="s">
        <v>69</v>
      </c>
      <c r="W15" s="42" t="s">
        <v>50</v>
      </c>
      <c r="X15" s="6" t="n">
        <v>500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500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143052.43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26706.7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16129.7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151665.73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151665.73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46162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46149</v>
      </c>
      <c r="T6" s="4" t="s">
        <v>64</v>
      </c>
      <c r="W6" s="40" t="s">
        <v>55</v>
      </c>
      <c r="X6" s="6" t="n">
        <v>14456.5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n">
        <f aca="false">IF(W6="RP",X6," ")</f>
        <v>14456.5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46167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46143</v>
      </c>
      <c r="T7" s="4" t="s">
        <v>59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46170</v>
      </c>
      <c r="B8" s="2" t="s">
        <v>67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46143</v>
      </c>
      <c r="T8" s="4" t="s">
        <v>61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46147</v>
      </c>
      <c r="T9" s="4" t="s">
        <v>62</v>
      </c>
      <c r="W9" s="42" t="s">
        <v>51</v>
      </c>
      <c r="X9" s="6" t="n">
        <v>2400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2400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46161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46167</v>
      </c>
      <c r="T11" s="4" t="s">
        <v>70</v>
      </c>
      <c r="W11" s="42" t="s">
        <v>53</v>
      </c>
      <c r="X11" s="6" t="n">
        <v>25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46170</v>
      </c>
      <c r="T12" s="4" t="s">
        <v>66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46172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151665.73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13292.2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2273.2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171173.53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171173.53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46193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46174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46198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46174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46201</v>
      </c>
      <c r="B8" s="2" t="s">
        <v>67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46178</v>
      </c>
      <c r="T8" s="4" t="s">
        <v>62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46192</v>
      </c>
      <c r="T9" s="4" t="s">
        <v>64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46192</v>
      </c>
      <c r="T10" s="4" t="s">
        <v>64</v>
      </c>
      <c r="W10" s="42" t="s">
        <v>55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600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46201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46203</v>
      </c>
      <c r="T12" s="4" t="s">
        <v>71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46203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171173.53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15625.2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195988.33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195988.33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46218</v>
      </c>
      <c r="B6" s="2" t="s">
        <v>76</v>
      </c>
      <c r="E6" s="38" t="s">
        <v>49</v>
      </c>
      <c r="F6" s="6" t="n">
        <v>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f aca="false">IF(E6="DL",F6," ")</f>
        <v>5000</v>
      </c>
      <c r="Q6" s="6" t="str">
        <f aca="false">IF(E6="X",F6," ")</f>
        <v> </v>
      </c>
      <c r="R6" s="39"/>
      <c r="S6" s="1" t="n">
        <v>46204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46223</v>
      </c>
      <c r="B7" s="2" t="s">
        <v>58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46204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46228</v>
      </c>
      <c r="B8" s="2" t="s">
        <v>63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46208</v>
      </c>
      <c r="T8" s="4" t="s">
        <v>62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46231</v>
      </c>
      <c r="B9" s="2" t="s">
        <v>67</v>
      </c>
      <c r="E9" s="5" t="s">
        <v>43</v>
      </c>
      <c r="F9" s="6" t="n">
        <v>25040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25040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46218</v>
      </c>
      <c r="T9" s="4" t="s">
        <v>72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46222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46231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46234</v>
      </c>
      <c r="T12" s="4" t="s">
        <v>68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46234</v>
      </c>
      <c r="T13" s="4" t="s">
        <v>69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195988.33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23642.7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12590.7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206705.63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206705.63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46254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46241</v>
      </c>
      <c r="T6" s="4" t="s">
        <v>64</v>
      </c>
      <c r="W6" s="40" t="s">
        <v>55</v>
      </c>
      <c r="X6" s="6" t="n">
        <v>10917.5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n">
        <f aca="false">IF(W6="RP",X6," ")</f>
        <v>10917.5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46259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46235</v>
      </c>
      <c r="T7" s="4" t="s">
        <v>59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46262</v>
      </c>
      <c r="B8" s="2" t="s">
        <v>67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46235</v>
      </c>
      <c r="T8" s="4" t="s">
        <v>61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46239</v>
      </c>
      <c r="T9" s="4" t="s">
        <v>62</v>
      </c>
      <c r="W9" s="42" t="s">
        <v>51</v>
      </c>
      <c r="X9" s="6" t="n">
        <v>2900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2900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46253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46262</v>
      </c>
      <c r="T11" s="4" t="s">
        <v>68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46262</v>
      </c>
      <c r="T12" s="4" t="s">
        <v>66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206705.63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23250.2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204415.43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204415.43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46285</v>
      </c>
      <c r="B6" s="2" t="s">
        <v>58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46266</v>
      </c>
      <c r="T6" s="4" t="s">
        <v>59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46290</v>
      </c>
      <c r="B7" s="2" t="s">
        <v>63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46266</v>
      </c>
      <c r="T7" s="4" t="s">
        <v>61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46293</v>
      </c>
      <c r="B8" s="2" t="s">
        <v>67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46270</v>
      </c>
      <c r="T8" s="4" t="s">
        <v>62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46280</v>
      </c>
      <c r="T9" s="4" t="s">
        <v>77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46284</v>
      </c>
      <c r="T10" s="4" t="s">
        <v>64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46293</v>
      </c>
      <c r="T11" s="4" t="s">
        <v>66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46295</v>
      </c>
      <c r="T12" s="4" t="s">
        <v>71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46295</v>
      </c>
      <c r="T13" s="4" t="s">
        <v>68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46295</v>
      </c>
      <c r="T14" s="4" t="s">
        <v>72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