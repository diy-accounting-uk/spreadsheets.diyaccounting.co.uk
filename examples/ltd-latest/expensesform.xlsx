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 01" sheetId="1" state="visible" r:id="rId3"/>
    <sheet name="Month 02" sheetId="2" state="visible" r:id="rId4"/>
    <sheet name="Month 03" sheetId="3" state="visible" r:id="rId5"/>
    <sheet name="Month 04" sheetId="4" state="visible" r:id="rId6"/>
    <sheet name="Month 05" sheetId="5" state="visible" r:id="rId7"/>
    <sheet name="Month 06" sheetId="6" state="visible" r:id="rId8"/>
    <sheet name="Month 07" sheetId="7" state="visible" r:id="rId9"/>
    <sheet name="Month 08" sheetId="8" state="visible" r:id="rId10"/>
    <sheet name="Month 09" sheetId="9" state="visible" r:id="rId11"/>
    <sheet name="Month 10" sheetId="10" state="visible" r:id="rId12"/>
    <sheet name="Month 11" sheetId="11" state="visible" r:id="rId13"/>
    <sheet name="Month 12" sheetId="12" state="visible" r:id="rId14"/>
  </sheets>
  <definedNames>
    <definedName function="false" hidden="false" localSheetId="0" name="_xlnm.Print_Area" vbProcedure="false">'Month 01'!$A$1:$H$52</definedName>
    <definedName function="false" hidden="false" localSheetId="0" name="_xlnm_Print_Area" vbProcedure="false">'Month 01'!$A$1:$H$52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<sst xmlns="http://schemas.openxmlformats.org/spreadsheetml/2006/main" count="612" uniqueCount="43">
  <si>
    <t xml:space="preserve">EXPENSES CLAIM FORM</t>
  </si>
  <si>
    <t xml:space="preserve">Attach all receipts to support the claim for re-imbursement of business expenses incurred</t>
  </si>
  <si>
    <t xml:space="preserve">Enter X if vat registered leave blank if not registered or flat rate scheme</t>
  </si>
  <si>
    <t xml:space="preserve">x</t>
  </si>
  <si>
    <t xml:space="preserve">Name</t>
  </si>
  <si>
    <t xml:space="preserve">Vat rate applied</t>
  </si>
  <si>
    <t xml:space="preserve">Address</t>
  </si>
  <si>
    <t xml:space="preserve">Date From:</t>
  </si>
  <si>
    <t xml:space="preserve">Post Code</t>
  </si>
  <si>
    <t xml:space="preserve">Date To:</t>
  </si>
  <si>
    <t xml:space="preserve">Date</t>
  </si>
  <si>
    <t xml:space="preserve">Description of Expense</t>
  </si>
  <si>
    <t xml:space="preserve">Destination and Purpose</t>
  </si>
  <si>
    <t xml:space="preserve">Mileage</t>
  </si>
  <si>
    <t xml:space="preserve">Expense Type</t>
  </si>
  <si>
    <t xml:space="preserve">Total Claimed</t>
  </si>
  <si>
    <t xml:space="preserve">Vat</t>
  </si>
  <si>
    <t xml:space="preserve">Net Expense</t>
  </si>
  <si>
    <t xml:space="preserve">General Admin</t>
  </si>
  <si>
    <t xml:space="preserve">Hotel &amp; Travel</t>
  </si>
  <si>
    <t xml:space="preserve">Vehicle or Mileage</t>
  </si>
  <si>
    <t xml:space="preserve">Other Expenses</t>
  </si>
  <si>
    <t xml:space="preserve">TOTAL AMOUNT PAYABLE</t>
  </si>
  <si>
    <t xml:space="preserve">£ </t>
  </si>
  <si>
    <t xml:space="preserve">I confirm the amount claimed has been incurred solely on business and does not include travel expenses from </t>
  </si>
  <si>
    <t xml:space="preserve">home to normal place of work, personal or third party expenses</t>
  </si>
  <si>
    <t xml:space="preserve">Signed</t>
  </si>
  <si>
    <t xml:space="preserve">…………………………………………………………….</t>
  </si>
  <si>
    <t xml:space="preserve">…………………………….</t>
  </si>
  <si>
    <t xml:space="preserve">Payment Authorised By</t>
  </si>
  <si>
    <t xml:space="preserve">…………………………</t>
  </si>
  <si>
    <t xml:space="preserve">OFFICE USE: Accounting Summary</t>
  </si>
  <si>
    <t xml:space="preserve">Reference</t>
  </si>
  <si>
    <t xml:space="preserve">Exp01</t>
  </si>
  <si>
    <t xml:space="preserve">Entry Code Letter</t>
  </si>
  <si>
    <t xml:space="preserve">Total Purchases</t>
  </si>
  <si>
    <t xml:space="preserve">Vat Input</t>
  </si>
  <si>
    <t xml:space="preserve">Expense analysis</t>
  </si>
  <si>
    <t xml:space="preserve">G</t>
  </si>
  <si>
    <t xml:space="preserve">H</t>
  </si>
  <si>
    <t xml:space="preserve">V</t>
  </si>
  <si>
    <t xml:space="preserve">Manual analysis required of Other Expenses for accounts</t>
  </si>
  <si>
    <t xml:space="preserve">To be allocated manually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</si>
</sst>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dd\-mmm\-yy"/>
    <numFmt numFmtId="167" formatCode="0"/>
    <numFmt numFmtId="168" formatCode="#,##0.00"/>
    <numFmt numFmtId="169" formatCode="0.00_ ;[RED]\-0.00\ "/>
    <numFmt numFmtId="170" formatCode="0.00"/>
    <numFmt numFmtId="171" formatCode="dd/mm/yyyy"/>
    <numFmt numFmtId="172" formatCode="dd\-mmm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9"/>
      <name val="Arial"/>
      <family val="2"/>
      <charset val="1"/>
    </font>
    <font>
      <i val="true"/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center" textRotation="0" wrapText="true" indent="4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4" shrinkToFit="false"/>
      <protection locked="true" hidden="false"/>
    </xf>
    <xf numFmtId="166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/>
      <c r="C5" s="7"/>
      <c r="D5" s="7"/>
      <c r="F5" s="3" t="s">
        <v>5</v>
      </c>
      <c r="G5" s="3"/>
      <c r="H5" s="8" t="n">
        <v>20</v>
      </c>
    </row>
    <row r="6" customFormat="false" ht="15" hidden="false" customHeight="true" outlineLevel="0" collapsed="false">
      <c r="A6" s="1" t="s">
        <v>6</v>
      </c>
      <c r="B6" s="7"/>
      <c r="C6" s="7"/>
      <c r="D6" s="7"/>
      <c r="F6" s="1" t="s">
        <v>7</v>
      </c>
      <c r="G6" s="9" t="n">
        <v>45383</v>
      </c>
      <c r="H6" s="9"/>
    </row>
    <row r="7" customFormat="false" ht="15" hidden="false" customHeight="true" outlineLevel="0" collapsed="false">
      <c r="B7" s="10"/>
      <c r="C7" s="11" t="s">
        <v>8</v>
      </c>
      <c r="D7" s="7"/>
      <c r="F7" s="1" t="s">
        <v>9</v>
      </c>
      <c r="G7" s="9" t="n">
        <v>45412</v>
      </c>
      <c r="H7" s="9"/>
    </row>
    <row r="8" customFormat="false" ht="9.75" hidden="false" customHeight="true" outlineLevel="0" collapsed="false">
      <c r="G8" s="12"/>
    </row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25"/>
      <c r="H33" s="25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45412</v>
      </c>
      <c r="B44" s="6" t="str">
        <f aca="false">IF(B5&gt;0,B5," ")</f>
        <v> </v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true" verticalCentered="false"/>
  <pageMargins left="0" right="0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16" min="14" style="1" width="9.15"/>
    <col collapsed="false" customWidth="true" hidden="false" outlineLevel="0" max="17" min="17" style="1" width="9.82"/>
    <col collapsed="false" customWidth="false" hidden="false" outlineLevel="0" max="257" min="18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01'!B5:D5&gt;0,'Month 01'!B5:D5,"")</f>
        <v/>
      </c>
      <c r="C5" s="7"/>
      <c r="D5" s="7"/>
      <c r="F5" s="3" t="s">
        <v>5</v>
      </c>
      <c r="G5" s="3"/>
      <c r="H5" s="8" t="n">
        <f aca="false">'Month 01'!H5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01'!B6:D6&gt;0,'Month 01'!B6:D6,"")</f>
        <v/>
      </c>
      <c r="C6" s="7"/>
      <c r="D6" s="7"/>
      <c r="F6" s="1" t="s">
        <v>7</v>
      </c>
      <c r="G6" s="9" t="n">
        <f aca="false">DATE(YEAR('Month 01'!G6),MONTH('Month 01'!G6)+1,1)</f>
        <v>45413</v>
      </c>
      <c r="H6" s="9"/>
    </row>
    <row r="7" customFormat="false" ht="15" hidden="false" customHeight="true" outlineLevel="0" collapsed="false">
      <c r="B7" s="10" t="str">
        <f aca="false">IF('Month 01'!B7&gt;0,'Month 01'!B7,"")</f>
        <v/>
      </c>
      <c r="C7" s="11" t="s">
        <v>8</v>
      </c>
      <c r="D7" s="7" t="str">
        <f aca="false">IF('Month 01'!D7&gt;0,'Month 01'!D7,"")</f>
        <v/>
      </c>
      <c r="F7" s="1" t="s">
        <v>9</v>
      </c>
      <c r="G7" s="9" t="n">
        <f aca="false">DATE(YEAR(G6),MONTH(G6),DAY(DATE(YEAR(G6),MONTH(G6)+1,1)-1))</f>
        <v>45443</v>
      </c>
      <c r="H7" s="9"/>
      <c r="Q7" s="4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01'!C30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25"/>
      <c r="H33" s="25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45443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02'!B5:D5&gt;0,'Month 02'!B5:D5,"")</f>
        <v/>
      </c>
      <c r="C5" s="7"/>
      <c r="D5" s="7"/>
      <c r="F5" s="3" t="s">
        <v>5</v>
      </c>
      <c r="G5" s="3"/>
      <c r="H5" s="8" t="n">
        <f aca="false">'Month 02'!H5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02'!B6:D6&gt;0,'Month 02'!B6:D6,"")</f>
        <v/>
      </c>
      <c r="C6" s="7"/>
      <c r="D6" s="7"/>
      <c r="F6" s="1" t="s">
        <v>7</v>
      </c>
      <c r="G6" s="9" t="n">
        <f aca="false">DATE(YEAR('Month 02'!G6),MONTH('Month 02'!G6)+1,DAY('Month 02'!G6))</f>
        <v>45444</v>
      </c>
      <c r="H6" s="9"/>
    </row>
    <row r="7" customFormat="false" ht="15" hidden="false" customHeight="true" outlineLevel="0" collapsed="false">
      <c r="B7" s="10" t="str">
        <f aca="false">IF('Month 02'!B7&gt;0,'Month 02'!B7,"")</f>
        <v/>
      </c>
      <c r="C7" s="11" t="s">
        <v>8</v>
      </c>
      <c r="D7" s="7" t="str">
        <f aca="false">IF('Month 02'!D7&gt;0,'Month 02'!D7,"")</f>
        <v/>
      </c>
      <c r="F7" s="1" t="s">
        <v>9</v>
      </c>
      <c r="G7" s="9" t="n">
        <f aca="false">DATE(YEAR(G6),MONTH(G6),DAY(DATE(YEAR(G6),MONTH(G6)+1,1)-1))</f>
        <v>45473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02'!C30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25"/>
      <c r="H33" s="25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45473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03'!B5:D5&gt;0,'Month 03'!B5:D5,"")</f>
        <v/>
      </c>
      <c r="C5" s="7"/>
      <c r="D5" s="7"/>
      <c r="F5" s="3" t="s">
        <v>5</v>
      </c>
      <c r="G5" s="3"/>
      <c r="H5" s="8" t="n">
        <f aca="false">'Month 03'!H5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03'!B6:D6&gt;0,'Month 03'!B6:D6,"")</f>
        <v/>
      </c>
      <c r="C6" s="7"/>
      <c r="D6" s="7"/>
      <c r="F6" s="1" t="s">
        <v>7</v>
      </c>
      <c r="G6" s="9" t="n">
        <f aca="false">DATE(YEAR('Month 03'!G6),MONTH('Month 03'!G6)+1,1)</f>
        <v>45474</v>
      </c>
      <c r="H6" s="9"/>
    </row>
    <row r="7" customFormat="false" ht="15" hidden="false" customHeight="true" outlineLevel="0" collapsed="false">
      <c r="B7" s="10" t="str">
        <f aca="false">IF('Month 03'!B7&gt;0,'Month 03'!B7,"")</f>
        <v/>
      </c>
      <c r="C7" s="11" t="s">
        <v>8</v>
      </c>
      <c r="D7" s="7" t="str">
        <f aca="false">IF('Month 03'!D7&gt;0,'Month 03'!D7,"")</f>
        <v/>
      </c>
      <c r="F7" s="1" t="s">
        <v>9</v>
      </c>
      <c r="G7" s="9" t="n">
        <f aca="false">DATE(YEAR(G6),MONTH(G6),DAY(DATE(YEAR(G6),MONTH(G6)+1,1)-1))</f>
        <v>45504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03'!C30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25"/>
      <c r="H33" s="25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45504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04'!B5:D5&gt;0,'Month 04'!B5:D5,"")</f>
        <v/>
      </c>
      <c r="C5" s="7"/>
      <c r="D5" s="7"/>
      <c r="F5" s="3" t="s">
        <v>5</v>
      </c>
      <c r="G5" s="3"/>
      <c r="H5" s="8" t="n">
        <f aca="false">'Month 04'!H5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04'!B6:D6&gt;0,'Month 04'!B6:D6,"")</f>
        <v/>
      </c>
      <c r="C6" s="7"/>
      <c r="D6" s="7"/>
      <c r="F6" s="1" t="s">
        <v>7</v>
      </c>
      <c r="G6" s="9" t="n">
        <f aca="false">DATE(YEAR('Month 04'!G6),MONTH('Month 04'!G6)+1,1)</f>
        <v>45505</v>
      </c>
      <c r="H6" s="9"/>
    </row>
    <row r="7" customFormat="false" ht="15" hidden="false" customHeight="true" outlineLevel="0" collapsed="false">
      <c r="B7" s="10" t="str">
        <f aca="false">IF('Month 04'!B7&gt;0,'Month 04'!B7,"")</f>
        <v/>
      </c>
      <c r="C7" s="11" t="s">
        <v>8</v>
      </c>
      <c r="D7" s="7" t="str">
        <f aca="false">IF('Month 04'!D7&gt;0,'Month 04'!D7,"")</f>
        <v/>
      </c>
      <c r="F7" s="1" t="s">
        <v>9</v>
      </c>
      <c r="G7" s="9" t="n">
        <f aca="false">DATE(YEAR(G6),MONTH(G6),DAY(DATE(YEAR(G6),MONTH(G6)+1,1)-1))</f>
        <v>45535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04'!C30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45535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05'!B5:D5&gt;0,'Month 05'!B5:D5,"")</f>
        <v/>
      </c>
      <c r="C5" s="7"/>
      <c r="D5" s="7"/>
      <c r="F5" s="3" t="s">
        <v>5</v>
      </c>
      <c r="G5" s="3"/>
      <c r="H5" s="8" t="n">
        <f aca="false">'Month 05'!H5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05'!B6:D6&gt;0,'Month 05'!B6:D6,"")</f>
        <v/>
      </c>
      <c r="C6" s="7"/>
      <c r="D6" s="7"/>
      <c r="F6" s="1" t="s">
        <v>7</v>
      </c>
      <c r="G6" s="9" t="n">
        <f aca="false">DATE(YEAR('Month 05'!G6),MONTH('Month 05'!G6)+1,1)</f>
        <v>45536</v>
      </c>
      <c r="H6" s="9"/>
    </row>
    <row r="7" customFormat="false" ht="15" hidden="false" customHeight="true" outlineLevel="0" collapsed="false">
      <c r="B7" s="10" t="str">
        <f aca="false">IF('Month 05'!B7&gt;0,'Month 05'!B7,"")</f>
        <v/>
      </c>
      <c r="C7" s="11" t="s">
        <v>8</v>
      </c>
      <c r="D7" s="7" t="str">
        <f aca="false">IF('Month 05'!D7&gt;0,'Month 05'!D7,"")</f>
        <v/>
      </c>
      <c r="F7" s="1" t="s">
        <v>9</v>
      </c>
      <c r="G7" s="9" t="n">
        <f aca="false">DATE(YEAR(G6),MONTH(G6),DAY(DATE(YEAR(G6),MONTH(G6)+1,1)-1))</f>
        <v>45565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05'!C30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50"/>
      <c r="H33" s="50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45565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06'!B5:D5&gt;0,'Month 06'!B5:D5,"")</f>
        <v/>
      </c>
      <c r="C5" s="7"/>
      <c r="D5" s="7"/>
      <c r="F5" s="3" t="s">
        <v>5</v>
      </c>
      <c r="G5" s="3"/>
      <c r="H5" s="8" t="n">
        <f aca="false">'Month 06'!H5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06'!B6:D6&gt;0,'Month 06'!B6:D6,"")</f>
        <v/>
      </c>
      <c r="C6" s="7"/>
      <c r="D6" s="7"/>
      <c r="F6" s="1" t="s">
        <v>7</v>
      </c>
      <c r="G6" s="9" t="n">
        <f aca="false">DATE(YEAR('Month 06'!G6),MONTH('Month 06'!G6)+1,1)</f>
        <v>45566</v>
      </c>
      <c r="H6" s="9"/>
    </row>
    <row r="7" customFormat="false" ht="15" hidden="false" customHeight="true" outlineLevel="0" collapsed="false">
      <c r="B7" s="10" t="str">
        <f aca="false">IF('Month 06'!B7&gt;0,'Month 06'!B7,"")</f>
        <v/>
      </c>
      <c r="C7" s="11" t="s">
        <v>8</v>
      </c>
      <c r="D7" s="7" t="str">
        <f aca="false">IF('Month 06'!D7&gt;0,'Month 06'!D7,"")</f>
        <v/>
      </c>
      <c r="F7" s="1" t="s">
        <v>9</v>
      </c>
      <c r="G7" s="9" t="n">
        <f aca="false">DATE(YEAR(G6),MONTH(G6),DAY(DATE(YEAR(G6),MONTH(G6)+1,1)-1))</f>
        <v>45596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06'!C30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45596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07'!B5:D5&gt;0,'Month 07'!B5:D5,"")</f>
        <v/>
      </c>
      <c r="C5" s="7"/>
      <c r="D5" s="7"/>
      <c r="F5" s="3" t="s">
        <v>5</v>
      </c>
      <c r="G5" s="3"/>
      <c r="H5" s="8" t="n">
        <f aca="false">'Month 07'!H5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07'!B6:D6&gt;0,'Month 07'!B6:D6,"")</f>
        <v/>
      </c>
      <c r="C6" s="7"/>
      <c r="D6" s="7"/>
      <c r="F6" s="1" t="s">
        <v>7</v>
      </c>
      <c r="G6" s="9" t="n">
        <f aca="false">DATE(YEAR('Month 07'!G6),MONTH('Month 07'!G6)+1,1)</f>
        <v>45597</v>
      </c>
      <c r="H6" s="9"/>
    </row>
    <row r="7" customFormat="false" ht="15" hidden="false" customHeight="true" outlineLevel="0" collapsed="false">
      <c r="B7" s="10" t="str">
        <f aca="false">IF('Month 07'!B7&gt;0,'Month 07'!B7,"")</f>
        <v/>
      </c>
      <c r="C7" s="11" t="s">
        <v>8</v>
      </c>
      <c r="D7" s="7" t="str">
        <f aca="false">IF('Month 07'!D7&gt;0,'Month 07'!D7,"")</f>
        <v/>
      </c>
      <c r="F7" s="1" t="s">
        <v>9</v>
      </c>
      <c r="G7" s="9" t="n">
        <f aca="false">DATE(YEAR(G6),MONTH(G6),DAY(DATE(YEAR(G6),MONTH(G6)+1,1)-1))</f>
        <v>45626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07'!C30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45626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08'!B5:D5&gt;0,'Month 08'!B5:D5,"")</f>
        <v/>
      </c>
      <c r="C5" s="7"/>
      <c r="D5" s="7"/>
      <c r="F5" s="3" t="s">
        <v>5</v>
      </c>
      <c r="G5" s="3"/>
      <c r="H5" s="8" t="n">
        <f aca="false">'Month 08'!H5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08'!B6:D6&gt;0,'Month 08'!B6:D6,"")</f>
        <v/>
      </c>
      <c r="C6" s="7"/>
      <c r="D6" s="7"/>
      <c r="F6" s="1" t="s">
        <v>7</v>
      </c>
      <c r="G6" s="9" t="n">
        <f aca="false">DATE(YEAR('Month 08'!G6),MONTH('Month 08'!G6)+1,1)</f>
        <v>45627</v>
      </c>
      <c r="H6" s="9"/>
    </row>
    <row r="7" customFormat="false" ht="15" hidden="false" customHeight="true" outlineLevel="0" collapsed="false">
      <c r="B7" s="10" t="str">
        <f aca="false">IF('Month 08'!B7&gt;0,'Month 08'!B7,"")</f>
        <v/>
      </c>
      <c r="C7" s="11" t="s">
        <v>8</v>
      </c>
      <c r="D7" s="7" t="str">
        <f aca="false">IF('Month 08'!D7&gt;0,'Month 08'!D7,"")</f>
        <v/>
      </c>
      <c r="F7" s="1" t="s">
        <v>9</v>
      </c>
      <c r="G7" s="9" t="n">
        <f aca="false">DATE(YEAR(G6),MONTH(G6),DAY(DATE(YEAR(G6),MONTH(G6)+1,1)-1))</f>
        <v>45657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08'!C30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45657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09'!B5:D5&gt;0,'Month 09'!B5:D5,"")</f>
        <v/>
      </c>
      <c r="C5" s="7"/>
      <c r="D5" s="7"/>
      <c r="F5" s="3" t="s">
        <v>5</v>
      </c>
      <c r="G5" s="3"/>
      <c r="H5" s="8" t="n">
        <f aca="false">'Month 09'!H5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09'!B6:D6&gt;0,'Month 09'!B6:D6,"")</f>
        <v/>
      </c>
      <c r="C6" s="7"/>
      <c r="D6" s="7"/>
      <c r="F6" s="1" t="s">
        <v>7</v>
      </c>
      <c r="G6" s="9" t="n">
        <f aca="false">DATE(YEAR('Month 09'!G6),MONTH('Month 09'!G6)+1,1)</f>
        <v>45658</v>
      </c>
      <c r="H6" s="9"/>
    </row>
    <row r="7" customFormat="false" ht="15" hidden="false" customHeight="true" outlineLevel="0" collapsed="false">
      <c r="B7" s="10" t="str">
        <f aca="false">IF('Month 09'!B7&gt;0,'Month 09'!B7,"")</f>
        <v/>
      </c>
      <c r="C7" s="11" t="s">
        <v>8</v>
      </c>
      <c r="D7" s="7" t="str">
        <f aca="false">IF('Month 09'!D7&gt;0,'Month 09'!D7,"")</f>
        <v/>
      </c>
      <c r="F7" s="1" t="s">
        <v>9</v>
      </c>
      <c r="G7" s="9" t="n">
        <f aca="false">DATE(YEAR(G6),MONTH(G6),DAY(DATE(YEAR(G6),MONTH(G6)+1,1)-1))</f>
        <v>45688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09'!C30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45688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10'!B5:D5&gt;0,'Month 10'!B5:D5,"")</f>
        <v/>
      </c>
      <c r="C5" s="7"/>
      <c r="D5" s="7"/>
      <c r="F5" s="3" t="s">
        <v>5</v>
      </c>
      <c r="G5" s="3"/>
      <c r="H5" s="8" t="n">
        <f aca="false">'Month 10'!H5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10'!B6:D6&gt;0,'Month 10'!B6:D6,"")</f>
        <v/>
      </c>
      <c r="C6" s="7"/>
      <c r="D6" s="7"/>
      <c r="F6" s="1" t="s">
        <v>7</v>
      </c>
      <c r="G6" s="9" t="n">
        <f aca="false">DATE(YEAR('Month 10'!G6),MONTH('Month 10'!G6)+1,1)</f>
        <v>45689</v>
      </c>
      <c r="H6" s="9"/>
    </row>
    <row r="7" customFormat="false" ht="15" hidden="false" customHeight="true" outlineLevel="0" collapsed="false">
      <c r="B7" s="10" t="str">
        <f aca="false">IF('Month 10'!B7&gt;0,'Month 10'!B7,"")</f>
        <v/>
      </c>
      <c r="C7" s="11" t="s">
        <v>8</v>
      </c>
      <c r="D7" s="7" t="str">
        <f aca="false">IF('Month 10'!D7&gt;0,'Month 10'!D7,"")</f>
        <v/>
      </c>
      <c r="F7" s="1" t="s">
        <v>9</v>
      </c>
      <c r="G7" s="9" t="n">
        <f aca="false">DATE(YEAR(G6),MONTH(G6),DAY(DATE(YEAR(G6),MONTH(G6)+1,1)-1))</f>
        <v>45716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10'!C30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45716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customHeight="true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11'!B5:D5&gt;0,'Month 11'!B5:D5,"")</f>
        <v/>
      </c>
      <c r="C5" s="7"/>
      <c r="D5" s="7"/>
      <c r="F5" s="3" t="s">
        <v>5</v>
      </c>
      <c r="G5" s="3"/>
      <c r="H5" s="8" t="n">
        <f aca="false">'Month 11'!H5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11'!B6:D6&gt;0,'Month 11'!B6:D6,"")</f>
        <v/>
      </c>
      <c r="C6" s="7"/>
      <c r="D6" s="7"/>
      <c r="F6" s="1" t="s">
        <v>7</v>
      </c>
      <c r="G6" s="9" t="n">
        <f aca="false">DATE(YEAR('Month 11'!G6),MONTH('Month 11'!G6)+1,1)</f>
        <v>45717</v>
      </c>
      <c r="H6" s="9"/>
    </row>
    <row r="7" customFormat="false" ht="15" hidden="false" customHeight="true" outlineLevel="0" collapsed="false">
      <c r="B7" s="10" t="str">
        <f aca="false">IF('Month 11'!B7&gt;0,'Month 11'!B7,"")</f>
        <v/>
      </c>
      <c r="C7" s="11" t="s">
        <v>8</v>
      </c>
      <c r="D7" s="7" t="str">
        <f aca="false">IF('Month 11'!D7&gt;0,'Month 11'!D7,"")</f>
        <v/>
      </c>
      <c r="F7" s="1" t="s">
        <v>9</v>
      </c>
      <c r="G7" s="9" t="n">
        <f aca="false">DATE(YEAR(G6),MONTH(G6),DAY(DATE(YEAR(G6),MONTH(G6)+1,1)-1))</f>
        <v>45747</v>
      </c>
      <c r="H7" s="9"/>
    </row>
    <row r="8" customFormat="false" ht="9.75" hidden="false" customHeight="true" outlineLevel="0" collapsed="false"/>
    <row r="9" customFormat="fals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I9" s="14"/>
      <c r="J9" s="14" t="s">
        <v>18</v>
      </c>
      <c r="K9" s="14" t="s">
        <v>19</v>
      </c>
      <c r="L9" s="14" t="s">
        <v>20</v>
      </c>
      <c r="M9" s="14" t="s">
        <v>21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55p</v>
      </c>
      <c r="C30" s="20" t="n">
        <f aca="false">'Month 11'!C30</f>
        <v>0.55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45747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2008-11-16T13:05:06Z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2008-12-17T15:51:17Z</cp:lastPrinted>
  <dcterms:modified xsi:type="dcterms:W3CDTF">2024-04-02T19:08:36Z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