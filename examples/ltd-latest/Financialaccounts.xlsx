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<sst xmlns="http://schemas.openxmlformats.org/spreadsheetml/2006/main" count="1036" uniqueCount="633">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</sst>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11740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3000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46037</v>
          </cell>
          <cell r="C68" t="str">
            <v>IKEA</v>
          </cell>
        </row>
        <row r="68">
          <cell r="E68">
            <v>1000</v>
          </cell>
        </row>
        <row r="68">
          <cell r="Q68">
            <v>1000</v>
          </cell>
        </row>
        <row r="69">
          <cell r="B69">
            <v>46137</v>
          </cell>
          <cell r="C69" t="str">
            <v>Ford</v>
          </cell>
        </row>
        <row r="69">
          <cell r="E69">
            <v>30000</v>
          </cell>
        </row>
        <row r="69">
          <cell r="Q69">
            <v>30000</v>
          </cell>
        </row>
        <row r="75">
          <cell r="E75">
            <v>32500</v>
          </cell>
        </row>
        <row r="75">
          <cell r="I75">
            <v>3250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32500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1509.5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829.166666666667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15153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4301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12478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12403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250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20053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6301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36020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12253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11961</v>
          </cell>
          <cell r="Y1">
            <v>0</v>
          </cell>
          <cell r="Z1">
            <v>0</v>
          </cell>
          <cell r="AA1">
            <v>0</v>
          </cell>
          <cell r="AB1">
            <v>3600</v>
          </cell>
          <cell r="AC1">
            <v>5652</v>
          </cell>
          <cell r="AD1">
            <v>208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59853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9201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12078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13120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2101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41940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15453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12553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23078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100</v>
          </cell>
        </row>
        <row r="3">
          <cell r="G3">
            <v>100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45702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E15</f>
        <v>10000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-10000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10000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10000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10000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10000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10000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32500</v>
      </c>
      <c r="EI7" s="54"/>
      <c r="EJ7" s="36" t="n">
        <f aca="false">SUM(EF7:EH7)</f>
        <v>32500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-270.833333333333</v>
      </c>
      <c r="N12" s="57"/>
      <c r="O12" s="36" t="n">
        <f aca="false">SUM(D12:N12)</f>
        <v>-270.833333333333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-270.833333333333</v>
      </c>
      <c r="Y12" s="54"/>
      <c r="Z12" s="36" t="n">
        <f aca="false">SUM(O12:Y12)</f>
        <v>-541.666666666667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-270.833333333333</v>
      </c>
      <c r="AJ12" s="54"/>
      <c r="AK12" s="36" t="n">
        <f aca="false">SUM(Z12:AJ12)</f>
        <v>-812.5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-270.833333333333</v>
      </c>
      <c r="AU12" s="54"/>
      <c r="AV12" s="36" t="n">
        <f aca="false">SUM(AK12:AU12)</f>
        <v>-1083.33333333333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-270.833333333333</v>
      </c>
      <c r="BF12" s="54"/>
      <c r="BG12" s="36" t="n">
        <f aca="false">SUM(AV12:BF12)</f>
        <v>-1354.16666666667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-270.833333333333</v>
      </c>
      <c r="BQ12" s="54"/>
      <c r="BR12" s="36" t="n">
        <f aca="false">SUM(BG12:BQ12)</f>
        <v>-1625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-270.833333333333</v>
      </c>
      <c r="CB12" s="54"/>
      <c r="CC12" s="36" t="n">
        <f aca="false">SUM(BR12:CB12)</f>
        <v>-1895.83333333333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-270.833333333333</v>
      </c>
      <c r="CM12" s="54"/>
      <c r="CN12" s="36" t="n">
        <f aca="false">SUM(CC12:CM12)</f>
        <v>-2166.66666666667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-270.833333333333</v>
      </c>
      <c r="CX12" s="54"/>
      <c r="CY12" s="36" t="n">
        <f aca="false">SUM(CN12:CX12)</f>
        <v>-2437.5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-270.833333333333</v>
      </c>
      <c r="DI12" s="54"/>
      <c r="DJ12" s="36" t="n">
        <f aca="false">SUM(CY12:DI12)</f>
        <v>-2708.33333333333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-270.833333333333</v>
      </c>
      <c r="DT12" s="54"/>
      <c r="DU12" s="36" t="n">
        <f aca="false">SUM(DJ12:DT12)</f>
        <v>-2979.16666666667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-270.833333333333</v>
      </c>
      <c r="EE12" s="54"/>
      <c r="EF12" s="36" t="n">
        <f aca="false">SUM(DU12:EE12)</f>
        <v>-3250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-3250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2500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2500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32500</v>
      </c>
      <c r="EG16" s="54"/>
      <c r="EH16" s="36" t="n">
        <f aca="false">-[1]Schedule!$E$110</f>
        <v>-32500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10000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10000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10000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10000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10000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10000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10000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10000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10000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10000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10000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-4000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-36020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10400</v>
      </c>
      <c r="EG20" s="54"/>
      <c r="EI20" s="54"/>
      <c r="EJ20" s="36" t="n">
        <f aca="false">SUM(EF20:EH20)</f>
        <v>10400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29047</v>
      </c>
      <c r="I22" s="36"/>
      <c r="J22" s="36"/>
      <c r="K22" s="36"/>
      <c r="L22" s="36"/>
      <c r="N22" s="57"/>
      <c r="O22" s="36" t="n">
        <f aca="false">SUM(D22:N22)</f>
        <v>54047</v>
      </c>
      <c r="P22" s="57"/>
      <c r="Q22" s="36"/>
      <c r="R22" s="36"/>
      <c r="S22" s="36" t="n">
        <f aca="false">[4]Nov!$F$1-[4]Nov!$X$1</f>
        <v>20442</v>
      </c>
      <c r="T22" s="36"/>
      <c r="U22" s="36"/>
      <c r="V22" s="36"/>
      <c r="W22" s="36"/>
      <c r="X22" s="36"/>
      <c r="Y22" s="54"/>
      <c r="Z22" s="36" t="n">
        <f aca="false">SUM(O22:Y22)</f>
        <v>74489</v>
      </c>
      <c r="AA22" s="57"/>
      <c r="AB22" s="36"/>
      <c r="AC22" s="36"/>
      <c r="AD22" s="36" t="n">
        <f aca="false">[4]Dec!$F$1-[4]Dec!$X$1</f>
        <v>22797</v>
      </c>
      <c r="AE22" s="36"/>
      <c r="AF22" s="36"/>
      <c r="AG22" s="36"/>
      <c r="AH22" s="36"/>
      <c r="AI22" s="36"/>
      <c r="AJ22" s="54"/>
      <c r="AK22" s="36" t="n">
        <f aca="false">SUM(Z22:AJ22)</f>
        <v>97286</v>
      </c>
      <c r="AL22" s="57"/>
      <c r="AM22" s="36"/>
      <c r="AN22" s="36"/>
      <c r="AO22" s="36" t="n">
        <f aca="false">[4]Jan!$F$1-[4]Jan!$X$1</f>
        <v>13707</v>
      </c>
      <c r="AP22" s="36"/>
      <c r="AQ22" s="36"/>
      <c r="AR22" s="36"/>
      <c r="AS22" s="36"/>
      <c r="AT22" s="36"/>
      <c r="AU22" s="54"/>
      <c r="AV22" s="36" t="n">
        <f aca="false">SUM(AK22:AU22)</f>
        <v>110993</v>
      </c>
      <c r="AW22" s="57"/>
      <c r="AX22" s="36"/>
      <c r="AY22" s="36"/>
      <c r="AZ22" s="36" t="n">
        <f aca="false">[4]Feb!$F$1-[4]Feb!$X$1</f>
        <v>26267</v>
      </c>
      <c r="BA22" s="36"/>
      <c r="BB22" s="36"/>
      <c r="BC22" s="36"/>
      <c r="BD22" s="36"/>
      <c r="BE22" s="36"/>
      <c r="BF22" s="54"/>
      <c r="BG22" s="36" t="n">
        <f aca="false">SUM(AV22:BF22)</f>
        <v>137260</v>
      </c>
      <c r="BH22" s="57"/>
      <c r="BI22" s="36"/>
      <c r="BJ22" s="36"/>
      <c r="BK22" s="36" t="n">
        <f aca="false">[4]Mar!$F$1-[4]Mar!$X$1</f>
        <v>21799</v>
      </c>
      <c r="BL22" s="36"/>
      <c r="BM22" s="36"/>
      <c r="BN22" s="36"/>
      <c r="BO22" s="36"/>
      <c r="BP22" s="36"/>
      <c r="BQ22" s="54"/>
      <c r="BR22" s="36" t="n">
        <f aca="false">SUM(BG22:BQ22)</f>
        <v>159059</v>
      </c>
      <c r="BS22" s="57"/>
      <c r="BT22" s="36"/>
      <c r="BU22" s="36"/>
      <c r="BV22" s="36" t="n">
        <f aca="false">[4]Apr!$F$1-[4]Apr!$X$1</f>
        <v>-9293</v>
      </c>
      <c r="BW22" s="36"/>
      <c r="BX22" s="36"/>
      <c r="BY22" s="36"/>
      <c r="BZ22" s="36"/>
      <c r="CA22" s="36"/>
      <c r="CB22" s="54"/>
      <c r="CC22" s="36" t="n">
        <f aca="false">SUM(BR22:CB22)</f>
        <v>149766</v>
      </c>
      <c r="CD22" s="57"/>
      <c r="CE22" s="36"/>
      <c r="CF22" s="36"/>
      <c r="CG22" s="36" t="n">
        <f aca="false">[4]May!$F$1-[4]May!$X$1</f>
        <v>23242</v>
      </c>
      <c r="CH22" s="36"/>
      <c r="CI22" s="36"/>
      <c r="CJ22" s="36"/>
      <c r="CK22" s="36"/>
      <c r="CL22" s="36"/>
      <c r="CM22" s="54"/>
      <c r="CN22" s="36" t="n">
        <f aca="false">SUM(CC22:CM22)</f>
        <v>173008</v>
      </c>
      <c r="CO22" s="57"/>
      <c r="CP22" s="36"/>
      <c r="CQ22" s="36"/>
      <c r="CR22" s="36" t="n">
        <f aca="false">[4]Jun!$F$1-[4]Jun!$X$1</f>
        <v>19680</v>
      </c>
      <c r="CS22" s="36"/>
      <c r="CT22" s="36"/>
      <c r="CU22" s="36"/>
      <c r="CV22" s="36"/>
      <c r="CW22" s="36"/>
      <c r="CX22" s="54"/>
      <c r="CY22" s="36" t="n">
        <f aca="false">SUM(CN22:CX22)</f>
        <v>192688</v>
      </c>
      <c r="CZ22" s="57"/>
      <c r="DA22" s="36"/>
      <c r="DB22" s="36"/>
      <c r="DC22" s="36" t="n">
        <f aca="false">[4]Jul!$F$1-[4]Jul!$X$1</f>
        <v>26487</v>
      </c>
      <c r="DD22" s="36"/>
      <c r="DE22" s="36"/>
      <c r="DF22" s="36"/>
      <c r="DG22" s="36"/>
      <c r="DH22" s="36"/>
      <c r="DI22" s="54"/>
      <c r="DJ22" s="36" t="n">
        <f aca="false">SUM(CY22:DI22)</f>
        <v>219175</v>
      </c>
      <c r="DK22" s="57"/>
      <c r="DL22" s="36"/>
      <c r="DM22" s="36"/>
      <c r="DN22" s="36" t="n">
        <f aca="false">[4]Aug!$F$1-[4]Aug!$X$1</f>
        <v>21807</v>
      </c>
      <c r="DO22" s="36"/>
      <c r="DP22" s="36"/>
      <c r="DQ22" s="36"/>
      <c r="DR22" s="36"/>
      <c r="DS22" s="36"/>
      <c r="DT22" s="54"/>
      <c r="DU22" s="36" t="n">
        <f aca="false">SUM(DJ22:DT22)</f>
        <v>240982</v>
      </c>
      <c r="DV22" s="57"/>
      <c r="DW22" s="36"/>
      <c r="DX22" s="36"/>
      <c r="DY22" s="36" t="n">
        <f aca="false">[4]Sep!$F$1-[4]Sep!$X$1</f>
        <v>-2118</v>
      </c>
      <c r="DZ22" s="36"/>
      <c r="EA22" s="36"/>
      <c r="EB22" s="36"/>
      <c r="EC22" s="36"/>
      <c r="ED22" s="36"/>
      <c r="EE22" s="54"/>
      <c r="EF22" s="36" t="n">
        <f aca="false">SUM(DU22:EE22)</f>
        <v>238864</v>
      </c>
      <c r="EG22" s="54"/>
      <c r="EI22" s="54"/>
      <c r="EJ22" s="36" t="n">
        <f aca="false">SUM(EF22:EH22)</f>
        <v>238864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-9057</v>
      </c>
      <c r="AD28" s="36" t="n">
        <f aca="false">[4]Dec!$AB$1</f>
        <v>4000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-10723.25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-15982.5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-16287.75</v>
      </c>
      <c r="BH28" s="57"/>
      <c r="BI28" s="36"/>
      <c r="BJ28" s="36" t="n">
        <f aca="false">-[2]Mar!$F$1+[2]Mar!$AK$1</f>
        <v>-4975</v>
      </c>
      <c r="BK28" s="36" t="n">
        <f aca="false">[4]Mar!$AB$1</f>
        <v>3600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-17644.75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-20030.5</v>
      </c>
      <c r="CD28" s="57"/>
      <c r="CE28" s="36"/>
      <c r="CF28" s="36" t="n">
        <f aca="false">-[2]May!$F$1+[2]May!$AK$1</f>
        <v>-6918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-23048.5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-28250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-28761.25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-28517.75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-28432.25</v>
      </c>
      <c r="EG28" s="54"/>
      <c r="EH28" s="36" t="n">
        <f aca="false">[1]HPfinance!$E$2</f>
        <v>0</v>
      </c>
      <c r="EI28" s="54"/>
      <c r="EJ28" s="36" t="n">
        <f aca="false">SUM(EF28:EH28)</f>
        <v>-28432.25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-0</v>
      </c>
      <c r="EI31" s="54"/>
      <c r="EJ31" s="36" t="n">
        <f aca="false">SUM(EF31:EH31)</f>
        <v>15000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-10638.9583333333</v>
      </c>
      <c r="AA33" s="57"/>
      <c r="AB33" s="36" t="n">
        <f aca="false">-[3]Dec!$G$1</f>
        <v>-5866.66666666667</v>
      </c>
      <c r="AC33" s="36" t="n">
        <f aca="false">[2]Dec!$G$1</f>
        <v>1509.5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-14996.125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-19112.9166666667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-26882.0416666667</v>
      </c>
      <c r="BH33" s="57"/>
      <c r="BI33" s="36" t="n">
        <f aca="false">-[3]Mar!$G$1</f>
        <v>-5626.66666666667</v>
      </c>
      <c r="BJ33" s="36" t="n">
        <f aca="false">[2]Mar!$G$1</f>
        <v>829.166666666667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-31679.5416666667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-32938.5833333333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-37672.25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-41563.6666666667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-1500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-48218.4583333334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-53212.375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-57817.9583333334</v>
      </c>
      <c r="EG33" s="54"/>
      <c r="EI33" s="54"/>
      <c r="EJ33" s="36" t="n">
        <f aca="false">SUM(EF33:EH33)</f>
        <v>-57817.9583333334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4301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2627.8</v>
      </c>
      <c r="P34" s="57"/>
      <c r="Q34" s="36"/>
      <c r="R34" s="36"/>
      <c r="S34" s="36" t="n">
        <f aca="false">[4]Nov!$AH$1</f>
        <v>1501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2455.6</v>
      </c>
      <c r="AA34" s="57"/>
      <c r="AB34" s="36"/>
      <c r="AC34" s="36"/>
      <c r="AD34" s="36" t="n">
        <f aca="false">[4]Dec!$AH$1</f>
        <v>1501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2283.4</v>
      </c>
      <c r="AL34" s="57"/>
      <c r="AM34" s="36"/>
      <c r="AN34" s="36"/>
      <c r="AO34" s="36" t="n">
        <f aca="false">[4]Jan!$AH$1</f>
        <v>6301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6911.2</v>
      </c>
      <c r="AW34" s="57"/>
      <c r="AX34" s="36"/>
      <c r="AY34" s="36"/>
      <c r="AZ34" s="36" t="n">
        <f aca="false">[4]Feb!$AH$1</f>
        <v>1501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6739</v>
      </c>
      <c r="BH34" s="57"/>
      <c r="BI34" s="36"/>
      <c r="BJ34" s="36"/>
      <c r="BK34" s="36" t="n">
        <f aca="false">[4]Mar!$AH$1</f>
        <v>1501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6566.8</v>
      </c>
      <c r="BS34" s="57"/>
      <c r="BT34" s="36"/>
      <c r="BU34" s="36"/>
      <c r="BV34" s="36" t="n">
        <f aca="false">[4]Apr!$AH$1</f>
        <v>9201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14094.6</v>
      </c>
      <c r="CD34" s="57"/>
      <c r="CE34" s="36"/>
      <c r="CF34" s="36"/>
      <c r="CG34" s="36" t="n">
        <f aca="false">[4]May!$AH$1</f>
        <v>1501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13922.4</v>
      </c>
      <c r="CO34" s="57"/>
      <c r="CP34" s="36"/>
      <c r="CQ34" s="36"/>
      <c r="CR34" s="36" t="n">
        <f aca="false">[4]Jun!$AH$1</f>
        <v>2101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14350.2</v>
      </c>
      <c r="CZ34" s="57"/>
      <c r="DA34" s="36"/>
      <c r="DB34" s="36"/>
      <c r="DC34" s="36" t="n">
        <f aca="false">[4]Jul!$AH$1</f>
        <v>1501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14178</v>
      </c>
      <c r="DK34" s="57"/>
      <c r="DL34" s="36"/>
      <c r="DM34" s="36"/>
      <c r="DN34" s="36" t="n">
        <f aca="false">[4]Aug!$AH$1</f>
        <v>1501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14005.8</v>
      </c>
      <c r="DV34" s="57"/>
      <c r="DW34" s="36"/>
      <c r="DX34" s="36"/>
      <c r="DY34" s="36" t="n">
        <f aca="false">[4]Sep!$AH$1</f>
        <v>1501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13833.6</v>
      </c>
      <c r="EG34" s="54"/>
      <c r="EI34" s="54"/>
      <c r="EJ34" s="36" t="n">
        <f aca="false">SUM(EF34:EH34)</f>
        <v>13833.6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-4500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-4500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-4500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-4500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-4500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-28028.7805895061</v>
      </c>
      <c r="EE35" s="54"/>
      <c r="EF35" s="36" t="n">
        <f aca="false">SUM(DU35:EE35)</f>
        <v>-32528.7805895061</v>
      </c>
      <c r="EG35" s="54"/>
      <c r="EH35" s="36" t="n">
        <f aca="false">-EH58</f>
        <v>64.5061728395062</v>
      </c>
      <c r="EI35" s="54"/>
      <c r="EJ35" s="36" t="n">
        <f aca="false">SUM(EF35:EH35)</f>
        <v>-32464.2744166666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-45702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-45702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-45702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-45702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-45702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-45702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-45702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-45702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-45702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-45702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-45702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-45702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-45702</v>
      </c>
      <c r="EG43" s="54"/>
      <c r="EH43" s="36" t="n">
        <f aca="false">-'PubP&amp;L'!F54</f>
        <v>-149251.11725</v>
      </c>
      <c r="EI43" s="54"/>
      <c r="EJ43" s="36" t="n">
        <f aca="false">SUM(EF43:EH43)</f>
        <v>-194953.11725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28028.7805895061</v>
      </c>
      <c r="EE47" s="54"/>
      <c r="EF47" s="36" t="n">
        <f aca="false">SUM(DU47:EE47)</f>
        <v>28028.7805895061</v>
      </c>
      <c r="EG47" s="54"/>
      <c r="EI47" s="54"/>
      <c r="EJ47" s="36" t="n">
        <f aca="false">SUM(EF47:EH47)</f>
        <v>28028.7805895061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149251.11725</v>
      </c>
      <c r="EI49" s="54"/>
      <c r="EJ49" s="36" t="n">
        <f aca="false">SUM(EF49:EH49)</f>
        <v>149251.11725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500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1100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1400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2000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2450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2650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3050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3750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4150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4650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5200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4000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310</v>
      </c>
      <c r="BH83" s="57"/>
      <c r="BI83" s="36"/>
      <c r="BJ83" s="36"/>
      <c r="BK83" s="36" t="n">
        <f aca="false">[4]Mar!$AD$1</f>
        <v>208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518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518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543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710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710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710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835</v>
      </c>
      <c r="EG83" s="54"/>
      <c r="EI83" s="54"/>
      <c r="EJ83" s="36" t="n">
        <f aca="false">SUM(EF83:EH83)</f>
        <v>835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978.333333333333</v>
      </c>
      <c r="N87" s="57"/>
      <c r="O87" s="36" t="n">
        <f aca="false">SUM(D87:N87)</f>
        <v>978.333333333333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978.333333333333</v>
      </c>
      <c r="Y87" s="54"/>
      <c r="Z87" s="36" t="n">
        <f aca="false">SUM(O87:Y87)</f>
        <v>1956.66666666667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978.333333333333</v>
      </c>
      <c r="AJ87" s="54"/>
      <c r="AK87" s="36" t="n">
        <f aca="false">SUM(Z87:AJ87)</f>
        <v>2935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978.333333333333</v>
      </c>
      <c r="AU87" s="54"/>
      <c r="AV87" s="36" t="n">
        <f aca="false">SUM(AK87:AU87)</f>
        <v>3913.33333333333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978.333333333333</v>
      </c>
      <c r="BF87" s="54"/>
      <c r="BG87" s="36" t="n">
        <f aca="false">SUM(AV87:BF87)</f>
        <v>4891.66666666667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978.333333333333</v>
      </c>
      <c r="BQ87" s="54"/>
      <c r="BR87" s="36" t="n">
        <f aca="false">SUM(BG87:BQ87)</f>
        <v>5870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978.333333333333</v>
      </c>
      <c r="CB87" s="54"/>
      <c r="CC87" s="36" t="n">
        <f aca="false">SUM(BR87:CB87)</f>
        <v>6848.33333333333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978.333333333333</v>
      </c>
      <c r="CM87" s="54"/>
      <c r="CN87" s="36" t="n">
        <f aca="false">SUM(CC87:CM87)</f>
        <v>7826.66666666667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978.333333333333</v>
      </c>
      <c r="CX87" s="54"/>
      <c r="CY87" s="36" t="n">
        <f aca="false">SUM(CN87:CX87)</f>
        <v>8805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978.333333333333</v>
      </c>
      <c r="DI87" s="54"/>
      <c r="DJ87" s="36" t="n">
        <f aca="false">SUM(CY87:DI87)</f>
        <v>9783.33333333333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978.333333333333</v>
      </c>
      <c r="DT87" s="54"/>
      <c r="DU87" s="36" t="n">
        <f aca="false">SUM(DJ87:DT87)</f>
        <v>10761.6666666667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978.333333333333</v>
      </c>
      <c r="EE87" s="54"/>
      <c r="EF87" s="36" t="n">
        <f aca="false">SUM(DU87:EE87)</f>
        <v>11740</v>
      </c>
      <c r="EG87" s="54"/>
      <c r="EI87" s="54"/>
      <c r="EJ87" s="36" t="n">
        <f aca="false">SUM(EF87:EH87)</f>
        <v>11740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3.09228198602796E-011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6.24140739091672E-011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9.7998054116033E-011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1.28466126625426E-010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1.69166014529765E-010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1.98951966012828E-010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2.43517206399702E-010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2.56477505899966E-010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2.73303157882765E-010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2.86945578409359E-010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3.0036062526051E-010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3.16504156216979E-010</v>
      </c>
      <c r="EG91" s="54"/>
      <c r="EH91" s="36" t="n">
        <f aca="false">SUM(EH4:EH90)</f>
        <v>0</v>
      </c>
      <c r="EI91" s="54"/>
      <c r="EJ91" s="36" t="n">
        <f aca="false">SUM(EJ4:EJ90)</f>
        <v>3.19232640322298E-010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500</v>
      </c>
      <c r="D11" s="72" t="n">
        <f aca="false">TrialBalance!Z60-C11</f>
        <v>600</v>
      </c>
      <c r="E11" s="72" t="n">
        <f aca="false">TrialBalance!AK60-SUM(C11:D11)</f>
        <v>300</v>
      </c>
      <c r="F11" s="72" t="n">
        <f aca="false">TrialBalance!AV60-SUM(C11:E11)</f>
        <v>600</v>
      </c>
      <c r="G11" s="72" t="n">
        <f aca="false">TrialBalance!BG60-SUM(C11:F11)</f>
        <v>450</v>
      </c>
      <c r="H11" s="72" t="n">
        <f aca="false">TrialBalance!BR60-SUM(C11:G11)</f>
        <v>200</v>
      </c>
      <c r="I11" s="72" t="n">
        <f aca="false">TrialBalance!CC60-SUM(C11:H11)</f>
        <v>400</v>
      </c>
      <c r="J11" s="72" t="n">
        <f aca="false">TrialBalance!CN60-SUM(C11:I11)</f>
        <v>700</v>
      </c>
      <c r="K11" s="72" t="n">
        <f aca="false">TrialBalance!CY60-SUM(C11:J11)</f>
        <v>400</v>
      </c>
      <c r="L11" s="72" t="n">
        <f aca="false">TrialBalance!DJ60-SUM(C11:K11)</f>
        <v>500</v>
      </c>
      <c r="M11" s="72" t="n">
        <f aca="false">TrialBalance!DU60-SUM(C11:L11)</f>
        <v>550</v>
      </c>
      <c r="N11" s="72" t="n">
        <f aca="false">TrialBalance!EF60-SUM(C11:M11)</f>
        <v>4250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737.5</v>
      </c>
      <c r="D14" s="71" t="n">
        <f aca="false">SUM(D11:D13)</f>
        <v>807.5</v>
      </c>
      <c r="E14" s="71" t="n">
        <f aca="false">SUM(E11:E13)</f>
        <v>4704.16666666667</v>
      </c>
      <c r="F14" s="71" t="n">
        <f aca="false">SUM(F11:F13)</f>
        <v>807.5</v>
      </c>
      <c r="G14" s="71" t="n">
        <f aca="false">SUM(G11:G13)</f>
        <v>687.5</v>
      </c>
      <c r="H14" s="71" t="n">
        <f aca="false">SUM(H11:H13)</f>
        <v>407.5</v>
      </c>
      <c r="I14" s="71" t="n">
        <f aca="false">SUM(I11:I13)</f>
        <v>637.5</v>
      </c>
      <c r="J14" s="71" t="n">
        <f aca="false">SUM(J11:J13)</f>
        <v>3407.5</v>
      </c>
      <c r="K14" s="71" t="n">
        <f aca="false">SUM(K11:K13)</f>
        <v>637.5</v>
      </c>
      <c r="L14" s="71" t="n">
        <f aca="false">SUM(L11:L13)</f>
        <v>707.5</v>
      </c>
      <c r="M14" s="71" t="n">
        <f aca="false">SUM(M11:M13)</f>
        <v>787.5</v>
      </c>
      <c r="N14" s="71" t="n">
        <f aca="false">SUM(N11:N13)</f>
        <v>4457.5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27095.8333333333</v>
      </c>
      <c r="D16" s="71" t="n">
        <f aca="false">D9-D14</f>
        <v>26625.8333333333</v>
      </c>
      <c r="E16" s="71" t="n">
        <f aca="false">E9-E14</f>
        <v>24629.1666666666</v>
      </c>
      <c r="F16" s="71" t="n">
        <f aca="false">F9-F14</f>
        <v>27325.8333333333</v>
      </c>
      <c r="G16" s="71" t="n">
        <f aca="false">G9-G14</f>
        <v>29329.1666666666</v>
      </c>
      <c r="H16" s="71" t="n">
        <f aca="false">H9-H14</f>
        <v>27725.8333333333</v>
      </c>
      <c r="I16" s="71" t="n">
        <f aca="false">I9-I14</f>
        <v>28995.8333333333</v>
      </c>
      <c r="J16" s="71" t="n">
        <f aca="false">J9-J14</f>
        <v>26025.8333333333</v>
      </c>
      <c r="K16" s="71" t="n">
        <f aca="false">K9-K14</f>
        <v>26695.8333333333</v>
      </c>
      <c r="L16" s="71" t="n">
        <f aca="false">L9-L14</f>
        <v>28825.8333333333</v>
      </c>
      <c r="M16" s="71" t="n">
        <f aca="false">M9-M14</f>
        <v>27845.8333333333</v>
      </c>
      <c r="N16" s="71" t="n">
        <f aca="false">N9-N14</f>
        <v>21375.8333333333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835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208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11740</v>
      </c>
      <c r="C40" s="79" t="n">
        <f aca="false">TrialBalance!O87-0</f>
        <v>978.333333333333</v>
      </c>
      <c r="D40" s="72" t="n">
        <f aca="false">TrialBalance!Z87-C40</f>
        <v>978.333333333333</v>
      </c>
      <c r="E40" s="72" t="n">
        <f aca="false">TrialBalance!AK87-SUM(C40:D40)</f>
        <v>978.333333333333</v>
      </c>
      <c r="F40" s="72" t="n">
        <f aca="false">TrialBalance!AV87-SUM(C40:E40)</f>
        <v>978.333333333334</v>
      </c>
      <c r="G40" s="72" t="n">
        <f aca="false">TrialBalance!BG87-SUM(C40:F40)</f>
        <v>978.333333333334</v>
      </c>
      <c r="H40" s="72" t="n">
        <f aca="false">TrialBalance!BR87-SUM(C40:G40)</f>
        <v>978.333333333333</v>
      </c>
      <c r="I40" s="72" t="n">
        <f aca="false">TrialBalance!CC87-SUM(C40:H40)</f>
        <v>978.333333333333</v>
      </c>
      <c r="J40" s="72" t="n">
        <f aca="false">TrialBalance!CN87-SUM(C40:I40)</f>
        <v>978.333333333333</v>
      </c>
      <c r="K40" s="72" t="n">
        <f aca="false">TrialBalance!CY87-SUM(C40:J40)</f>
        <v>978.333333333334</v>
      </c>
      <c r="L40" s="72" t="n">
        <f aca="false">TrialBalance!DJ87-SUM(C40:K40)</f>
        <v>978.333333333334</v>
      </c>
      <c r="M40" s="72" t="n">
        <f aca="false">TrialBalance!DU87-SUM(C40:L40)</f>
        <v>978.333333333334</v>
      </c>
      <c r="N40" s="72" t="n">
        <f aca="false">TrialBalance!EF87-SUM(C40:M40)</f>
        <v>978.333333333334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145556.275</v>
      </c>
      <c r="C41" s="74" t="n">
        <f aca="false">SUM(C18:C40)</f>
        <v>11839.7416666667</v>
      </c>
      <c r="D41" s="71" t="n">
        <f aca="false">SUM(D18:D40)</f>
        <v>11382.8666666667</v>
      </c>
      <c r="E41" s="71" t="n">
        <f aca="false">SUM(E18:E40)</f>
        <v>11411.2</v>
      </c>
      <c r="F41" s="71" t="n">
        <f aca="false">SUM(F18:F40)</f>
        <v>14059.7416666667</v>
      </c>
      <c r="G41" s="71" t="n">
        <f aca="false">SUM(G18:G40)</f>
        <v>11301.4083333333</v>
      </c>
      <c r="H41" s="71" t="n">
        <f aca="false">SUM(H18:H40)</f>
        <v>12264.2</v>
      </c>
      <c r="I41" s="71" t="n">
        <f aca="false">SUM(I18:I40)</f>
        <v>13518.4916666667</v>
      </c>
      <c r="J41" s="71" t="n">
        <f aca="false">SUM(J18:J40)</f>
        <v>10700.3666666667</v>
      </c>
      <c r="K41" s="71" t="n">
        <f aca="false">SUM(K18:K40)</f>
        <v>15723.6166666667</v>
      </c>
      <c r="L41" s="71" t="n">
        <f aca="false">SUM(L18:L40)</f>
        <v>11369.7416666667</v>
      </c>
      <c r="M41" s="71" t="n">
        <f aca="false">SUM(M18:M40)</f>
        <v>11194.1166666667</v>
      </c>
      <c r="N41" s="71" t="n">
        <f aca="false">SUM(N18:N40)</f>
        <v>10790.7833333333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176940.391666666</v>
      </c>
      <c r="C43" s="71" t="n">
        <f aca="false">C16-C41</f>
        <v>15256.0916666666</v>
      </c>
      <c r="D43" s="71" t="n">
        <f aca="false">D16-D41</f>
        <v>15242.9666666666</v>
      </c>
      <c r="E43" s="71" t="n">
        <f aca="false">E16-E41</f>
        <v>13217.9666666666</v>
      </c>
      <c r="F43" s="71" t="n">
        <f aca="false">F16-F41</f>
        <v>13266.0916666666</v>
      </c>
      <c r="G43" s="71" t="n">
        <f aca="false">G16-G41</f>
        <v>18027.7583333333</v>
      </c>
      <c r="H43" s="71" t="n">
        <f aca="false">H16-H41</f>
        <v>15461.6333333333</v>
      </c>
      <c r="I43" s="71" t="n">
        <f aca="false">I16-I41</f>
        <v>15477.3416666666</v>
      </c>
      <c r="J43" s="71" t="n">
        <f aca="false">J16-J41</f>
        <v>15325.4666666666</v>
      </c>
      <c r="K43" s="71" t="n">
        <f aca="false">K16-K41</f>
        <v>10972.2166666666</v>
      </c>
      <c r="L43" s="71" t="n">
        <f aca="false">L16-L41</f>
        <v>17456.0916666666</v>
      </c>
      <c r="M43" s="71" t="n">
        <f aca="false">M16-M41</f>
        <v>16651.7166666666</v>
      </c>
      <c r="N43" s="71" t="n">
        <f aca="false">N16-N41</f>
        <v>10585.05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177215.391666666</v>
      </c>
      <c r="C45" s="71" t="n">
        <f aca="false">C43+C44</f>
        <v>15256.0916666666</v>
      </c>
      <c r="D45" s="71" t="n">
        <f aca="false">D43+D44</f>
        <v>15242.9666666666</v>
      </c>
      <c r="E45" s="71" t="n">
        <f aca="false">E43+E44</f>
        <v>13217.9666666666</v>
      </c>
      <c r="F45" s="71" t="n">
        <f aca="false">F43+F44</f>
        <v>13266.0916666666</v>
      </c>
      <c r="G45" s="71" t="n">
        <f aca="false">G43+G44</f>
        <v>18027.7583333333</v>
      </c>
      <c r="H45" s="71" t="n">
        <f aca="false">H43+H44</f>
        <v>15586.6333333333</v>
      </c>
      <c r="I45" s="71" t="n">
        <f aca="false">I43+I44</f>
        <v>15477.3416666666</v>
      </c>
      <c r="J45" s="71" t="n">
        <f aca="false">J43+J44</f>
        <v>15325.4666666666</v>
      </c>
      <c r="K45" s="71" t="n">
        <f aca="false">K43+K44</f>
        <v>10972.2166666666</v>
      </c>
      <c r="L45" s="71" t="n">
        <f aca="false">L43+L44</f>
        <v>17456.0916666666</v>
      </c>
      <c r="M45" s="71" t="n">
        <f aca="false">M43+M44</f>
        <v>16651.7166666666</v>
      </c>
      <c r="N45" s="71" t="n">
        <f aca="false">N43+N44</f>
        <v>10735.05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10000</v>
      </c>
      <c r="B14" s="86" t="n">
        <f aca="false">A12+A13-A14</f>
        <v>-10000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-10000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10000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835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11740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145556.275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10000</v>
      </c>
      <c r="C46" s="109" t="s">
        <v>93</v>
      </c>
      <c r="D46" s="109"/>
      <c r="E46" s="103"/>
      <c r="F46" s="104" t="n">
        <f aca="false">F18-F44</f>
        <v>176940.391666666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10000</v>
      </c>
      <c r="C49" s="106" t="s">
        <v>95</v>
      </c>
      <c r="D49" s="106"/>
      <c r="E49" s="103"/>
      <c r="F49" s="104" t="n">
        <f aca="false">F46+F48</f>
        <v>177279.897839506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28028.7805895061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10000</v>
      </c>
      <c r="C51" s="106" t="s">
        <v>97</v>
      </c>
      <c r="D51" s="106"/>
      <c r="E51" s="103"/>
      <c r="F51" s="104" t="n">
        <f aca="false">F49-F50</f>
        <v>149251.11725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10000</v>
      </c>
      <c r="C54" s="106" t="s">
        <v>99</v>
      </c>
      <c r="D54" s="106"/>
      <c r="E54" s="110" t="s">
        <v>218</v>
      </c>
      <c r="F54" s="104" t="n">
        <f aca="false">F51-F52</f>
        <v>149251.11725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30990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10400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250544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266944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13432.25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32464.2744166666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43984.3583333334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89880.88275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177063.11725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208053.11725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233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20000</v>
      </c>
      <c r="E31" s="115"/>
      <c r="F31" s="116" t="n">
        <f aca="false">SUM(E29:E30)</f>
        <v>13000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45802</v>
      </c>
      <c r="C33" s="117" t="s">
        <v>234</v>
      </c>
      <c r="D33" s="117"/>
      <c r="E33" s="118" t="s">
        <v>218</v>
      </c>
      <c r="F33" s="116" t="n">
        <f aca="false">F26-F31</f>
        <v>195053.11725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45702</v>
      </c>
      <c r="C37" s="88" t="s">
        <v>57</v>
      </c>
      <c r="D37" s="88"/>
      <c r="E37" s="115"/>
      <c r="F37" s="115" t="n">
        <f aca="false">-TrialBalance!EJ43</f>
        <v>194953.11725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45802</v>
      </c>
      <c r="C39" s="117" t="s">
        <v>236</v>
      </c>
      <c r="D39" s="117"/>
      <c r="E39" s="118" t="s">
        <v>218</v>
      </c>
      <c r="F39" s="116" t="n">
        <f aca="false">SUM(F36:F38)</f>
        <v>195053.11725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46262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32500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32500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32500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35500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3250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11740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3250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29250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30990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28028.7805895061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46262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310</v>
      </c>
      <c r="E97" s="147"/>
      <c r="F97" s="173" t="n">
        <f aca="false">[8]RegisterofMembers!$G$3</f>
        <v>100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310</v>
      </c>
      <c r="E98" s="147"/>
      <c r="F98" s="173" t="n">
        <f aca="false">[8]RegisterofMembers!$G$4</f>
        <v>0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46262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47026</v>
      </c>
      <c r="I5" s="189"/>
      <c r="J5" s="178"/>
      <c r="K5" s="191" t="n">
        <f aca="false">'PubP&amp;L'!F46</f>
        <v>176940.391666666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11740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14240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191180.391666666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47026</v>
      </c>
      <c r="G15" s="199" t="n">
        <f aca="false">Admin!G5</f>
        <v>100</v>
      </c>
      <c r="H15" s="199"/>
      <c r="I15" s="200" t="n">
        <f aca="false">IF(K79&gt;0,K79,0)</f>
        <v>32500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47026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3000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47026</v>
      </c>
      <c r="G18" s="204"/>
      <c r="H18" s="205"/>
      <c r="I18" s="206" t="n">
        <f aca="false">IF(K102&lt;&gt;0,-K102,0)</f>
        <v>8500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44000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147180.391666666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47026</v>
      </c>
      <c r="F28" s="213"/>
      <c r="G28" s="178"/>
      <c r="H28" s="179"/>
      <c r="I28" s="178"/>
      <c r="J28" s="178"/>
      <c r="K28" s="209" t="n">
        <f aca="false">K22+K24-K26</f>
        <v>147519.897839506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46</v>
      </c>
      <c r="C33" s="222" t="n">
        <f aca="false">Admin!L6</f>
        <v>46296</v>
      </c>
      <c r="D33" s="222" t="n">
        <f aca="false">Admin!N6</f>
        <v>46660</v>
      </c>
      <c r="E33" s="223" t="n">
        <f aca="false">Admin!K6</f>
        <v>2026</v>
      </c>
      <c r="F33" s="186" t="n">
        <f aca="false">IF(K28&gt;0,K28*A33/A35,0)</f>
        <v>73659.0461168531</v>
      </c>
      <c r="G33" s="224" t="n">
        <f aca="false">Admin!P6</f>
        <v>19</v>
      </c>
      <c r="H33" s="224"/>
      <c r="I33" s="225" t="n">
        <f aca="false">F33*G33/100</f>
        <v>13995.2187622021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46</v>
      </c>
      <c r="C34" s="222" t="n">
        <f aca="false">Admin!L7</f>
        <v>46661</v>
      </c>
      <c r="D34" s="222" t="n">
        <f aca="false">Admin!N7</f>
        <v>47026</v>
      </c>
      <c r="E34" s="223" t="n">
        <f aca="false">Admin!K7</f>
        <v>2027</v>
      </c>
      <c r="F34" s="186" t="n">
        <f aca="false">IF(K28&gt;0,K28*A34/A35,0)</f>
        <v>73860.8517226527</v>
      </c>
      <c r="G34" s="224" t="n">
        <f aca="false">Admin!P7</f>
        <v>19</v>
      </c>
      <c r="H34" s="224"/>
      <c r="I34" s="225" t="n">
        <f aca="false">F34*G34/100</f>
        <v>14033.561827304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28028.7805895061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27964.2744166666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47026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46037</v>
      </c>
      <c r="B50" s="87" t="str">
        <f aca="false">IF([1]Schedule!$E$68&gt;0,[1]Schedule!$C$68," ")</f>
        <v>IKEA</v>
      </c>
      <c r="E50" s="242"/>
      <c r="F50" s="194" t="n">
        <f aca="false">IF([1]Schedule!$E$68&gt;0,[1]Schedule!$E$68," ")</f>
        <v>1000</v>
      </c>
      <c r="G50" s="178"/>
      <c r="H50" s="179"/>
      <c r="I50" s="89" t="n">
        <f aca="false">IF([1]Schedule!$E$68&gt;0,[1]Schedule!$Q$68," ")</f>
        <v>1000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46137</v>
      </c>
      <c r="B51" s="87" t="str">
        <f aca="false">IF([1]Schedule!$E$69&gt;0,[1]Schedule!$C$69," ")</f>
        <v>Ford</v>
      </c>
      <c r="E51" s="242"/>
      <c r="F51" s="194" t="n">
        <f aca="false">IF([1]Schedule!$E$69&gt;0,[1]Schedule!$E$69," ")</f>
        <v>30000</v>
      </c>
      <c r="G51" s="178"/>
      <c r="H51" s="179"/>
      <c r="I51" s="89" t="n">
        <f aca="false">IF([1]Schedule!$E$69&gt;0,[1]Schedule!$Q$69," ")</f>
        <v>30000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47026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47026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47026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47026</v>
      </c>
      <c r="F79" s="246" t="n">
        <f aca="false">SUM(F48:F78)</f>
        <v>32500</v>
      </c>
      <c r="G79" s="178"/>
      <c r="H79" s="179"/>
      <c r="I79" s="194" t="n">
        <f aca="false">SUM(I48:I78)</f>
        <v>32500</v>
      </c>
      <c r="J79" s="178"/>
      <c r="K79" s="194" t="n">
        <f aca="false">I79</f>
        <v>32500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47026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47026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3000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3000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-8500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47026</v>
      </c>
      <c r="G102" s="257"/>
      <c r="H102" s="257"/>
      <c r="I102" s="257"/>
      <c r="J102" s="178"/>
      <c r="K102" s="194" t="n">
        <f aca="false">SUM(I100:I101)</f>
        <v>-8500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44000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47026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147180.391666666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147180.391666666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147519.897839506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147519.897839506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73659.0461168531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CorporationTax!I33</f>
        <v>13995.2187622021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218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/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13995.2187622021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3"/>
      <c r="Z133" s="333"/>
      <c r="AA133" s="333"/>
      <c r="AB133" s="333"/>
      <c r="AC133" s="333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3"/>
      <c r="Z135" s="333"/>
      <c r="AA135" s="333"/>
      <c r="AB135" s="333"/>
      <c r="AC135" s="333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AJ131</f>
        <v>13995.2187622021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13930.7125893626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13930.7125893626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32500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10000</v>
      </c>
      <c r="E8" s="78"/>
      <c r="F8" s="78" t="n">
        <f aca="false">IF((H$4+N$4+T$4)=0,0,[2]Oct!O$1)</f>
        <v>0</v>
      </c>
      <c r="G8" s="78"/>
      <c r="H8" s="437" t="n">
        <f aca="false">H4</f>
        <v>0</v>
      </c>
      <c r="I8" s="78"/>
      <c r="J8" s="78" t="n">
        <f aca="false">[3]Oct!$O$1</f>
        <v>25333.3333333333</v>
      </c>
      <c r="K8" s="78"/>
      <c r="L8" s="432" t="n">
        <f aca="false">J8*H8</f>
        <v>0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10000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10000</v>
      </c>
      <c r="E10" s="78"/>
      <c r="F10" s="78" t="n">
        <f aca="false">IF((H$4+N$4+T$4)=0,0,[2]Nov!O$1)</f>
        <v>0</v>
      </c>
      <c r="G10" s="78"/>
      <c r="H10" s="437" t="n">
        <f aca="false">H8</f>
        <v>0</v>
      </c>
      <c r="I10" s="78"/>
      <c r="J10" s="78" t="n">
        <f aca="false">[3]Nov!$O$1</f>
        <v>25633.3333333333</v>
      </c>
      <c r="K10" s="78"/>
      <c r="L10" s="432" t="n">
        <f aca="false">J10*H10</f>
        <v>0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10000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10000</v>
      </c>
      <c r="E12" s="78"/>
      <c r="F12" s="78" t="n">
        <f aca="false">IF((H$4+N$4+T$4)=0,0,[2]Dec!O$1)</f>
        <v>0</v>
      </c>
      <c r="G12" s="78"/>
      <c r="H12" s="437" t="n">
        <f aca="false">H10</f>
        <v>0</v>
      </c>
      <c r="I12" s="78"/>
      <c r="J12" s="78" t="n">
        <f aca="false">[3]Dec!$O$1</f>
        <v>26533.3333333333</v>
      </c>
      <c r="K12" s="78"/>
      <c r="L12" s="432" t="n">
        <f aca="false">J12*H12</f>
        <v>0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10000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10000</v>
      </c>
      <c r="E14" s="78"/>
      <c r="F14" s="78" t="n">
        <f aca="false">IF((H$4+N$4+T$4)=0,0,[2]Jan!O$1)</f>
        <v>0</v>
      </c>
      <c r="G14" s="78"/>
      <c r="H14" s="437" t="n">
        <f aca="false">H12</f>
        <v>0</v>
      </c>
      <c r="I14" s="78"/>
      <c r="J14" s="78" t="n">
        <f aca="false">[3]Jan!$O$1</f>
        <v>25633.3333333333</v>
      </c>
      <c r="K14" s="78"/>
      <c r="L14" s="432" t="n">
        <f aca="false">J14*H14</f>
        <v>0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10000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10000</v>
      </c>
      <c r="E16" s="78"/>
      <c r="F16" s="78" t="n">
        <f aca="false">IF((H$4+N$4+T$4)=0,0,[2]Feb!O$1)</f>
        <v>0</v>
      </c>
      <c r="G16" s="78"/>
      <c r="H16" s="437" t="n">
        <f aca="false">H14</f>
        <v>0</v>
      </c>
      <c r="I16" s="78"/>
      <c r="J16" s="78" t="n">
        <f aca="false">[3]Feb!$O$1</f>
        <v>27133.3333333333</v>
      </c>
      <c r="K16" s="78"/>
      <c r="L16" s="432" t="n">
        <f aca="false">J16*H16</f>
        <v>0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10000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10000</v>
      </c>
      <c r="E18" s="78"/>
      <c r="F18" s="78" t="n">
        <f aca="false">IF((H$4+N$4+T$4)=0,0,[2]Mar!O$1)</f>
        <v>0</v>
      </c>
      <c r="G18" s="78"/>
      <c r="H18" s="437" t="n">
        <f aca="false">H16</f>
        <v>0</v>
      </c>
      <c r="I18" s="78"/>
      <c r="J18" s="78" t="n">
        <f aca="false">[3]Mar!$O$1</f>
        <v>25033.3333333333</v>
      </c>
      <c r="K18" s="78"/>
      <c r="L18" s="432" t="n">
        <f aca="false">J18*H18</f>
        <v>0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10000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10000</v>
      </c>
      <c r="E20" s="78"/>
      <c r="F20" s="78" t="n">
        <f aca="false">IF((H$4+N$4+T$4)=0,0,[2]Apr!O$1)</f>
        <v>0</v>
      </c>
      <c r="G20" s="78"/>
      <c r="H20" s="437" t="n">
        <f aca="false">H18</f>
        <v>0</v>
      </c>
      <c r="I20" s="78"/>
      <c r="J20" s="78" t="n">
        <f aca="false">[3]Apr!$O$1</f>
        <v>27133.3333333333</v>
      </c>
      <c r="K20" s="78"/>
      <c r="L20" s="432" t="n">
        <f aca="false">J20*H20</f>
        <v>0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10000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10000</v>
      </c>
      <c r="E22" s="78"/>
      <c r="F22" s="78" t="n">
        <f aca="false">IF((H$4+N$4+T$4)=0,0,[2]May!O$1)</f>
        <v>0</v>
      </c>
      <c r="G22" s="78"/>
      <c r="H22" s="437" t="n">
        <f aca="false">H20</f>
        <v>0</v>
      </c>
      <c r="I22" s="78"/>
      <c r="J22" s="78" t="n">
        <f aca="false">[3]May!$O$1</f>
        <v>25633.3333333333</v>
      </c>
      <c r="K22" s="78"/>
      <c r="L22" s="432" t="n">
        <f aca="false">J22*H22</f>
        <v>0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10000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10000</v>
      </c>
      <c r="E24" s="78"/>
      <c r="F24" s="78" t="n">
        <f aca="false">IF((H$4+N$4+T$4)=0,0,[2]Jun!O$1)</f>
        <v>0</v>
      </c>
      <c r="G24" s="78"/>
      <c r="H24" s="437" t="n">
        <f aca="false">H22</f>
        <v>0</v>
      </c>
      <c r="I24" s="78"/>
      <c r="J24" s="78" t="n">
        <f aca="false">[3]Jun!$O$1</f>
        <v>26533.3333333333</v>
      </c>
      <c r="K24" s="78"/>
      <c r="L24" s="432" t="n">
        <f aca="false">J24*H24</f>
        <v>0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10000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10000</v>
      </c>
      <c r="E26" s="78"/>
      <c r="F26" s="78" t="n">
        <f aca="false">IF((H$4+N$4+T$4)=0,0,[2]Jul!O$1)</f>
        <v>0</v>
      </c>
      <c r="G26" s="78"/>
      <c r="H26" s="437" t="n">
        <f aca="false">H24</f>
        <v>0</v>
      </c>
      <c r="I26" s="78"/>
      <c r="J26" s="78" t="n">
        <f aca="false">[3]Jul!$O$1</f>
        <v>25633.3333333333</v>
      </c>
      <c r="K26" s="78"/>
      <c r="L26" s="432" t="n">
        <f aca="false">J26*H26</f>
        <v>0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10000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10000</v>
      </c>
      <c r="E28" s="78"/>
      <c r="F28" s="78" t="n">
        <f aca="false">IF((H$4+N$4+T$4)=0,0,[2]Aug!O$1)</f>
        <v>0</v>
      </c>
      <c r="G28" s="78"/>
      <c r="H28" s="437" t="n">
        <f aca="false">H26</f>
        <v>0</v>
      </c>
      <c r="I28" s="78"/>
      <c r="J28" s="78" t="n">
        <f aca="false">[3]Aug!$O$1</f>
        <v>26333.3333333333</v>
      </c>
      <c r="K28" s="78"/>
      <c r="L28" s="432" t="n">
        <f aca="false">J28*H28</f>
        <v>0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10000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10000</v>
      </c>
      <c r="E30" s="78"/>
      <c r="F30" s="78" t="n">
        <f aca="false">IF((H$4+N$4+T$4)=0,0,[2]Sep!O$1)</f>
        <v>0</v>
      </c>
      <c r="G30" s="78"/>
      <c r="H30" s="437" t="n">
        <f aca="false">H28</f>
        <v>0</v>
      </c>
      <c r="I30" s="78"/>
      <c r="J30" s="78" t="n">
        <f aca="false">[3]Sep!$O$1</f>
        <v>25033.3333333333</v>
      </c>
      <c r="K30" s="78"/>
      <c r="L30" s="432" t="n">
        <f aca="false">J30*H30</f>
        <v>0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-4000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</f>
        <v>2026</v>
      </c>
      <c r="L6" s="466" t="n">
        <f aca="false">B9</f>
        <v>46296</v>
      </c>
      <c r="M6" s="466"/>
      <c r="N6" s="467" t="n">
        <f aca="false">B32</f>
        <v>46660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</f>
        <v>2027</v>
      </c>
      <c r="L7" s="466" t="n">
        <f aca="false">B33</f>
        <v>46661</v>
      </c>
      <c r="M7" s="466"/>
      <c r="N7" s="467" t="n">
        <f aca="false">B56</f>
        <v>47026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593</v>
      </c>
      <c r="M9" s="451"/>
      <c r="N9" s="469" t="s">
        <v>620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2" t="s">
        <v>621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46295</v>
      </c>
      <c r="M10" s="453" t="s">
        <v>622</v>
      </c>
      <c r="N10" s="473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623</v>
      </c>
      <c r="E11" s="468" t="n">
        <v>12000</v>
      </c>
      <c r="F11" s="451" t="s">
        <v>624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4" t="s">
        <v>622</v>
      </c>
      <c r="N11" s="473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625</v>
      </c>
      <c r="E13" s="458"/>
      <c r="F13" s="458"/>
      <c r="G13" s="453" t="s">
        <v>355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626</v>
      </c>
      <c r="J14" s="458"/>
      <c r="K14" s="458"/>
      <c r="L14" s="456"/>
      <c r="M14" s="451"/>
      <c r="N14" s="453" t="s">
        <v>627</v>
      </c>
      <c r="O14" s="453" t="s">
        <v>628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2" t="s">
        <v>629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2" t="s">
        <v>26</v>
      </c>
      <c r="E16" s="472"/>
      <c r="F16" s="472"/>
      <c r="G16" s="475" t="n">
        <v>0.1</v>
      </c>
      <c r="H16" s="451"/>
      <c r="I16" s="476" t="s">
        <v>630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2" t="s">
        <v>27</v>
      </c>
      <c r="E17" s="472"/>
      <c r="F17" s="472"/>
      <c r="G17" s="475" t="n">
        <v>0.2</v>
      </c>
      <c r="H17" s="451"/>
      <c r="I17" s="476" t="s">
        <v>631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2" t="s">
        <v>260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2" t="s">
        <v>29</v>
      </c>
      <c r="E19" s="472"/>
      <c r="F19" s="472"/>
      <c r="G19" s="475" t="n">
        <v>0.25</v>
      </c>
      <c r="H19" s="451"/>
      <c r="I19" s="458" t="s">
        <v>632</v>
      </c>
      <c r="J19" s="458"/>
      <c r="K19" s="458"/>
      <c r="L19" s="451"/>
      <c r="M19" s="478" t="n">
        <v>20</v>
      </c>
      <c r="N19" s="452" t="n">
        <f aca="false">B9</f>
        <v>46296</v>
      </c>
      <c r="O19" s="479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2" t="n">
        <v>46660</v>
      </c>
      <c r="G21" s="453"/>
      <c r="H21" s="451"/>
      <c r="I21" s="458" t="s">
        <v>632</v>
      </c>
      <c r="J21" s="458"/>
      <c r="K21" s="458"/>
      <c r="L21" s="451"/>
      <c r="M21" s="461" t="n">
        <v>20</v>
      </c>
      <c r="N21" s="452" t="n">
        <f aca="false">B27</f>
        <v>46569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5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