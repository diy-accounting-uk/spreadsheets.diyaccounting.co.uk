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<sst xmlns="http://schemas.openxmlformats.org/spreadsheetml/2006/main" count="1018" uniqueCount="621">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</sst>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33400</v>
      </c>
      <c r="P20" s="57"/>
      <c r="Q20" s="36" t="n">
        <f aca="false">[3]Jul!$F$1-[3]Jul!$V$1</f>
        <v>32920</v>
      </c>
      <c r="R20" s="36"/>
      <c r="S20" s="36" t="n">
        <f aca="false">-[4]Jul!$J$1</f>
        <v>-0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66320</v>
      </c>
      <c r="AA20" s="57"/>
      <c r="AB20" s="36" t="n">
        <f aca="false">[3]Aug!$F$1-[3]Aug!$V$1</f>
        <v>35200</v>
      </c>
      <c r="AC20" s="36"/>
      <c r="AD20" s="36" t="n">
        <f aca="false">-[4]Aug!$J$1</f>
        <v>-0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101520</v>
      </c>
      <c r="AL20" s="57"/>
      <c r="AM20" s="36" t="n">
        <f aca="false">[3]Sep!$F$1-[3]Sep!$V$1</f>
        <v>33760</v>
      </c>
      <c r="AN20" s="36"/>
      <c r="AO20" s="36" t="n">
        <f aca="false">-[4]Sep!$J$1</f>
        <v>-0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135280</v>
      </c>
      <c r="AW20" s="57"/>
      <c r="AX20" s="36" t="n">
        <f aca="false">[3]Oct!$F$1-[3]Oct!$V$1</f>
        <v>36020</v>
      </c>
      <c r="AY20" s="36"/>
      <c r="AZ20" s="36" t="n">
        <f aca="false">-[4]Oct!$J$1</f>
        <v>-0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171300</v>
      </c>
      <c r="BH20" s="57"/>
      <c r="BI20" s="36" t="n">
        <f aca="false">[3]Nov!$F$1-[3]Nov!$V$1</f>
        <v>33760</v>
      </c>
      <c r="BJ20" s="36"/>
      <c r="BK20" s="36" t="n">
        <f aca="false">-[4]Nov!$J$1</f>
        <v>-0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205060</v>
      </c>
      <c r="BS20" s="57"/>
      <c r="BT20" s="36" t="n">
        <f aca="false">[3]Dec!$F$1-[3]Dec!$V$1</f>
        <v>50560</v>
      </c>
      <c r="BU20" s="36"/>
      <c r="BV20" s="36" t="n">
        <f aca="false">-[4]Dec!$J$1</f>
        <v>-0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255620</v>
      </c>
      <c r="CD20" s="57"/>
      <c r="CE20" s="36" t="n">
        <f aca="false">[3]Jan!$F$1-[3]Jan!$V$1</f>
        <v>35320</v>
      </c>
      <c r="CF20" s="36"/>
      <c r="CG20" s="36" t="n">
        <f aca="false">-[4]Jan!$J$1</f>
        <v>-0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290940</v>
      </c>
      <c r="CO20" s="57"/>
      <c r="CP20" s="36" t="n">
        <f aca="false">[3]Feb!$F$1-[3]Feb!$V$1</f>
        <v>32800</v>
      </c>
      <c r="CQ20" s="36"/>
      <c r="CR20" s="36" t="n">
        <f aca="false">-[4]Feb!$J$1</f>
        <v>-0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323740</v>
      </c>
      <c r="CZ20" s="57"/>
      <c r="DA20" s="36" t="n">
        <f aca="false">[3]Mar!$F$1-[3]Mar!$V$1</f>
        <v>35440</v>
      </c>
      <c r="DB20" s="36"/>
      <c r="DC20" s="36" t="n">
        <f aca="false">-[4]Mar!$J$1</f>
        <v>-0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359180</v>
      </c>
      <c r="DK20" s="57"/>
      <c r="DL20" s="36" t="n">
        <f aca="false">[3]Apr!$F$1-[3]Apr!$V$1</f>
        <v>34360</v>
      </c>
      <c r="DM20" s="36"/>
      <c r="DN20" s="36" t="n">
        <f aca="false">-[4]Apr!$J$1</f>
        <v>-0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393540</v>
      </c>
      <c r="DV20" s="57"/>
      <c r="DW20" s="36" t="n">
        <f aca="false">[3]May!$F$1-[3]May!$V$1</f>
        <v>31360</v>
      </c>
      <c r="DX20" s="36"/>
      <c r="DY20" s="36" t="n">
        <f aca="false">-[4]May!$J$1</f>
        <v>-0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424900</v>
      </c>
      <c r="EG20" s="54"/>
      <c r="EI20" s="54"/>
      <c r="EJ20" s="36" t="n">
        <f aca="false">SUM(EF20:EH20)</f>
        <v>424900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0</v>
      </c>
      <c r="I22" s="36"/>
      <c r="J22" s="36"/>
      <c r="K22" s="36"/>
      <c r="L22" s="36"/>
      <c r="N22" s="57"/>
      <c r="O22" s="36" t="n">
        <f aca="false">SUM(D22:N22)</f>
        <v>0</v>
      </c>
      <c r="P22" s="57"/>
      <c r="Q22" s="36"/>
      <c r="R22" s="36"/>
      <c r="S22" s="36" t="n">
        <f aca="false">[4]Jul!$F$1-[4]Jul!$X$1</f>
        <v>0</v>
      </c>
      <c r="T22" s="36"/>
      <c r="U22" s="36"/>
      <c r="V22" s="36"/>
      <c r="W22" s="36"/>
      <c r="X22" s="36"/>
      <c r="Y22" s="54"/>
      <c r="Z22" s="36" t="n">
        <f aca="false">SUM(O22:Y22)</f>
        <v>0</v>
      </c>
      <c r="AA22" s="57"/>
      <c r="AB22" s="36"/>
      <c r="AC22" s="36"/>
      <c r="AD22" s="36" t="n">
        <f aca="false">[4]Aug!$F$1-[4]Aug!$X$1</f>
        <v>0</v>
      </c>
      <c r="AE22" s="36"/>
      <c r="AF22" s="36"/>
      <c r="AG22" s="36"/>
      <c r="AH22" s="36"/>
      <c r="AI22" s="36"/>
      <c r="AJ22" s="54"/>
      <c r="AK22" s="36" t="n">
        <f aca="false">SUM(Z22:AJ22)</f>
        <v>0</v>
      </c>
      <c r="AL22" s="57"/>
      <c r="AM22" s="36"/>
      <c r="AN22" s="36"/>
      <c r="AO22" s="36" t="n">
        <f aca="false">[4]Sep!$F$1-[4]Sep!$X$1</f>
        <v>0</v>
      </c>
      <c r="AP22" s="36"/>
      <c r="AQ22" s="36"/>
      <c r="AR22" s="36"/>
      <c r="AS22" s="36"/>
      <c r="AT22" s="36"/>
      <c r="AU22" s="54"/>
      <c r="AV22" s="36" t="n">
        <f aca="false">SUM(AK22:AU22)</f>
        <v>0</v>
      </c>
      <c r="AW22" s="57"/>
      <c r="AX22" s="36"/>
      <c r="AY22" s="36"/>
      <c r="AZ22" s="36" t="n">
        <f aca="false">[4]Oct!$F$1-[4]Oct!$X$1</f>
        <v>0</v>
      </c>
      <c r="BA22" s="36"/>
      <c r="BB22" s="36"/>
      <c r="BC22" s="36"/>
      <c r="BD22" s="36"/>
      <c r="BE22" s="36"/>
      <c r="BF22" s="54"/>
      <c r="BG22" s="36" t="n">
        <f aca="false">SUM(AV22:BF22)</f>
        <v>0</v>
      </c>
      <c r="BH22" s="57"/>
      <c r="BI22" s="36"/>
      <c r="BJ22" s="36"/>
      <c r="BK22" s="36" t="n">
        <f aca="false">[4]Nov!$F$1-[4]Nov!$X$1</f>
        <v>0</v>
      </c>
      <c r="BL22" s="36"/>
      <c r="BM22" s="36"/>
      <c r="BN22" s="36"/>
      <c r="BO22" s="36"/>
      <c r="BP22" s="36"/>
      <c r="BQ22" s="54"/>
      <c r="BR22" s="36" t="n">
        <f aca="false">SUM(BG22:BQ22)</f>
        <v>0</v>
      </c>
      <c r="BS22" s="57"/>
      <c r="BT22" s="36"/>
      <c r="BU22" s="36"/>
      <c r="BV22" s="36" t="n">
        <f aca="false">[4]Dec!$F$1-[4]Dec!$X$1</f>
        <v>0</v>
      </c>
      <c r="BW22" s="36"/>
      <c r="BX22" s="36"/>
      <c r="BY22" s="36"/>
      <c r="BZ22" s="36"/>
      <c r="CA22" s="36"/>
      <c r="CB22" s="54"/>
      <c r="CC22" s="36" t="n">
        <f aca="false">SUM(BR22:CB22)</f>
        <v>0</v>
      </c>
      <c r="CD22" s="57"/>
      <c r="CE22" s="36"/>
      <c r="CF22" s="36"/>
      <c r="CG22" s="36" t="n">
        <f aca="false">[4]Jan!$F$1-[4]Jan!$X$1</f>
        <v>0</v>
      </c>
      <c r="CH22" s="36"/>
      <c r="CI22" s="36"/>
      <c r="CJ22" s="36"/>
      <c r="CK22" s="36"/>
      <c r="CL22" s="36"/>
      <c r="CM22" s="54"/>
      <c r="CN22" s="36" t="n">
        <f aca="false">SUM(CC22:CM22)</f>
        <v>0</v>
      </c>
      <c r="CO22" s="57"/>
      <c r="CP22" s="36"/>
      <c r="CQ22" s="36"/>
      <c r="CR22" s="36" t="n">
        <f aca="false">[4]Feb!$F$1-[4]Feb!$X$1</f>
        <v>0</v>
      </c>
      <c r="CS22" s="36"/>
      <c r="CT22" s="36"/>
      <c r="CU22" s="36"/>
      <c r="CV22" s="36"/>
      <c r="CW22" s="36"/>
      <c r="CX22" s="54"/>
      <c r="CY22" s="36" t="n">
        <f aca="false">SUM(CN22:CX22)</f>
        <v>0</v>
      </c>
      <c r="CZ22" s="57"/>
      <c r="DA22" s="36"/>
      <c r="DB22" s="36"/>
      <c r="DC22" s="36" t="n">
        <f aca="false">[4]Mar!$F$1-[4]Mar!$X$1</f>
        <v>0</v>
      </c>
      <c r="DD22" s="36"/>
      <c r="DE22" s="36"/>
      <c r="DF22" s="36"/>
      <c r="DG22" s="36"/>
      <c r="DH22" s="36"/>
      <c r="DI22" s="54"/>
      <c r="DJ22" s="36" t="n">
        <f aca="false">SUM(CY22:DI22)</f>
        <v>0</v>
      </c>
      <c r="DK22" s="57"/>
      <c r="DL22" s="36"/>
      <c r="DM22" s="36"/>
      <c r="DN22" s="36" t="n">
        <f aca="false">[4]Apr!$F$1-[4]Apr!$X$1</f>
        <v>0</v>
      </c>
      <c r="DO22" s="36"/>
      <c r="DP22" s="36"/>
      <c r="DQ22" s="36"/>
      <c r="DR22" s="36"/>
      <c r="DS22" s="36"/>
      <c r="DT22" s="54"/>
      <c r="DU22" s="36" t="n">
        <f aca="false">SUM(DJ22:DT22)</f>
        <v>0</v>
      </c>
      <c r="DV22" s="57"/>
      <c r="DW22" s="36"/>
      <c r="DX22" s="36"/>
      <c r="DY22" s="36" t="n">
        <f aca="false">[4]May!$F$1-[4]May!$X$1</f>
        <v>0</v>
      </c>
      <c r="DZ22" s="36"/>
      <c r="EA22" s="36"/>
      <c r="EB22" s="36"/>
      <c r="EC22" s="36"/>
      <c r="ED22" s="36"/>
      <c r="EE22" s="54"/>
      <c r="EF22" s="36" t="n">
        <f aca="false">SUM(DU22:EE22)</f>
        <v>0</v>
      </c>
      <c r="EG22" s="54"/>
      <c r="EI22" s="54"/>
      <c r="EJ22" s="36" t="n">
        <f aca="false">SUM(EF22:EH22)</f>
        <v>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0</v>
      </c>
      <c r="BM23" s="36"/>
      <c r="BN23" s="36"/>
      <c r="BO23" s="36"/>
      <c r="BP23" s="36"/>
      <c r="BQ23" s="54"/>
      <c r="BR23" s="36" t="n">
        <f aca="false">SUM(BG23:BQ23)</f>
        <v>0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0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0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0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0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0</v>
      </c>
      <c r="DV23" s="57"/>
      <c r="DW23" s="36"/>
      <c r="DX23" s="36"/>
      <c r="DY23" s="36"/>
      <c r="DZ23" s="36" t="n">
        <f aca="false">[5]May!$F$1-[5]May!$X$1</f>
        <v>0</v>
      </c>
      <c r="EA23" s="36"/>
      <c r="EB23" s="36"/>
      <c r="EC23" s="36"/>
      <c r="ED23" s="36"/>
      <c r="EE23" s="54"/>
      <c r="EF23" s="36" t="n">
        <f aca="false">SUM(DU23:EE23)</f>
        <v>0</v>
      </c>
      <c r="EG23" s="54"/>
      <c r="EI23" s="54"/>
      <c r="EJ23" s="36" t="n">
        <f aca="false">SUM(EF23:EH23)</f>
        <v>0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0</v>
      </c>
      <c r="K24" s="36"/>
      <c r="L24" s="36"/>
      <c r="N24" s="57"/>
      <c r="O24" s="36" t="n">
        <f aca="false">SUM(D24:N24)</f>
        <v>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0</v>
      </c>
      <c r="AA24" s="57"/>
      <c r="AB24" s="36"/>
      <c r="AC24" s="36"/>
      <c r="AD24" s="36"/>
      <c r="AE24" s="36"/>
      <c r="AF24" s="36" t="n">
        <f aca="false">[6]Aug!$F$1-[6]Aug!$X$1</f>
        <v>0</v>
      </c>
      <c r="AG24" s="36"/>
      <c r="AH24" s="36"/>
      <c r="AI24" s="36"/>
      <c r="AJ24" s="54"/>
      <c r="AK24" s="36" t="n">
        <f aca="false">SUM(Z24:AJ24)</f>
        <v>0</v>
      </c>
      <c r="AL24" s="57"/>
      <c r="AM24" s="36"/>
      <c r="AN24" s="36"/>
      <c r="AO24" s="36"/>
      <c r="AP24" s="36"/>
      <c r="AQ24" s="36" t="n">
        <f aca="false">[6]Sep!$F$1-[6]Sep!$X$1</f>
        <v>0</v>
      </c>
      <c r="AR24" s="36"/>
      <c r="AS24" s="36"/>
      <c r="AT24" s="36"/>
      <c r="AU24" s="54"/>
      <c r="AV24" s="36" t="n">
        <f aca="false">SUM(AK24:AU24)</f>
        <v>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0</v>
      </c>
      <c r="BS24" s="57"/>
      <c r="BT24" s="36"/>
      <c r="BU24" s="36"/>
      <c r="BV24" s="36"/>
      <c r="BW24" s="36"/>
      <c r="BX24" s="36" t="n">
        <f aca="false">[6]Dec!$F$1-[6]Dec!$X$1</f>
        <v>0</v>
      </c>
      <c r="BY24" s="36"/>
      <c r="BZ24" s="36"/>
      <c r="CA24" s="36"/>
      <c r="CB24" s="54"/>
      <c r="CC24" s="36" t="n">
        <f aca="false">SUM(BR24:CB24)</f>
        <v>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0</v>
      </c>
      <c r="CZ24" s="57"/>
      <c r="DA24" s="36"/>
      <c r="DB24" s="36"/>
      <c r="DC24" s="36"/>
      <c r="DD24" s="36"/>
      <c r="DE24" s="36" t="n">
        <f aca="false">[6]Mar!$F$1-[6]Mar!$X$1</f>
        <v>0</v>
      </c>
      <c r="DF24" s="36"/>
      <c r="DG24" s="36"/>
      <c r="DH24" s="36"/>
      <c r="DI24" s="54"/>
      <c r="DJ24" s="36" t="n">
        <f aca="false">SUM(CY24:DI24)</f>
        <v>0</v>
      </c>
      <c r="DK24" s="57"/>
      <c r="DL24" s="36"/>
      <c r="DM24" s="36"/>
      <c r="DN24" s="36"/>
      <c r="DO24" s="36"/>
      <c r="DP24" s="36" t="n">
        <f aca="false">[6]Apr!$F$1-[6]Apr!$X$1</f>
        <v>0</v>
      </c>
      <c r="DQ24" s="36"/>
      <c r="DR24" s="36"/>
      <c r="DS24" s="36"/>
      <c r="DT24" s="54"/>
      <c r="DU24" s="36" t="n">
        <f aca="false">SUM(DJ24:DT24)</f>
        <v>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0</v>
      </c>
      <c r="EG24" s="54"/>
      <c r="EI24" s="54"/>
      <c r="EJ24" s="36" t="n">
        <f aca="false">SUM(EF24:EH24)</f>
        <v>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0</v>
      </c>
      <c r="L25" s="36"/>
      <c r="N25" s="57"/>
      <c r="O25" s="36" t="n">
        <f aca="false">SUM(D25:N25)</f>
        <v>0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0</v>
      </c>
      <c r="AA25" s="57"/>
      <c r="AB25" s="36"/>
      <c r="AC25" s="36"/>
      <c r="AD25" s="36"/>
      <c r="AE25" s="36"/>
      <c r="AF25" s="36"/>
      <c r="AG25" s="36" t="n">
        <f aca="false">[7]Aug!$F$1-[7]Aug!$U$1</f>
        <v>0</v>
      </c>
      <c r="AH25" s="36"/>
      <c r="AI25" s="36"/>
      <c r="AJ25" s="54"/>
      <c r="AK25" s="36" t="n">
        <f aca="false">SUM(Z25:AJ25)</f>
        <v>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0</v>
      </c>
      <c r="BH25" s="57"/>
      <c r="BI25" s="36"/>
      <c r="BJ25" s="36"/>
      <c r="BK25" s="36"/>
      <c r="BL25" s="36"/>
      <c r="BM25" s="36"/>
      <c r="BN25" s="36" t="n">
        <f aca="false">[7]Nov!$F$1-[7]Nov!$U$1</f>
        <v>0</v>
      </c>
      <c r="BO25" s="36"/>
      <c r="BP25" s="36"/>
      <c r="BQ25" s="54"/>
      <c r="BR25" s="36" t="n">
        <f aca="false">SUM(BG25:BQ25)</f>
        <v>0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0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0</v>
      </c>
      <c r="CO25" s="57"/>
      <c r="CP25" s="36"/>
      <c r="CQ25" s="36"/>
      <c r="CR25" s="36"/>
      <c r="CS25" s="36"/>
      <c r="CT25" s="36"/>
      <c r="CU25" s="36" t="n">
        <f aca="false">[7]Feb!$F$1-[7]Feb!$U$1</f>
        <v>0</v>
      </c>
      <c r="CV25" s="36"/>
      <c r="CW25" s="36"/>
      <c r="CX25" s="54"/>
      <c r="CY25" s="36" t="n">
        <f aca="false">SUM(CN25:CX25)</f>
        <v>0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0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0</v>
      </c>
      <c r="DV25" s="57"/>
      <c r="DW25" s="36"/>
      <c r="DX25" s="36"/>
      <c r="DY25" s="36"/>
      <c r="DZ25" s="36"/>
      <c r="EA25" s="36"/>
      <c r="EB25" s="36" t="n">
        <f aca="false">[7]May!$F$1-[7]May!$U$1</f>
        <v>0</v>
      </c>
      <c r="EC25" s="36"/>
      <c r="ED25" s="36"/>
      <c r="EE25" s="54"/>
      <c r="EF25" s="36" t="n">
        <f aca="false">SUM(DU25:EE25)</f>
        <v>0</v>
      </c>
      <c r="EG25" s="54"/>
      <c r="EH25" s="36" t="n">
        <f aca="false">[8]Boardmeeting!$E$6</f>
        <v>0</v>
      </c>
      <c r="EI25" s="54"/>
      <c r="EJ25" s="36" t="n">
        <f aca="false">SUM(EF25:EH25)</f>
        <v>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-28550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0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-34176.6666666667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-42603.3333333334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-48490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-53956.6666666667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-59863.3333333334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-65590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-70816.6666666667</v>
      </c>
      <c r="EG33" s="54"/>
      <c r="EI33" s="54"/>
      <c r="EJ33" s="36" t="n">
        <f aca="false">SUM(EF33:EH33)</f>
        <v>-70816.6666666667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-51792.3058333333</v>
      </c>
      <c r="EE35" s="54"/>
      <c r="EF35" s="36" t="n">
        <f aca="false">SUM(DU35:EE35)</f>
        <v>-51792.3058333333</v>
      </c>
      <c r="EG35" s="54"/>
      <c r="EH35" s="36" t="n">
        <f aca="false">-EH58</f>
        <v>-0</v>
      </c>
      <c r="EI35" s="54"/>
      <c r="EJ35" s="36" t="n">
        <f aca="false">SUM(EF35:EH35)</f>
        <v>-51792.3058333333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0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0</v>
      </c>
      <c r="P39" s="57"/>
      <c r="Q39" s="36"/>
      <c r="R39" s="36"/>
      <c r="S39" s="36" t="n">
        <f aca="false">-[4]Jul!$P$1+[4]Jul!$AM$1</f>
        <v>0</v>
      </c>
      <c r="T39" s="36" t="n">
        <f aca="false">-[5]Jul!$P$1+[5]Jul!$AM$1</f>
        <v>0</v>
      </c>
      <c r="U39" s="36" t="n">
        <f aca="false">-[6]Jul!$P$1+[6]Jul!$AM$1</f>
        <v>0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0</v>
      </c>
      <c r="AA39" s="57"/>
      <c r="AB39" s="36"/>
      <c r="AC39" s="36"/>
      <c r="AD39" s="36" t="n">
        <f aca="false">-[4]Aug!$P$1+[4]Aug!$AM$1</f>
        <v>0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0</v>
      </c>
      <c r="AL39" s="57"/>
      <c r="AM39" s="36"/>
      <c r="AN39" s="36"/>
      <c r="AO39" s="36" t="n">
        <f aca="false">-[4]Sep!$P$1+[4]Sep!$AM$1</f>
        <v>0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0</v>
      </c>
      <c r="AW39" s="57"/>
      <c r="AX39" s="36"/>
      <c r="AY39" s="36"/>
      <c r="AZ39" s="36" t="n">
        <f aca="false">-[4]Oct!$P$1+[4]Oct!$AM$1</f>
        <v>0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0</v>
      </c>
      <c r="BH39" s="57"/>
      <c r="BI39" s="36"/>
      <c r="BJ39" s="36"/>
      <c r="BK39" s="36" t="n">
        <f aca="false">-[4]Nov!$P$1+[4]Nov!$AM$1</f>
        <v>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0</v>
      </c>
      <c r="BS39" s="57"/>
      <c r="BT39" s="36"/>
      <c r="BU39" s="36"/>
      <c r="BV39" s="36" t="n">
        <f aca="false">-[4]Dec!$P$1+[4]Dec!$AM$1</f>
        <v>0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0</v>
      </c>
      <c r="CD39" s="57"/>
      <c r="CE39" s="36"/>
      <c r="CF39" s="36"/>
      <c r="CG39" s="36" t="n">
        <f aca="false">-[4]Jan!$P$1+[4]Jan!$AM$1</f>
        <v>0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0</v>
      </c>
      <c r="CO39" s="57"/>
      <c r="CP39" s="36"/>
      <c r="CQ39" s="36"/>
      <c r="CR39" s="36" t="n">
        <f aca="false">-[4]Feb!$P$1+[4]Feb!$AM$1</f>
        <v>0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0</v>
      </c>
      <c r="CZ39" s="57"/>
      <c r="DA39" s="36"/>
      <c r="DB39" s="36"/>
      <c r="DC39" s="36" t="n">
        <f aca="false">-[4]Mar!$P$1+[4]Mar!$AM$1</f>
        <v>0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0</v>
      </c>
      <c r="DK39" s="57"/>
      <c r="DL39" s="36"/>
      <c r="DM39" s="36"/>
      <c r="DN39" s="36" t="n">
        <f aca="false">-[4]Apr!$P$1+[4]Apr!$AM$1</f>
        <v>0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0</v>
      </c>
      <c r="DV39" s="57"/>
      <c r="DW39" s="36"/>
      <c r="DX39" s="36"/>
      <c r="DY39" s="36" t="n">
        <f aca="false">-[4]May!$P$1+[4]May!$AM$1</f>
        <v>0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0</v>
      </c>
      <c r="EG39" s="54"/>
      <c r="EI39" s="54"/>
      <c r="EJ39" s="36" t="n">
        <f aca="false">SUM(EF39:EH39)</f>
        <v>0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-217798.7775</v>
      </c>
      <c r="EI43" s="54"/>
      <c r="EJ43" s="36" t="n">
        <f aca="false">SUM(EF43:EH43)</f>
        <v>-217798.7775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51792.3058333333</v>
      </c>
      <c r="EE47" s="54"/>
      <c r="EF47" s="36" t="n">
        <f aca="false">SUM(DU47:EE47)</f>
        <v>51792.3058333333</v>
      </c>
      <c r="EG47" s="54"/>
      <c r="EI47" s="54"/>
      <c r="EJ47" s="36" t="n">
        <f aca="false">SUM(EF47:EH47)</f>
        <v>51792.3058333333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217798.7775</v>
      </c>
      <c r="EI49" s="54"/>
      <c r="EJ49" s="36" t="n">
        <f aca="false">SUM(EF49:EH49)</f>
        <v>217798.7775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-0</v>
      </c>
      <c r="K88" s="36"/>
      <c r="L88" s="36"/>
      <c r="N88" s="57"/>
      <c r="O88" s="36" t="n">
        <f aca="false">SUM(D88:N88)</f>
        <v>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-0</v>
      </c>
      <c r="AR88" s="36"/>
      <c r="AS88" s="36"/>
      <c r="AT88" s="36"/>
      <c r="AU88" s="54"/>
      <c r="AV88" s="36" t="n">
        <f aca="false">SUM(AK88:AU88)</f>
        <v>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-0</v>
      </c>
      <c r="BY88" s="36"/>
      <c r="BZ88" s="36"/>
      <c r="CA88" s="36"/>
      <c r="CB88" s="54"/>
      <c r="CC88" s="36" t="n">
        <f aca="false">SUM(BR88:CB88)</f>
        <v>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-0</v>
      </c>
      <c r="DF88" s="36"/>
      <c r="DG88" s="36"/>
      <c r="DH88" s="36"/>
      <c r="DI88" s="54"/>
      <c r="DJ88" s="36" t="n">
        <f aca="false">SUM(CY88:DI88)</f>
        <v>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0</v>
      </c>
      <c r="EG88" s="54"/>
      <c r="EI88" s="54"/>
      <c r="EJ88" s="36" t="n">
        <f aca="false">SUM(EF88:EH88)</f>
        <v>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3.09228198602796E-011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6.18456397205591E-011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9.45874489843845E-011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1.23691279441118E-010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1.65982783073559E-010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1.95086613530293E-010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2.38742359215394E-010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2.53294274443761E-010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2.67846189672127E-010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2.82398104900494E-010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3.04225977743045E-010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3.18777892971411E-010</v>
      </c>
      <c r="EG91" s="54"/>
      <c r="EH91" s="36" t="n">
        <f aca="false">SUM(EH4:EH90)</f>
        <v>0</v>
      </c>
      <c r="EI91" s="54"/>
      <c r="EJ91" s="36" t="n">
        <f aca="false">SUM(EJ4:EJ90)</f>
        <v>3.18777892971411E-010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0</v>
      </c>
      <c r="C36" s="72" t="n">
        <f aca="false">TrialBalance!O83+TrialBalance!O88+TrialBalance!O89-0</f>
        <v>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53948.25</v>
      </c>
      <c r="C41" s="74" t="n">
        <f aca="false">SUM(C18:C40)</f>
        <v>4226.25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6240.75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9129.25</v>
      </c>
      <c r="M41" s="71" t="n">
        <f aca="false">SUM(M18:M40)</f>
        <v>3451.5</v>
      </c>
      <c r="N41" s="71" t="n">
        <f aca="false">SUM(N18:N40)</f>
        <v>2877.5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269591.083333333</v>
      </c>
      <c r="C43" s="71" t="n">
        <f aca="false">C16-C41</f>
        <v>22722.0833333333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22627.5833333333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19555.0833333333</v>
      </c>
      <c r="M43" s="71" t="n">
        <f aca="false">M16-M41</f>
        <v>24236.8333333333</v>
      </c>
      <c r="N43" s="71" t="n">
        <f aca="false">N16-N41</f>
        <v>22406.8333333333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269591.083333333</v>
      </c>
      <c r="C45" s="71" t="n">
        <f aca="false">C43+C44</f>
        <v>22722.0833333333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22627.5833333333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19555.0833333333</v>
      </c>
      <c r="M45" s="71" t="n">
        <f aca="false">M43+M44</f>
        <v>24236.8333333333</v>
      </c>
      <c r="N45" s="71" t="n">
        <f aca="false">N43+N44</f>
        <v>22406.8333333333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53948.25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269591.083333333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269591.083333333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51792.3058333333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217798.7775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217798.7775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424900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0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424900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51792.3058333333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70816.6666666667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233601.2225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191298.7775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217798.7775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-0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217798.7775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217798.7775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217798.7775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46117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51792.3058333333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46117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46117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269591.083333333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272591.083333333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272591.083333333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272591.083333333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136109.090857273</v>
      </c>
      <c r="G33" s="224" t="n">
        <f aca="false">Admin!P6</f>
        <v>19</v>
      </c>
      <c r="H33" s="224"/>
      <c r="I33" s="225" t="n">
        <f aca="false">F33*G33/100</f>
        <v>25860.7272628819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136481.99247606</v>
      </c>
      <c r="G34" s="224" t="n">
        <f aca="false">Admin!P7</f>
        <v>19</v>
      </c>
      <c r="H34" s="224"/>
      <c r="I34" s="225" t="n">
        <f aca="false">F34*G34/100</f>
        <v>25931.5785704514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51792.3058333333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51792.3058333333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272591.083333333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272591.083333333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272591.083333333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272591.083333333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136109.090857273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25860.7272628819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25860.7272628819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25860.7272628819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25860.7272628819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25860.7272628819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