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<sst xmlns="http://schemas.openxmlformats.org/spreadsheetml/2006/main" count="1018" uniqueCount="621">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</sst>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6075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9357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850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42705.75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7218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138203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137955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92153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138320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230630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138498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184789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138671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92515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185169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45981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84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[2]Dec!$AI$1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[2]Jan!$AI$1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[2]Mar!$AI$1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[2]Apr!$AI$1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[3]Oct!$F$1-[3]Oct!$V$1</f>
        <v>33760</v>
      </c>
      <c r="G20" s="36"/>
      <c r="H20" s="36" t="n">
        <f aca="false">-[4]Oct!$J$1</f>
        <v>-24400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9360</v>
      </c>
      <c r="P20" s="57"/>
      <c r="Q20" s="36" t="n">
        <f aca="false">[3]Nov!$F$1-[3]Nov!$V$1</f>
        <v>32920</v>
      </c>
      <c r="R20" s="36"/>
      <c r="S20" s="36" t="n">
        <f aca="false">-[4]Nov!$J$1</f>
        <v>-14200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119</v>
      </c>
      <c r="Y20" s="54"/>
      <c r="Z20" s="36" t="n">
        <f aca="false">SUM(O20:Y20)</f>
        <v>28080</v>
      </c>
      <c r="AA20" s="57"/>
      <c r="AB20" s="36" t="n">
        <f aca="false">[3]Dec!$F$1-[3]Dec!$V$1</f>
        <v>35200</v>
      </c>
      <c r="AC20" s="36"/>
      <c r="AD20" s="36" t="n">
        <f aca="false">-[4]Dec!$J$1</f>
        <v>-14900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48380</v>
      </c>
      <c r="AL20" s="57"/>
      <c r="AM20" s="36" t="n">
        <f aca="false">[3]Jan!$F$1-[3]Jan!$V$1</f>
        <v>33760</v>
      </c>
      <c r="AN20" s="36"/>
      <c r="AO20" s="36" t="n">
        <f aca="false">-[4]Jan!$J$1</f>
        <v>-14000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68140</v>
      </c>
      <c r="AW20" s="57"/>
      <c r="AX20" s="36" t="n">
        <f aca="false">[3]Feb!$F$1-[3]Feb!$V$1</f>
        <v>36020</v>
      </c>
      <c r="AY20" s="36"/>
      <c r="AZ20" s="36" t="n">
        <f aca="false">-[4]Feb!$J$1</f>
        <v>-14600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89560</v>
      </c>
      <c r="BH20" s="57"/>
      <c r="BI20" s="36" t="n">
        <f aca="false">[3]Mar!$F$1-[3]Mar!$V$1</f>
        <v>33760</v>
      </c>
      <c r="BJ20" s="36"/>
      <c r="BK20" s="36" t="n">
        <f aca="false">-[4]Mar!$J$1</f>
        <v>-13400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109920</v>
      </c>
      <c r="BS20" s="57"/>
      <c r="BT20" s="36" t="n">
        <f aca="false">[3]Apr!$F$1-[3]Apr!$V$1</f>
        <v>50560</v>
      </c>
      <c r="BU20" s="36"/>
      <c r="BV20" s="36" t="n">
        <f aca="false">-[4]Apr!$J$1</f>
        <v>-30400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130080</v>
      </c>
      <c r="CD20" s="57"/>
      <c r="CE20" s="36" t="n">
        <f aca="false">[3]May!$F$1-[3]May!$V$1</f>
        <v>35320</v>
      </c>
      <c r="CF20" s="36"/>
      <c r="CG20" s="36" t="n">
        <f aca="false">-[4]May!$J$1</f>
        <v>-14500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150900</v>
      </c>
      <c r="CO20" s="57"/>
      <c r="CP20" s="36" t="n">
        <f aca="false">[3]Jun!$F$1-[3]Jun!$V$1</f>
        <v>32800</v>
      </c>
      <c r="CQ20" s="36"/>
      <c r="CR20" s="36" t="n">
        <f aca="false">-[4]Jun!$J$1</f>
        <v>-13900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169800</v>
      </c>
      <c r="CZ20" s="57"/>
      <c r="DA20" s="36" t="n">
        <f aca="false">[3]Jul!$F$1-[3]Jul!$V$1</f>
        <v>35440</v>
      </c>
      <c r="DB20" s="36"/>
      <c r="DC20" s="36" t="n">
        <f aca="false">-[4]Jul!$J$1</f>
        <v>-15200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190040</v>
      </c>
      <c r="DK20" s="57"/>
      <c r="DL20" s="36" t="n">
        <f aca="false">[3]Aug!$F$1-[3]Aug!$V$1</f>
        <v>34360</v>
      </c>
      <c r="DM20" s="36"/>
      <c r="DN20" s="36" t="n">
        <f aca="false">-[4]Aug!$J$1</f>
        <v>-14300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210100</v>
      </c>
      <c r="DV20" s="57"/>
      <c r="DW20" s="36" t="n">
        <f aca="false">[3]Sep!$F$1-[3]Sep!$V$1</f>
        <v>31000</v>
      </c>
      <c r="DX20" s="36"/>
      <c r="DY20" s="36" t="n">
        <f aca="false">-[4]Sep!$J$1</f>
        <v>-14800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[4]Oct!$F$1-[4]Oct!$X$1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[4]Nov!$F$1-[4]Nov!$X$1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[4]Dec!$F$1-[4]Dec!$X$1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[4]Jan!$F$1-[4]Jan!$X$1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[4]Feb!$F$1-[4]Feb!$X$1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[4]Mar!$F$1-[4]Mar!$X$1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[4]Apr!$F$1-[4]Apr!$X$1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[4]May!$F$1-[4]May!$X$1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[4]Jun!$F$1-[4]Jun!$X$1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[4]Jul!$F$1-[4]Jul!$X$1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[4]Aug!$F$1-[4]Aug!$X$1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[4]Sep!$F$1-[4]Sep!$X$1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[6]Dec!$F$1-[6]Dec!$X$1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[6]Apr!$F$1-[6]Apr!$X$1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[6]Aug!$F$1-[6]Aug!$X$1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[7]Oct!$F$1-[7]Oct!$U$1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[7]Dec!$F$1-[7]Dec!$U$1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[7]Mar!$F$1-[7]Mar!$U$1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[7]Jun!$F$1-[7]Jun!$U$1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[7]Sep!$F$1-[7]Sep!$U$1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-[2]Oct!$F$1+[2]Oct!$AK$1</f>
        <v>-5536.25</v>
      </c>
      <c r="H28" s="36" t="n">
        <f aca="false">[4]Oct!$AB$1</f>
        <v>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0</v>
      </c>
      <c r="L28" s="36"/>
      <c r="N28" s="57"/>
      <c r="O28" s="36" t="n">
        <f aca="false">SUM(D28:N28)</f>
        <v>-5536.25</v>
      </c>
      <c r="P28" s="57"/>
      <c r="Q28" s="36"/>
      <c r="R28" s="36" t="n">
        <f aca="false">-[2]Nov!$F$1+[2]Nov!$AK$1</f>
        <v>-6075</v>
      </c>
      <c r="S28" s="36" t="n">
        <f aca="false">[4]Nov!$AB$1</f>
        <v>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-11611.25</v>
      </c>
      <c r="AA28" s="57"/>
      <c r="AB28" s="36"/>
      <c r="AC28" s="36" t="n">
        <f aca="false">-[2]Dec!$F$1+[2]Dec!$AK$1</f>
        <v>-9357</v>
      </c>
      <c r="AD28" s="36" t="n">
        <f aca="false">[4]Dec!$AB$1</f>
        <v>0</v>
      </c>
      <c r="AE28" s="36" t="n">
        <f aca="false">[5]Dec!$AB$1</f>
        <v>0</v>
      </c>
      <c r="AF28" s="36" t="n">
        <f aca="false">[6]Dec!$AB$1</f>
        <v>0</v>
      </c>
      <c r="AG28" s="36" t="n">
        <f aca="false">[7]Dec!$Y$1</f>
        <v>0</v>
      </c>
      <c r="AH28" s="36"/>
      <c r="AI28" s="36"/>
      <c r="AJ28" s="54"/>
      <c r="AK28" s="36" t="n">
        <f aca="false">SUM(Z28:AJ28)</f>
        <v>-20968.25</v>
      </c>
      <c r="AL28" s="57"/>
      <c r="AM28" s="36"/>
      <c r="AN28" s="36" t="n">
        <f aca="false">-[2]Jan!$F$1+[2]Jan!$AK$1</f>
        <v>-9059.25</v>
      </c>
      <c r="AO28" s="36" t="n">
        <f aca="false">[4]Jan!$AB$1</f>
        <v>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-30027.5</v>
      </c>
      <c r="AW28" s="57"/>
      <c r="AX28" s="36"/>
      <c r="AY28" s="36" t="n">
        <f aca="false">-[2]Feb!$F$1+[2]Feb!$AK$1</f>
        <v>-4105.25</v>
      </c>
      <c r="AZ28" s="36" t="n">
        <f aca="false">[4]Feb!$AB$1</f>
        <v>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-34132.75</v>
      </c>
      <c r="BH28" s="57"/>
      <c r="BI28" s="36"/>
      <c r="BJ28" s="36" t="n">
        <f aca="false">-[2]Mar!$F$1+[2]Mar!$AK$1</f>
        <v>-5275</v>
      </c>
      <c r="BK28" s="36" t="n">
        <f aca="false">[4]Mar!$AB$1</f>
        <v>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0</v>
      </c>
      <c r="BO28" s="36"/>
      <c r="BP28" s="36"/>
      <c r="BQ28" s="54"/>
      <c r="BR28" s="36" t="n">
        <f aca="false">SUM(BG28:BQ28)</f>
        <v>-39407.75</v>
      </c>
      <c r="BS28" s="57"/>
      <c r="BT28" s="36"/>
      <c r="BU28" s="36" t="n">
        <f aca="false">-[2]Apr!$F$1+[2]Apr!$AK$1</f>
        <v>-42705.75</v>
      </c>
      <c r="BV28" s="36" t="n">
        <f aca="false">[4]Apr!$AB$1</f>
        <v>0</v>
      </c>
      <c r="BW28" s="36" t="n">
        <f aca="false">[5]Apr!$AB$1</f>
        <v>0</v>
      </c>
      <c r="BX28" s="36" t="n">
        <f aca="false">[6]Apr!$AB$1</f>
        <v>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-82113.5</v>
      </c>
      <c r="CD28" s="57"/>
      <c r="CE28" s="36"/>
      <c r="CF28" s="36" t="n">
        <f aca="false">-[2]May!$F$1+[2]May!$AK$1</f>
        <v>-7218</v>
      </c>
      <c r="CG28" s="36" t="n">
        <f aca="false">[4]May!$AB$1</f>
        <v>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-89331.5</v>
      </c>
      <c r="CO28" s="57"/>
      <c r="CP28" s="36"/>
      <c r="CQ28" s="36" t="n">
        <f aca="false">-[2]Jun!$F$1+[2]Jun!$AK$1</f>
        <v>-3984.5</v>
      </c>
      <c r="CR28" s="36" t="n">
        <f aca="false">[4]Jun!$AB$1</f>
        <v>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0</v>
      </c>
      <c r="CV28" s="36"/>
      <c r="CW28" s="36"/>
      <c r="CX28" s="54"/>
      <c r="CY28" s="36" t="n">
        <f aca="false">SUM(CN28:CX28)</f>
        <v>-93316</v>
      </c>
      <c r="CZ28" s="57"/>
      <c r="DA28" s="36"/>
      <c r="DB28" s="36" t="n">
        <f aca="false">-[2]Jul!$F$1+[2]Jul!$AK$1</f>
        <v>-9978.25</v>
      </c>
      <c r="DC28" s="36" t="n">
        <f aca="false">[4]Jul!$AB$1</f>
        <v>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-103294.25</v>
      </c>
      <c r="DK28" s="57"/>
      <c r="DL28" s="36"/>
      <c r="DM28" s="36" t="n">
        <f aca="false">-[2]Aug!$F$1+[2]Aug!$AK$1</f>
        <v>-4396.5</v>
      </c>
      <c r="DN28" s="36" t="n">
        <f aca="false">[4]Aug!$AB$1</f>
        <v>0</v>
      </c>
      <c r="DO28" s="36" t="n">
        <f aca="false">[5]Aug!$AB$1</f>
        <v>0</v>
      </c>
      <c r="DP28" s="36" t="n">
        <f aca="false">[6]Aug!$AB$1</f>
        <v>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-107690.75</v>
      </c>
      <c r="DV28" s="57"/>
      <c r="DW28" s="36"/>
      <c r="DX28" s="36" t="n">
        <f aca="false">-[2]Sep!$F$1+[2]Sep!$AK$1</f>
        <v>-3301.5</v>
      </c>
      <c r="DY28" s="36" t="n">
        <f aca="false">[4]Sep!$AB$1</f>
        <v>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0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0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0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0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0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0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0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0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0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0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0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0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[4]Apr!$AL$1</f>
        <v>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[4]Jul!$AL$1</f>
        <v>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[4]Sep!$AL$1</f>
        <v>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-[3]Oct!$G$1</f>
        <v>-5626.66666666667</v>
      </c>
      <c r="G33" s="36" t="n">
        <f aca="false">[2]Oct!$G$1</f>
        <v>0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-5626.66666666667</v>
      </c>
      <c r="P33" s="57"/>
      <c r="Q33" s="36" t="n">
        <f aca="false">-[3]Nov!$G$1</f>
        <v>-5486.66666666667</v>
      </c>
      <c r="R33" s="36" t="n">
        <f aca="false">[2]Nov!$G$1</f>
        <v>0</v>
      </c>
      <c r="S33" s="36" t="n">
        <f aca="false">-[4]Nov!$N$1+[4]Nov!$AI$1</f>
        <v>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-11113.3333333333</v>
      </c>
      <c r="AA33" s="57"/>
      <c r="AB33" s="36" t="n">
        <f aca="false">-[3]Dec!$G$1</f>
        <v>-5866.66666666667</v>
      </c>
      <c r="AC33" s="36" t="n">
        <f aca="false">[2]Dec!$G$1</f>
        <v>0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-16980</v>
      </c>
      <c r="AL33" s="57"/>
      <c r="AM33" s="36" t="n">
        <f aca="false">-[3]Jan!$G$1</f>
        <v>-5626.66666666667</v>
      </c>
      <c r="AN33" s="36" t="n">
        <f aca="false">[2]Jan!$G$1</f>
        <v>0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-22606.6666666667</v>
      </c>
      <c r="AW33" s="57"/>
      <c r="AX33" s="36" t="n">
        <f aca="false">-[3]Feb!$G$1</f>
        <v>-6003.33333333333</v>
      </c>
      <c r="AY33" s="36" t="n">
        <f aca="false">[2]Feb!$G$1</f>
        <v>0</v>
      </c>
      <c r="AZ33" s="36" t="n">
        <f aca="false">-[4]Feb!$N$1+[4]Feb!$AI$1</f>
        <v>-2500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-31110</v>
      </c>
      <c r="BH33" s="57"/>
      <c r="BI33" s="36" t="n">
        <f aca="false">-[3]Mar!$G$1</f>
        <v>-5626.66666666667</v>
      </c>
      <c r="BJ33" s="36" t="n">
        <f aca="false">[2]Mar!$G$1</f>
        <v>0</v>
      </c>
      <c r="BK33" s="36" t="n">
        <f aca="false">-[4]Mar!$N$1+[4]Mar!$AI$1</f>
        <v>0</v>
      </c>
      <c r="BL33" s="36" t="n">
        <f aca="false">-[5]Mar!$N$1+[5]Mar!$AI$1</f>
        <v>-125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-36861.6666666667</v>
      </c>
      <c r="BS33" s="57"/>
      <c r="BT33" s="36" t="n">
        <f aca="false">-[3]Apr!$G$1</f>
        <v>-8426.66666666667</v>
      </c>
      <c r="BU33" s="36" t="n">
        <f aca="false">[2]Apr!$G$1</f>
        <v>0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-45288.3333333334</v>
      </c>
      <c r="CD33" s="57"/>
      <c r="CE33" s="36" t="n">
        <f aca="false">-[3]May!$G$1</f>
        <v>-5886.66666666667</v>
      </c>
      <c r="CF33" s="36" t="n">
        <f aca="false">[2]May!$G$1</f>
        <v>0</v>
      </c>
      <c r="CG33" s="36" t="n">
        <f aca="false">-[4]May!$N$1+[4]May!$AI$1</f>
        <v>0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-51175</v>
      </c>
      <c r="CO33" s="57"/>
      <c r="CP33" s="36" t="n">
        <f aca="false">-[3]Jun!$G$1</f>
        <v>-5466.66666666667</v>
      </c>
      <c r="CQ33" s="36" t="n">
        <f aca="false">[2]Jun!$G$1</f>
        <v>0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-56641.6666666667</v>
      </c>
      <c r="CZ33" s="57"/>
      <c r="DA33" s="36" t="n">
        <f aca="false">-[3]Jul!$G$1</f>
        <v>-5906.66666666667</v>
      </c>
      <c r="DB33" s="36" t="n">
        <f aca="false">[2]Jul!$G$1</f>
        <v>0</v>
      </c>
      <c r="DC33" s="36" t="n">
        <f aca="false">-[4]Jul!$N$1+[4]Jul!$AI$1</f>
        <v>-1500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-64048.3333333334</v>
      </c>
      <c r="DK33" s="57"/>
      <c r="DL33" s="36" t="n">
        <f aca="false">-[3]Aug!$G$1</f>
        <v>-5726.66666666667</v>
      </c>
      <c r="DM33" s="36" t="n">
        <f aca="false">[2]Aug!$G$1</f>
        <v>0</v>
      </c>
      <c r="DN33" s="36" t="n">
        <f aca="false">-[4]Aug!$N$1+[4]Aug!$AI$1</f>
        <v>0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-69775</v>
      </c>
      <c r="DV33" s="57"/>
      <c r="DW33" s="36" t="n">
        <f aca="false">-[3]Sep!$G$1</f>
        <v>-5166.66666666667</v>
      </c>
      <c r="DX33" s="36" t="n">
        <f aca="false">[2]Sep!$G$1</f>
        <v>0</v>
      </c>
      <c r="DY33" s="36" t="n">
        <f aca="false">-[4]Sep!$N$1+[4]Sep!$AI$1</f>
        <v>0</v>
      </c>
      <c r="DZ33" s="36" t="n">
        <f aca="false">-[5]Sep!$N$1+[5]Sep!$AI$1</f>
        <v>-150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0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[4]Nov!$AH$1</f>
        <v>0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[4]Dec!$AH$1</f>
        <v>0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[4]Jan!$AH$1</f>
        <v>0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[4]Feb!$AH$1</f>
        <v>0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[4]Mar!$AH$1</f>
        <v>0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[4]Apr!$AH$1</f>
        <v>0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[4]May!$AH$1</f>
        <v>0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[4]Jun!$AH$1</f>
        <v>0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[4]Jul!$AH$1</f>
        <v>0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[4]Aug!$AH$1</f>
        <v>0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[4]Sep!$AH$1</f>
        <v>0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[4]Apr!$AK$1</f>
        <v>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-[4]Oct!$P$1+[4]Oct!$AM$1</f>
        <v>-138203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-138203</v>
      </c>
      <c r="P39" s="57"/>
      <c r="Q39" s="36"/>
      <c r="R39" s="36"/>
      <c r="S39" s="36" t="n">
        <f aca="false">-[4]Nov!$P$1+[4]Nov!$AM$1</f>
        <v>-137955</v>
      </c>
      <c r="T39" s="36" t="n">
        <f aca="false">-[5]Nov!$P$1+[5]Nov!$AM$1</f>
        <v>0</v>
      </c>
      <c r="U39" s="36" t="n">
        <f aca="false">-[6]Nov!$P$1+[6]Nov!$AM$1</f>
        <v>-45981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-322139</v>
      </c>
      <c r="AA39" s="57"/>
      <c r="AB39" s="36"/>
      <c r="AC39" s="36"/>
      <c r="AD39" s="36" t="n">
        <f aca="false">-[4]Dec!$P$1+[4]Dec!$AM$1</f>
        <v>-138050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-460189</v>
      </c>
      <c r="AL39" s="57"/>
      <c r="AM39" s="36"/>
      <c r="AN39" s="36"/>
      <c r="AO39" s="36" t="n">
        <f aca="false">-[4]Jan!$P$1+[4]Jan!$AM$1</f>
        <v>-230198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-690387</v>
      </c>
      <c r="AW39" s="57"/>
      <c r="AX39" s="36"/>
      <c r="AY39" s="36"/>
      <c r="AZ39" s="36" t="n">
        <f aca="false">-[4]Feb!$P$1+[4]Feb!$AM$1</f>
        <v>-92153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-782540</v>
      </c>
      <c r="BH39" s="57"/>
      <c r="BI39" s="36"/>
      <c r="BJ39" s="36"/>
      <c r="BK39" s="36" t="n">
        <f aca="false">-[4]Mar!$P$1+[4]Mar!$AM$1</f>
        <v>-138320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-920860</v>
      </c>
      <c r="BS39" s="57"/>
      <c r="BT39" s="36"/>
      <c r="BU39" s="36"/>
      <c r="BV39" s="36" t="n">
        <f aca="false">-[4]Apr!$P$1+[4]Apr!$AM$1</f>
        <v>-230630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-1151490</v>
      </c>
      <c r="CD39" s="57"/>
      <c r="CE39" s="36"/>
      <c r="CF39" s="36"/>
      <c r="CG39" s="36" t="n">
        <f aca="false">-[4]May!$P$1+[4]May!$AM$1</f>
        <v>-138498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-1289988</v>
      </c>
      <c r="CO39" s="57"/>
      <c r="CP39" s="36"/>
      <c r="CQ39" s="36"/>
      <c r="CR39" s="36" t="n">
        <f aca="false">-[4]Jun!$P$1+[4]Jun!$AM$1</f>
        <v>-184789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-1474777</v>
      </c>
      <c r="CZ39" s="57"/>
      <c r="DA39" s="36"/>
      <c r="DB39" s="36"/>
      <c r="DC39" s="36" t="n">
        <f aca="false">-[4]Jul!$P$1+[4]Jul!$AM$1</f>
        <v>-138671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-1613448</v>
      </c>
      <c r="DK39" s="57"/>
      <c r="DL39" s="36"/>
      <c r="DM39" s="36"/>
      <c r="DN39" s="36" t="n">
        <f aca="false">-[4]Aug!$P$1+[4]Aug!$AM$1</f>
        <v>-92515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-1705963</v>
      </c>
      <c r="DV39" s="57"/>
      <c r="DW39" s="36"/>
      <c r="DX39" s="36"/>
      <c r="DY39" s="36" t="n">
        <f aca="false">-[4]Sep!$P$1+[4]Sep!$AM$1</f>
        <v>-185169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-1891132</v>
      </c>
      <c r="EG39" s="54"/>
      <c r="EI39" s="54"/>
      <c r="EJ39" s="36" t="n">
        <f aca="false">SUM(EF39:EH39)</f>
        <v>-1891132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-0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[2]Oct!$O$1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[2]Nov!$O$1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[2]Dec!$O$1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[2]Jan!$O$1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[2]Feb!$O$1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[2]Mar!$O$1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[2]Apr!$O$1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[2]May!$O$1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[2]Jun!$O$1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[2]Jul!$O$1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[2]Aug!$O$1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[2]Sep!$O$1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[2]May!$P$1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[2]Oct!$Q$1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[2]Nov!$Q$1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[2]Dec!$Q$1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[2]Jan!$Q$1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[2]Feb!$Q$1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[2]Mar!$Q$1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[2]Apr!$Q$1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[2]May!$Q$1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[2]Jun!$Q$1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[2]Jul!$Q$1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[2]Aug!$Q$1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[2]Sep!$Q$1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[2]Jul!$R$1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[2]Oct!$T$1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[2]Nov!$T$1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[2]Dec!$T$1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[2]Jan!$T$1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[2]Feb!$T$1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[2]Mar!$T$1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[2]Apr!$T$1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[2]May!$T$1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[2]Jun!$T$1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[2]Jul!$T$1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[2]Aug!$T$1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[2]Sep!$T$1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[2]Mar!$U$1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[2]Jun!$U$1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[2]Sep!$U$1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[2]Jan!$V$1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[2]Mar!$V$1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[2]May!$V$1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[2]Jul!$V$1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[2]Sep!$V$1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[2]Jan!$W$1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[2]Mar!$W$1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[2]Jul!$W$1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[2]Aug!$W$1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[2]Oct!$X$1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[2]Jan!$X$1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[2]Feb!$X$1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[2]Apr!$X$1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[2]Jul!$X$1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[2]Aug!$X$1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[2]Oct!$Y$1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[2]Nov!$Y$1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[2]Dec!$Y$1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[2]Jan!$Y$1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[2]Feb!$Y$1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[2]Mar!$Y$1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[2]Apr!$Y$1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[2]May!$Y$1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[2]Jun!$Y$1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[2]Jul!$Y$1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[2]Aug!$Y$1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[2]Sep!$Y$1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[2]Jan!$Z$1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[2]Apr!$Z$1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[2]Jul!$Z$1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[2]Oct!$AA$1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[2]Nov!$AA$1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[2]Dec!$AA$1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[2]Jan!$AA$1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[2]Feb!$AA$1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[2]Mar!$AA$1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[2]Apr!$AA$1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[2]May!$AA$1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[2]Jun!$AA$1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[2]Jul!$AA$1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[2]Aug!$AA$1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[2]Sep!$AA$1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[2]Oct!$AB$1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[2]Nov!$AB$1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[2]Dec!$AB$1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[2]Jan!$AB$1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[2]Feb!$AB$1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[2]Mar!$AB$1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[2]Apr!$AB$1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[2]May!$AB$1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[2]Jun!$AB$1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[2]Jul!$AB$1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[2]Aug!$AB$1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[2]Sep!$AB$1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[2]Oct!$AC$1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[2]Nov!$AC$1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[2]Dec!$AC$1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[2]Jan!$AC$1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[2]Feb!$AC$1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[2]Mar!$AC$1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[2]Apr!$AC$1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[2]May!$AC$1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[2]Jun!$AC$1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[2]Jul!$AC$1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[2]Aug!$AC$1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[2]Sep!$AC$1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[2]Oct!$AD$1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[2]Apr!$AD$1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[2]Oct!$AE$1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[2]Jan!$AE$1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[2]Apr!$AE$1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[2]Jul!$AE$1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[2]Oct!$AF$1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[2]Nov!$AF$1</f>
        <v>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725</v>
      </c>
      <c r="AA80" s="57"/>
      <c r="AB80" s="36"/>
      <c r="AC80" s="36" t="n">
        <f aca="false">[2]Dec!$AF$1</f>
        <v>850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[2]Jan!$AF$1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[2]Feb!$AF$1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[2]Mar!$AF$1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[2]Apr!$AF$1</f>
        <v>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3643</v>
      </c>
      <c r="CD80" s="57"/>
      <c r="CE80" s="36"/>
      <c r="CF80" s="36" t="n">
        <f aca="false">[2]May!$AF$1</f>
        <v>600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4243</v>
      </c>
      <c r="CO80" s="57"/>
      <c r="CP80" s="36"/>
      <c r="CQ80" s="36" t="n">
        <f aca="false">[2]Jun!$AF$1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4243</v>
      </c>
      <c r="CZ80" s="57"/>
      <c r="DA80" s="36"/>
      <c r="DB80" s="36" t="n">
        <f aca="false">[2]Jul!$AF$1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5010</v>
      </c>
      <c r="DK80" s="57"/>
      <c r="DL80" s="36"/>
      <c r="DM80" s="36" t="n">
        <f aca="false">[2]Aug!$AF$1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[2]Sep!$AF$1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-[3]Oct!$T$1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-[3]Sep!$T$1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0</v>
      </c>
      <c r="T83" s="36" t="n">
        <f aca="false">[5]Nov!$AD$1</f>
        <v>0</v>
      </c>
      <c r="U83" s="36" t="n">
        <f aca="false">[6]Nov!$AD$1</f>
        <v>0</v>
      </c>
      <c r="V83" s="36" t="n">
        <f aca="false">[7]Nov!$AA$1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[4]Dec!$AD$1</f>
        <v>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[4]Mar!$AD$1</f>
        <v>0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[4]May!$AD$1</f>
        <v>0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[4]Jun!$AD$1</f>
        <v>0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[4]Sep!$AD$1</f>
        <v>0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[4]Oct!$AN$1</f>
        <v>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[4]Jan!$AN$1</f>
        <v>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[4]Apr!$AN$1</f>
        <v>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[4]Jul!$AN$1</f>
        <v>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[4]Sep!$AN$1</f>
        <v>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-133003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-132988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-132655</v>
      </c>
      <c r="T91" s="36" t="n">
        <f aca="false">SUM(T4:T90)</f>
        <v>0</v>
      </c>
      <c r="U91" s="36" t="n">
        <f aca="false">SUM(U4:U90)</f>
        <v>-45981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-311624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-133050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-444369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-225098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-669467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-87053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-756520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-133720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-890222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-188630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-1078732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-133598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-1212330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-179589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-1391869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-128371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-1520240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-87115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-1607115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-175369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-1782472</v>
      </c>
      <c r="EG91" s="54"/>
      <c r="EH91" s="36" t="n">
        <f aca="false">SUM(EH4:EH90)</f>
        <v>0</v>
      </c>
      <c r="EI91" s="54"/>
      <c r="EJ91" s="36" t="n">
        <f aca="false">SUM(EJ4:EJ90)</f>
        <v>-1782472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0</v>
      </c>
      <c r="E33" s="72" t="n">
        <f aca="false">TrialBalance!AK80-SUM(C33:D33)</f>
        <v>850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0</v>
      </c>
      <c r="J33" s="72" t="n">
        <f aca="false">TrialBalance!CN80-SUM(C33:I33)</f>
        <v>600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3306</v>
      </c>
      <c r="E41" s="71" t="n">
        <f aca="false">SUM(E18:E40)</f>
        <v>3712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5440.75</v>
      </c>
      <c r="J41" s="71" t="n">
        <f aca="false">SUM(J18:J40)</f>
        <v>3129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23158.3333333333</v>
      </c>
      <c r="E43" s="71" t="n">
        <f aca="false">E16-E41</f>
        <v>19976.3333333333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23427.5833333333</v>
      </c>
      <c r="J43" s="71" t="n">
        <f aca="false">J16-J41</f>
        <v>22215.3333333333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23158.3333333333</v>
      </c>
      <c r="E45" s="71" t="n">
        <f aca="false">E43+E44</f>
        <v>19976.3333333333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23427.5833333333</v>
      </c>
      <c r="J45" s="71" t="n">
        <f aca="false">J43+J44</f>
        <v>22215.3333333333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46296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46660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1891132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1891132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-1559327.2225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46660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46258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46660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46660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46258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46258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46296</v>
      </c>
      <c r="F5" s="189"/>
      <c r="G5" s="190" t="s">
        <v>319</v>
      </c>
      <c r="H5" s="189" t="n">
        <f aca="false">Admin!N7</f>
        <v>47026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46296</v>
      </c>
      <c r="F15" s="198" t="n">
        <f aca="false">H5</f>
        <v>47026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46296</v>
      </c>
      <c r="F16" s="198" t="n">
        <f aca="false">H5</f>
        <v>47026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46296</v>
      </c>
      <c r="F18" s="198" t="n">
        <f aca="false">H5</f>
        <v>47026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47026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46296</v>
      </c>
      <c r="D33" s="222" t="n">
        <f aca="false">Admin!N6</f>
        <v>46660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46661</v>
      </c>
      <c r="D34" s="222" t="n">
        <f aca="false">Admin!N7</f>
        <v>47026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46296</v>
      </c>
      <c r="E48" s="240" t="n">
        <f aca="false">H5</f>
        <v>47026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46296</v>
      </c>
      <c r="E57" s="240" t="n">
        <f aca="false">H5</f>
        <v>47026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46296</v>
      </c>
      <c r="E63" s="240" t="n">
        <f aca="false">H5</f>
        <v>47026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46296</v>
      </c>
      <c r="E72" s="240" t="n">
        <f aca="false">H5</f>
        <v>47026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46296</v>
      </c>
      <c r="E79" s="245" t="n">
        <f aca="false">H5</f>
        <v>47026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46296</v>
      </c>
      <c r="E84" s="248" t="n">
        <f aca="false">H5</f>
        <v>47026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46296</v>
      </c>
      <c r="E91" s="250" t="n">
        <f aca="false">H5</f>
        <v>47026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46296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46296</v>
      </c>
      <c r="F102" s="253" t="n">
        <f aca="false">H5</f>
        <v>47026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47026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0</v>
      </c>
      <c r="D4" s="36" t="n">
        <f aca="false">[9]Oct!$N$1-D17</f>
        <v>0</v>
      </c>
      <c r="E4" s="36" t="n">
        <f aca="false">[9]Oct!$O$1-E17</f>
        <v>0</v>
      </c>
      <c r="F4" s="36" t="n">
        <f aca="false">[9]Oct!$P$1+[9]Oct!$Q$1-F17</f>
        <v>0</v>
      </c>
      <c r="G4" s="36" t="n">
        <f aca="false">C4-SUM(D4:F4)</f>
        <v>0</v>
      </c>
      <c r="H4" s="36" t="n">
        <f aca="false">[9]Oct!$T$1-H17</f>
        <v>0</v>
      </c>
      <c r="I4" s="36" t="n">
        <f aca="false">[9]Oct!$G$1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0</v>
      </c>
      <c r="D5" s="36" t="n">
        <f aca="false">[9]Nov!$N$1-D18</f>
        <v>0</v>
      </c>
      <c r="E5" s="36" t="n">
        <f aca="false">[9]Nov!$O$1-E18</f>
        <v>0</v>
      </c>
      <c r="F5" s="36" t="n">
        <f aca="false">[9]Nov!$P$1+[9]Nov!$Q$1-F18</f>
        <v>0</v>
      </c>
      <c r="G5" s="36" t="n">
        <f aca="false">C5-SUM(D5:F5)</f>
        <v>0</v>
      </c>
      <c r="H5" s="36" t="n">
        <f aca="false">[9]Nov!$T$1-H18</f>
        <v>0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0</v>
      </c>
      <c r="D6" s="36" t="n">
        <f aca="false">[9]Dec!$N$1-D19</f>
        <v>0</v>
      </c>
      <c r="E6" s="36" t="n">
        <f aca="false">[9]Dec!$O$1-E19</f>
        <v>0</v>
      </c>
      <c r="F6" s="36" t="n">
        <f aca="false">[9]Dec!$P$1+[9]Dec!$Q$1-F19</f>
        <v>0</v>
      </c>
      <c r="G6" s="36" t="n">
        <f aca="false">C6-SUM(D6:F6)</f>
        <v>0</v>
      </c>
      <c r="H6" s="36" t="n">
        <f aca="false">[9]Dec!$T$1-H19</f>
        <v>0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0</v>
      </c>
      <c r="D7" s="36" t="n">
        <f aca="false">[9]Jan!$N$1-D20</f>
        <v>0</v>
      </c>
      <c r="E7" s="36" t="n">
        <f aca="false">[9]Jan!$O$1-E20</f>
        <v>0</v>
      </c>
      <c r="F7" s="36" t="n">
        <f aca="false">[9]Jan!$P$1+[9]Jan!$Q$1-F20</f>
        <v>0</v>
      </c>
      <c r="G7" s="36" t="n">
        <f aca="false">C7-SUM(D7:F7)</f>
        <v>0</v>
      </c>
      <c r="H7" s="36" t="n">
        <f aca="false">[9]Jan!$T$1-H20</f>
        <v>0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0</v>
      </c>
      <c r="D8" s="36" t="n">
        <f aca="false">[9]Feb!$N$1-D21</f>
        <v>0</v>
      </c>
      <c r="E8" s="36" t="n">
        <f aca="false">[9]Feb!$O$1-E21</f>
        <v>0</v>
      </c>
      <c r="F8" s="36" t="n">
        <f aca="false">[9]Feb!$P$1+[9]Feb!$Q$1-F21</f>
        <v>0</v>
      </c>
      <c r="G8" s="36" t="n">
        <f aca="false">C8-SUM(D8:F8)</f>
        <v>0</v>
      </c>
      <c r="H8" s="36" t="n">
        <f aca="false">[9]Feb!$T$1-H21</f>
        <v>0</v>
      </c>
      <c r="I8" s="36" t="n">
        <f aca="false">[9]Feb!$G$1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0</v>
      </c>
      <c r="D9" s="36" t="n">
        <f aca="false">[9]Mar!$N$1-D22</f>
        <v>0</v>
      </c>
      <c r="E9" s="36" t="n">
        <f aca="false">[9]Mar!$O$1-E22</f>
        <v>0</v>
      </c>
      <c r="F9" s="36" t="n">
        <f aca="false">[9]Mar!$P$1+[9]Mar!$Q$1-F22</f>
        <v>0</v>
      </c>
      <c r="G9" s="36" t="n">
        <f aca="false">C9-SUM(D9:F9)</f>
        <v>0</v>
      </c>
      <c r="H9" s="36" t="n">
        <f aca="false">[9]Mar!$T$1-H22</f>
        <v>0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0</v>
      </c>
      <c r="D10" s="36" t="n">
        <f aca="false">[9]Apr!$N$1-D23</f>
        <v>0</v>
      </c>
      <c r="E10" s="36" t="n">
        <f aca="false">[9]Apr!$O$1-E23</f>
        <v>0</v>
      </c>
      <c r="F10" s="36" t="n">
        <f aca="false">[9]Apr!$P$1+[9]Apr!$Q$1-F23</f>
        <v>0</v>
      </c>
      <c r="G10" s="36" t="n">
        <f aca="false">C10-SUM(D10:F10)</f>
        <v>0</v>
      </c>
      <c r="H10" s="36" t="n">
        <f aca="false">[9]Apr!$T$1-H23</f>
        <v>0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0</v>
      </c>
      <c r="D11" s="36" t="n">
        <f aca="false">[9]May!$N$1-D24</f>
        <v>0</v>
      </c>
      <c r="E11" s="36" t="n">
        <f aca="false">[9]May!$O$1-E24</f>
        <v>0</v>
      </c>
      <c r="F11" s="36" t="n">
        <f aca="false">[9]May!$P$1+[9]May!$Q$1-F24</f>
        <v>0</v>
      </c>
      <c r="G11" s="36" t="n">
        <f aca="false">C11-SUM(D11:F11)</f>
        <v>0</v>
      </c>
      <c r="H11" s="36" t="n">
        <f aca="false">[9]May!$T$1-H24</f>
        <v>0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0</v>
      </c>
      <c r="D12" s="36" t="n">
        <f aca="false">[9]Jun!$N$1-D25</f>
        <v>0</v>
      </c>
      <c r="E12" s="36" t="n">
        <f aca="false">[9]Jun!$O$1-E25</f>
        <v>0</v>
      </c>
      <c r="F12" s="36" t="n">
        <f aca="false">[9]Jun!$P$1+[9]Jun!$Q$1-F25</f>
        <v>0</v>
      </c>
      <c r="G12" s="36" t="n">
        <f aca="false">C12-SUM(D12:F12)</f>
        <v>0</v>
      </c>
      <c r="H12" s="36" t="n">
        <f aca="false">[9]Jun!$T$1-H25</f>
        <v>0</v>
      </c>
      <c r="I12" s="36" t="n">
        <f aca="false">[9]Jun!$G$1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0</v>
      </c>
      <c r="D13" s="36" t="n">
        <f aca="false">[9]Jul!$N$1-D26</f>
        <v>0</v>
      </c>
      <c r="E13" s="36" t="n">
        <f aca="false">[9]Jul!$O$1-E26</f>
        <v>0</v>
      </c>
      <c r="F13" s="36" t="n">
        <f aca="false">[9]Jul!$P$1+[9]Jul!$Q$1-F26</f>
        <v>0</v>
      </c>
      <c r="G13" s="36" t="n">
        <f aca="false">C13-SUM(D13:F13)</f>
        <v>0</v>
      </c>
      <c r="H13" s="36" t="n">
        <f aca="false">[9]Jul!$T$1-H26</f>
        <v>0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0</v>
      </c>
      <c r="D14" s="36" t="n">
        <f aca="false">[9]Aug!$N$1-D27</f>
        <v>0</v>
      </c>
      <c r="E14" s="36" t="n">
        <f aca="false">[9]Aug!$O$1-E27</f>
        <v>0</v>
      </c>
      <c r="F14" s="36" t="n">
        <f aca="false">[9]Aug!$P$1+[9]Aug!$Q$1-F27</f>
        <v>0</v>
      </c>
      <c r="G14" s="36" t="n">
        <f aca="false">C14-SUM(D14:F14)</f>
        <v>0</v>
      </c>
      <c r="H14" s="36" t="n">
        <f aca="false">[9]Aug!$T$1-H27</f>
        <v>0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0</v>
      </c>
      <c r="D15" s="36" t="n">
        <f aca="false">[9]Sep!$N$1-D28</f>
        <v>0</v>
      </c>
      <c r="E15" s="36" t="n">
        <f aca="false">[9]Sep!$O$1-E28</f>
        <v>0</v>
      </c>
      <c r="F15" s="36" t="n">
        <f aca="false">[9]Sep!$P$1+[9]Sep!$Q$1-F28</f>
        <v>0</v>
      </c>
      <c r="G15" s="36" t="n">
        <f aca="false">C15-SUM(D15:F15)</f>
        <v>0</v>
      </c>
      <c r="H15" s="36" t="n">
        <f aca="false">[9]Sep!$T$1-H28</f>
        <v>0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IF((H$4+N$4+T$4)=0,0,[2]Oct!O$1)</f>
        <v>0</v>
      </c>
      <c r="G8" s="78"/>
      <c r="H8" s="437" t="n">
        <f aca="false">H4</f>
        <v>0</v>
      </c>
      <c r="I8" s="78"/>
      <c r="J8" s="78" t="n">
        <f aca="false">[3]Oct!$O$1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46356</v>
      </c>
      <c r="C10" s="431"/>
      <c r="D10" s="432" t="n">
        <f aca="false">D8+F10-L10-R10-X10+Z8</f>
        <v>0</v>
      </c>
      <c r="E10" s="78"/>
      <c r="F10" s="78" t="n">
        <f aca="false">IF((H$4+N$4+T$4)=0,0,[2]Nov!O$1)</f>
        <v>0</v>
      </c>
      <c r="G10" s="78"/>
      <c r="H10" s="437" t="n">
        <f aca="false">H8</f>
        <v>0</v>
      </c>
      <c r="I10" s="78"/>
      <c r="J10" s="78" t="n">
        <f aca="false">[3]Nov!$O$1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46387</v>
      </c>
      <c r="C12" s="431"/>
      <c r="D12" s="432" t="n">
        <f aca="false">D10+F12-L12-R12-X12+Z10</f>
        <v>0</v>
      </c>
      <c r="E12" s="78"/>
      <c r="F12" s="78" t="n">
        <f aca="false">IF((H$4+N$4+T$4)=0,0,[2]Dec!O$1)</f>
        <v>0</v>
      </c>
      <c r="G12" s="78"/>
      <c r="H12" s="437" t="n">
        <f aca="false">H10</f>
        <v>0</v>
      </c>
      <c r="I12" s="78"/>
      <c r="J12" s="78" t="n">
        <f aca="false">[3]Dec!$O$1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46418</v>
      </c>
      <c r="C14" s="431"/>
      <c r="D14" s="432" t="n">
        <f aca="false">D12+F14-L14-R14-X14+Z12</f>
        <v>0</v>
      </c>
      <c r="E14" s="78"/>
      <c r="F14" s="78" t="n">
        <f aca="false">IF((H$4+N$4+T$4)=0,0,[2]Jan!O$1)</f>
        <v>0</v>
      </c>
      <c r="G14" s="78"/>
      <c r="H14" s="437" t="n">
        <f aca="false">H12</f>
        <v>0</v>
      </c>
      <c r="I14" s="78"/>
      <c r="J14" s="78" t="n">
        <f aca="false">[3]Jan!$O$1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46446</v>
      </c>
      <c r="C16" s="431"/>
      <c r="D16" s="432" t="n">
        <f aca="false">D14+F16-L16-R16-X16+Z14</f>
        <v>0</v>
      </c>
      <c r="E16" s="78"/>
      <c r="F16" s="78" t="n">
        <f aca="false">IF((H$4+N$4+T$4)=0,0,[2]Feb!O$1)</f>
        <v>0</v>
      </c>
      <c r="G16" s="78"/>
      <c r="H16" s="437" t="n">
        <f aca="false">H14</f>
        <v>0</v>
      </c>
      <c r="I16" s="78"/>
      <c r="J16" s="78" t="n">
        <f aca="false">[3]Feb!$O$1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46477</v>
      </c>
      <c r="C18" s="431"/>
      <c r="D18" s="432" t="n">
        <f aca="false">D16+F18-L18-R18-X18+Z16</f>
        <v>0</v>
      </c>
      <c r="E18" s="78"/>
      <c r="F18" s="78" t="n">
        <f aca="false">IF((H$4+N$4+T$4)=0,0,[2]Mar!O$1)</f>
        <v>0</v>
      </c>
      <c r="G18" s="78"/>
      <c r="H18" s="437" t="n">
        <f aca="false">H16</f>
        <v>0</v>
      </c>
      <c r="I18" s="78"/>
      <c r="J18" s="78" t="n">
        <f aca="false">[3]Mar!$O$1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46507</v>
      </c>
      <c r="C20" s="431"/>
      <c r="D20" s="432" t="n">
        <f aca="false">D18+F20-L20-R20-X20+Z18</f>
        <v>0</v>
      </c>
      <c r="E20" s="78"/>
      <c r="F20" s="78" t="n">
        <f aca="false">IF((H$4+N$4+T$4)=0,0,[2]Apr!O$1)</f>
        <v>0</v>
      </c>
      <c r="G20" s="78"/>
      <c r="H20" s="437" t="n">
        <f aca="false">H18</f>
        <v>0</v>
      </c>
      <c r="I20" s="78"/>
      <c r="J20" s="78" t="n">
        <f aca="false">[3]Apr!$O$1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46538</v>
      </c>
      <c r="C22" s="431"/>
      <c r="D22" s="432" t="n">
        <f aca="false">D20+F22-L22-R22-X22+Z20</f>
        <v>0</v>
      </c>
      <c r="E22" s="78"/>
      <c r="F22" s="78" t="n">
        <f aca="false">IF((H$4+N$4+T$4)=0,0,[2]May!O$1)</f>
        <v>0</v>
      </c>
      <c r="G22" s="78"/>
      <c r="H22" s="437" t="n">
        <f aca="false">H20</f>
        <v>0</v>
      </c>
      <c r="I22" s="78"/>
      <c r="J22" s="78" t="n">
        <f aca="false">[3]May!$O$1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46568</v>
      </c>
      <c r="C24" s="431"/>
      <c r="D24" s="432" t="n">
        <f aca="false">D22+F24-L24-R24-X24+Z22</f>
        <v>0</v>
      </c>
      <c r="E24" s="78"/>
      <c r="F24" s="78" t="n">
        <f aca="false">IF((H$4+N$4+T$4)=0,0,[2]Jun!O$1)</f>
        <v>0</v>
      </c>
      <c r="G24" s="78"/>
      <c r="H24" s="437" t="n">
        <f aca="false">H22</f>
        <v>0</v>
      </c>
      <c r="I24" s="78"/>
      <c r="J24" s="78" t="n">
        <f aca="false">[3]Jun!$O$1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46599</v>
      </c>
      <c r="C26" s="431"/>
      <c r="D26" s="432" t="n">
        <f aca="false">D24+F26-L26-R26-X26+Z24</f>
        <v>0</v>
      </c>
      <c r="E26" s="78"/>
      <c r="F26" s="78" t="n">
        <f aca="false">IF((H$4+N$4+T$4)=0,0,[2]Jul!O$1)</f>
        <v>0</v>
      </c>
      <c r="G26" s="78"/>
      <c r="H26" s="437" t="n">
        <f aca="false">H24</f>
        <v>0</v>
      </c>
      <c r="I26" s="78"/>
      <c r="J26" s="78" t="n">
        <f aca="false">[3]Jul!$O$1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46630</v>
      </c>
      <c r="C28" s="431"/>
      <c r="D28" s="432" t="n">
        <f aca="false">D26+F28-L28-R28-X28+Z26</f>
        <v>0</v>
      </c>
      <c r="E28" s="78"/>
      <c r="F28" s="78" t="n">
        <f aca="false">IF((H$4+N$4+T$4)=0,0,[2]Aug!O$1)</f>
        <v>0</v>
      </c>
      <c r="G28" s="78"/>
      <c r="H28" s="437" t="n">
        <f aca="false">H26</f>
        <v>0</v>
      </c>
      <c r="I28" s="78"/>
      <c r="J28" s="78" t="n">
        <f aca="false">[3]Aug!$O$1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46660</v>
      </c>
      <c r="C30" s="431"/>
      <c r="D30" s="432" t="n">
        <f aca="false">D28+F30-L30-R30-X30+Z28</f>
        <v>0</v>
      </c>
      <c r="E30" s="78"/>
      <c r="F30" s="78" t="n">
        <f aca="false">IF((H$4+N$4+T$4)=0,0,[2]Sep!O$1)</f>
        <v>0</v>
      </c>
      <c r="G30" s="78"/>
      <c r="H30" s="437" t="n">
        <f aca="false">H28</f>
        <v>0</v>
      </c>
      <c r="I30" s="78"/>
      <c r="J30" s="78" t="n">
        <f aca="false">[3]Sep!$O$1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605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607</v>
      </c>
      <c r="E6" s="451"/>
      <c r="F6" s="463" t="n">
        <f aca="false">B8</f>
        <v>46295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46296</v>
      </c>
      <c r="M6" s="466"/>
      <c r="N6" s="467" t="n">
        <f aca="false">B32</f>
        <v>46660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605</v>
      </c>
      <c r="E7" s="451"/>
      <c r="F7" s="463" t="n">
        <f aca="false">B32</f>
        <v>46660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46661</v>
      </c>
      <c r="M7" s="466"/>
      <c r="N7" s="467" t="n">
        <f aca="false">B56</f>
        <v>47026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607</v>
      </c>
      <c r="E8" s="451"/>
      <c r="F8" s="463" t="n">
        <f aca="false">B32</f>
        <v>46660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46295</v>
      </c>
      <c r="M10" s="453" t="s">
        <v>610</v>
      </c>
      <c r="N10" s="473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46660</v>
      </c>
      <c r="M11" s="474" t="s">
        <v>610</v>
      </c>
      <c r="N11" s="473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46296</v>
      </c>
      <c r="O19" s="479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3" t="s">
        <v>604</v>
      </c>
      <c r="E21" s="2"/>
      <c r="F21" s="482" t="n">
        <v>46660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46569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5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