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<sst xmlns="http://schemas.openxmlformats.org/spreadsheetml/2006/main" count="1027" uniqueCount="624">
  <si>
    <t xml:space="preserve">Company Name (including Limited)</t>
  </si>
  <si>
    <t xml:space="preserve">Registered Office Address</t>
  </si>
  <si>
    <t xml:space="preserve">Tax Reference per CT603 Notice</t>
  </si>
  <si>
    <t xml:space="preserve">Company registration number</t>
  </si>
  <si>
    <t xml:space="preserve">Telephone number (including STD Code)</t>
  </si>
  <si>
    <t xml:space="preserve">First Director's Name</t>
  </si>
  <si>
    <t xml:space="preserve">Loss brought forward</t>
  </si>
  <si>
    <t xml:space="preserve">Second Director's Name</t>
  </si>
  <si>
    <t xml:space="preserve">Postcode</t>
  </si>
  <si>
    <t xml:space="preserve">The principal activity of the company is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</si>
  <si>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</si>
  <si>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</si>
  <si>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</si>
  <si>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</si>
  <si>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</si>
  <si>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</si>
  <si>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</si>
  <si>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</si>
  <si>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</si>
  <si>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</si>
  <si>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</si>
  <si>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</si>
  <si>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</si>
  <si>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</si>
  <si>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Stock at cost</t>
  </si>
  <si>
    <t xml:space="preserve">Trade Debtors</t>
  </si>
  <si>
    <t xml:space="preserve">Current Account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</si>
  <si>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</si>
  <si>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</si>
  <si>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</si>
  <si>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</si>
  <si>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</si>
  <si>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</si>
  <si>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Trade Creditors</t>
  </si>
  <si>
    <t xml:space="preserve">Net wages due</t>
  </si>
  <si>
    <t xml:space="preserve">Wage deductions due</t>
  </si>
  <si>
    <t xml:space="preserve">Dividends due</t>
  </si>
  <si>
    <t xml:space="preserve">Corporation Tax</t>
  </si>
  <si>
    <t xml:space="preserve">HMRC Paye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</si>
  <si>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</si>
  <si>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</si>
  <si>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</si>
  <si>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</si>
  <si>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</si>
  <si>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Directors Loan Account</t>
  </si>
  <si>
    <t xml:space="preserve">Long Term Creditors (over 1 year)</t>
  </si>
  <si>
    <t xml:space="preserve">Capital and Reserves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</si>
  <si>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</si>
  <si>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</si>
  <si>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</si>
  <si>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</si>
  <si>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</si>
  <si>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</si>
  <si>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</si>
  <si>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</si>
  <si>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</si>
  <si>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</si>
  <si>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</si>
  <si>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</si>
  <si>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</si>
  <si>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</si>
  <si>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</si>
  <si>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</si>
  <si>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</si>
  <si>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</si>
  <si>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</si>
  <si>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</si>
  <si>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</si>
  <si>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</si>
  <si>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</si>
  <si>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</si>
  <si>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</si>
  <si>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</si>
  <si>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</si>
  <si>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</si>
  <si>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</si>
  <si>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</si>
  <si>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</si>
  <si>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</si>
  <si>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</si>
  <si>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</si>
  <si>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</si>
  <si>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</si>
  <si>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</si>
  <si>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</si>
  <si>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</si>
  <si>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</si>
  <si>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</si>
  <si>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</si>
  <si>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</si>
  <si>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</si>
  <si>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</si>
  <si>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</si>
  <si>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</si>
  <si>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</si>
  <si>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</si>
  <si>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</si>
  <si>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</si>
  <si>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</si>
  <si>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</si>
  <si>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</si>
  <si>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</si>
  <si>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</si>
  <si>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</si>
  <si>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</si>
  <si>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</si>
  <si>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</si>
  <si>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</si>
  <si>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</si>
  <si>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</si>
  <si>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</si>
  <si>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</si>
  <si>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</si>
  <si>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</si>
  <si>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</si>
  <si>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</si>
  <si>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</si>
  <si>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</si>
  <si>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</si>
  <si>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</si>
  <si>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</si>
  <si>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</si>
  <si>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</si>
  <si>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</si>
  <si>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</si>
  <si>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</si>
  <si>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</si>
  <si>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</si>
  <si>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</si>
  <si>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</si>
  <si>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</si>
  <si>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</si>
  <si>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</si>
  <si>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</si>
  <si>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</si>
  <si>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</si>
  <si>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</si>
  <si>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</si>
  <si>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</si>
  <si>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</si>
  <si>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</si>
  <si>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</si>
  <si>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</si>
  <si>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</si>
  <si>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</si>
  <si>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</si>
  <si>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</si>
  <si>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</si>
  <si>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</si>
  <si>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</si>
  <si>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</si>
  <si>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</si>
  <si>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</si>
  <si>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</si>
  <si>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</si>
  <si>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</si>
  <si>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</si>
  <si>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</si>
  <si>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</si>
  <si>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</si>
  <si>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</si>
  <si>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</si>
  <si>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</si>
  <si>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</si>
  <si>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</si>
  <si>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</si>
  <si>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</si>
  <si>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</si>
  <si>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</si>
  <si>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</si>
  <si>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</si>
  <si>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</si>
  <si>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</si>
  <si>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</si>
  <si>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</si>
  <si>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</si>
  <si>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</si>
  <si>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</si>
  <si>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</si>
  <si>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</si>
  <si>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</si>
  <si>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</si>
  <si>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</si>
  <si>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</si>
  <si>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</si>
  <si>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</si>
  <si>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</si>
  <si>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</si>
  <si>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</si>
  <si>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</si>
  <si>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</si>
  <si>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</si>
  <si>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</si>
  <si>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</si>
  <si>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</si>
  <si>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</si>
  <si>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</si>
  <si>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</si>
  <si>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</si>
  <si>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</si>
  <si>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</si>
  <si>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</si>
  <si>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</si>
  <si>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</si>
  <si>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</si>
  <si>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</si>
  <si>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</si>
  <si>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</si>
  <si>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</si>
  <si>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</si>
  <si>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</si>
  <si>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</si>
  <si>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</si>
  <si>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</si>
  <si>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</si>
  <si>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</si>
  <si>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</si>
  <si>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</si>
  <si>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</si>
  <si>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</si>
  <si>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</si>
  <si>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</si>
  <si>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</si>
  <si>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</si>
  <si>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</si>
  <si>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</si>
  <si>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</si>
  <si>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</si>
  <si>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</si>
  <si>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</si>
  <si>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</si>
  <si>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</si>
  <si>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</si>
  <si>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</si>
  <si>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</si>
  <si>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</si>
  <si>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</si>
  <si>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</si>
  <si>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</si>
  <si>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</si>
  <si>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</si>
  <si>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</si>
  <si>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</si>
  <si>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</si>
  <si>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</si>
  <si>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</si>
  <si>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</si>
  <si>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</si>
  <si>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</si>
  <si>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</si>
  <si>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</si>
  <si>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</si>
  <si>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</si>
  <si>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</si>
  <si>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</si>
  <si>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</si>
  <si>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</si>
  <si>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</si>
  <si>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</si>
  <si>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</si>
  <si>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</si>
  <si>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</si>
  <si>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</si>
  <si>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</si>
  <si>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</si>
  <si>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</si>
  <si>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</si>
  <si>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</si>
  <si>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</si>
  <si>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</si>
  <si>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</si>
  <si>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</si>
  <si>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</si>
  <si>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</si>
  <si>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</si>
  <si>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</si>
  <si>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</si>
  <si>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</si>
  <si>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</si>
  <si>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</si>
  <si>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</si>
  <si>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</si>
  <si>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</si>
  <si>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</si>
  <si>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</si>
  <si>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</si>
  <si>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</si>
  <si>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</si>
  <si>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</si>
  <si>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</si>
  <si>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</si>
  <si>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</si>
  <si>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</si>
  <si>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</si>
  <si>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</si>
  <si>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</si>
  <si>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</si>
  <si>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</si>
  <si>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</si>
  <si>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</si>
  <si>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</si>
  <si>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</si>
  <si>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</si>
  <si>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</si>
  <si>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</si>
  <si>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</si>
  <si>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</si>
  <si>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</si>
  <si>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</si>
  <si>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</si>
  <si>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</si>
  <si>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</si>
  <si>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</si>
  <si>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</si>
  <si>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</si>
  <si>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</si>
  <si>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</si>
  <si>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</si>
  <si>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</si>
  <si>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</si>
  <si>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</si>
  <si>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</si>
  <si>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</si>
  <si>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</si>
  <si>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</si>
  <si>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</si>
  <si>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</si>
  <si>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</si>
  <si>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</si>
  <si>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</si>
  <si>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</si>
  <si>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</si>
  <si>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</si>
  <si>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</si>
  <si>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</si>
  <si>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</si>
  <si>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</si>
  <si>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</si>
  <si>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</si>
  <si>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</si>
  <si>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</si>
  <si>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</si>
  <si>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</si>
  <si>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</si>
  <si>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</si>
  <si>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</si>
  <si>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</si>
  <si>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</si>
  <si>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</si>
  <si>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</si>
  <si>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</si>
  <si>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</si>
  <si>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</si>
  <si>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</si>
  <si>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</si>
  <si>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</si>
  <si>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</si>
  <si>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</si>
  <si>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</si>
  <si>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</si>
  <si>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</si>
  <si>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</si>
  <si>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</si>
  <si>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</si>
  <si>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</si>
  <si>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</si>
  <si>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</si>
  <si>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</si>
  <si>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</si>
  <si>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</si>
  <si>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</si>
  <si>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</si>
  <si>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</si>
  <si>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</si>
  <si>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</si>
  <si>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</si>
  <si>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</si>
  <si>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</si>
  <si>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</si>
  <si>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</si>
  <si>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</si>
  <si>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</si>
  <si>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</si>
  <si>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</si>
  <si>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</si>
  <si>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</si>
  <si>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</si>
  <si>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</si>
  <si>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</si>
  <si>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</si>
  <si>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</si>
  <si>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</si>
  <si>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</si>
  <si>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</si>
  <si>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</si>
  <si>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</si>
  <si>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</si>
  <si>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</si>
  <si>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</si>
  <si>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</si>
  <si>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</si>
  <si>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</si>
  <si>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</si>
  <si>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</si>
  <si>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</si>
  <si>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</si>
  <si>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</si>
  <si>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</si>
  <si>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</si>
  <si>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</si>
  <si>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</si>
  <si>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</si>
  <si>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</si>
  <si>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</si>
  <si>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</si>
  <si>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</si>
  <si>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</si>
  <si>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</si>
  <si>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</si>
  <si>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</si>
  <si>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</si>
  <si>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</si>
  <si>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</si>
  <si>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</si>
  <si>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</si>
  <si>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</si>
  <si>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</si>
  <si>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</si>
  <si>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</si>
  <si>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</si>
  <si>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</si>
  <si>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</si>
  <si>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</si>
  <si>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</si>
  <si>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</si>
  <si>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</si>
  <si>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</si>
  <si>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</si>
  <si>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</si>
  <si>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</si>
  <si>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</si>
  <si>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</si>
  <si>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</si>
  <si>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</si>
  <si>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</si>
  <si>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</si>
  <si>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</si>
  <si>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</si>
  <si>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</si>
  <si>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</si>
  <si>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</si>
  <si>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</si>
  <si>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</si>
  <si>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</si>
  <si>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</si>
  <si>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</si>
  <si>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</si>
  <si>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</si>
  <si>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</si>
  <si>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</si>
  <si>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</si>
  <si>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</si>
  <si>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</si>
  <si>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</si>
  <si>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</si>
  <si>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</si>
  <si>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</si>
  <si>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</si>
  <si>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</si>
  <si>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</si>
  <si>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</si>
  <si>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</si>
  <si>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</si>
  <si>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</si>
  <si>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</si>
  <si>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</si>
  <si>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</si>
  <si>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</si>
  <si>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</si>
  <si>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</si>
  <si>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</si>
  <si>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</si>
  <si>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</si>
  <si>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</si>
  <si>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</si>
  <si>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</si>
  <si>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</si>
  <si>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</si>
  <si>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</si>
  <si>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</si>
  <si>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</si>
  <si>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</si>
  <si>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</si>
  <si>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</si>
  <si>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</si>
  <si>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</si>
  <si>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</si>
  <si>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</si>
  <si>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</si>
  <si>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</si>
  <si>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</si>
  <si>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</si>
  <si>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</si>
  <si>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</si>
  <si>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</si>
  <si>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</si>
  <si>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</si>
  <si>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</si>
  <si>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</si>
  <si>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</si>
  <si>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</si>
  <si>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</si>
  <si>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</si>
  <si>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</si>
  <si>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</si>
  <si>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</si>
  <si>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</si>
  <si>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</si>
  <si>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</si>
  <si>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</si>
  <si>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</si>
  <si>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</si>
  <si>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</si>
  <si>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</si>
  <si>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</si>
  <si>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</si>
  <si>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</si>
  <si>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</si>
  <si>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</si>
  <si>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</si>
  <si>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</si>
  <si>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</si>
  <si>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</si>
  <si>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</si>
  <si>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</si>
  <si>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</si>
  <si>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</si>
  <si>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</si>
  <si>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</si>
  <si>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</si>
  <si>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</si>
  <si>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</si>
  <si>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</si>
  <si>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</si>
  <si>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</si>
  <si>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</si>
  <si>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</si>
  <si>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</si>
  <si>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</si>
  <si>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</si>
  <si>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</si>
  <si>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</si>
  <si>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</si>
  <si>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</si>
  <si>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</si>
  <si>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</si>
  <si>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</si>
  <si>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</si>
  <si>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</si>
  <si>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</si>
  <si>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</si>
  <si>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</si>
  <si>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</si>
  <si>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</si>
  <si>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</si>
  <si>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</si>
  <si>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</si>
  <si>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</si>
  <si>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</si>
  <si>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</si>
  <si>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</si>
  <si>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</si>
  <si>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</si>
  <si>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</si>
  <si>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</si>
  <si>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</si>
  <si>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</si>
  <si>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</si>
  <si>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</si>
  <si>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</si>
  <si>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</si>
  <si>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</si>
  <si>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</si>
  <si>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</si>
  <si>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</si>
  <si>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</si>
  <si>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</si>
  <si>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</si>
  <si>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</si>
  <si>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</si>
  <si>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</si>
  <si>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</si>
  <si>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</si>
  <si>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</si>
  <si>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</si>
  <si>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</si>
  <si>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</si>
  <si>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</si>
  <si>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</si>
  <si>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</si>
  <si>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</si>
  <si>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</si>
  <si>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</si>
  <si>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</si>
  <si>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</si>
  <si>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</si>
  <si>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</si>
  <si>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</si>
  <si>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</si>
  <si>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</si>
  <si>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</si>
  <si>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</si>
  <si>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</si>
  <si>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</si>
  <si>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</si>
  <si>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</si>
  <si>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Depreciation Rates Applied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</si>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</sst>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0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4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</row>
        <row r="41">
          <cell r="I41">
            <v>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</row>
        <row r="55">
          <cell r="I55">
            <v>0</v>
          </cell>
        </row>
        <row r="55">
          <cell r="R55">
            <v>0</v>
          </cell>
        </row>
        <row r="55">
          <cell r="W55">
            <v>0</v>
          </cell>
          <cell r="X55">
            <v>0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Q67" t="str">
            <v> </v>
          </cell>
        </row>
        <row r="68">
          <cell r="Q68" t="str">
            <v> </v>
          </cell>
        </row>
        <row r="69">
          <cell r="Q69" t="str">
            <v> </v>
          </cell>
        </row>
        <row r="70">
          <cell r="Q70" t="str">
            <v> </v>
          </cell>
        </row>
        <row r="71">
          <cell r="Q71" t="str">
            <v> </v>
          </cell>
        </row>
        <row r="72">
          <cell r="Q72" t="str">
            <v> </v>
          </cell>
        </row>
        <row r="73">
          <cell r="Q73" t="str">
            <v> </v>
          </cell>
        </row>
        <row r="74">
          <cell r="Q74" t="str">
            <v> </v>
          </cell>
        </row>
        <row r="75">
          <cell r="E75">
            <v>0</v>
          </cell>
        </row>
        <row r="75">
          <cell r="I75">
            <v>0</v>
          </cell>
        </row>
        <row r="75">
          <cell r="W75">
            <v>0</v>
          </cell>
          <cell r="X75">
            <v>0</v>
          </cell>
        </row>
        <row r="78">
          <cell r="Q78" t="str">
            <v> </v>
          </cell>
        </row>
        <row r="79">
          <cell r="Q79" t="str">
            <v> </v>
          </cell>
        </row>
        <row r="80">
          <cell r="Q80" t="str">
            <v> </v>
          </cell>
        </row>
        <row r="81">
          <cell r="Q81" t="str">
            <v> </v>
          </cell>
        </row>
        <row r="82">
          <cell r="Q82" t="str">
            <v> 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86">
          <cell r="Q86" t="str">
            <v> </v>
          </cell>
        </row>
        <row r="87">
          <cell r="Q87" t="str">
            <v> </v>
          </cell>
        </row>
        <row r="88">
          <cell r="Q88" t="str">
            <v> </v>
          </cell>
        </row>
        <row r="89">
          <cell r="Q89" t="str">
            <v> </v>
          </cell>
        </row>
        <row r="90">
          <cell r="Q90" t="str">
            <v> </v>
          </cell>
        </row>
        <row r="91">
          <cell r="Q91" t="str">
            <v> </v>
          </cell>
        </row>
        <row r="92">
          <cell r="Q92" t="str">
            <v> </v>
          </cell>
        </row>
        <row r="93">
          <cell r="Q93" t="str">
            <v> 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97">
          <cell r="R97" t="str">
            <v> </v>
          </cell>
        </row>
        <row r="98">
          <cell r="R98" t="str">
            <v> </v>
          </cell>
        </row>
        <row r="99">
          <cell r="R99" t="str">
            <v> </v>
          </cell>
        </row>
        <row r="100">
          <cell r="R100" t="str">
            <v> </v>
          </cell>
        </row>
        <row r="101">
          <cell r="R101" t="str">
            <v> </v>
          </cell>
        </row>
        <row r="103">
          <cell r="Q103" t="str">
            <v> </v>
          </cell>
        </row>
        <row r="104">
          <cell r="Q104" t="str">
            <v> </v>
          </cell>
        </row>
        <row r="105">
          <cell r="Q105" t="str">
            <v> </v>
          </cell>
        </row>
        <row r="106">
          <cell r="Q106" t="str">
            <v> </v>
          </cell>
        </row>
        <row r="107">
          <cell r="Q107" t="str">
            <v> 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6780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180</v>
          </cell>
          <cell r="Z1">
            <v>0</v>
          </cell>
          <cell r="AA1">
            <v>60</v>
          </cell>
          <cell r="AB1">
            <v>0</v>
          </cell>
          <cell r="AC1">
            <v>1080</v>
          </cell>
          <cell r="AD1">
            <v>960</v>
          </cell>
          <cell r="AE1">
            <v>0</v>
          </cell>
          <cell r="AF1">
            <v>300</v>
          </cell>
          <cell r="AG1">
            <v>0</v>
          </cell>
          <cell r="AH1">
            <v>2400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5520</v>
          </cell>
          <cell r="G1">
            <v>0</v>
          </cell>
        </row>
        <row r="1">
          <cell r="O1">
            <v>0</v>
          </cell>
          <cell r="P1">
            <v>0</v>
          </cell>
          <cell r="Q1">
            <v>360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480</v>
          </cell>
          <cell r="W1">
            <v>0</v>
          </cell>
          <cell r="X1">
            <v>0</v>
          </cell>
          <cell r="Y1">
            <v>0</v>
          </cell>
          <cell r="Z1">
            <v>1200</v>
          </cell>
          <cell r="AA1">
            <v>60</v>
          </cell>
          <cell r="AB1">
            <v>0</v>
          </cell>
          <cell r="AC1">
            <v>120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1800</v>
          </cell>
        </row>
        <row r="1">
          <cell r="AK1">
            <v>0</v>
          </cell>
        </row>
      </sheetData>
      <sheetData sheetId="3">
        <row r="1">
          <cell r="F1">
            <v>6840</v>
          </cell>
          <cell r="G1">
            <v>0</v>
          </cell>
        </row>
        <row r="1">
          <cell r="O1">
            <v>0</v>
          </cell>
          <cell r="P1">
            <v>3600</v>
          </cell>
          <cell r="Q1">
            <v>0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180</v>
          </cell>
          <cell r="AB1">
            <v>480</v>
          </cell>
          <cell r="AC1">
            <v>0</v>
          </cell>
          <cell r="AD1">
            <v>0</v>
          </cell>
          <cell r="AE1">
            <v>720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4">
        <row r="1">
          <cell r="F1">
            <v>22080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960</v>
          </cell>
          <cell r="X1">
            <v>0</v>
          </cell>
          <cell r="Y1">
            <v>0</v>
          </cell>
          <cell r="Z1">
            <v>0</v>
          </cell>
          <cell r="AA1">
            <v>60</v>
          </cell>
          <cell r="AB1">
            <v>0</v>
          </cell>
          <cell r="AC1">
            <v>840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18000</v>
          </cell>
        </row>
        <row r="1">
          <cell r="AK1">
            <v>0</v>
          </cell>
        </row>
      </sheetData>
      <sheetData sheetId="5">
        <row r="1">
          <cell r="F1">
            <v>2480</v>
          </cell>
          <cell r="G1">
            <v>0</v>
          </cell>
        </row>
        <row r="1"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800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60</v>
          </cell>
          <cell r="AB1">
            <v>0</v>
          </cell>
          <cell r="AC1">
            <v>120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7920</v>
          </cell>
          <cell r="G1">
            <v>0</v>
          </cell>
        </row>
        <row r="1">
          <cell r="O1">
            <v>0</v>
          </cell>
          <cell r="P1">
            <v>2400</v>
          </cell>
          <cell r="Q1">
            <v>0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480</v>
          </cell>
          <cell r="Y1">
            <v>0</v>
          </cell>
          <cell r="Z1">
            <v>0</v>
          </cell>
          <cell r="AA1">
            <v>60</v>
          </cell>
          <cell r="AB1">
            <v>0</v>
          </cell>
          <cell r="AC1">
            <v>0</v>
          </cell>
          <cell r="AD1">
            <v>0</v>
          </cell>
          <cell r="AE1">
            <v>720</v>
          </cell>
          <cell r="AF1">
            <v>300</v>
          </cell>
          <cell r="AG1">
            <v>0</v>
          </cell>
          <cell r="AH1">
            <v>0</v>
          </cell>
          <cell r="AI1">
            <v>2400</v>
          </cell>
        </row>
        <row r="1">
          <cell r="AK1">
            <v>0</v>
          </cell>
        </row>
      </sheetData>
      <sheetData sheetId="7">
        <row r="1">
          <cell r="F1">
            <v>2184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144</v>
          </cell>
          <cell r="Z1">
            <v>0</v>
          </cell>
          <cell r="AA1">
            <v>60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8">
        <row r="1">
          <cell r="F1">
            <v>2640</v>
          </cell>
          <cell r="G1">
            <v>0</v>
          </cell>
        </row>
        <row r="1">
          <cell r="O1">
            <v>0</v>
          </cell>
          <cell r="P1">
            <v>0</v>
          </cell>
          <cell r="Q1">
            <v>360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240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60</v>
          </cell>
          <cell r="AB1">
            <v>360</v>
          </cell>
          <cell r="AC1">
            <v>120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9">
        <row r="1">
          <cell r="F1">
            <v>7900</v>
          </cell>
          <cell r="G1">
            <v>0</v>
          </cell>
        </row>
        <row r="1">
          <cell r="O1">
            <v>0</v>
          </cell>
          <cell r="P1">
            <v>0</v>
          </cell>
          <cell r="Q1">
            <v>0</v>
          </cell>
          <cell r="R1">
            <v>5000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180</v>
          </cell>
          <cell r="AB1">
            <v>0</v>
          </cell>
          <cell r="AC1">
            <v>0</v>
          </cell>
          <cell r="AD1">
            <v>0</v>
          </cell>
          <cell r="AE1">
            <v>720</v>
          </cell>
          <cell r="AF1">
            <v>300</v>
          </cell>
          <cell r="AG1">
            <v>500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3120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600</v>
          </cell>
          <cell r="AA1">
            <v>60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2136</v>
          </cell>
          <cell r="G1">
            <v>0</v>
          </cell>
        </row>
        <row r="1"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360</v>
          </cell>
          <cell r="Y1">
            <v>0</v>
          </cell>
          <cell r="Z1">
            <v>0</v>
          </cell>
          <cell r="AA1">
            <v>60</v>
          </cell>
          <cell r="AB1">
            <v>96</v>
          </cell>
          <cell r="AC1">
            <v>120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4440</v>
          </cell>
          <cell r="G1">
            <v>0</v>
          </cell>
        </row>
        <row r="1"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60</v>
          </cell>
          <cell r="AB1">
            <v>0</v>
          </cell>
          <cell r="AC1">
            <v>0</v>
          </cell>
          <cell r="AD1">
            <v>0</v>
          </cell>
          <cell r="AE1">
            <v>720</v>
          </cell>
          <cell r="AF1">
            <v>2100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8200</v>
          </cell>
          <cell r="G1">
            <v>1366.66666666667</v>
          </cell>
        </row>
        <row r="1">
          <cell r="O1">
            <v>5833.33333333333</v>
          </cell>
          <cell r="P1">
            <v>1000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7000</v>
          </cell>
          <cell r="G1">
            <v>1166.66666666667</v>
          </cell>
        </row>
        <row r="1">
          <cell r="O1">
            <v>5833.33333333333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9400</v>
          </cell>
          <cell r="G1">
            <v>1566.66666666667</v>
          </cell>
        </row>
        <row r="1">
          <cell r="O1">
            <v>5833.33333333333</v>
          </cell>
          <cell r="P1">
            <v>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8200</v>
          </cell>
          <cell r="G1">
            <v>1366.66666666667</v>
          </cell>
        </row>
        <row r="1">
          <cell r="O1">
            <v>5833.33333333333</v>
          </cell>
          <cell r="P1">
            <v>1000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9500</v>
          </cell>
          <cell r="G1">
            <v>1583.33333333333</v>
          </cell>
        </row>
        <row r="1">
          <cell r="O1">
            <v>5833.33333333333</v>
          </cell>
          <cell r="P1">
            <v>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7600</v>
          </cell>
          <cell r="G1">
            <v>1266.66666666667</v>
          </cell>
        </row>
        <row r="1">
          <cell r="O1">
            <v>5833.33333333333</v>
          </cell>
          <cell r="P1">
            <v>0</v>
          </cell>
          <cell r="Q1">
            <v>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14400</v>
          </cell>
          <cell r="G1">
            <v>2400</v>
          </cell>
        </row>
        <row r="1">
          <cell r="O1">
            <v>7000</v>
          </cell>
          <cell r="P1">
            <v>1000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4000</v>
          </cell>
          <cell r="V1">
            <v>0</v>
          </cell>
        </row>
      </sheetData>
      <sheetData sheetId="8">
        <row r="1">
          <cell r="F1">
            <v>12000</v>
          </cell>
          <cell r="G1">
            <v>2000</v>
          </cell>
        </row>
        <row r="1">
          <cell r="O1">
            <v>7000</v>
          </cell>
          <cell r="P1">
            <v>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8400</v>
          </cell>
          <cell r="G1">
            <v>1400</v>
          </cell>
        </row>
        <row r="1">
          <cell r="O1">
            <v>7000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9600</v>
          </cell>
          <cell r="G1">
            <v>1600</v>
          </cell>
        </row>
        <row r="1">
          <cell r="O1">
            <v>7000</v>
          </cell>
          <cell r="P1">
            <v>1000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8400</v>
          </cell>
          <cell r="G1">
            <v>1400</v>
          </cell>
        </row>
        <row r="1">
          <cell r="O1">
            <v>7000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8760</v>
          </cell>
          <cell r="G1">
            <v>1460</v>
          </cell>
        </row>
        <row r="1">
          <cell r="O1">
            <v>7000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/>
      <c r="F2" s="3"/>
      <c r="G2" s="3"/>
      <c r="H2" s="3"/>
      <c r="I2" s="2"/>
      <c r="J2" s="2" t="s">
        <v>1</v>
      </c>
      <c r="K2" s="2"/>
      <c r="L2" s="2"/>
      <c r="M2" s="2"/>
      <c r="N2" s="2"/>
      <c r="O2" s="4" t="s">
        <v>2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3</v>
      </c>
      <c r="D3" s="2"/>
      <c r="E3" s="5"/>
      <c r="F3" s="5"/>
      <c r="G3" s="5"/>
      <c r="H3" s="5"/>
      <c r="I3" s="2"/>
      <c r="J3" s="3"/>
      <c r="K3" s="3"/>
      <c r="L3" s="3"/>
      <c r="M3" s="3"/>
      <c r="N3" s="3"/>
      <c r="O3" s="6"/>
      <c r="P3" s="6"/>
      <c r="Q3" s="6"/>
      <c r="R3" s="2"/>
    </row>
    <row r="4" customFormat="false" ht="10.5" hidden="false" customHeight="true" outlineLevel="0" collapsed="false">
      <c r="A4" s="2"/>
      <c r="B4" s="2"/>
      <c r="C4" s="2" t="s">
        <v>4</v>
      </c>
      <c r="D4" s="2"/>
      <c r="E4" s="3"/>
      <c r="F4" s="3"/>
      <c r="G4" s="3"/>
      <c r="H4" s="3"/>
      <c r="I4" s="2"/>
      <c r="J4" s="3"/>
      <c r="K4" s="3"/>
      <c r="L4" s="3"/>
      <c r="M4" s="3"/>
      <c r="N4" s="3"/>
      <c r="O4" s="2"/>
      <c r="P4" s="2"/>
      <c r="Q4" s="2"/>
      <c r="R4" s="2"/>
    </row>
    <row r="5" customFormat="false" ht="10.5" hidden="false" customHeight="true" outlineLevel="0" collapsed="false">
      <c r="A5" s="2"/>
      <c r="B5" s="2"/>
      <c r="C5" s="2" t="s">
        <v>5</v>
      </c>
      <c r="D5" s="2"/>
      <c r="E5" s="3"/>
      <c r="F5" s="3"/>
      <c r="G5" s="3"/>
      <c r="H5" s="3"/>
      <c r="I5" s="2"/>
      <c r="J5" s="3"/>
      <c r="K5" s="3"/>
      <c r="L5" s="3"/>
      <c r="M5" s="3"/>
      <c r="N5" s="3"/>
      <c r="O5" s="7" t="s">
        <v>6</v>
      </c>
      <c r="P5" s="7"/>
      <c r="Q5" s="8"/>
      <c r="R5" s="2"/>
    </row>
    <row r="6" customFormat="false" ht="10.5" hidden="false" customHeight="true" outlineLevel="0" collapsed="false">
      <c r="A6" s="2"/>
      <c r="B6" s="2"/>
      <c r="C6" s="2" t="s">
        <v>7</v>
      </c>
      <c r="D6" s="2"/>
      <c r="E6" s="3"/>
      <c r="F6" s="3"/>
      <c r="G6" s="3"/>
      <c r="H6" s="3"/>
      <c r="I6" s="2"/>
      <c r="J6" s="8"/>
      <c r="K6" s="8"/>
      <c r="L6" s="9" t="s">
        <v>8</v>
      </c>
      <c r="M6" s="9"/>
      <c r="N6" s="10"/>
      <c r="O6" s="11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2"/>
      <c r="F7" s="12"/>
      <c r="G7" s="12"/>
      <c r="H7" s="12"/>
      <c r="I7" s="2"/>
      <c r="J7" s="12"/>
      <c r="K7" s="12"/>
      <c r="L7" s="12"/>
      <c r="M7" s="12"/>
      <c r="N7" s="12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9</v>
      </c>
      <c r="D8" s="2"/>
      <c r="E8" s="3"/>
      <c r="F8" s="3"/>
      <c r="G8" s="3"/>
      <c r="H8" s="3"/>
      <c r="I8" s="3"/>
      <c r="J8" s="2"/>
      <c r="K8" s="13" t="s">
        <v>10</v>
      </c>
      <c r="L8" s="13"/>
      <c r="M8" s="13"/>
      <c r="N8" s="13"/>
      <c r="O8" s="13"/>
      <c r="P8" s="14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2"/>
      <c r="F9" s="12"/>
      <c r="G9" s="12"/>
      <c r="H9" s="12"/>
      <c r="I9" s="2"/>
      <c r="J9" s="12"/>
      <c r="K9" s="12"/>
      <c r="L9" s="12"/>
      <c r="M9" s="12"/>
      <c r="N9" s="12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5" t="s">
        <v>11</v>
      </c>
      <c r="D10" s="2"/>
      <c r="E10" s="16" t="s">
        <v>12</v>
      </c>
      <c r="F10" s="12"/>
      <c r="G10" s="17" t="s">
        <v>13</v>
      </c>
      <c r="H10" s="17"/>
      <c r="I10" s="17"/>
      <c r="J10" s="17"/>
      <c r="K10" s="17"/>
      <c r="L10" s="18"/>
      <c r="M10" s="17" t="s">
        <v>14</v>
      </c>
      <c r="N10" s="17"/>
      <c r="O10" s="17"/>
      <c r="P10" s="17"/>
      <c r="Q10" s="17"/>
      <c r="R10" s="2"/>
    </row>
    <row r="11" s="21" customFormat="true" ht="19.4" hidden="false" customHeight="false" outlineLevel="0" collapsed="false">
      <c r="A11" s="12"/>
      <c r="B11" s="12" t="s">
        <v>15</v>
      </c>
      <c r="C11" s="12"/>
      <c r="D11" s="12"/>
      <c r="E11" s="16"/>
      <c r="F11" s="19"/>
      <c r="G11" s="20" t="s">
        <v>16</v>
      </c>
      <c r="H11" s="12" t="s">
        <v>17</v>
      </c>
      <c r="I11" s="12" t="s">
        <v>18</v>
      </c>
      <c r="J11" s="12" t="s">
        <v>19</v>
      </c>
      <c r="K11" s="12" t="s">
        <v>20</v>
      </c>
      <c r="L11" s="12"/>
      <c r="M11" s="12" t="s">
        <v>16</v>
      </c>
      <c r="N11" s="12" t="s">
        <v>17</v>
      </c>
      <c r="O11" s="12" t="s">
        <v>18</v>
      </c>
      <c r="P11" s="12" t="s">
        <v>19</v>
      </c>
      <c r="Q11" s="12" t="s">
        <v>20</v>
      </c>
      <c r="R11" s="12"/>
    </row>
    <row r="12" customFormat="false" ht="12.65" hidden="false" customHeight="false" outlineLevel="0" collapsed="false">
      <c r="A12" s="2"/>
      <c r="B12" s="2"/>
      <c r="C12" s="22" t="s">
        <v>21</v>
      </c>
      <c r="D12" s="22"/>
      <c r="E12" s="2"/>
      <c r="F12" s="2"/>
      <c r="G12" s="23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customFormat="false" ht="10.5" hidden="false" customHeight="false" outlineLevel="0" collapsed="false">
      <c r="A13" s="2"/>
      <c r="B13" s="24" t="n">
        <f aca="false">E13-G13-H13-I13-J13-K13+M13+N13+O13+P13+Q13</f>
        <v>0</v>
      </c>
      <c r="C13" s="2" t="s">
        <v>22</v>
      </c>
      <c r="D13" s="2"/>
      <c r="E13" s="8"/>
      <c r="F13" s="2"/>
      <c r="G13" s="8"/>
      <c r="H13" s="8"/>
      <c r="I13" s="8"/>
      <c r="J13" s="8"/>
      <c r="K13" s="8"/>
      <c r="L13" s="2"/>
      <c r="M13" s="8"/>
      <c r="N13" s="8"/>
      <c r="O13" s="8"/>
      <c r="P13" s="8"/>
      <c r="Q13" s="8"/>
      <c r="R13" s="2"/>
    </row>
    <row r="14" customFormat="false" ht="10.5" hidden="false" customHeight="false" outlineLevel="0" collapsed="false">
      <c r="A14" s="2"/>
      <c r="B14" s="2"/>
      <c r="C14" s="22" t="s">
        <v>23</v>
      </c>
      <c r="D14" s="2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</row>
    <row r="15" customFormat="false" ht="10.5" hidden="false" customHeight="false" outlineLevel="0" collapsed="false">
      <c r="A15" s="2"/>
      <c r="B15" s="2"/>
      <c r="C15" s="2" t="s">
        <v>24</v>
      </c>
      <c r="D15" s="2"/>
      <c r="E15" s="8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</row>
    <row r="16" customFormat="false" ht="11.25" hidden="false" customHeight="true" outlineLevel="0" collapsed="false">
      <c r="A16" s="2"/>
      <c r="B16" s="2"/>
      <c r="C16" s="2" t="s">
        <v>25</v>
      </c>
      <c r="D16" s="2"/>
      <c r="E16" s="8"/>
      <c r="F16" s="2"/>
      <c r="G16" s="18"/>
      <c r="H16" s="18"/>
      <c r="I16" s="18"/>
      <c r="J16" s="18"/>
      <c r="K16" s="2"/>
      <c r="L16" s="2"/>
      <c r="M16" s="2"/>
      <c r="N16" s="2"/>
      <c r="O16" s="2"/>
      <c r="P16" s="2"/>
      <c r="Q16" s="2"/>
      <c r="R16" s="2"/>
    </row>
    <row r="17" customFormat="false" ht="19.4" hidden="false" customHeight="false" outlineLevel="0" collapsed="false">
      <c r="A17" s="2"/>
      <c r="B17" s="2"/>
      <c r="C17" s="2"/>
      <c r="D17" s="2"/>
      <c r="E17" s="2"/>
      <c r="F17" s="2"/>
      <c r="G17" s="18" t="s">
        <v>26</v>
      </c>
      <c r="H17" s="18" t="s">
        <v>27</v>
      </c>
      <c r="I17" s="18" t="s">
        <v>28</v>
      </c>
      <c r="J17" s="18" t="s">
        <v>29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30</v>
      </c>
      <c r="D18" s="2"/>
      <c r="E18" s="8"/>
      <c r="F18" s="2"/>
      <c r="G18" s="8"/>
      <c r="H18" s="8"/>
      <c r="I18" s="8"/>
      <c r="J18" s="8"/>
      <c r="K18" s="25" t="s">
        <v>31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2" t="s">
        <v>32</v>
      </c>
      <c r="D19" s="22"/>
      <c r="E19" s="2"/>
      <c r="F19" s="2"/>
      <c r="G19" s="2"/>
      <c r="H19" s="2"/>
      <c r="I19" s="2"/>
      <c r="J19" s="2"/>
      <c r="K19" s="25"/>
      <c r="L19" s="25"/>
      <c r="M19" s="25"/>
      <c r="N19" s="25"/>
      <c r="O19" s="25"/>
      <c r="P19" s="2"/>
      <c r="Q19" s="2"/>
      <c r="R19" s="2"/>
    </row>
    <row r="20" customFormat="false" ht="10.5" hidden="false" customHeight="false" outlineLevel="0" collapsed="false">
      <c r="A20" s="2"/>
      <c r="B20" s="2"/>
      <c r="C20" s="2" t="s">
        <v>33</v>
      </c>
      <c r="D20" s="2"/>
      <c r="E20" s="8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customFormat="false" ht="10.5" hidden="false" customHeight="false" outlineLevel="0" collapsed="false">
      <c r="A21" s="2"/>
      <c r="B21" s="2"/>
      <c r="C21" s="2" t="s">
        <v>34</v>
      </c>
      <c r="D21" s="2"/>
      <c r="E21" s="8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35</v>
      </c>
      <c r="D22" s="2"/>
      <c r="E22" s="8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36</v>
      </c>
      <c r="D23" s="2"/>
      <c r="E23" s="8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37</v>
      </c>
      <c r="D24" s="2"/>
      <c r="E24" s="8"/>
      <c r="F24" s="2"/>
      <c r="G24" s="18"/>
      <c r="H24" s="18"/>
      <c r="I24" s="18"/>
      <c r="J24" s="2"/>
      <c r="K24" s="2"/>
      <c r="L24" s="2"/>
      <c r="M24" s="2"/>
      <c r="N24" s="2"/>
      <c r="O24" s="2"/>
      <c r="P24" s="2"/>
      <c r="Q24" s="2"/>
      <c r="R24" s="2"/>
    </row>
    <row r="25" customFormat="false" ht="10.5" hidden="false" customHeight="false" outlineLevel="0" collapsed="false">
      <c r="A25" s="2"/>
      <c r="B25" s="2"/>
      <c r="C25" s="2"/>
      <c r="D25" s="2"/>
      <c r="E25" s="2"/>
      <c r="F25" s="2"/>
      <c r="G25" s="2" t="s">
        <v>38</v>
      </c>
      <c r="H25" s="2" t="s">
        <v>39</v>
      </c>
      <c r="I25" s="2" t="s">
        <v>40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41</v>
      </c>
      <c r="D26" s="2"/>
      <c r="E26" s="8"/>
      <c r="F26" s="2"/>
      <c r="G26" s="8"/>
      <c r="H26" s="8"/>
      <c r="I26" s="8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2" t="s">
        <v>42</v>
      </c>
      <c r="D28" s="22"/>
      <c r="E28" s="8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2" t="s">
        <v>43</v>
      </c>
      <c r="D29" s="2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customFormat="false" ht="10.5" hidden="false" customHeight="false" outlineLevel="0" collapsed="false">
      <c r="A30" s="2"/>
      <c r="B30" s="2"/>
      <c r="C30" s="2" t="s">
        <v>44</v>
      </c>
      <c r="D30" s="2"/>
      <c r="E30" s="8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customFormat="false" ht="10.5" hidden="false" customHeight="false" outlineLevel="0" collapsed="false">
      <c r="A31" s="2"/>
      <c r="B31" s="2"/>
      <c r="C31" s="22" t="s">
        <v>45</v>
      </c>
      <c r="D31" s="22"/>
      <c r="E31" s="8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customFormat="false" ht="10.5" hidden="false" customHeight="false" outlineLevel="0" collapsed="false">
      <c r="A32" s="2"/>
      <c r="B32" s="2"/>
      <c r="C32" s="22" t="s">
        <v>46</v>
      </c>
      <c r="D32" s="2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47</v>
      </c>
      <c r="D33" s="2"/>
      <c r="E33" s="8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48</v>
      </c>
      <c r="D34" s="2"/>
      <c r="E34" s="8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49</v>
      </c>
      <c r="D35" s="2"/>
      <c r="E35" s="8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50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51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52</v>
      </c>
      <c r="D43" s="2"/>
      <c r="E43" s="8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53</v>
      </c>
      <c r="D44" s="2"/>
      <c r="E44" s="8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52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54</v>
      </c>
      <c r="D46" s="2"/>
      <c r="E46" s="8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55</v>
      </c>
      <c r="D47" s="2"/>
      <c r="E47" s="8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56</v>
      </c>
      <c r="D48" s="2"/>
      <c r="E48" s="8" t="n">
        <f aca="false">E15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57</v>
      </c>
      <c r="D49" s="2"/>
      <c r="E49" s="8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58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59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60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61</v>
      </c>
      <c r="D54" s="2"/>
      <c r="E54" s="8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62</v>
      </c>
      <c r="D55" s="2"/>
      <c r="E55" s="8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63</v>
      </c>
      <c r="D56" s="2"/>
      <c r="E56" s="8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64</v>
      </c>
      <c r="D57" s="2"/>
      <c r="E57" s="8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65</v>
      </c>
      <c r="D58" s="2"/>
      <c r="E58" s="8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66</v>
      </c>
      <c r="D59" s="2"/>
      <c r="E59" s="8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67</v>
      </c>
      <c r="D60" s="2"/>
      <c r="E60" s="8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68</v>
      </c>
      <c r="D61" s="2"/>
      <c r="E61" s="8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69</v>
      </c>
      <c r="D62" s="2"/>
      <c r="E62" s="8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70</v>
      </c>
      <c r="D63" s="2"/>
      <c r="E63" s="8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71</v>
      </c>
      <c r="D64" s="2"/>
      <c r="E64" s="8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72</v>
      </c>
      <c r="D65" s="2"/>
      <c r="E65" s="8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73</v>
      </c>
      <c r="D66" s="2"/>
      <c r="E66" s="8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74</v>
      </c>
      <c r="D67" s="2"/>
      <c r="E67" s="8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75</v>
      </c>
      <c r="D68" s="2"/>
      <c r="E68" s="8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76</v>
      </c>
      <c r="D69" s="2"/>
      <c r="E69" s="8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77</v>
      </c>
      <c r="D70" s="2"/>
      <c r="E70" s="8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78</v>
      </c>
      <c r="D71" s="2"/>
      <c r="E71" s="8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79</v>
      </c>
      <c r="D72" s="2"/>
      <c r="E72" s="8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80</v>
      </c>
      <c r="D73" s="2"/>
      <c r="E73" s="8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81</v>
      </c>
      <c r="D74" s="2"/>
      <c r="E74" s="8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82</v>
      </c>
      <c r="D75" s="2"/>
      <c r="E75" s="8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83</v>
      </c>
      <c r="D76" s="2"/>
      <c r="E76" s="8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60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84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85</v>
      </c>
      <c r="D80" s="2"/>
      <c r="E80" s="8"/>
      <c r="F80" s="2"/>
      <c r="G80" s="2"/>
      <c r="H80" s="2"/>
    </row>
    <row r="81" customFormat="false" ht="10.5" hidden="false" customHeight="false" outlineLevel="0" collapsed="false">
      <c r="B81" s="2"/>
      <c r="C81" s="32" t="s">
        <v>86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87</v>
      </c>
      <c r="D82" s="2"/>
      <c r="E82" s="8"/>
      <c r="F82" s="2"/>
      <c r="G82" s="2"/>
      <c r="H82" s="2"/>
    </row>
    <row r="83" customFormat="false" ht="10.5" hidden="false" customHeight="false" outlineLevel="0" collapsed="false">
      <c r="B83" s="2"/>
      <c r="C83" s="32" t="s">
        <v>88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89</v>
      </c>
      <c r="D84" s="2"/>
      <c r="E84" s="8"/>
      <c r="F84" s="2"/>
      <c r="G84" s="2"/>
      <c r="H84" s="2"/>
    </row>
    <row r="85" customFormat="false" ht="10.5" hidden="false" customHeight="false" outlineLevel="0" collapsed="false">
      <c r="B85" s="2"/>
      <c r="C85" s="32" t="s">
        <v>90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91</v>
      </c>
      <c r="C1" s="39" t="s">
        <v>92</v>
      </c>
      <c r="D1" s="40" t="n">
        <f aca="false">Admin!B9</f>
        <v>46174</v>
      </c>
      <c r="E1" s="39"/>
      <c r="F1" s="41" t="n">
        <f aca="false">Admin!B10</f>
        <v>46203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46203</v>
      </c>
      <c r="P1" s="39"/>
      <c r="Q1" s="39" t="n">
        <f aca="false">Admin!B12</f>
        <v>46234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46234</v>
      </c>
      <c r="AA1" s="39"/>
      <c r="AB1" s="39" t="n">
        <f aca="false">Admin!B14</f>
        <v>46265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46265</v>
      </c>
      <c r="AL1" s="39"/>
      <c r="AM1" s="39" t="n">
        <f aca="false">Admin!B16</f>
        <v>46295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46295</v>
      </c>
      <c r="AW1" s="39"/>
      <c r="AX1" s="39" t="n">
        <f aca="false">Admin!B18</f>
        <v>46326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46326</v>
      </c>
      <c r="BH1" s="39"/>
      <c r="BI1" s="39" t="n">
        <f aca="false">Admin!B20</f>
        <v>46356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46356</v>
      </c>
      <c r="BS1" s="39"/>
      <c r="BT1" s="39" t="n">
        <f aca="false">Admin!B22</f>
        <v>46387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46387</v>
      </c>
      <c r="CD1" s="39"/>
      <c r="CE1" s="39" t="n">
        <f aca="false">Admin!B24</f>
        <v>46418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46418</v>
      </c>
      <c r="CO1" s="39"/>
      <c r="CP1" s="39" t="n">
        <f aca="false">Admin!B26</f>
        <v>46446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46446</v>
      </c>
      <c r="CZ1" s="39"/>
      <c r="DA1" s="39" t="n">
        <f aca="false">Admin!B28</f>
        <v>46477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46477</v>
      </c>
      <c r="DK1" s="39"/>
      <c r="DL1" s="39" t="n">
        <f aca="false">Admin!B30</f>
        <v>46507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46507</v>
      </c>
      <c r="DV1" s="39"/>
      <c r="DW1" s="39" t="n">
        <f aca="false">Admin!B32</f>
        <v>46538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46538</v>
      </c>
      <c r="EG1" s="39"/>
      <c r="EH1" s="39" t="s">
        <v>93</v>
      </c>
      <c r="EI1" s="39"/>
      <c r="EJ1" s="40" t="n">
        <f aca="false">EF1</f>
        <v>46538</v>
      </c>
      <c r="EK1" s="39"/>
    </row>
    <row r="2" s="46" customFormat="true" ht="22.35" hidden="false" customHeight="false" outlineLevel="0" collapsed="false">
      <c r="A2" s="43"/>
      <c r="B2" s="44" t="s">
        <v>94</v>
      </c>
      <c r="C2" s="39"/>
      <c r="D2" s="45" t="s">
        <v>95</v>
      </c>
      <c r="E2" s="39"/>
      <c r="F2" s="39" t="s">
        <v>96</v>
      </c>
      <c r="G2" s="39" t="s">
        <v>55</v>
      </c>
      <c r="H2" s="39" t="s">
        <v>97</v>
      </c>
      <c r="I2" s="39" t="s">
        <v>98</v>
      </c>
      <c r="J2" s="39" t="s">
        <v>99</v>
      </c>
      <c r="K2" s="39" t="s">
        <v>29</v>
      </c>
      <c r="L2" s="39" t="s">
        <v>100</v>
      </c>
      <c r="M2" s="39" t="s">
        <v>101</v>
      </c>
      <c r="N2" s="39"/>
      <c r="O2" s="45" t="s">
        <v>102</v>
      </c>
      <c r="P2" s="39"/>
      <c r="Q2" s="39" t="s">
        <v>96</v>
      </c>
      <c r="R2" s="39" t="s">
        <v>55</v>
      </c>
      <c r="S2" s="39" t="s">
        <v>97</v>
      </c>
      <c r="T2" s="39" t="s">
        <v>98</v>
      </c>
      <c r="U2" s="39" t="s">
        <v>99</v>
      </c>
      <c r="V2" s="39" t="s">
        <v>29</v>
      </c>
      <c r="W2" s="39" t="s">
        <v>100</v>
      </c>
      <c r="X2" s="39" t="s">
        <v>101</v>
      </c>
      <c r="Y2" s="39"/>
      <c r="Z2" s="45" t="s">
        <v>102</v>
      </c>
      <c r="AA2" s="39"/>
      <c r="AB2" s="39" t="s">
        <v>96</v>
      </c>
      <c r="AC2" s="39" t="s">
        <v>55</v>
      </c>
      <c r="AD2" s="39" t="s">
        <v>97</v>
      </c>
      <c r="AE2" s="39" t="s">
        <v>98</v>
      </c>
      <c r="AF2" s="39" t="s">
        <v>99</v>
      </c>
      <c r="AG2" s="39" t="s">
        <v>29</v>
      </c>
      <c r="AH2" s="39" t="s">
        <v>100</v>
      </c>
      <c r="AI2" s="39" t="s">
        <v>101</v>
      </c>
      <c r="AJ2" s="39"/>
      <c r="AK2" s="45" t="s">
        <v>102</v>
      </c>
      <c r="AL2" s="39"/>
      <c r="AM2" s="39" t="s">
        <v>96</v>
      </c>
      <c r="AN2" s="39" t="s">
        <v>55</v>
      </c>
      <c r="AO2" s="39" t="s">
        <v>97</v>
      </c>
      <c r="AP2" s="39" t="s">
        <v>98</v>
      </c>
      <c r="AQ2" s="39" t="s">
        <v>99</v>
      </c>
      <c r="AR2" s="39" t="s">
        <v>29</v>
      </c>
      <c r="AS2" s="39" t="s">
        <v>100</v>
      </c>
      <c r="AT2" s="39" t="s">
        <v>101</v>
      </c>
      <c r="AU2" s="39"/>
      <c r="AV2" s="45" t="s">
        <v>102</v>
      </c>
      <c r="AW2" s="39"/>
      <c r="AX2" s="39" t="s">
        <v>96</v>
      </c>
      <c r="AY2" s="39" t="s">
        <v>55</v>
      </c>
      <c r="AZ2" s="39" t="s">
        <v>97</v>
      </c>
      <c r="BA2" s="39" t="s">
        <v>98</v>
      </c>
      <c r="BB2" s="39" t="s">
        <v>99</v>
      </c>
      <c r="BC2" s="39" t="s">
        <v>29</v>
      </c>
      <c r="BD2" s="39" t="s">
        <v>100</v>
      </c>
      <c r="BE2" s="39" t="s">
        <v>101</v>
      </c>
      <c r="BF2" s="39"/>
      <c r="BG2" s="45" t="s">
        <v>102</v>
      </c>
      <c r="BH2" s="39"/>
      <c r="BI2" s="39" t="s">
        <v>96</v>
      </c>
      <c r="BJ2" s="39" t="s">
        <v>55</v>
      </c>
      <c r="BK2" s="39" t="s">
        <v>97</v>
      </c>
      <c r="BL2" s="39" t="s">
        <v>98</v>
      </c>
      <c r="BM2" s="39" t="s">
        <v>99</v>
      </c>
      <c r="BN2" s="39" t="s">
        <v>29</v>
      </c>
      <c r="BO2" s="39" t="s">
        <v>100</v>
      </c>
      <c r="BP2" s="39" t="s">
        <v>101</v>
      </c>
      <c r="BQ2" s="39"/>
      <c r="BR2" s="45" t="s">
        <v>102</v>
      </c>
      <c r="BS2" s="39"/>
      <c r="BT2" s="39" t="s">
        <v>96</v>
      </c>
      <c r="BU2" s="39" t="s">
        <v>55</v>
      </c>
      <c r="BV2" s="39" t="s">
        <v>97</v>
      </c>
      <c r="BW2" s="39" t="s">
        <v>98</v>
      </c>
      <c r="BX2" s="39" t="s">
        <v>99</v>
      </c>
      <c r="BY2" s="39" t="s">
        <v>29</v>
      </c>
      <c r="BZ2" s="39" t="s">
        <v>100</v>
      </c>
      <c r="CA2" s="39" t="s">
        <v>101</v>
      </c>
      <c r="CB2" s="39"/>
      <c r="CC2" s="45" t="s">
        <v>102</v>
      </c>
      <c r="CD2" s="39"/>
      <c r="CE2" s="39" t="s">
        <v>96</v>
      </c>
      <c r="CF2" s="39" t="s">
        <v>55</v>
      </c>
      <c r="CG2" s="39" t="s">
        <v>97</v>
      </c>
      <c r="CH2" s="39" t="s">
        <v>98</v>
      </c>
      <c r="CI2" s="39" t="s">
        <v>99</v>
      </c>
      <c r="CJ2" s="39" t="s">
        <v>29</v>
      </c>
      <c r="CK2" s="39" t="s">
        <v>100</v>
      </c>
      <c r="CL2" s="39" t="s">
        <v>101</v>
      </c>
      <c r="CM2" s="39"/>
      <c r="CN2" s="45" t="s">
        <v>102</v>
      </c>
      <c r="CO2" s="39"/>
      <c r="CP2" s="39" t="s">
        <v>96</v>
      </c>
      <c r="CQ2" s="39" t="s">
        <v>55</v>
      </c>
      <c r="CR2" s="39" t="s">
        <v>97</v>
      </c>
      <c r="CS2" s="39" t="s">
        <v>98</v>
      </c>
      <c r="CT2" s="39" t="s">
        <v>99</v>
      </c>
      <c r="CU2" s="39" t="s">
        <v>29</v>
      </c>
      <c r="CV2" s="39" t="s">
        <v>100</v>
      </c>
      <c r="CW2" s="39" t="s">
        <v>101</v>
      </c>
      <c r="CX2" s="39"/>
      <c r="CY2" s="45" t="s">
        <v>102</v>
      </c>
      <c r="CZ2" s="39"/>
      <c r="DA2" s="39" t="s">
        <v>96</v>
      </c>
      <c r="DB2" s="39" t="s">
        <v>55</v>
      </c>
      <c r="DC2" s="39" t="s">
        <v>97</v>
      </c>
      <c r="DD2" s="39" t="s">
        <v>98</v>
      </c>
      <c r="DE2" s="39" t="s">
        <v>99</v>
      </c>
      <c r="DF2" s="39" t="s">
        <v>29</v>
      </c>
      <c r="DG2" s="39" t="s">
        <v>100</v>
      </c>
      <c r="DH2" s="39" t="s">
        <v>101</v>
      </c>
      <c r="DI2" s="39"/>
      <c r="DJ2" s="45" t="s">
        <v>102</v>
      </c>
      <c r="DK2" s="39"/>
      <c r="DL2" s="39" t="s">
        <v>96</v>
      </c>
      <c r="DM2" s="39" t="s">
        <v>55</v>
      </c>
      <c r="DN2" s="39" t="s">
        <v>97</v>
      </c>
      <c r="DO2" s="39" t="s">
        <v>98</v>
      </c>
      <c r="DP2" s="39" t="s">
        <v>99</v>
      </c>
      <c r="DQ2" s="39" t="s">
        <v>29</v>
      </c>
      <c r="DR2" s="39" t="s">
        <v>100</v>
      </c>
      <c r="DS2" s="39" t="s">
        <v>101</v>
      </c>
      <c r="DT2" s="39"/>
      <c r="DU2" s="45" t="s">
        <v>102</v>
      </c>
      <c r="DV2" s="39"/>
      <c r="DW2" s="39" t="s">
        <v>96</v>
      </c>
      <c r="DX2" s="39" t="s">
        <v>55</v>
      </c>
      <c r="DY2" s="39" t="s">
        <v>97</v>
      </c>
      <c r="DZ2" s="39" t="s">
        <v>98</v>
      </c>
      <c r="EA2" s="39" t="s">
        <v>99</v>
      </c>
      <c r="EB2" s="39" t="s">
        <v>29</v>
      </c>
      <c r="EC2" s="39" t="s">
        <v>100</v>
      </c>
      <c r="ED2" s="39" t="s">
        <v>101</v>
      </c>
      <c r="EE2" s="39"/>
      <c r="EF2" s="45" t="s">
        <v>102</v>
      </c>
      <c r="EG2" s="39"/>
      <c r="EH2" s="39"/>
      <c r="EI2" s="39"/>
      <c r="EJ2" s="45" t="s">
        <v>103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104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105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106</v>
      </c>
      <c r="C6" s="56" t="s">
        <v>107</v>
      </c>
      <c r="D6" s="36" t="n">
        <f aca="false">OpenAccounts!G13</f>
        <v>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0</v>
      </c>
      <c r="EK6" s="54"/>
    </row>
    <row r="7" customFormat="false" ht="12" hidden="false" customHeight="false" outlineLevel="0" collapsed="false">
      <c r="A7" s="54"/>
      <c r="B7" s="54" t="s">
        <v>108</v>
      </c>
      <c r="C7" s="56" t="s">
        <v>109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0</v>
      </c>
      <c r="EI7" s="54"/>
      <c r="EJ7" s="36" t="n">
        <f aca="false">SUM(EF7:EH7)</f>
        <v>0</v>
      </c>
      <c r="EK7" s="54"/>
    </row>
    <row r="8" customFormat="false" ht="12" hidden="false" customHeight="false" outlineLevel="0" collapsed="false">
      <c r="A8" s="54"/>
      <c r="B8" s="54" t="s">
        <v>110</v>
      </c>
      <c r="C8" s="56" t="s">
        <v>111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112</v>
      </c>
      <c r="C9" s="56" t="s">
        <v>113</v>
      </c>
      <c r="D9" s="36" t="n">
        <f aca="false">OpenAccounts!J13</f>
        <v>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0</v>
      </c>
      <c r="EK9" s="54"/>
    </row>
    <row r="10" customFormat="false" ht="12" hidden="false" customHeight="false" outlineLevel="0" collapsed="false">
      <c r="A10" s="54"/>
      <c r="B10" s="54" t="s">
        <v>114</v>
      </c>
      <c r="C10" s="56" t="s">
        <v>115</v>
      </c>
      <c r="D10" s="36" t="n">
        <f aca="false">OpenAccounts!K13</f>
        <v>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0</v>
      </c>
      <c r="EG10" s="54"/>
      <c r="EH10" s="36" t="n">
        <f aca="false">[1]Schedule!$E$108-([1]Schedule!$W$55+[1]Schedule!$W$108)</f>
        <v>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116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117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-0</v>
      </c>
      <c r="N12" s="57"/>
      <c r="O12" s="36" t="n">
        <f aca="false">SUM(D12:N12)</f>
        <v>0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-0</v>
      </c>
      <c r="Y12" s="54"/>
      <c r="Z12" s="36" t="n">
        <f aca="false">SUM(O12:Y12)</f>
        <v>0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-0</v>
      </c>
      <c r="AJ12" s="54"/>
      <c r="AK12" s="36" t="n">
        <f aca="false">SUM(Z12:AJ12)</f>
        <v>0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-0</v>
      </c>
      <c r="AU12" s="54"/>
      <c r="AV12" s="36" t="n">
        <f aca="false">SUM(AK12:AU12)</f>
        <v>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-0</v>
      </c>
      <c r="BF12" s="54"/>
      <c r="BG12" s="36" t="n">
        <f aca="false">SUM(AV12:BF12)</f>
        <v>0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-0</v>
      </c>
      <c r="BQ12" s="54"/>
      <c r="BR12" s="36" t="n">
        <f aca="false">SUM(BG12:BQ12)</f>
        <v>0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-0</v>
      </c>
      <c r="CB12" s="54"/>
      <c r="CC12" s="36" t="n">
        <f aca="false">SUM(BR12:CB12)</f>
        <v>0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-0</v>
      </c>
      <c r="CM12" s="54"/>
      <c r="CN12" s="36" t="n">
        <f aca="false">SUM(CC12:CM12)</f>
        <v>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-0</v>
      </c>
      <c r="CX12" s="54"/>
      <c r="CY12" s="36" t="n">
        <f aca="false">SUM(CN12:CX12)</f>
        <v>0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-0</v>
      </c>
      <c r="DI12" s="54"/>
      <c r="DJ12" s="36" t="n">
        <f aca="false">SUM(CY12:DI12)</f>
        <v>0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-0</v>
      </c>
      <c r="DT12" s="54"/>
      <c r="DU12" s="36" t="n">
        <f aca="false">SUM(DJ12:DT12)</f>
        <v>0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-0</v>
      </c>
      <c r="EE12" s="54"/>
      <c r="EF12" s="36" t="n">
        <f aca="false">SUM(DU12:EE12)</f>
        <v>0</v>
      </c>
      <c r="EG12" s="54"/>
      <c r="EH12" s="36" t="n">
        <f aca="false">[1]Schedule!$X$22+[1]Schedule!$X$75</f>
        <v>0</v>
      </c>
      <c r="EI12" s="54"/>
      <c r="EJ12" s="36" t="n">
        <f aca="false">SUM(EF12:EH12)</f>
        <v>0</v>
      </c>
      <c r="EK12" s="54"/>
    </row>
    <row r="13" customFormat="false" ht="12" hidden="false" customHeight="false" outlineLevel="0" collapsed="false">
      <c r="A13" s="54"/>
      <c r="B13" s="54" t="s">
        <v>118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119</v>
      </c>
      <c r="C14" s="56"/>
      <c r="D14" s="36" t="n">
        <f aca="false">-OpenAccounts!P13</f>
        <v>-0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-0</v>
      </c>
      <c r="N14" s="57"/>
      <c r="O14" s="36" t="n">
        <f aca="false">SUM(D14:N14)</f>
        <v>0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-0</v>
      </c>
      <c r="Y14" s="54"/>
      <c r="Z14" s="36" t="n">
        <f aca="false">SUM(O14:Y14)</f>
        <v>0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-0</v>
      </c>
      <c r="AJ14" s="54"/>
      <c r="AK14" s="36" t="n">
        <f aca="false">SUM(Z14:AJ14)</f>
        <v>0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-0</v>
      </c>
      <c r="AU14" s="54"/>
      <c r="AV14" s="36" t="n">
        <f aca="false">SUM(AK14:AU14)</f>
        <v>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-0</v>
      </c>
      <c r="BF14" s="54"/>
      <c r="BG14" s="36" t="n">
        <f aca="false">SUM(AV14:BF14)</f>
        <v>0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-0</v>
      </c>
      <c r="BQ14" s="54"/>
      <c r="BR14" s="36" t="n">
        <f aca="false">SUM(BG14:BQ14)</f>
        <v>0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-0</v>
      </c>
      <c r="CB14" s="54"/>
      <c r="CC14" s="36" t="n">
        <f aca="false">SUM(BR14:CB14)</f>
        <v>0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-0</v>
      </c>
      <c r="CM14" s="54"/>
      <c r="CN14" s="36" t="n">
        <f aca="false">SUM(CC14:CM14)</f>
        <v>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-0</v>
      </c>
      <c r="CX14" s="54"/>
      <c r="CY14" s="36" t="n">
        <f aca="false">SUM(CN14:CX14)</f>
        <v>0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-0</v>
      </c>
      <c r="DI14" s="54"/>
      <c r="DJ14" s="36" t="n">
        <f aca="false">SUM(CY14:DI14)</f>
        <v>0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-0</v>
      </c>
      <c r="DT14" s="54"/>
      <c r="DU14" s="36" t="n">
        <f aca="false">SUM(DJ14:DT14)</f>
        <v>0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-0</v>
      </c>
      <c r="EE14" s="54"/>
      <c r="EF14" s="36" t="n">
        <f aca="false">SUM(DU14:EE14)</f>
        <v>0</v>
      </c>
      <c r="EG14" s="54"/>
      <c r="EH14" s="36" t="n">
        <f aca="false">[1]Schedule!$X$41+[1]Schedule!$X$94</f>
        <v>0</v>
      </c>
      <c r="EI14" s="54"/>
      <c r="EJ14" s="36" t="n">
        <f aca="false">SUM(EF14:EH14)</f>
        <v>0</v>
      </c>
      <c r="EK14" s="54"/>
    </row>
    <row r="15" customFormat="false" ht="12" hidden="false" customHeight="false" outlineLevel="0" collapsed="false">
      <c r="A15" s="54"/>
      <c r="B15" s="54" t="s">
        <v>120</v>
      </c>
      <c r="C15" s="56"/>
      <c r="D15" s="36" t="n">
        <f aca="false">-OpenAccounts!Q13</f>
        <v>-0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-0</v>
      </c>
      <c r="N15" s="57"/>
      <c r="O15" s="36" t="n">
        <f aca="false">SUM(D15:N15)</f>
        <v>0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-0</v>
      </c>
      <c r="Y15" s="54"/>
      <c r="Z15" s="36" t="n">
        <f aca="false">SUM(O15:Y15)</f>
        <v>0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-0</v>
      </c>
      <c r="AJ15" s="54"/>
      <c r="AK15" s="36" t="n">
        <f aca="false">SUM(Z15:AJ15)</f>
        <v>0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-0</v>
      </c>
      <c r="AU15" s="54"/>
      <c r="AV15" s="36" t="n">
        <f aca="false">SUM(AK15:AU15)</f>
        <v>0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-0</v>
      </c>
      <c r="BF15" s="54"/>
      <c r="BG15" s="36" t="n">
        <f aca="false">SUM(AV15:BF15)</f>
        <v>0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-0</v>
      </c>
      <c r="BQ15" s="54"/>
      <c r="BR15" s="36" t="n">
        <f aca="false">SUM(BG15:BQ15)</f>
        <v>0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-0</v>
      </c>
      <c r="CB15" s="54"/>
      <c r="CC15" s="36" t="n">
        <f aca="false">SUM(BR15:CB15)</f>
        <v>0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-0</v>
      </c>
      <c r="CM15" s="54"/>
      <c r="CN15" s="36" t="n">
        <f aca="false">SUM(CC15:CM15)</f>
        <v>0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-0</v>
      </c>
      <c r="CX15" s="54"/>
      <c r="CY15" s="36" t="n">
        <f aca="false">SUM(CN15:CX15)</f>
        <v>0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-0</v>
      </c>
      <c r="DI15" s="54"/>
      <c r="DJ15" s="36" t="n">
        <f aca="false">SUM(CY15:DI15)</f>
        <v>0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-0</v>
      </c>
      <c r="DT15" s="54"/>
      <c r="DU15" s="36" t="n">
        <f aca="false">SUM(DJ15:DT15)</f>
        <v>0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-0</v>
      </c>
      <c r="EE15" s="54"/>
      <c r="EF15" s="36" t="n">
        <f aca="false">SUM(DU15:EE15)</f>
        <v>0</v>
      </c>
      <c r="EG15" s="54"/>
      <c r="EH15" s="36" t="n">
        <f aca="false">[1]Schedule!$X$55+[1]Schedule!$X$108</f>
        <v>0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121</v>
      </c>
      <c r="C16" s="56"/>
      <c r="D16" s="36"/>
      <c r="E16" s="57"/>
      <c r="F16" s="36"/>
      <c r="G16" s="36" t="n">
        <f aca="false">[2]Jun!$AI$1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[2]Jul!$AI$1</f>
        <v>1800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1800</v>
      </c>
      <c r="AA16" s="57"/>
      <c r="AB16" s="36"/>
      <c r="AC16" s="36" t="n">
        <f aca="false">[2]Aug!$AI$1</f>
        <v>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1800</v>
      </c>
      <c r="AL16" s="57"/>
      <c r="AM16" s="36"/>
      <c r="AN16" s="36" t="n">
        <f aca="false">[2]Sep!$AI$1</f>
        <v>18000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19800</v>
      </c>
      <c r="AW16" s="57"/>
      <c r="AX16" s="36"/>
      <c r="AY16" s="36" t="n">
        <f aca="false">[2]Oct!$AI$1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19800</v>
      </c>
      <c r="BH16" s="57"/>
      <c r="BI16" s="36"/>
      <c r="BJ16" s="36" t="n">
        <f aca="false">[2]Nov!$AI$1</f>
        <v>2400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22200</v>
      </c>
      <c r="BS16" s="57"/>
      <c r="BT16" s="36"/>
      <c r="BU16" s="36" t="n">
        <f aca="false">[2]Dec!$AI$1</f>
        <v>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22200</v>
      </c>
      <c r="CD16" s="57"/>
      <c r="CE16" s="36"/>
      <c r="CF16" s="36" t="n">
        <f aca="false">[2]Jan!$AI$1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22200</v>
      </c>
      <c r="CO16" s="57"/>
      <c r="CP16" s="36"/>
      <c r="CQ16" s="36" t="n">
        <f aca="false">[2]Feb!$AI$1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22200</v>
      </c>
      <c r="CZ16" s="57"/>
      <c r="DA16" s="36"/>
      <c r="DB16" s="36" t="n">
        <f aca="false">[2]Mar!$AI$1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22200</v>
      </c>
      <c r="DK16" s="57"/>
      <c r="DL16" s="36"/>
      <c r="DM16" s="36" t="n">
        <f aca="false">[2]Apr!$AI$1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22200</v>
      </c>
      <c r="DV16" s="57"/>
      <c r="DW16" s="36"/>
      <c r="DX16" s="36" t="n">
        <f aca="false">[2]May!$AI$1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22200</v>
      </c>
      <c r="EG16" s="54"/>
      <c r="EH16" s="36" t="n">
        <f aca="false">-[1]Schedule!$E$110</f>
        <v>-0</v>
      </c>
      <c r="EI16" s="54"/>
      <c r="EJ16" s="36" t="n">
        <f aca="false">SUM(EF16:EH16)</f>
        <v>22200</v>
      </c>
      <c r="EK16" s="54"/>
    </row>
    <row r="17" customFormat="false" ht="12" hidden="false" customHeight="false" outlineLevel="0" collapsed="false">
      <c r="A17" s="54"/>
      <c r="B17" s="54" t="s">
        <v>122</v>
      </c>
      <c r="C17" s="56" t="s">
        <v>123</v>
      </c>
      <c r="D17" s="36"/>
      <c r="E17" s="57"/>
      <c r="F17" s="36" t="n">
        <f aca="false">-[3]Jun!$U$1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-0</v>
      </c>
      <c r="N17" s="57"/>
      <c r="O17" s="36" t="n">
        <f aca="false">SUM(D17:N17)</f>
        <v>0</v>
      </c>
      <c r="P17" s="57"/>
      <c r="Q17" s="36" t="n">
        <f aca="false">-[3]Jul!$U$1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-0</v>
      </c>
      <c r="Y17" s="54"/>
      <c r="Z17" s="36" t="n">
        <f aca="false">SUM(O17:Y17)</f>
        <v>0</v>
      </c>
      <c r="AA17" s="57"/>
      <c r="AB17" s="36" t="n">
        <f aca="false">-[3]Aug!$U$1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-0</v>
      </c>
      <c r="AJ17" s="54"/>
      <c r="AK17" s="36" t="n">
        <f aca="false">SUM(Z17:AJ17)</f>
        <v>0</v>
      </c>
      <c r="AL17" s="57"/>
      <c r="AM17" s="36" t="n">
        <f aca="false">-[3]Sep!$U$1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-0</v>
      </c>
      <c r="AU17" s="54"/>
      <c r="AV17" s="36" t="n">
        <f aca="false">SUM(AK17:AU17)</f>
        <v>0</v>
      </c>
      <c r="AW17" s="57"/>
      <c r="AX17" s="36" t="n">
        <f aca="false">-[3]Oct!$U$1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-0</v>
      </c>
      <c r="BF17" s="54"/>
      <c r="BG17" s="36" t="n">
        <f aca="false">SUM(AV17:BF17)</f>
        <v>0</v>
      </c>
      <c r="BH17" s="57"/>
      <c r="BI17" s="36" t="n">
        <f aca="false">-[3]Nov!$U$1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-0</v>
      </c>
      <c r="BQ17" s="54"/>
      <c r="BR17" s="36" t="n">
        <f aca="false">SUM(BG17:BQ17)</f>
        <v>0</v>
      </c>
      <c r="BS17" s="57"/>
      <c r="BT17" s="36" t="n">
        <f aca="false">-[3]Dec!$U$1</f>
        <v>-4000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-0</v>
      </c>
      <c r="CB17" s="54"/>
      <c r="CC17" s="36" t="n">
        <f aca="false">SUM(BR17:CB17)</f>
        <v>-4000</v>
      </c>
      <c r="CD17" s="57"/>
      <c r="CE17" s="36" t="n">
        <f aca="false">-[3]Jan!$U$1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-0</v>
      </c>
      <c r="CM17" s="54"/>
      <c r="CN17" s="36" t="n">
        <f aca="false">SUM(CC17:CM17)</f>
        <v>-4000</v>
      </c>
      <c r="CO17" s="57"/>
      <c r="CP17" s="36" t="n">
        <f aca="false">-[3]Feb!$U$1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-0</v>
      </c>
      <c r="CX17" s="54"/>
      <c r="CY17" s="36" t="n">
        <f aca="false">SUM(CN17:CX17)</f>
        <v>-4000</v>
      </c>
      <c r="CZ17" s="57"/>
      <c r="DA17" s="36" t="n">
        <f aca="false">-[3]Mar!$U$1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-0</v>
      </c>
      <c r="DI17" s="54"/>
      <c r="DJ17" s="36" t="n">
        <f aca="false">SUM(CY17:DI17)</f>
        <v>-4000</v>
      </c>
      <c r="DK17" s="57"/>
      <c r="DL17" s="36" t="n">
        <f aca="false">-[3]Apr!$U$1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-0</v>
      </c>
      <c r="DT17" s="54"/>
      <c r="DU17" s="36" t="n">
        <f aca="false">SUM(DJ17:DT17)</f>
        <v>-4000</v>
      </c>
      <c r="DV17" s="57"/>
      <c r="DW17" s="36" t="n">
        <f aca="false">-[3]May!$U$1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-0</v>
      </c>
      <c r="EE17" s="54"/>
      <c r="EF17" s="36" t="n">
        <f aca="false">SUM(DU17:EE17)</f>
        <v>-4000</v>
      </c>
      <c r="EG17" s="54"/>
      <c r="EH17" s="36" t="n">
        <f aca="false">[1]Schedule!$W$1-[1]Schedule!$X$1</f>
        <v>0</v>
      </c>
      <c r="EI17" s="54"/>
      <c r="EJ17" s="36" t="n">
        <f aca="false">SUM(EF17:EH17)</f>
        <v>-4000</v>
      </c>
      <c r="EK17" s="54"/>
    </row>
    <row r="18" s="57" customFormat="true" ht="12" hidden="false" customHeight="false" outlineLevel="0" collapsed="false">
      <c r="A18" s="54"/>
      <c r="B18" s="55" t="s">
        <v>124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125</v>
      </c>
      <c r="C19" s="56"/>
      <c r="D19" s="36" t="n">
        <f aca="false">OpenAccounts!E15</f>
        <v>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0</v>
      </c>
      <c r="N19" s="57"/>
      <c r="O19" s="36" t="n">
        <f aca="false">SUM(D19:N19)</f>
        <v>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0</v>
      </c>
      <c r="Y19" s="54"/>
      <c r="Z19" s="36" t="n">
        <f aca="false">SUM(O19:Y19)</f>
        <v>0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0</v>
      </c>
      <c r="AJ19" s="54"/>
      <c r="AK19" s="36" t="n">
        <f aca="false">SUM(Z19:AJ19)</f>
        <v>0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0</v>
      </c>
      <c r="AU19" s="54"/>
      <c r="AV19" s="36" t="n">
        <f aca="false">SUM(AK19:AU19)</f>
        <v>0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0</v>
      </c>
      <c r="BF19" s="54"/>
      <c r="BG19" s="36" t="n">
        <f aca="false">SUM(AV19:BF19)</f>
        <v>0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0</v>
      </c>
      <c r="BQ19" s="54"/>
      <c r="BR19" s="36" t="n">
        <f aca="false">SUM(BG19:BQ19)</f>
        <v>0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0</v>
      </c>
      <c r="CB19" s="54"/>
      <c r="CC19" s="36" t="n">
        <f aca="false">SUM(BR19:CB19)</f>
        <v>0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0</v>
      </c>
      <c r="CM19" s="54"/>
      <c r="CN19" s="36" t="n">
        <f aca="false">SUM(CC19:CM19)</f>
        <v>0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0</v>
      </c>
      <c r="CX19" s="54"/>
      <c r="CY19" s="36" t="n">
        <f aca="false">SUM(CN19:CX19)</f>
        <v>0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0</v>
      </c>
      <c r="DI19" s="54"/>
      <c r="DJ19" s="36" t="n">
        <f aca="false">SUM(CY19:DI19)</f>
        <v>0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0</v>
      </c>
      <c r="DT19" s="54"/>
      <c r="DU19" s="36" t="n">
        <f aca="false">SUM(DJ19:DT19)</f>
        <v>0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0</v>
      </c>
      <c r="EE19" s="54"/>
      <c r="EF19" s="36" t="n">
        <f aca="false">SUM(DU19:EE19)</f>
        <v>0</v>
      </c>
      <c r="EG19" s="54"/>
      <c r="EI19" s="54"/>
      <c r="EJ19" s="36" t="n">
        <f aca="false">SUM(EF19:EH19)</f>
        <v>0</v>
      </c>
      <c r="EK19" s="54"/>
    </row>
    <row r="20" customFormat="false" ht="12" hidden="false" customHeight="false" outlineLevel="0" collapsed="false">
      <c r="A20" s="54"/>
      <c r="B20" s="54" t="s">
        <v>25</v>
      </c>
      <c r="C20" s="56" t="s">
        <v>126</v>
      </c>
      <c r="D20" s="36" t="n">
        <f aca="false">OpenAccounts!E16</f>
        <v>0</v>
      </c>
      <c r="E20" s="57"/>
      <c r="F20" s="36" t="n">
        <f aca="false">[3]Jun!$F$1-[3]Jun!$V$1</f>
        <v>8200</v>
      </c>
      <c r="G20" s="36"/>
      <c r="H20" s="36" t="n">
        <f aca="false">-[4]Jun!$J$1</f>
        <v>-0</v>
      </c>
      <c r="I20" s="36" t="n">
        <f aca="false">-[5]Jun!$J$1</f>
        <v>-0</v>
      </c>
      <c r="J20" s="36" t="n">
        <f aca="false">-[6]Jun!$J$1</f>
        <v>-0</v>
      </c>
      <c r="K20" s="36" t="n">
        <f aca="false">-[7]Jun!$J$1</f>
        <v>-0</v>
      </c>
      <c r="L20" s="36"/>
      <c r="N20" s="57"/>
      <c r="O20" s="36" t="n">
        <f aca="false">SUM(D20:N20)</f>
        <v>8200</v>
      </c>
      <c r="P20" s="57"/>
      <c r="Q20" s="36" t="n">
        <f aca="false">[3]Jul!$F$1-[3]Jul!$V$1</f>
        <v>7000</v>
      </c>
      <c r="R20" s="36"/>
      <c r="S20" s="36" t="n">
        <f aca="false">-[4]Jul!$J$1</f>
        <v>-0</v>
      </c>
      <c r="T20" s="36" t="n">
        <f aca="false">-[5]Jul!$J$1</f>
        <v>-0</v>
      </c>
      <c r="U20" s="36" t="n">
        <f aca="false">-[6]Jul!$J$1</f>
        <v>-0</v>
      </c>
      <c r="V20" s="36" t="n">
        <f aca="false">-[7]Jul!$J$1</f>
        <v>-0</v>
      </c>
      <c r="W20" s="36"/>
      <c r="X20" s="36" t="s">
        <v>127</v>
      </c>
      <c r="Y20" s="54"/>
      <c r="Z20" s="36" t="n">
        <f aca="false">SUM(O20:Y20)</f>
        <v>15200</v>
      </c>
      <c r="AA20" s="57"/>
      <c r="AB20" s="36" t="n">
        <f aca="false">[3]Aug!$F$1-[3]Aug!$V$1</f>
        <v>9400</v>
      </c>
      <c r="AC20" s="36"/>
      <c r="AD20" s="36" t="n">
        <f aca="false">-[4]Aug!$J$1</f>
        <v>-0</v>
      </c>
      <c r="AE20" s="36" t="n">
        <f aca="false">-[5]Aug!$J$1</f>
        <v>-0</v>
      </c>
      <c r="AF20" s="36" t="n">
        <f aca="false">-[6]Aug!$J$1</f>
        <v>-0</v>
      </c>
      <c r="AG20" s="36" t="n">
        <f aca="false">-[7]Aug!$J$1</f>
        <v>-0</v>
      </c>
      <c r="AH20" s="36"/>
      <c r="AI20" s="36"/>
      <c r="AJ20" s="54"/>
      <c r="AK20" s="36" t="n">
        <f aca="false">SUM(Z20:AJ20)</f>
        <v>24600</v>
      </c>
      <c r="AL20" s="57"/>
      <c r="AM20" s="36" t="n">
        <f aca="false">[3]Sep!$F$1-[3]Sep!$V$1</f>
        <v>8200</v>
      </c>
      <c r="AN20" s="36"/>
      <c r="AO20" s="36" t="n">
        <f aca="false">-[4]Sep!$J$1</f>
        <v>-0</v>
      </c>
      <c r="AP20" s="36" t="n">
        <f aca="false">-[5]Sep!$J$1</f>
        <v>-0</v>
      </c>
      <c r="AQ20" s="36" t="n">
        <f aca="false">-[6]Sep!$J$1</f>
        <v>-0</v>
      </c>
      <c r="AR20" s="36" t="n">
        <f aca="false">-[7]Sep!$J$1</f>
        <v>-0</v>
      </c>
      <c r="AS20" s="36"/>
      <c r="AT20" s="36"/>
      <c r="AU20" s="54"/>
      <c r="AV20" s="36" t="n">
        <f aca="false">SUM(AK20:AU20)</f>
        <v>32800</v>
      </c>
      <c r="AW20" s="57"/>
      <c r="AX20" s="36" t="n">
        <f aca="false">[3]Oct!$F$1-[3]Oct!$V$1</f>
        <v>9500</v>
      </c>
      <c r="AY20" s="36"/>
      <c r="AZ20" s="36" t="n">
        <f aca="false">-[4]Oct!$J$1</f>
        <v>-0</v>
      </c>
      <c r="BA20" s="36" t="n">
        <f aca="false">-[5]Oct!$J$1</f>
        <v>-0</v>
      </c>
      <c r="BB20" s="36" t="n">
        <f aca="false">-[6]Oct!$J$1</f>
        <v>-0</v>
      </c>
      <c r="BC20" s="36" t="n">
        <f aca="false">-[7]Oct!$J$1</f>
        <v>-0</v>
      </c>
      <c r="BD20" s="36"/>
      <c r="BE20" s="36"/>
      <c r="BF20" s="54"/>
      <c r="BG20" s="36" t="n">
        <f aca="false">SUM(AV20:BF20)</f>
        <v>42300</v>
      </c>
      <c r="BH20" s="57"/>
      <c r="BI20" s="36" t="n">
        <f aca="false">[3]Nov!$F$1-[3]Nov!$V$1</f>
        <v>7600</v>
      </c>
      <c r="BJ20" s="36"/>
      <c r="BK20" s="36" t="n">
        <f aca="false">-[4]Nov!$J$1</f>
        <v>-0</v>
      </c>
      <c r="BL20" s="36" t="n">
        <f aca="false">-[5]Nov!$J$1</f>
        <v>-0</v>
      </c>
      <c r="BM20" s="36" t="n">
        <f aca="false">-[6]Nov!$J$1</f>
        <v>-0</v>
      </c>
      <c r="BN20" s="36" t="n">
        <f aca="false">-[7]Nov!$J$1</f>
        <v>-0</v>
      </c>
      <c r="BO20" s="36"/>
      <c r="BP20" s="36"/>
      <c r="BQ20" s="54"/>
      <c r="BR20" s="36" t="n">
        <f aca="false">SUM(BG20:BQ20)</f>
        <v>49900</v>
      </c>
      <c r="BS20" s="57"/>
      <c r="BT20" s="36" t="n">
        <f aca="false">[3]Dec!$F$1-[3]Dec!$V$1</f>
        <v>14400</v>
      </c>
      <c r="BU20" s="36"/>
      <c r="BV20" s="36" t="n">
        <f aca="false">-[4]Dec!$J$1</f>
        <v>-0</v>
      </c>
      <c r="BW20" s="36" t="n">
        <f aca="false">-[5]Dec!$J$1</f>
        <v>-0</v>
      </c>
      <c r="BX20" s="36" t="n">
        <f aca="false">-[6]Dec!$J$1</f>
        <v>-0</v>
      </c>
      <c r="BY20" s="36" t="n">
        <f aca="false">-[7]Dec!$J$1</f>
        <v>-0</v>
      </c>
      <c r="BZ20" s="36"/>
      <c r="CA20" s="36"/>
      <c r="CB20" s="54"/>
      <c r="CC20" s="36" t="n">
        <f aca="false">SUM(BR20:CB20)</f>
        <v>64300</v>
      </c>
      <c r="CD20" s="57"/>
      <c r="CE20" s="36" t="n">
        <f aca="false">[3]Jan!$F$1-[3]Jan!$V$1</f>
        <v>12000</v>
      </c>
      <c r="CF20" s="36"/>
      <c r="CG20" s="36" t="n">
        <f aca="false">-[4]Jan!$J$1</f>
        <v>-0</v>
      </c>
      <c r="CH20" s="36" t="n">
        <f aca="false">-[5]Jan!$J$1</f>
        <v>-0</v>
      </c>
      <c r="CI20" s="36" t="n">
        <f aca="false">-[6]Jan!$J$1</f>
        <v>-0</v>
      </c>
      <c r="CJ20" s="36" t="n">
        <f aca="false">-[7]Jan!$J$1</f>
        <v>-0</v>
      </c>
      <c r="CK20" s="36"/>
      <c r="CL20" s="36"/>
      <c r="CM20" s="54"/>
      <c r="CN20" s="36" t="n">
        <f aca="false">SUM(CC20:CM20)</f>
        <v>76300</v>
      </c>
      <c r="CO20" s="57"/>
      <c r="CP20" s="36" t="n">
        <f aca="false">[3]Feb!$F$1-[3]Feb!$V$1</f>
        <v>8400</v>
      </c>
      <c r="CQ20" s="36"/>
      <c r="CR20" s="36" t="n">
        <f aca="false">-[4]Feb!$J$1</f>
        <v>-0</v>
      </c>
      <c r="CS20" s="36" t="n">
        <f aca="false">-[5]Feb!$J$1</f>
        <v>-0</v>
      </c>
      <c r="CT20" s="36" t="n">
        <f aca="false">-[6]Feb!$J$1</f>
        <v>-0</v>
      </c>
      <c r="CU20" s="36" t="n">
        <f aca="false">-[7]Feb!$J$1</f>
        <v>-0</v>
      </c>
      <c r="CV20" s="36"/>
      <c r="CW20" s="36"/>
      <c r="CX20" s="54"/>
      <c r="CY20" s="36" t="n">
        <f aca="false">SUM(CN20:CX20)</f>
        <v>84700</v>
      </c>
      <c r="CZ20" s="57"/>
      <c r="DA20" s="36" t="n">
        <f aca="false">[3]Mar!$F$1-[3]Mar!$V$1</f>
        <v>9600</v>
      </c>
      <c r="DB20" s="36"/>
      <c r="DC20" s="36" t="n">
        <f aca="false">-[4]Mar!$J$1</f>
        <v>-0</v>
      </c>
      <c r="DD20" s="36" t="n">
        <f aca="false">-[5]Mar!$J$1</f>
        <v>-0</v>
      </c>
      <c r="DE20" s="36" t="n">
        <f aca="false">-[6]Mar!$J$1</f>
        <v>-0</v>
      </c>
      <c r="DF20" s="36" t="n">
        <f aca="false">-[7]Mar!$J$1</f>
        <v>-0</v>
      </c>
      <c r="DG20" s="36"/>
      <c r="DH20" s="36"/>
      <c r="DI20" s="54"/>
      <c r="DJ20" s="36" t="n">
        <f aca="false">SUM(CY20:DI20)</f>
        <v>94300</v>
      </c>
      <c r="DK20" s="57"/>
      <c r="DL20" s="36" t="n">
        <f aca="false">[3]Apr!$F$1-[3]Apr!$V$1</f>
        <v>8400</v>
      </c>
      <c r="DM20" s="36"/>
      <c r="DN20" s="36" t="n">
        <f aca="false">-[4]Apr!$J$1</f>
        <v>-0</v>
      </c>
      <c r="DO20" s="36" t="n">
        <f aca="false">-[5]Apr!$J$1</f>
        <v>-0</v>
      </c>
      <c r="DP20" s="36" t="n">
        <f aca="false">-[6]Apr!$J$1</f>
        <v>-0</v>
      </c>
      <c r="DQ20" s="36" t="n">
        <f aca="false">-[7]Apr!$J$1</f>
        <v>-0</v>
      </c>
      <c r="DR20" s="36"/>
      <c r="DS20" s="36"/>
      <c r="DT20" s="54"/>
      <c r="DU20" s="36" t="n">
        <f aca="false">SUM(DJ20:DT20)</f>
        <v>102700</v>
      </c>
      <c r="DV20" s="57"/>
      <c r="DW20" s="36" t="n">
        <f aca="false">[3]May!$F$1-[3]May!$V$1</f>
        <v>8760</v>
      </c>
      <c r="DX20" s="36"/>
      <c r="DY20" s="36" t="n">
        <f aca="false">-[4]May!$J$1</f>
        <v>-0</v>
      </c>
      <c r="DZ20" s="36" t="n">
        <f aca="false">-[5]May!$J$1</f>
        <v>-0</v>
      </c>
      <c r="EA20" s="36" t="n">
        <f aca="false">-[6]May!$J$1</f>
        <v>-0</v>
      </c>
      <c r="EB20" s="36" t="n">
        <f aca="false">-[7]May!$J$1</f>
        <v>-0</v>
      </c>
      <c r="EC20" s="36"/>
      <c r="ED20" s="36"/>
      <c r="EE20" s="54"/>
      <c r="EF20" s="36" t="n">
        <f aca="false">SUM(DU20:EE20)</f>
        <v>111460</v>
      </c>
      <c r="EG20" s="54"/>
      <c r="EI20" s="54"/>
      <c r="EJ20" s="36" t="n">
        <f aca="false">SUM(EF20:EH20)</f>
        <v>111460</v>
      </c>
      <c r="EK20" s="54"/>
    </row>
    <row r="21" s="57" customFormat="true" ht="12" hidden="false" customHeight="false" outlineLevel="0" collapsed="false">
      <c r="A21" s="54"/>
      <c r="B21" s="58" t="s">
        <v>128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129</v>
      </c>
      <c r="C22" s="56" t="s">
        <v>130</v>
      </c>
      <c r="D22" s="36" t="n">
        <f aca="false">OpenAccounts!G18</f>
        <v>0</v>
      </c>
      <c r="E22" s="57"/>
      <c r="F22" s="36"/>
      <c r="G22" s="36"/>
      <c r="H22" s="36" t="n">
        <f aca="false">[4]Jun!$F$1-[4]Jun!$X$1</f>
        <v>0</v>
      </c>
      <c r="I22" s="36"/>
      <c r="J22" s="36"/>
      <c r="K22" s="36"/>
      <c r="L22" s="36"/>
      <c r="N22" s="57"/>
      <c r="O22" s="36" t="n">
        <f aca="false">SUM(D22:N22)</f>
        <v>0</v>
      </c>
      <c r="P22" s="57"/>
      <c r="Q22" s="36"/>
      <c r="R22" s="36"/>
      <c r="S22" s="36" t="n">
        <f aca="false">[4]Jul!$F$1-[4]Jul!$X$1</f>
        <v>0</v>
      </c>
      <c r="T22" s="36"/>
      <c r="U22" s="36"/>
      <c r="V22" s="36"/>
      <c r="W22" s="36"/>
      <c r="X22" s="36"/>
      <c r="Y22" s="54"/>
      <c r="Z22" s="36" t="n">
        <f aca="false">SUM(O22:Y22)</f>
        <v>0</v>
      </c>
      <c r="AA22" s="57"/>
      <c r="AB22" s="36"/>
      <c r="AC22" s="36"/>
      <c r="AD22" s="36" t="n">
        <f aca="false">[4]Aug!$F$1-[4]Aug!$X$1</f>
        <v>0</v>
      </c>
      <c r="AE22" s="36"/>
      <c r="AF22" s="36"/>
      <c r="AG22" s="36"/>
      <c r="AH22" s="36"/>
      <c r="AI22" s="36"/>
      <c r="AJ22" s="54"/>
      <c r="AK22" s="36" t="n">
        <f aca="false">SUM(Z22:AJ22)</f>
        <v>0</v>
      </c>
      <c r="AL22" s="57"/>
      <c r="AM22" s="36"/>
      <c r="AN22" s="36"/>
      <c r="AO22" s="36" t="n">
        <f aca="false">[4]Sep!$F$1-[4]Sep!$X$1</f>
        <v>0</v>
      </c>
      <c r="AP22" s="36"/>
      <c r="AQ22" s="36"/>
      <c r="AR22" s="36"/>
      <c r="AS22" s="36"/>
      <c r="AT22" s="36"/>
      <c r="AU22" s="54"/>
      <c r="AV22" s="36" t="n">
        <f aca="false">SUM(AK22:AU22)</f>
        <v>0</v>
      </c>
      <c r="AW22" s="57"/>
      <c r="AX22" s="36"/>
      <c r="AY22" s="36"/>
      <c r="AZ22" s="36" t="n">
        <f aca="false">[4]Oct!$F$1-[4]Oct!$X$1</f>
        <v>0</v>
      </c>
      <c r="BA22" s="36"/>
      <c r="BB22" s="36"/>
      <c r="BC22" s="36"/>
      <c r="BD22" s="36"/>
      <c r="BE22" s="36"/>
      <c r="BF22" s="54"/>
      <c r="BG22" s="36" t="n">
        <f aca="false">SUM(AV22:BF22)</f>
        <v>0</v>
      </c>
      <c r="BH22" s="57"/>
      <c r="BI22" s="36"/>
      <c r="BJ22" s="36"/>
      <c r="BK22" s="36" t="n">
        <f aca="false">[4]Nov!$F$1-[4]Nov!$X$1</f>
        <v>0</v>
      </c>
      <c r="BL22" s="36"/>
      <c r="BM22" s="36"/>
      <c r="BN22" s="36"/>
      <c r="BO22" s="36"/>
      <c r="BP22" s="36"/>
      <c r="BQ22" s="54"/>
      <c r="BR22" s="36" t="n">
        <f aca="false">SUM(BG22:BQ22)</f>
        <v>0</v>
      </c>
      <c r="BS22" s="57"/>
      <c r="BT22" s="36"/>
      <c r="BU22" s="36"/>
      <c r="BV22" s="36" t="n">
        <f aca="false">[4]Dec!$F$1-[4]Dec!$X$1</f>
        <v>0</v>
      </c>
      <c r="BW22" s="36"/>
      <c r="BX22" s="36"/>
      <c r="BY22" s="36"/>
      <c r="BZ22" s="36"/>
      <c r="CA22" s="36"/>
      <c r="CB22" s="54"/>
      <c r="CC22" s="36" t="n">
        <f aca="false">SUM(BR22:CB22)</f>
        <v>0</v>
      </c>
      <c r="CD22" s="57"/>
      <c r="CE22" s="36"/>
      <c r="CF22" s="36"/>
      <c r="CG22" s="36" t="n">
        <f aca="false">[4]Jan!$F$1-[4]Jan!$X$1</f>
        <v>0</v>
      </c>
      <c r="CH22" s="36"/>
      <c r="CI22" s="36"/>
      <c r="CJ22" s="36"/>
      <c r="CK22" s="36"/>
      <c r="CL22" s="36"/>
      <c r="CM22" s="54"/>
      <c r="CN22" s="36" t="n">
        <f aca="false">SUM(CC22:CM22)</f>
        <v>0</v>
      </c>
      <c r="CO22" s="57"/>
      <c r="CP22" s="36"/>
      <c r="CQ22" s="36"/>
      <c r="CR22" s="36" t="n">
        <f aca="false">[4]Feb!$F$1-[4]Feb!$X$1</f>
        <v>0</v>
      </c>
      <c r="CS22" s="36"/>
      <c r="CT22" s="36"/>
      <c r="CU22" s="36"/>
      <c r="CV22" s="36"/>
      <c r="CW22" s="36"/>
      <c r="CX22" s="54"/>
      <c r="CY22" s="36" t="n">
        <f aca="false">SUM(CN22:CX22)</f>
        <v>0</v>
      </c>
      <c r="CZ22" s="57"/>
      <c r="DA22" s="36"/>
      <c r="DB22" s="36"/>
      <c r="DC22" s="36" t="n">
        <f aca="false">[4]Mar!$F$1-[4]Mar!$X$1</f>
        <v>0</v>
      </c>
      <c r="DD22" s="36"/>
      <c r="DE22" s="36"/>
      <c r="DF22" s="36"/>
      <c r="DG22" s="36"/>
      <c r="DH22" s="36"/>
      <c r="DI22" s="54"/>
      <c r="DJ22" s="36" t="n">
        <f aca="false">SUM(CY22:DI22)</f>
        <v>0</v>
      </c>
      <c r="DK22" s="57"/>
      <c r="DL22" s="36"/>
      <c r="DM22" s="36"/>
      <c r="DN22" s="36" t="n">
        <f aca="false">[4]Apr!$F$1-[4]Apr!$X$1</f>
        <v>0</v>
      </c>
      <c r="DO22" s="36"/>
      <c r="DP22" s="36"/>
      <c r="DQ22" s="36"/>
      <c r="DR22" s="36"/>
      <c r="DS22" s="36"/>
      <c r="DT22" s="54"/>
      <c r="DU22" s="36" t="n">
        <f aca="false">SUM(DJ22:DT22)</f>
        <v>0</v>
      </c>
      <c r="DV22" s="57"/>
      <c r="DW22" s="36"/>
      <c r="DX22" s="36"/>
      <c r="DY22" s="36" t="n">
        <f aca="false">[4]May!$F$1-[4]May!$X$1</f>
        <v>0</v>
      </c>
      <c r="DZ22" s="36"/>
      <c r="EA22" s="36"/>
      <c r="EB22" s="36"/>
      <c r="EC22" s="36"/>
      <c r="ED22" s="36"/>
      <c r="EE22" s="54"/>
      <c r="EF22" s="36" t="n">
        <f aca="false">SUM(DU22:EE22)</f>
        <v>0</v>
      </c>
      <c r="EG22" s="54"/>
      <c r="EI22" s="54"/>
      <c r="EJ22" s="36" t="n">
        <f aca="false">SUM(EF22:EH22)</f>
        <v>0</v>
      </c>
      <c r="EK22" s="54"/>
    </row>
    <row r="23" customFormat="false" ht="12" hidden="false" customHeight="false" outlineLevel="0" collapsed="false">
      <c r="A23" s="54"/>
      <c r="B23" s="54" t="s">
        <v>131</v>
      </c>
      <c r="C23" s="56" t="s">
        <v>132</v>
      </c>
      <c r="D23" s="36" t="n">
        <f aca="false">OpenAccounts!H18</f>
        <v>0</v>
      </c>
      <c r="E23" s="57"/>
      <c r="F23" s="36"/>
      <c r="G23" s="36"/>
      <c r="H23" s="36"/>
      <c r="I23" s="36" t="n">
        <f aca="false">[5]Jun!$F$1-[5]Jun!$X$1</f>
        <v>0</v>
      </c>
      <c r="J23" s="36"/>
      <c r="K23" s="36"/>
      <c r="L23" s="36"/>
      <c r="N23" s="57"/>
      <c r="O23" s="36" t="n">
        <f aca="false">SUM(D23:N23)</f>
        <v>0</v>
      </c>
      <c r="P23" s="57"/>
      <c r="Q23" s="36"/>
      <c r="R23" s="36"/>
      <c r="S23" s="36"/>
      <c r="T23" s="36" t="n">
        <f aca="false">[5]Jul!$F$1-[5]Jul!$X$1</f>
        <v>0</v>
      </c>
      <c r="U23" s="36"/>
      <c r="V23" s="36"/>
      <c r="W23" s="36"/>
      <c r="X23" s="36"/>
      <c r="Y23" s="54"/>
      <c r="Z23" s="36" t="n">
        <f aca="false">SUM(O23:Y23)</f>
        <v>0</v>
      </c>
      <c r="AA23" s="57"/>
      <c r="AB23" s="36"/>
      <c r="AC23" s="36"/>
      <c r="AD23" s="36"/>
      <c r="AE23" s="36" t="n">
        <f aca="false">[5]Aug!$F$1-[5]Aug!$X$1</f>
        <v>0</v>
      </c>
      <c r="AF23" s="36"/>
      <c r="AG23" s="36"/>
      <c r="AH23" s="36"/>
      <c r="AI23" s="36"/>
      <c r="AJ23" s="54"/>
      <c r="AK23" s="36" t="n">
        <f aca="false">SUM(Z23:AJ23)</f>
        <v>0</v>
      </c>
      <c r="AL23" s="57"/>
      <c r="AM23" s="36"/>
      <c r="AN23" s="36"/>
      <c r="AO23" s="36"/>
      <c r="AP23" s="36" t="n">
        <f aca="false">[5]Sep!$F$1-[5]Sep!$X$1</f>
        <v>0</v>
      </c>
      <c r="AQ23" s="36"/>
      <c r="AR23" s="36"/>
      <c r="AS23" s="36"/>
      <c r="AT23" s="36"/>
      <c r="AU23" s="54"/>
      <c r="AV23" s="36" t="n">
        <f aca="false">SUM(AK23:AU23)</f>
        <v>0</v>
      </c>
      <c r="AW23" s="57"/>
      <c r="AX23" s="36"/>
      <c r="AY23" s="36"/>
      <c r="AZ23" s="36"/>
      <c r="BA23" s="36" t="n">
        <f aca="false">[5]Oct!$F$1-[5]Oct!$X$1</f>
        <v>0</v>
      </c>
      <c r="BB23" s="36"/>
      <c r="BC23" s="36"/>
      <c r="BD23" s="36"/>
      <c r="BE23" s="36"/>
      <c r="BF23" s="54"/>
      <c r="BG23" s="36" t="n">
        <f aca="false">SUM(AV23:BF23)</f>
        <v>0</v>
      </c>
      <c r="BH23" s="57"/>
      <c r="BI23" s="36"/>
      <c r="BJ23" s="36"/>
      <c r="BK23" s="36"/>
      <c r="BL23" s="36" t="n">
        <f aca="false">[5]Nov!$F$1-[5]Nov!$X$1</f>
        <v>0</v>
      </c>
      <c r="BM23" s="36"/>
      <c r="BN23" s="36"/>
      <c r="BO23" s="36"/>
      <c r="BP23" s="36"/>
      <c r="BQ23" s="54"/>
      <c r="BR23" s="36" t="n">
        <f aca="false">SUM(BG23:BQ23)</f>
        <v>0</v>
      </c>
      <c r="BS23" s="57"/>
      <c r="BT23" s="36"/>
      <c r="BU23" s="36"/>
      <c r="BV23" s="36"/>
      <c r="BW23" s="36" t="n">
        <f aca="false">[5]Dec!$F$1-[5]Dec!$X$1</f>
        <v>0</v>
      </c>
      <c r="BX23" s="36"/>
      <c r="BY23" s="36"/>
      <c r="BZ23" s="36"/>
      <c r="CA23" s="36"/>
      <c r="CB23" s="54"/>
      <c r="CC23" s="36" t="n">
        <f aca="false">SUM(BR23:CB23)</f>
        <v>0</v>
      </c>
      <c r="CD23" s="57"/>
      <c r="CE23" s="36"/>
      <c r="CF23" s="36"/>
      <c r="CG23" s="36"/>
      <c r="CH23" s="36" t="n">
        <f aca="false">[5]Jan!$F$1-[5]Jan!$X$1</f>
        <v>0</v>
      </c>
      <c r="CI23" s="36"/>
      <c r="CJ23" s="36"/>
      <c r="CK23" s="36"/>
      <c r="CL23" s="36"/>
      <c r="CM23" s="54"/>
      <c r="CN23" s="36" t="n">
        <f aca="false">SUM(CC23:CM23)</f>
        <v>0</v>
      </c>
      <c r="CO23" s="57"/>
      <c r="CP23" s="36"/>
      <c r="CQ23" s="36"/>
      <c r="CR23" s="36"/>
      <c r="CS23" s="36" t="n">
        <f aca="false">[5]Feb!$F$1-[5]Feb!$X$1</f>
        <v>0</v>
      </c>
      <c r="CT23" s="36"/>
      <c r="CU23" s="36"/>
      <c r="CV23" s="36"/>
      <c r="CW23" s="36"/>
      <c r="CX23" s="54"/>
      <c r="CY23" s="36" t="n">
        <f aca="false">SUM(CN23:CX23)</f>
        <v>0</v>
      </c>
      <c r="CZ23" s="57"/>
      <c r="DA23" s="36"/>
      <c r="DB23" s="36"/>
      <c r="DC23" s="36"/>
      <c r="DD23" s="36" t="n">
        <f aca="false">[5]Mar!$F$1-[5]Mar!$X$1</f>
        <v>0</v>
      </c>
      <c r="DE23" s="36"/>
      <c r="DF23" s="36"/>
      <c r="DG23" s="36"/>
      <c r="DH23" s="36"/>
      <c r="DI23" s="54"/>
      <c r="DJ23" s="36" t="n">
        <f aca="false">SUM(CY23:DI23)</f>
        <v>0</v>
      </c>
      <c r="DK23" s="57"/>
      <c r="DL23" s="36"/>
      <c r="DM23" s="36"/>
      <c r="DN23" s="36"/>
      <c r="DO23" s="36" t="n">
        <f aca="false">[5]Apr!$F$1-[5]Apr!$X$1</f>
        <v>0</v>
      </c>
      <c r="DP23" s="36"/>
      <c r="DQ23" s="36"/>
      <c r="DR23" s="36"/>
      <c r="DS23" s="36"/>
      <c r="DT23" s="54"/>
      <c r="DU23" s="36" t="n">
        <f aca="false">SUM(DJ23:DT23)</f>
        <v>0</v>
      </c>
      <c r="DV23" s="57"/>
      <c r="DW23" s="36"/>
      <c r="DX23" s="36"/>
      <c r="DY23" s="36"/>
      <c r="DZ23" s="36" t="n">
        <f aca="false">[5]May!$F$1-[5]May!$X$1</f>
        <v>0</v>
      </c>
      <c r="EA23" s="36"/>
      <c r="EB23" s="36"/>
      <c r="EC23" s="36"/>
      <c r="ED23" s="36"/>
      <c r="EE23" s="54"/>
      <c r="EF23" s="36" t="n">
        <f aca="false">SUM(DU23:EE23)</f>
        <v>0</v>
      </c>
      <c r="EG23" s="54"/>
      <c r="EI23" s="54"/>
      <c r="EJ23" s="36" t="n">
        <f aca="false">SUM(EF23:EH23)</f>
        <v>0</v>
      </c>
      <c r="EK23" s="54"/>
    </row>
    <row r="24" customFormat="false" ht="12" hidden="false" customHeight="false" outlineLevel="0" collapsed="false">
      <c r="A24" s="54"/>
      <c r="B24" s="54" t="s">
        <v>28</v>
      </c>
      <c r="C24" s="56" t="s">
        <v>133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[6]Jun!$F$1-[6]Jun!$X$1</f>
        <v>0</v>
      </c>
      <c r="K24" s="36"/>
      <c r="L24" s="36"/>
      <c r="N24" s="57"/>
      <c r="O24" s="36" t="n">
        <f aca="false">SUM(D24:N24)</f>
        <v>0</v>
      </c>
      <c r="P24" s="57"/>
      <c r="Q24" s="36"/>
      <c r="R24" s="36"/>
      <c r="S24" s="36"/>
      <c r="T24" s="36"/>
      <c r="U24" s="36" t="n">
        <f aca="false">[6]Jul!$F$1-[6]Jul!$X$1</f>
        <v>0</v>
      </c>
      <c r="V24" s="36"/>
      <c r="W24" s="36"/>
      <c r="X24" s="36"/>
      <c r="Y24" s="54"/>
      <c r="Z24" s="36" t="n">
        <f aca="false">SUM(O24:Y24)</f>
        <v>0</v>
      </c>
      <c r="AA24" s="57"/>
      <c r="AB24" s="36"/>
      <c r="AC24" s="36"/>
      <c r="AD24" s="36"/>
      <c r="AE24" s="36"/>
      <c r="AF24" s="36" t="n">
        <f aca="false">[6]Aug!$F$1-[6]Aug!$X$1</f>
        <v>0</v>
      </c>
      <c r="AG24" s="36"/>
      <c r="AH24" s="36"/>
      <c r="AI24" s="36"/>
      <c r="AJ24" s="54"/>
      <c r="AK24" s="36" t="n">
        <f aca="false">SUM(Z24:AJ24)</f>
        <v>0</v>
      </c>
      <c r="AL24" s="57"/>
      <c r="AM24" s="36"/>
      <c r="AN24" s="36"/>
      <c r="AO24" s="36"/>
      <c r="AP24" s="36"/>
      <c r="AQ24" s="36" t="n">
        <f aca="false">[6]Sep!$F$1-[6]Sep!$X$1</f>
        <v>0</v>
      </c>
      <c r="AR24" s="36"/>
      <c r="AS24" s="36"/>
      <c r="AT24" s="36"/>
      <c r="AU24" s="54"/>
      <c r="AV24" s="36" t="n">
        <f aca="false">SUM(AK24:AU24)</f>
        <v>0</v>
      </c>
      <c r="AW24" s="57"/>
      <c r="AX24" s="36"/>
      <c r="AY24" s="36"/>
      <c r="AZ24" s="36"/>
      <c r="BA24" s="36"/>
      <c r="BB24" s="36" t="n">
        <f aca="false">[6]Oct!$F$1-[6]Oct!$X$1</f>
        <v>0</v>
      </c>
      <c r="BC24" s="36"/>
      <c r="BD24" s="36"/>
      <c r="BE24" s="36"/>
      <c r="BF24" s="54"/>
      <c r="BG24" s="36" t="n">
        <f aca="false">SUM(AV24:BF24)</f>
        <v>0</v>
      </c>
      <c r="BH24" s="57"/>
      <c r="BI24" s="36"/>
      <c r="BJ24" s="36"/>
      <c r="BK24" s="36"/>
      <c r="BL24" s="36"/>
      <c r="BM24" s="36" t="n">
        <f aca="false">[6]Nov!$F$1-[6]Nov!$X$1</f>
        <v>0</v>
      </c>
      <c r="BN24" s="36"/>
      <c r="BO24" s="36"/>
      <c r="BP24" s="36"/>
      <c r="BQ24" s="54"/>
      <c r="BR24" s="36" t="n">
        <f aca="false">SUM(BG24:BQ24)</f>
        <v>0</v>
      </c>
      <c r="BS24" s="57"/>
      <c r="BT24" s="36"/>
      <c r="BU24" s="36"/>
      <c r="BV24" s="36"/>
      <c r="BW24" s="36"/>
      <c r="BX24" s="36" t="n">
        <f aca="false">[6]Dec!$F$1-[6]Dec!$X$1</f>
        <v>0</v>
      </c>
      <c r="BY24" s="36"/>
      <c r="BZ24" s="36"/>
      <c r="CA24" s="36"/>
      <c r="CB24" s="54"/>
      <c r="CC24" s="36" t="n">
        <f aca="false">SUM(BR24:CB24)</f>
        <v>0</v>
      </c>
      <c r="CD24" s="57"/>
      <c r="CE24" s="36"/>
      <c r="CF24" s="36"/>
      <c r="CG24" s="36"/>
      <c r="CH24" s="36"/>
      <c r="CI24" s="36" t="n">
        <f aca="false">[6]Jan!$F$1-[6]Jan!$X$1</f>
        <v>0</v>
      </c>
      <c r="CJ24" s="36"/>
      <c r="CK24" s="36"/>
      <c r="CL24" s="36"/>
      <c r="CM24" s="54"/>
      <c r="CN24" s="36" t="n">
        <f aca="false">SUM(CC24:CM24)</f>
        <v>0</v>
      </c>
      <c r="CO24" s="57"/>
      <c r="CP24" s="36"/>
      <c r="CQ24" s="36"/>
      <c r="CR24" s="36"/>
      <c r="CS24" s="36"/>
      <c r="CT24" s="36" t="n">
        <f aca="false">[6]Feb!$F$1-[6]Feb!$X$1</f>
        <v>0</v>
      </c>
      <c r="CU24" s="36"/>
      <c r="CV24" s="36"/>
      <c r="CW24" s="36"/>
      <c r="CX24" s="54"/>
      <c r="CY24" s="36" t="n">
        <f aca="false">SUM(CN24:CX24)</f>
        <v>0</v>
      </c>
      <c r="CZ24" s="57"/>
      <c r="DA24" s="36"/>
      <c r="DB24" s="36"/>
      <c r="DC24" s="36"/>
      <c r="DD24" s="36"/>
      <c r="DE24" s="36" t="n">
        <f aca="false">[6]Mar!$F$1-[6]Mar!$X$1</f>
        <v>0</v>
      </c>
      <c r="DF24" s="36"/>
      <c r="DG24" s="36"/>
      <c r="DH24" s="36"/>
      <c r="DI24" s="54"/>
      <c r="DJ24" s="36" t="n">
        <f aca="false">SUM(CY24:DI24)</f>
        <v>0</v>
      </c>
      <c r="DK24" s="57"/>
      <c r="DL24" s="36"/>
      <c r="DM24" s="36"/>
      <c r="DN24" s="36"/>
      <c r="DO24" s="36"/>
      <c r="DP24" s="36" t="n">
        <f aca="false">[6]Apr!$F$1-[6]Apr!$X$1</f>
        <v>0</v>
      </c>
      <c r="DQ24" s="36"/>
      <c r="DR24" s="36"/>
      <c r="DS24" s="36"/>
      <c r="DT24" s="54"/>
      <c r="DU24" s="36" t="n">
        <f aca="false">SUM(DJ24:DT24)</f>
        <v>0</v>
      </c>
      <c r="DV24" s="57"/>
      <c r="DW24" s="36"/>
      <c r="DX24" s="36"/>
      <c r="DY24" s="36"/>
      <c r="DZ24" s="36"/>
      <c r="EA24" s="36" t="n">
        <f aca="false">[6]May!$F$1-[6]May!$X$1</f>
        <v>0</v>
      </c>
      <c r="EB24" s="36"/>
      <c r="EC24" s="36"/>
      <c r="ED24" s="36"/>
      <c r="EE24" s="54"/>
      <c r="EF24" s="36" t="n">
        <f aca="false">SUM(DU24:EE24)</f>
        <v>0</v>
      </c>
      <c r="EG24" s="54"/>
      <c r="EI24" s="54"/>
      <c r="EJ24" s="36" t="n">
        <f aca="false">SUM(EF24:EH24)</f>
        <v>0</v>
      </c>
      <c r="EK24" s="54"/>
    </row>
    <row r="25" customFormat="false" ht="12" hidden="false" customHeight="false" outlineLevel="0" collapsed="false">
      <c r="A25" s="54"/>
      <c r="B25" s="54" t="s">
        <v>29</v>
      </c>
      <c r="C25" s="56" t="s">
        <v>134</v>
      </c>
      <c r="D25" s="36" t="n">
        <f aca="false">OpenAccounts!J18</f>
        <v>0</v>
      </c>
      <c r="E25" s="57"/>
      <c r="F25" s="36"/>
      <c r="G25" s="36"/>
      <c r="H25" s="36"/>
      <c r="I25" s="36"/>
      <c r="J25" s="36"/>
      <c r="K25" s="36" t="n">
        <f aca="false">[7]Jun!$F$1-[7]Jun!$U$1</f>
        <v>0</v>
      </c>
      <c r="L25" s="36"/>
      <c r="N25" s="57"/>
      <c r="O25" s="36" t="n">
        <f aca="false">SUM(D25:N25)</f>
        <v>0</v>
      </c>
      <c r="P25" s="57"/>
      <c r="Q25" s="36"/>
      <c r="R25" s="36"/>
      <c r="S25" s="36"/>
      <c r="T25" s="36"/>
      <c r="U25" s="36"/>
      <c r="V25" s="36" t="n">
        <f aca="false">[7]Jul!$F$1-[7]Jul!$U$1</f>
        <v>0</v>
      </c>
      <c r="W25" s="36"/>
      <c r="X25" s="36"/>
      <c r="Y25" s="54"/>
      <c r="Z25" s="36" t="n">
        <f aca="false">SUM(O25:Y25)</f>
        <v>0</v>
      </c>
      <c r="AA25" s="57"/>
      <c r="AB25" s="36"/>
      <c r="AC25" s="36"/>
      <c r="AD25" s="36"/>
      <c r="AE25" s="36"/>
      <c r="AF25" s="36"/>
      <c r="AG25" s="36" t="n">
        <f aca="false">[7]Aug!$F$1-[7]Aug!$U$1</f>
        <v>0</v>
      </c>
      <c r="AH25" s="36"/>
      <c r="AI25" s="36"/>
      <c r="AJ25" s="54"/>
      <c r="AK25" s="36" t="n">
        <f aca="false">SUM(Z25:AJ25)</f>
        <v>0</v>
      </c>
      <c r="AL25" s="57"/>
      <c r="AM25" s="36"/>
      <c r="AN25" s="36"/>
      <c r="AO25" s="36"/>
      <c r="AP25" s="36"/>
      <c r="AQ25" s="36"/>
      <c r="AR25" s="36" t="n">
        <f aca="false">[7]Sep!$F$1-[7]Sep!$U$1</f>
        <v>0</v>
      </c>
      <c r="AS25" s="36"/>
      <c r="AT25" s="36"/>
      <c r="AU25" s="54"/>
      <c r="AV25" s="36" t="n">
        <f aca="false">SUM(AK25:AU25)</f>
        <v>0</v>
      </c>
      <c r="AW25" s="57"/>
      <c r="AX25" s="36"/>
      <c r="AY25" s="36"/>
      <c r="AZ25" s="36"/>
      <c r="BA25" s="36"/>
      <c r="BB25" s="36"/>
      <c r="BC25" s="36" t="n">
        <f aca="false">[7]Oct!$F$1-[7]Oct!$U$1</f>
        <v>0</v>
      </c>
      <c r="BD25" s="36"/>
      <c r="BE25" s="36"/>
      <c r="BF25" s="54"/>
      <c r="BG25" s="36" t="n">
        <f aca="false">SUM(AV25:BF25)</f>
        <v>0</v>
      </c>
      <c r="BH25" s="57"/>
      <c r="BI25" s="36"/>
      <c r="BJ25" s="36"/>
      <c r="BK25" s="36"/>
      <c r="BL25" s="36"/>
      <c r="BM25" s="36"/>
      <c r="BN25" s="36" t="n">
        <f aca="false">[7]Nov!$F$1-[7]Nov!$U$1</f>
        <v>0</v>
      </c>
      <c r="BO25" s="36"/>
      <c r="BP25" s="36"/>
      <c r="BQ25" s="54"/>
      <c r="BR25" s="36" t="n">
        <f aca="false">SUM(BG25:BQ25)</f>
        <v>0</v>
      </c>
      <c r="BS25" s="57"/>
      <c r="BT25" s="36"/>
      <c r="BU25" s="36"/>
      <c r="BV25" s="36"/>
      <c r="BW25" s="36"/>
      <c r="BX25" s="36"/>
      <c r="BY25" s="36" t="n">
        <f aca="false">[7]Dec!$F$1-[7]Dec!$U$1</f>
        <v>0</v>
      </c>
      <c r="BZ25" s="36"/>
      <c r="CA25" s="36"/>
      <c r="CB25" s="54"/>
      <c r="CC25" s="36" t="n">
        <f aca="false">SUM(BR25:CB25)</f>
        <v>0</v>
      </c>
      <c r="CD25" s="57"/>
      <c r="CE25" s="36"/>
      <c r="CF25" s="36"/>
      <c r="CG25" s="36"/>
      <c r="CH25" s="36"/>
      <c r="CI25" s="36"/>
      <c r="CJ25" s="36" t="n">
        <f aca="false">[7]Jan!$F$1-[7]Jan!$U$1</f>
        <v>0</v>
      </c>
      <c r="CK25" s="36"/>
      <c r="CL25" s="36"/>
      <c r="CM25" s="54"/>
      <c r="CN25" s="36" t="n">
        <f aca="false">SUM(CC25:CM25)</f>
        <v>0</v>
      </c>
      <c r="CO25" s="57"/>
      <c r="CP25" s="36"/>
      <c r="CQ25" s="36"/>
      <c r="CR25" s="36"/>
      <c r="CS25" s="36"/>
      <c r="CT25" s="36"/>
      <c r="CU25" s="36" t="n">
        <f aca="false">[7]Feb!$F$1-[7]Feb!$U$1</f>
        <v>0</v>
      </c>
      <c r="CV25" s="36"/>
      <c r="CW25" s="36"/>
      <c r="CX25" s="54"/>
      <c r="CY25" s="36" t="n">
        <f aca="false">SUM(CN25:CX25)</f>
        <v>0</v>
      </c>
      <c r="CZ25" s="57"/>
      <c r="DA25" s="36"/>
      <c r="DB25" s="36"/>
      <c r="DC25" s="36"/>
      <c r="DD25" s="36"/>
      <c r="DE25" s="36"/>
      <c r="DF25" s="36" t="n">
        <f aca="false">[7]Mar!$F$1-[7]Mar!$U$1</f>
        <v>0</v>
      </c>
      <c r="DG25" s="36"/>
      <c r="DH25" s="36"/>
      <c r="DI25" s="54"/>
      <c r="DJ25" s="36" t="n">
        <f aca="false">SUM(CY25:DI25)</f>
        <v>0</v>
      </c>
      <c r="DK25" s="57"/>
      <c r="DL25" s="36"/>
      <c r="DM25" s="36"/>
      <c r="DN25" s="36"/>
      <c r="DO25" s="36"/>
      <c r="DP25" s="36"/>
      <c r="DQ25" s="36" t="n">
        <f aca="false">[7]Apr!$F$1-[7]Apr!$U$1</f>
        <v>0</v>
      </c>
      <c r="DR25" s="36"/>
      <c r="DS25" s="36"/>
      <c r="DT25" s="54"/>
      <c r="DU25" s="36" t="n">
        <f aca="false">SUM(DJ25:DT25)</f>
        <v>0</v>
      </c>
      <c r="DV25" s="57"/>
      <c r="DW25" s="36"/>
      <c r="DX25" s="36"/>
      <c r="DY25" s="36"/>
      <c r="DZ25" s="36"/>
      <c r="EA25" s="36"/>
      <c r="EB25" s="36" t="n">
        <f aca="false">[7]May!$F$1-[7]May!$U$1</f>
        <v>0</v>
      </c>
      <c r="EC25" s="36"/>
      <c r="ED25" s="36"/>
      <c r="EE25" s="54"/>
      <c r="EF25" s="36" t="n">
        <f aca="false">SUM(DU25:EE25)</f>
        <v>0</v>
      </c>
      <c r="EG25" s="54"/>
      <c r="EH25" s="36" t="n">
        <f aca="false">[8]Boardmeeting!$E$6</f>
        <v>0</v>
      </c>
      <c r="EI25" s="54"/>
      <c r="EJ25" s="36" t="n">
        <f aca="false">SUM(EF25:EH25)</f>
        <v>0</v>
      </c>
      <c r="EK25" s="54"/>
    </row>
    <row r="26" customFormat="false" ht="12" hidden="false" customHeight="false" outlineLevel="0" collapsed="false">
      <c r="A26" s="54"/>
      <c r="B26" s="54" t="s">
        <v>135</v>
      </c>
      <c r="C26" s="56"/>
      <c r="D26" s="36" t="n">
        <v>0</v>
      </c>
      <c r="E26" s="57"/>
      <c r="F26" s="36"/>
      <c r="G26" s="36"/>
      <c r="H26" s="36" t="n">
        <f aca="false">-[4]Jun!$G$1-[4]Jun!$H$1-[4]Jun!$I$1+[4]Jun!$Y$1+[4]Jun!$Z$1+[4]Jun!$AA$1</f>
        <v>0</v>
      </c>
      <c r="I26" s="36" t="n">
        <f aca="false">-[5]Jun!$G$1-[5]Jun!$H$1-[5]Jun!$I$1+[5]Jun!$Y$1+[5]Jun!$Z$1+[5]Jun!$AA$1</f>
        <v>0</v>
      </c>
      <c r="J26" s="36" t="n">
        <f aca="false">-[6]Jun!$G$1-[6]Jun!$H$1-[6]Jun!$I$1+[6]Jun!$Y$1+[6]Jun!$Z$1+[6]Jun!$AA$1</f>
        <v>0</v>
      </c>
      <c r="K26" s="36" t="n">
        <f aca="false">-[7]Jun!$G$1-[7]Jun!$H$1-[7]Jun!$I$1+[7]Jun!$V$1+[7]Jun!$W$1+[7]Jun!$X$1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-[4]Jul!$G$1-[4]Jul!$H$1-[4]Jul!$I$1+[4]Jul!$Y$1+[4]Jul!$Z$1+[4]Jul!$AA$1</f>
        <v>0</v>
      </c>
      <c r="T26" s="36" t="n">
        <f aca="false">-[5]Jul!$G$1-[5]Jul!$H$1-[5]Jul!$I$1+[5]Jul!$Y$1+[5]Jul!$Z$1+[5]Jul!$AA$1</f>
        <v>0</v>
      </c>
      <c r="U26" s="36" t="n">
        <f aca="false">-[6]Jul!$G$1-[6]Jul!$H$1-[6]Jul!$I$1+[6]Jul!$Y$1+[6]Jul!$Z$1+[6]Jul!$AA$1</f>
        <v>0</v>
      </c>
      <c r="V26" s="36" t="n">
        <f aca="false">-[7]Jul!$G$1-[7]Jul!$H$1-[7]Jul!$I$1+[7]Jul!$V$1+[7]Jul!$W$1+[7]Jul!$X$1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-[4]Aug!$G$1-[4]Aug!$H$1-[4]Aug!$I$1+[4]Aug!$Y$1+[4]Aug!$Z$1+[4]Aug!$AA$1</f>
        <v>0</v>
      </c>
      <c r="AE26" s="36" t="n">
        <f aca="false">-[5]Aug!$G$1-[5]Aug!$H$1-[5]Aug!$I$1+[5]Aug!$Y$1+[5]Aug!$Z$1+[5]Aug!$AA$1</f>
        <v>0</v>
      </c>
      <c r="AF26" s="36" t="n">
        <f aca="false">-[6]Aug!$G$1-[6]Aug!$H$1-[6]Aug!$I$1+[6]Aug!$Y$1+[6]Aug!$Z$1+[6]Aug!$AA$1</f>
        <v>0</v>
      </c>
      <c r="AG26" s="36" t="n">
        <f aca="false">-[7]Aug!$G$1-[7]Aug!$H$1-[7]Aug!$I$1+[7]Aug!$V$1+[7]Aug!$W$1+[7]Aug!$X$1</f>
        <v>0</v>
      </c>
      <c r="AH26" s="36"/>
      <c r="AI26" s="36"/>
      <c r="AJ26" s="54"/>
      <c r="AK26" s="36" t="n">
        <f aca="false">SUM(Z26:AJ26)</f>
        <v>0</v>
      </c>
      <c r="AL26" s="57"/>
      <c r="AM26" s="36"/>
      <c r="AN26" s="36"/>
      <c r="AO26" s="36" t="n">
        <f aca="false">-[4]Sep!$G$1-[4]Sep!$H$1-[4]Sep!$I$1+[4]Sep!$Y$1+[4]Sep!$Z$1+[4]Sep!$AA$1</f>
        <v>0</v>
      </c>
      <c r="AP26" s="36" t="n">
        <f aca="false">-[5]Sep!$G$1-[5]Sep!$H$1-[5]Sep!$I$1+[5]Sep!$Y$1+[5]Sep!$Z$1+[5]Sep!$AA$1</f>
        <v>0</v>
      </c>
      <c r="AQ26" s="36" t="n">
        <f aca="false">-[6]Sep!$G$1-[6]Sep!$H$1-[6]Sep!$I$1+[6]Sep!$Y$1+[6]Sep!$Z$1+[6]Sep!$AA$1</f>
        <v>0</v>
      </c>
      <c r="AR26" s="36" t="n">
        <f aca="false">-[7]Sep!$G$1-[7]Sep!$H$1-[7]Sep!$I$1+[7]Sep!$V$1+[7]Sep!$W$1+[7]Sep!$X$1</f>
        <v>0</v>
      </c>
      <c r="AS26" s="36"/>
      <c r="AT26" s="36"/>
      <c r="AU26" s="54"/>
      <c r="AV26" s="36" t="n">
        <f aca="false">SUM(AK26:AU26)</f>
        <v>0</v>
      </c>
      <c r="AW26" s="57"/>
      <c r="AX26" s="36"/>
      <c r="AY26" s="36"/>
      <c r="AZ26" s="36" t="n">
        <f aca="false">-[4]Oct!$G$1-[4]Oct!$H$1-[4]Oct!$I$1+[4]Oct!$Y$1+[4]Oct!$Z$1+[4]Oct!$AA$1</f>
        <v>0</v>
      </c>
      <c r="BA26" s="36" t="n">
        <f aca="false">-[5]Oct!$G$1-[5]Oct!$H$1-[5]Oct!$I$1+[5]Oct!$Y$1+[5]Oct!$Z$1+[5]Oct!$AA$1</f>
        <v>0</v>
      </c>
      <c r="BB26" s="36" t="n">
        <f aca="false">-[6]Oct!$G$1-[6]Oct!$H$1-[6]Oct!$I$1+[6]Oct!$Y$1+[6]Oct!$Z$1+[6]Oct!$AA$1</f>
        <v>0</v>
      </c>
      <c r="BC26" s="36" t="n">
        <f aca="false">-[7]Oct!$G$1-[7]Oct!$H$1-[7]Oct!$I$1+[7]Oct!$V$1+[7]Oct!$W$1+[7]Oct!$X$1</f>
        <v>0</v>
      </c>
      <c r="BD26" s="36"/>
      <c r="BE26" s="36"/>
      <c r="BF26" s="54"/>
      <c r="BG26" s="36" t="n">
        <f aca="false">SUM(AV26:BF26)</f>
        <v>0</v>
      </c>
      <c r="BH26" s="57"/>
      <c r="BI26" s="36"/>
      <c r="BJ26" s="36"/>
      <c r="BK26" s="36" t="n">
        <f aca="false">-[4]Nov!$G$1-[4]Nov!$H$1-[4]Nov!$I$1+[4]Nov!$Y$1+[4]Nov!$Z$1+[4]Nov!$AA$1</f>
        <v>0</v>
      </c>
      <c r="BL26" s="36" t="n">
        <f aca="false">-[5]Nov!$G$1-[5]Nov!$H$1-[5]Nov!$I$1+[5]Nov!$Y$1+[5]Nov!$Z$1+[5]Nov!$AA$1</f>
        <v>0</v>
      </c>
      <c r="BM26" s="36" t="n">
        <f aca="false">-[6]Nov!$G$1-[6]Nov!$H$1-[6]Nov!$I$1+[6]Nov!$Y$1+[6]Nov!$Z$1+[6]Nov!$AA$1</f>
        <v>0</v>
      </c>
      <c r="BN26" s="36" t="n">
        <f aca="false">-[7]Nov!$G$1-[7]Nov!$H$1-[7]Nov!$I$1+[7]Nov!$V$1+[7]Nov!$W$1+[7]Nov!$X$1</f>
        <v>0</v>
      </c>
      <c r="BO26" s="36"/>
      <c r="BP26" s="36"/>
      <c r="BQ26" s="54"/>
      <c r="BR26" s="36" t="n">
        <f aca="false">SUM(BG26:BQ26)</f>
        <v>0</v>
      </c>
      <c r="BS26" s="57"/>
      <c r="BT26" s="36"/>
      <c r="BU26" s="36"/>
      <c r="BV26" s="36" t="n">
        <f aca="false">-[4]Dec!$G$1-[4]Dec!$H$1-[4]Dec!$I$1+[4]Dec!$Y$1+[4]Dec!$Z$1+[4]Dec!$AA$1</f>
        <v>0</v>
      </c>
      <c r="BW26" s="36" t="n">
        <f aca="false">-[5]Dec!$G$1-[5]Dec!$H$1-[5]Dec!$I$1+[5]Dec!$Y$1+[5]Dec!$Z$1+[5]Dec!$AA$1</f>
        <v>0</v>
      </c>
      <c r="BX26" s="36" t="n">
        <f aca="false">-[6]Dec!$G$1-[6]Dec!$H$1-[6]Dec!$I$1+[6]Dec!$Y$1+[6]Dec!$Z$1+[6]Dec!$AA$1</f>
        <v>0</v>
      </c>
      <c r="BY26" s="36" t="n">
        <f aca="false">-[7]Dec!$G$1-[7]Dec!$H$1-[7]Dec!$I$1+[7]Dec!$V$1+[7]Dec!$W$1+[7]Dec!$X$1</f>
        <v>0</v>
      </c>
      <c r="BZ26" s="36"/>
      <c r="CA26" s="36"/>
      <c r="CB26" s="54"/>
      <c r="CC26" s="36" t="n">
        <f aca="false">SUM(BR26:CB26)</f>
        <v>0</v>
      </c>
      <c r="CD26" s="57"/>
      <c r="CE26" s="36"/>
      <c r="CF26" s="36"/>
      <c r="CG26" s="36" t="n">
        <f aca="false">-[4]Jan!$G$1-[4]Jan!$H$1-[4]Jan!$I$1+[4]Jan!$Y$1+[4]Jan!$Z$1+[4]Jan!$AA$1</f>
        <v>0</v>
      </c>
      <c r="CH26" s="36" t="n">
        <f aca="false">-[5]Jan!$G$1-[5]Jan!$H$1-[5]Jan!$I$1+[5]Jan!$Y$1+[5]Jan!$Z$1+[5]Jan!$AA$1</f>
        <v>0</v>
      </c>
      <c r="CI26" s="36" t="n">
        <f aca="false">-[6]Jan!$G$1-[6]Jan!$H$1-[6]Jan!$I$1+[6]Jan!$Y$1+[6]Jan!$Z$1+[6]Jan!$AA$1</f>
        <v>0</v>
      </c>
      <c r="CJ26" s="36" t="n">
        <f aca="false">-[7]Jan!$G$1-[7]Jan!$H$1-[7]Jan!$I$1+[7]Jan!$V$1+[7]Jan!$W$1+[7]Jan!$X$1</f>
        <v>0</v>
      </c>
      <c r="CK26" s="36"/>
      <c r="CL26" s="36"/>
      <c r="CM26" s="54"/>
      <c r="CN26" s="36" t="n">
        <f aca="false">SUM(CC26:CM26)</f>
        <v>0</v>
      </c>
      <c r="CO26" s="57"/>
      <c r="CP26" s="36"/>
      <c r="CQ26" s="36"/>
      <c r="CR26" s="36" t="n">
        <f aca="false">-[4]Feb!$G$1-[4]Feb!$H$1-[4]Feb!$I$1+[4]Feb!$Y$1+[4]Feb!$Z$1+[4]Feb!$AA$1</f>
        <v>0</v>
      </c>
      <c r="CS26" s="36" t="n">
        <f aca="false">-[5]Feb!$G$1-[5]Feb!$H$1-[5]Feb!$I$1+[5]Feb!$Y$1+[5]Feb!$Z$1+[5]Feb!$AA$1</f>
        <v>0</v>
      </c>
      <c r="CT26" s="36" t="n">
        <f aca="false">-[6]Feb!$G$1-[6]Feb!$H$1-[6]Feb!$I$1+[6]Feb!$Y$1+[6]Feb!$Z$1+[6]Feb!$AA$1</f>
        <v>0</v>
      </c>
      <c r="CU26" s="36" t="n">
        <f aca="false">-[7]Feb!$G$1-[7]Feb!$H$1-[7]Feb!$I$1+[7]Feb!$V$1+[7]Feb!$W$1+[7]Feb!$X$1</f>
        <v>0</v>
      </c>
      <c r="CV26" s="36"/>
      <c r="CW26" s="36"/>
      <c r="CX26" s="54"/>
      <c r="CY26" s="36" t="n">
        <f aca="false">SUM(CN26:CX26)</f>
        <v>0</v>
      </c>
      <c r="CZ26" s="57"/>
      <c r="DA26" s="36"/>
      <c r="DB26" s="36"/>
      <c r="DC26" s="36" t="n">
        <f aca="false">-[4]Mar!$G$1-[4]Mar!$H$1-[4]Mar!$I$1+[4]Mar!$Y$1+[4]Mar!$Z$1+[4]Mar!$AA$1</f>
        <v>0</v>
      </c>
      <c r="DD26" s="36" t="n">
        <f aca="false">-[5]Mar!$G$1-[5]Mar!$H$1-[5]Mar!$I$1+[5]Mar!$Y$1+[5]Mar!$Z$1+[5]Mar!$AA$1</f>
        <v>0</v>
      </c>
      <c r="DE26" s="36" t="n">
        <f aca="false">-[6]Mar!$G$1-[6]Mar!$H$1-[6]Mar!$I$1+[6]Mar!$Y$1+[6]Mar!$Z$1+[6]Mar!$AA$1</f>
        <v>0</v>
      </c>
      <c r="DF26" s="36" t="n">
        <f aca="false">-[7]Mar!$G$1-[7]Mar!$H$1-[7]Mar!$I$1+[7]Mar!$V$1+[7]Mar!$W$1+[7]Mar!$X$1</f>
        <v>0</v>
      </c>
      <c r="DG26" s="36"/>
      <c r="DH26" s="36"/>
      <c r="DI26" s="54"/>
      <c r="DJ26" s="36" t="n">
        <f aca="false">SUM(CY26:DI26)</f>
        <v>0</v>
      </c>
      <c r="DK26" s="57"/>
      <c r="DL26" s="36"/>
      <c r="DM26" s="36"/>
      <c r="DN26" s="36" t="n">
        <f aca="false">-[4]Apr!$G$1-[4]Apr!$H$1-[4]Apr!$I$1+[4]Apr!$Y$1+[4]Apr!$Z$1+[4]Apr!$AA$1</f>
        <v>0</v>
      </c>
      <c r="DO26" s="36" t="n">
        <f aca="false">-[5]Apr!$G$1-[5]Apr!$H$1-[5]Apr!$I$1+[5]Apr!$Y$1+[5]Apr!$Z$1+[5]Apr!$AA$1</f>
        <v>0</v>
      </c>
      <c r="DP26" s="36" t="n">
        <f aca="false">-[6]Apr!$G$1-[6]Apr!$H$1-[6]Apr!$I$1+[6]Apr!$Y$1+[6]Apr!$Z$1+[6]Apr!$AA$1</f>
        <v>0</v>
      </c>
      <c r="DQ26" s="36" t="n">
        <f aca="false">-[7]Apr!$G$1-[7]Apr!$H$1-[7]Apr!$I$1+[7]Apr!$V$1+[7]Apr!$W$1+[7]Apr!$X$1</f>
        <v>0</v>
      </c>
      <c r="DR26" s="36"/>
      <c r="DS26" s="36"/>
      <c r="DT26" s="54"/>
      <c r="DU26" s="36" t="n">
        <f aca="false">SUM(DJ26:DT26)</f>
        <v>0</v>
      </c>
      <c r="DV26" s="57"/>
      <c r="DW26" s="36"/>
      <c r="DX26" s="36"/>
      <c r="DY26" s="36" t="n">
        <f aca="false">-[4]May!$G$1-[4]May!$H$1-[4]May!$I$1+[4]May!$Y$1+[4]May!$Z$1+[4]May!$AA$1</f>
        <v>0</v>
      </c>
      <c r="DZ26" s="36" t="n">
        <f aca="false">-[5]May!$G$1-[5]May!$H$1-[5]May!$I$1+[5]May!$Y$1+[5]May!$Z$1+[5]May!$AA$1</f>
        <v>0</v>
      </c>
      <c r="EA26" s="36" t="n">
        <f aca="false">-[6]May!$G$1-[6]May!$H$1-[6]May!$I$1+[6]May!$Y$1+[6]May!$Z$1+[6]May!$AA$1</f>
        <v>0</v>
      </c>
      <c r="EB26" s="36" t="n">
        <f aca="false">-[7]May!$G$1-[7]May!$H$1-[7]May!$I$1+[7]May!$V$1+[7]May!$W$1+[7]May!$X$1</f>
        <v>0</v>
      </c>
      <c r="EC26" s="36"/>
      <c r="ED26" s="36"/>
      <c r="EE26" s="54"/>
      <c r="EF26" s="36" t="n">
        <f aca="false">SUM(DU26:EE26)</f>
        <v>0</v>
      </c>
      <c r="EG26" s="54"/>
      <c r="EI26" s="54"/>
      <c r="EJ26" s="36" t="n">
        <f aca="false">SUM(EF26:EH26)</f>
        <v>0</v>
      </c>
      <c r="EK26" s="54"/>
    </row>
    <row r="27" s="57" customFormat="true" ht="12" hidden="false" customHeight="false" outlineLevel="0" collapsed="false">
      <c r="A27" s="54"/>
      <c r="B27" s="55" t="s">
        <v>136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33</v>
      </c>
      <c r="C28" s="56" t="s">
        <v>137</v>
      </c>
      <c r="D28" s="36" t="n">
        <f aca="false">-OpenAccounts!E20</f>
        <v>-0</v>
      </c>
      <c r="E28" s="57"/>
      <c r="F28" s="36"/>
      <c r="G28" s="36" t="n">
        <f aca="false">-[2]Jun!$F$1+[2]Jun!$AK$1</f>
        <v>-6780</v>
      </c>
      <c r="H28" s="36" t="n">
        <f aca="false">[4]Jun!$AB$1</f>
        <v>0</v>
      </c>
      <c r="I28" s="36" t="n">
        <f aca="false">[5]Jun!$AB$1</f>
        <v>0</v>
      </c>
      <c r="J28" s="36" t="n">
        <f aca="false">[6]Jun!$AB$1</f>
        <v>0</v>
      </c>
      <c r="K28" s="36" t="n">
        <f aca="false">[7]Jun!$Y$1</f>
        <v>0</v>
      </c>
      <c r="L28" s="36"/>
      <c r="N28" s="57"/>
      <c r="O28" s="36" t="n">
        <f aca="false">SUM(D28:N28)</f>
        <v>-6780</v>
      </c>
      <c r="P28" s="57"/>
      <c r="Q28" s="36"/>
      <c r="R28" s="36" t="n">
        <f aca="false">-[2]Jul!$F$1+[2]Jul!$AK$1</f>
        <v>-5520</v>
      </c>
      <c r="S28" s="36" t="n">
        <f aca="false">[4]Jul!$AB$1</f>
        <v>0</v>
      </c>
      <c r="T28" s="36" t="n">
        <f aca="false">[5]Jul!$AB$1</f>
        <v>0</v>
      </c>
      <c r="U28" s="36" t="n">
        <f aca="false">[6]Jul!$AB$1</f>
        <v>0</v>
      </c>
      <c r="V28" s="36" t="n">
        <f aca="false">[7]Jul!$Y$1</f>
        <v>0</v>
      </c>
      <c r="W28" s="36"/>
      <c r="X28" s="36"/>
      <c r="Y28" s="54"/>
      <c r="Z28" s="36" t="n">
        <f aca="false">SUM(O28:Y28)</f>
        <v>-12300</v>
      </c>
      <c r="AA28" s="57"/>
      <c r="AB28" s="36"/>
      <c r="AC28" s="36" t="n">
        <f aca="false">-[2]Aug!$F$1+[2]Aug!$AK$1</f>
        <v>-6840</v>
      </c>
      <c r="AD28" s="36" t="n">
        <f aca="false">[4]Aug!$AB$1</f>
        <v>0</v>
      </c>
      <c r="AE28" s="36" t="n">
        <f aca="false">[5]Aug!$AB$1</f>
        <v>0</v>
      </c>
      <c r="AF28" s="36" t="n">
        <f aca="false">[6]Aug!$AB$1</f>
        <v>0</v>
      </c>
      <c r="AG28" s="36" t="n">
        <f aca="false">[7]Aug!$Y$1</f>
        <v>0</v>
      </c>
      <c r="AH28" s="36"/>
      <c r="AI28" s="36"/>
      <c r="AJ28" s="54"/>
      <c r="AK28" s="36" t="n">
        <f aca="false">SUM(Z28:AJ28)</f>
        <v>-19140</v>
      </c>
      <c r="AL28" s="57"/>
      <c r="AM28" s="36"/>
      <c r="AN28" s="36" t="n">
        <f aca="false">-[2]Sep!$F$1+[2]Sep!$AK$1</f>
        <v>-22080</v>
      </c>
      <c r="AO28" s="36" t="n">
        <f aca="false">[4]Sep!$AB$1</f>
        <v>0</v>
      </c>
      <c r="AP28" s="36" t="n">
        <f aca="false">[5]Sep!$AB$1</f>
        <v>0</v>
      </c>
      <c r="AQ28" s="36" t="n">
        <f aca="false">[6]Sep!$AB$1</f>
        <v>0</v>
      </c>
      <c r="AR28" s="36" t="n">
        <f aca="false">[7]Sep!$Y$1</f>
        <v>0</v>
      </c>
      <c r="AS28" s="36"/>
      <c r="AT28" s="36"/>
      <c r="AU28" s="54"/>
      <c r="AV28" s="36" t="n">
        <f aca="false">SUM(AK28:AU28)</f>
        <v>-41220</v>
      </c>
      <c r="AW28" s="57"/>
      <c r="AX28" s="36"/>
      <c r="AY28" s="36" t="n">
        <f aca="false">-[2]Oct!$F$1+[2]Oct!$AK$1</f>
        <v>-2480</v>
      </c>
      <c r="AZ28" s="36" t="n">
        <f aca="false">[4]Oct!$AB$1</f>
        <v>0</v>
      </c>
      <c r="BA28" s="36" t="n">
        <f aca="false">[5]Oct!$AB$1</f>
        <v>0</v>
      </c>
      <c r="BB28" s="36" t="n">
        <f aca="false">[6]Oct!$AB$1</f>
        <v>0</v>
      </c>
      <c r="BC28" s="36" t="n">
        <f aca="false">[7]Oct!$Y$1</f>
        <v>0</v>
      </c>
      <c r="BD28" s="36"/>
      <c r="BE28" s="36"/>
      <c r="BF28" s="54"/>
      <c r="BG28" s="36" t="n">
        <f aca="false">SUM(AV28:BF28)</f>
        <v>-43700</v>
      </c>
      <c r="BH28" s="57"/>
      <c r="BI28" s="36"/>
      <c r="BJ28" s="36" t="n">
        <f aca="false">-[2]Nov!$F$1+[2]Nov!$AK$1</f>
        <v>-7920</v>
      </c>
      <c r="BK28" s="36" t="n">
        <f aca="false">[4]Nov!$AB$1</f>
        <v>0</v>
      </c>
      <c r="BL28" s="36" t="n">
        <f aca="false">[5]Nov!$AB$1</f>
        <v>0</v>
      </c>
      <c r="BM28" s="36" t="n">
        <f aca="false">[6]Nov!$AB$1</f>
        <v>0</v>
      </c>
      <c r="BN28" s="36" t="n">
        <f aca="false">[7]Nov!$Y$1</f>
        <v>0</v>
      </c>
      <c r="BO28" s="36"/>
      <c r="BP28" s="36"/>
      <c r="BQ28" s="54"/>
      <c r="BR28" s="36" t="n">
        <f aca="false">SUM(BG28:BQ28)</f>
        <v>-51620</v>
      </c>
      <c r="BS28" s="57"/>
      <c r="BT28" s="36"/>
      <c r="BU28" s="36" t="n">
        <f aca="false">-[2]Dec!$F$1+[2]Dec!$AK$1</f>
        <v>-2184</v>
      </c>
      <c r="BV28" s="36" t="n">
        <f aca="false">[4]Dec!$AB$1</f>
        <v>0</v>
      </c>
      <c r="BW28" s="36" t="n">
        <f aca="false">[5]Dec!$AB$1</f>
        <v>0</v>
      </c>
      <c r="BX28" s="36" t="n">
        <f aca="false">[6]Dec!$AB$1</f>
        <v>0</v>
      </c>
      <c r="BY28" s="36" t="n">
        <f aca="false">[7]Dec!$Y$1</f>
        <v>0</v>
      </c>
      <c r="BZ28" s="36"/>
      <c r="CA28" s="36"/>
      <c r="CB28" s="54"/>
      <c r="CC28" s="36" t="n">
        <f aca="false">SUM(BR28:CB28)</f>
        <v>-53804</v>
      </c>
      <c r="CD28" s="57"/>
      <c r="CE28" s="36"/>
      <c r="CF28" s="36" t="n">
        <f aca="false">-[2]Jan!$F$1+[2]Jan!$AK$1</f>
        <v>-2640</v>
      </c>
      <c r="CG28" s="36" t="n">
        <f aca="false">[4]Jan!$AB$1</f>
        <v>0</v>
      </c>
      <c r="CH28" s="36" t="n">
        <f aca="false">[5]Jan!$AB$1</f>
        <v>0</v>
      </c>
      <c r="CI28" s="36" t="n">
        <f aca="false">[6]Jan!$AB$1</f>
        <v>0</v>
      </c>
      <c r="CJ28" s="36" t="n">
        <f aca="false">[7]Jan!$Y$1</f>
        <v>0</v>
      </c>
      <c r="CK28" s="36"/>
      <c r="CL28" s="36"/>
      <c r="CM28" s="54"/>
      <c r="CN28" s="36" t="n">
        <f aca="false">SUM(CC28:CM28)</f>
        <v>-56444</v>
      </c>
      <c r="CO28" s="57"/>
      <c r="CP28" s="36"/>
      <c r="CQ28" s="36" t="n">
        <f aca="false">-[2]Feb!$F$1+[2]Feb!$AK$1</f>
        <v>-7900</v>
      </c>
      <c r="CR28" s="36" t="n">
        <f aca="false">[4]Feb!$AB$1</f>
        <v>0</v>
      </c>
      <c r="CS28" s="36" t="n">
        <f aca="false">[5]Feb!$AB$1</f>
        <v>0</v>
      </c>
      <c r="CT28" s="36" t="n">
        <f aca="false">[6]Feb!$AB$1</f>
        <v>0</v>
      </c>
      <c r="CU28" s="36" t="n">
        <f aca="false">[7]Feb!$Y$1</f>
        <v>0</v>
      </c>
      <c r="CV28" s="36"/>
      <c r="CW28" s="36"/>
      <c r="CX28" s="54"/>
      <c r="CY28" s="36" t="n">
        <f aca="false">SUM(CN28:CX28)</f>
        <v>-64344</v>
      </c>
      <c r="CZ28" s="57"/>
      <c r="DA28" s="36"/>
      <c r="DB28" s="36" t="n">
        <f aca="false">-[2]Mar!$F$1+[2]Mar!$AK$1</f>
        <v>-3120</v>
      </c>
      <c r="DC28" s="36" t="n">
        <f aca="false">[4]Mar!$AB$1</f>
        <v>0</v>
      </c>
      <c r="DD28" s="36" t="n">
        <f aca="false">[5]Mar!$AB$1</f>
        <v>0</v>
      </c>
      <c r="DE28" s="36" t="n">
        <f aca="false">[6]Mar!$AB$1</f>
        <v>0</v>
      </c>
      <c r="DF28" s="36" t="n">
        <f aca="false">[7]Mar!$Y$1</f>
        <v>0</v>
      </c>
      <c r="DG28" s="36"/>
      <c r="DH28" s="36"/>
      <c r="DI28" s="54"/>
      <c r="DJ28" s="36" t="n">
        <f aca="false">SUM(CY28:DI28)</f>
        <v>-67464</v>
      </c>
      <c r="DK28" s="57"/>
      <c r="DL28" s="36"/>
      <c r="DM28" s="36" t="n">
        <f aca="false">-[2]Apr!$F$1+[2]Apr!$AK$1</f>
        <v>-2136</v>
      </c>
      <c r="DN28" s="36" t="n">
        <f aca="false">[4]Apr!$AB$1</f>
        <v>0</v>
      </c>
      <c r="DO28" s="36" t="n">
        <f aca="false">[5]Apr!$AB$1</f>
        <v>0</v>
      </c>
      <c r="DP28" s="36" t="n">
        <f aca="false">[6]Apr!$AB$1</f>
        <v>0</v>
      </c>
      <c r="DQ28" s="36" t="n">
        <f aca="false">[7]Apr!$Y$1</f>
        <v>0</v>
      </c>
      <c r="DR28" s="36"/>
      <c r="DS28" s="36"/>
      <c r="DT28" s="54"/>
      <c r="DU28" s="36" t="n">
        <f aca="false">SUM(DJ28:DT28)</f>
        <v>-69600</v>
      </c>
      <c r="DV28" s="57"/>
      <c r="DW28" s="36"/>
      <c r="DX28" s="36" t="n">
        <f aca="false">-[2]May!$F$1+[2]May!$AK$1</f>
        <v>-4440</v>
      </c>
      <c r="DY28" s="36" t="n">
        <f aca="false">[4]May!$AB$1</f>
        <v>0</v>
      </c>
      <c r="DZ28" s="36" t="n">
        <f aca="false">[5]May!$AB$1</f>
        <v>0</v>
      </c>
      <c r="EA28" s="36" t="n">
        <f aca="false">[6]May!$AB$1</f>
        <v>0</v>
      </c>
      <c r="EB28" s="36" t="n">
        <f aca="false">[7]May!$Y$1</f>
        <v>0</v>
      </c>
      <c r="EC28" s="36"/>
      <c r="ED28" s="36"/>
      <c r="EE28" s="54"/>
      <c r="EF28" s="36" t="n">
        <f aca="false">SUM(DU28:EE28)</f>
        <v>-74040</v>
      </c>
      <c r="EG28" s="54"/>
      <c r="EH28" s="36" t="n">
        <f aca="false">[1]HPfinance!$E$2</f>
        <v>0</v>
      </c>
      <c r="EI28" s="54"/>
      <c r="EJ28" s="36" t="n">
        <f aca="false">SUM(EF28:EH28)</f>
        <v>-74040</v>
      </c>
      <c r="EK28" s="54"/>
    </row>
    <row r="29" customFormat="false" ht="12" hidden="false" customHeight="false" outlineLevel="0" collapsed="false">
      <c r="A29" s="54"/>
      <c r="B29" s="54" t="s">
        <v>138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[4]Jun!$AC$1</f>
        <v>0</v>
      </c>
      <c r="I29" s="36" t="n">
        <f aca="false">[5]Jun!$AC$1</f>
        <v>0</v>
      </c>
      <c r="J29" s="36" t="n">
        <f aca="false">[6]Jun!$AC$1</f>
        <v>0</v>
      </c>
      <c r="K29" s="36" t="n">
        <f aca="false">[7]Jun!$Z$1</f>
        <v>0</v>
      </c>
      <c r="L29" s="36" t="n">
        <f aca="false">-WagesInterface!G4-WagesInterface!G17</f>
        <v>-0</v>
      </c>
      <c r="N29" s="57"/>
      <c r="O29" s="36" t="n">
        <f aca="false">SUM(D29:N29)</f>
        <v>0</v>
      </c>
      <c r="P29" s="57"/>
      <c r="Q29" s="36"/>
      <c r="R29" s="36"/>
      <c r="S29" s="36" t="n">
        <f aca="false">[4]Jul!$AC$1</f>
        <v>0</v>
      </c>
      <c r="T29" s="36" t="n">
        <f aca="false">[5]Jul!$AC$1</f>
        <v>0</v>
      </c>
      <c r="U29" s="36" t="n">
        <f aca="false">[6]Jul!$AC$1</f>
        <v>0</v>
      </c>
      <c r="V29" s="36" t="n">
        <f aca="false">[7]Jul!$Z$1</f>
        <v>0</v>
      </c>
      <c r="W29" s="36" t="n">
        <f aca="false">-WagesInterface!G5-WagesInterface!G18</f>
        <v>-0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[4]Aug!$AC$1</f>
        <v>0</v>
      </c>
      <c r="AE29" s="36" t="n">
        <f aca="false">[5]Aug!$AC$1</f>
        <v>0</v>
      </c>
      <c r="AF29" s="36" t="n">
        <f aca="false">[6]Aug!$AC$1</f>
        <v>0</v>
      </c>
      <c r="AG29" s="36" t="n">
        <f aca="false">[7]Aug!$Z$1</f>
        <v>0</v>
      </c>
      <c r="AH29" s="36" t="n">
        <f aca="false">-WagesInterface!G6-WagesInterface!G19</f>
        <v>-0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[4]Sep!$AC$1</f>
        <v>0</v>
      </c>
      <c r="AP29" s="36" t="n">
        <f aca="false">[5]Sep!$AC$1</f>
        <v>0</v>
      </c>
      <c r="AQ29" s="36" t="n">
        <f aca="false">[6]Sep!$AC$1</f>
        <v>0</v>
      </c>
      <c r="AR29" s="36" t="n">
        <f aca="false">[7]Sep!$Z$1</f>
        <v>0</v>
      </c>
      <c r="AS29" s="36" t="n">
        <f aca="false">-WagesInterface!G7-WagesInterface!G20</f>
        <v>-0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[4]Oct!$AC$1</f>
        <v>0</v>
      </c>
      <c r="BA29" s="36" t="n">
        <f aca="false">[5]Oct!$AC$1</f>
        <v>0</v>
      </c>
      <c r="BB29" s="36" t="n">
        <f aca="false">[6]Oct!$AC$1</f>
        <v>0</v>
      </c>
      <c r="BC29" s="36" t="n">
        <f aca="false">[7]Oct!$Z$1</f>
        <v>0</v>
      </c>
      <c r="BD29" s="36" t="n">
        <f aca="false">-WagesInterface!G8-WagesInterface!G21</f>
        <v>-0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[4]Nov!$AC$1</f>
        <v>0</v>
      </c>
      <c r="BL29" s="36" t="n">
        <f aca="false">[5]Nov!$AC$1</f>
        <v>0</v>
      </c>
      <c r="BM29" s="36" t="n">
        <f aca="false">[6]Nov!$AC$1</f>
        <v>0</v>
      </c>
      <c r="BN29" s="36" t="n">
        <f aca="false">[7]Nov!$Z$1</f>
        <v>0</v>
      </c>
      <c r="BO29" s="36" t="n">
        <f aca="false">-WagesInterface!G9-WagesInterface!G22</f>
        <v>-0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[4]Dec!$AC$1</f>
        <v>0</v>
      </c>
      <c r="BW29" s="36" t="n">
        <f aca="false">[5]Dec!$AC$1</f>
        <v>0</v>
      </c>
      <c r="BX29" s="36" t="n">
        <f aca="false">[6]Dec!$AC$1</f>
        <v>0</v>
      </c>
      <c r="BY29" s="36" t="n">
        <f aca="false">[7]Dec!$Z$1</f>
        <v>0</v>
      </c>
      <c r="BZ29" s="36" t="n">
        <f aca="false">-WagesInterface!G10-WagesInterface!G23</f>
        <v>-0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[4]Jan!$AC$1</f>
        <v>0</v>
      </c>
      <c r="CH29" s="36" t="n">
        <f aca="false">[5]Jan!$AC$1</f>
        <v>0</v>
      </c>
      <c r="CI29" s="36" t="n">
        <f aca="false">[6]Jan!$AC$1</f>
        <v>0</v>
      </c>
      <c r="CJ29" s="36" t="n">
        <f aca="false">[7]Jan!$Z$1</f>
        <v>0</v>
      </c>
      <c r="CK29" s="36" t="n">
        <f aca="false">-WagesInterface!G11-WagesInterface!G24</f>
        <v>-0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[4]Feb!$AC$1</f>
        <v>0</v>
      </c>
      <c r="CS29" s="36" t="n">
        <f aca="false">[5]Feb!$AC$1</f>
        <v>0</v>
      </c>
      <c r="CT29" s="36" t="n">
        <f aca="false">[6]Feb!$AC$1</f>
        <v>0</v>
      </c>
      <c r="CU29" s="36" t="n">
        <f aca="false">[7]Feb!$Z$1</f>
        <v>0</v>
      </c>
      <c r="CV29" s="36" t="n">
        <f aca="false">-WagesInterface!G12-WagesInterface!G25</f>
        <v>-0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[4]Mar!$AC$1</f>
        <v>0</v>
      </c>
      <c r="DD29" s="36" t="n">
        <f aca="false">[5]Mar!$AC$1</f>
        <v>0</v>
      </c>
      <c r="DE29" s="36" t="n">
        <f aca="false">[6]Mar!$AC$1</f>
        <v>0</v>
      </c>
      <c r="DF29" s="36" t="n">
        <f aca="false">[7]Mar!$Z$1</f>
        <v>0</v>
      </c>
      <c r="DG29" s="36" t="n">
        <f aca="false">-WagesInterface!G13-WagesInterface!G26</f>
        <v>-0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[4]Apr!$AC$1</f>
        <v>0</v>
      </c>
      <c r="DO29" s="36" t="n">
        <f aca="false">[5]Apr!$AC$1</f>
        <v>0</v>
      </c>
      <c r="DP29" s="36" t="n">
        <f aca="false">[6]Apr!$AC$1</f>
        <v>0</v>
      </c>
      <c r="DQ29" s="36" t="n">
        <f aca="false">[7]Apr!$Z$1</f>
        <v>0</v>
      </c>
      <c r="DR29" s="36" t="n">
        <f aca="false">-WagesInterface!G14-WagesInterface!G27</f>
        <v>-0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[4]May!$AC$1</f>
        <v>0</v>
      </c>
      <c r="DZ29" s="36" t="n">
        <f aca="false">[5]May!$AC$1</f>
        <v>0</v>
      </c>
      <c r="EA29" s="36" t="n">
        <f aca="false">[6]May!$AC$1</f>
        <v>0</v>
      </c>
      <c r="EB29" s="36" t="n">
        <f aca="false">[7]May!$Z$1</f>
        <v>0</v>
      </c>
      <c r="EC29" s="36" t="n">
        <f aca="false">-WagesInterface!G15-WagesInterface!G28</f>
        <v>-0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139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140</v>
      </c>
      <c r="C31" s="56" t="s">
        <v>141</v>
      </c>
      <c r="D31" s="36" t="n">
        <f aca="false">-OpenAccounts!E23</f>
        <v>-0</v>
      </c>
      <c r="E31" s="57"/>
      <c r="F31" s="36"/>
      <c r="G31" s="36"/>
      <c r="H31" s="36" t="n">
        <f aca="false">[4]Jun!$AL$1</f>
        <v>0</v>
      </c>
      <c r="I31" s="36" t="n">
        <f aca="false">[5]Jun!$AL$1</f>
        <v>0</v>
      </c>
      <c r="J31" s="36" t="n">
        <f aca="false">[6]Jun!$AL$1</f>
        <v>0</v>
      </c>
      <c r="K31" s="36" t="n">
        <f aca="false">[7]Jun!$AI$1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[4]Jul!$AL$1</f>
        <v>0</v>
      </c>
      <c r="T31" s="36" t="n">
        <f aca="false">[5]Jul!$AL$1</f>
        <v>0</v>
      </c>
      <c r="U31" s="36" t="n">
        <f aca="false">[6]Jul!$AL$1</f>
        <v>0</v>
      </c>
      <c r="V31" s="36" t="n">
        <f aca="false">[7]Jul!$AI$1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[4]Aug!$AL$1</f>
        <v>0</v>
      </c>
      <c r="AE31" s="36" t="n">
        <f aca="false">[5]Aug!$AL$1</f>
        <v>0</v>
      </c>
      <c r="AF31" s="36" t="n">
        <f aca="false">[6]Aug!$AL$1</f>
        <v>0</v>
      </c>
      <c r="AG31" s="36" t="n">
        <f aca="false">[7]Aug!$AI$1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[4]Sep!$AL$1</f>
        <v>0</v>
      </c>
      <c r="AP31" s="36" t="n">
        <f aca="false">[5]Sep!$AL$1</f>
        <v>0</v>
      </c>
      <c r="AQ31" s="36" t="n">
        <f aca="false">[6]Sep!$AL$1</f>
        <v>0</v>
      </c>
      <c r="AR31" s="36" t="n">
        <f aca="false">[7]Sep!$AI$1</f>
        <v>0</v>
      </c>
      <c r="AS31" s="36"/>
      <c r="AT31" s="36"/>
      <c r="AU31" s="54"/>
      <c r="AV31" s="36" t="n">
        <f aca="false">SUM(AK31:AU31)</f>
        <v>0</v>
      </c>
      <c r="AW31" s="57"/>
      <c r="AX31" s="36"/>
      <c r="AY31" s="36"/>
      <c r="AZ31" s="36" t="n">
        <f aca="false">[4]Oct!$AL$1</f>
        <v>0</v>
      </c>
      <c r="BA31" s="36" t="n">
        <f aca="false">[5]Oct!$AL$1</f>
        <v>0</v>
      </c>
      <c r="BB31" s="36" t="n">
        <f aca="false">[6]Oct!$AL$1</f>
        <v>0</v>
      </c>
      <c r="BC31" s="36" t="n">
        <f aca="false">[7]Oct!$AI$1</f>
        <v>0</v>
      </c>
      <c r="BD31" s="36"/>
      <c r="BE31" s="36"/>
      <c r="BF31" s="54"/>
      <c r="BG31" s="36" t="n">
        <f aca="false">SUM(AV31:BF31)</f>
        <v>0</v>
      </c>
      <c r="BH31" s="57"/>
      <c r="BI31" s="36"/>
      <c r="BJ31" s="36"/>
      <c r="BK31" s="36" t="n">
        <f aca="false">[4]Nov!$AL$1</f>
        <v>0</v>
      </c>
      <c r="BL31" s="36" t="n">
        <f aca="false">[5]Nov!$AL$1</f>
        <v>0</v>
      </c>
      <c r="BM31" s="36" t="n">
        <f aca="false">[6]Nov!$AL$1</f>
        <v>0</v>
      </c>
      <c r="BN31" s="36" t="n">
        <f aca="false">[7]Nov!$AI$1</f>
        <v>0</v>
      </c>
      <c r="BO31" s="36"/>
      <c r="BP31" s="36"/>
      <c r="BQ31" s="54"/>
      <c r="BR31" s="36" t="n">
        <f aca="false">SUM(BG31:BQ31)</f>
        <v>0</v>
      </c>
      <c r="BS31" s="57"/>
      <c r="BT31" s="36"/>
      <c r="BU31" s="36"/>
      <c r="BV31" s="36" t="n">
        <f aca="false">[4]Dec!$AL$1</f>
        <v>0</v>
      </c>
      <c r="BW31" s="36" t="n">
        <f aca="false">[5]Dec!$AL$1</f>
        <v>0</v>
      </c>
      <c r="BX31" s="36" t="n">
        <f aca="false">[6]Dec!$AL$1</f>
        <v>0</v>
      </c>
      <c r="BY31" s="36" t="n">
        <f aca="false">[7]Dec!$AI$1</f>
        <v>0</v>
      </c>
      <c r="BZ31" s="36"/>
      <c r="CA31" s="36"/>
      <c r="CB31" s="54"/>
      <c r="CC31" s="36" t="n">
        <f aca="false">SUM(BR31:CB31)</f>
        <v>0</v>
      </c>
      <c r="CD31" s="57"/>
      <c r="CE31" s="36"/>
      <c r="CF31" s="36"/>
      <c r="CG31" s="36" t="n">
        <f aca="false">[4]Jan!$AL$1</f>
        <v>0</v>
      </c>
      <c r="CH31" s="36" t="n">
        <f aca="false">[5]Jan!$AL$1</f>
        <v>0</v>
      </c>
      <c r="CI31" s="36" t="n">
        <f aca="false">[6]Jan!$AL$1</f>
        <v>0</v>
      </c>
      <c r="CJ31" s="36" t="n">
        <f aca="false">[7]Jan!$AI$1</f>
        <v>0</v>
      </c>
      <c r="CK31" s="36"/>
      <c r="CL31" s="36"/>
      <c r="CM31" s="54"/>
      <c r="CN31" s="36" t="n">
        <f aca="false">SUM(CC31:CM31)</f>
        <v>0</v>
      </c>
      <c r="CO31" s="57"/>
      <c r="CP31" s="36"/>
      <c r="CQ31" s="36"/>
      <c r="CR31" s="36" t="n">
        <f aca="false">[4]Feb!$AL$1</f>
        <v>0</v>
      </c>
      <c r="CS31" s="36" t="n">
        <f aca="false">[5]Feb!$AL$1</f>
        <v>0</v>
      </c>
      <c r="CT31" s="36" t="n">
        <f aca="false">[6]Feb!$AL$1</f>
        <v>0</v>
      </c>
      <c r="CU31" s="36" t="n">
        <f aca="false">[7]Feb!$AI$1</f>
        <v>0</v>
      </c>
      <c r="CV31" s="36"/>
      <c r="CW31" s="36"/>
      <c r="CX31" s="54"/>
      <c r="CY31" s="36" t="n">
        <f aca="false">SUM(CN31:CX31)</f>
        <v>0</v>
      </c>
      <c r="CZ31" s="57"/>
      <c r="DA31" s="36"/>
      <c r="DB31" s="36"/>
      <c r="DC31" s="36" t="n">
        <f aca="false">[4]Mar!$AL$1</f>
        <v>0</v>
      </c>
      <c r="DD31" s="36" t="n">
        <f aca="false">[5]Mar!$AL$1</f>
        <v>0</v>
      </c>
      <c r="DE31" s="36" t="n">
        <f aca="false">[6]Mar!$AL$1</f>
        <v>0</v>
      </c>
      <c r="DF31" s="36" t="n">
        <f aca="false">[7]Mar!$AI$1</f>
        <v>0</v>
      </c>
      <c r="DG31" s="36"/>
      <c r="DH31" s="36"/>
      <c r="DI31" s="54"/>
      <c r="DJ31" s="36" t="n">
        <f aca="false">SUM(CY31:DI31)</f>
        <v>0</v>
      </c>
      <c r="DK31" s="57"/>
      <c r="DL31" s="36"/>
      <c r="DM31" s="36"/>
      <c r="DN31" s="36" t="n">
        <f aca="false">[4]Apr!$AL$1</f>
        <v>0</v>
      </c>
      <c r="DO31" s="36" t="n">
        <f aca="false">[5]Apr!$AL$1</f>
        <v>0</v>
      </c>
      <c r="DP31" s="36" t="n">
        <f aca="false">[6]Apr!$AL$1</f>
        <v>0</v>
      </c>
      <c r="DQ31" s="36" t="n">
        <f aca="false">[7]Apr!$AI$1</f>
        <v>0</v>
      </c>
      <c r="DR31" s="36"/>
      <c r="DS31" s="36"/>
      <c r="DT31" s="54"/>
      <c r="DU31" s="36" t="n">
        <f aca="false">SUM(DJ31:DT31)</f>
        <v>0</v>
      </c>
      <c r="DV31" s="57"/>
      <c r="DW31" s="36"/>
      <c r="DX31" s="36"/>
      <c r="DY31" s="36" t="n">
        <f aca="false">[4]May!$AL$1</f>
        <v>0</v>
      </c>
      <c r="DZ31" s="36" t="n">
        <f aca="false">[5]May!$AL$1</f>
        <v>0</v>
      </c>
      <c r="EA31" s="36" t="n">
        <f aca="false">[6]May!$AL$1</f>
        <v>0</v>
      </c>
      <c r="EB31" s="36" t="n">
        <f aca="false">[7]May!$AI$1</f>
        <v>0</v>
      </c>
      <c r="EC31" s="36"/>
      <c r="ED31" s="36"/>
      <c r="EE31" s="54"/>
      <c r="EF31" s="36" t="n">
        <f aca="false">SUM(DU31:EE31)</f>
        <v>0</v>
      </c>
      <c r="EG31" s="54"/>
      <c r="EH31" s="36" t="n">
        <f aca="false">-[8]Boardmeeting!$E$4</f>
        <v>-0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142</v>
      </c>
      <c r="C32" s="56" t="s">
        <v>143</v>
      </c>
      <c r="D32" s="36" t="n">
        <f aca="false">-OpenAccounts!I26</f>
        <v>-0</v>
      </c>
      <c r="E32" s="57"/>
      <c r="F32" s="36" t="n">
        <f aca="false">[3]Jun!$V$1</f>
        <v>0</v>
      </c>
      <c r="G32" s="36" t="n">
        <f aca="false">-[2]Jun!$AK$1</f>
        <v>-0</v>
      </c>
      <c r="H32" s="36" t="n">
        <f aca="false">-[4]Jun!$O$1+[4]Jun!$AJ$1</f>
        <v>0</v>
      </c>
      <c r="I32" s="36" t="n">
        <f aca="false">-[5]Jun!$O$1+[5]Jun!$AJ$1</f>
        <v>0</v>
      </c>
      <c r="J32" s="36" t="n">
        <f aca="false">-[6]Jun!$O$1+[6]Jun!$AJ$1</f>
        <v>0</v>
      </c>
      <c r="K32" s="36" t="n">
        <f aca="false">[7]Jun!$AG$1</f>
        <v>0</v>
      </c>
      <c r="L32" s="36"/>
      <c r="N32" s="57"/>
      <c r="O32" s="36" t="n">
        <f aca="false">SUM(D32:N32)</f>
        <v>0</v>
      </c>
      <c r="P32" s="57"/>
      <c r="Q32" s="36" t="n">
        <f aca="false">[3]Jul!$V$1</f>
        <v>0</v>
      </c>
      <c r="R32" s="36" t="n">
        <f aca="false">-[2]Jul!$AK$1</f>
        <v>-0</v>
      </c>
      <c r="S32" s="36" t="n">
        <f aca="false">-[4]Jul!$O$1+[4]Jul!$AJ$1</f>
        <v>0</v>
      </c>
      <c r="T32" s="36" t="n">
        <f aca="false">-[5]Jul!$O$1+[5]Jul!$AJ$1</f>
        <v>0</v>
      </c>
      <c r="U32" s="36" t="n">
        <f aca="false">-[6]Jul!$O$1+[6]Jul!$AJ$1</f>
        <v>0</v>
      </c>
      <c r="V32" s="36" t="n">
        <f aca="false">[7]Jul!$AG$1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[3]Aug!$V$1</f>
        <v>0</v>
      </c>
      <c r="AC32" s="36" t="n">
        <f aca="false">-[2]Aug!$AK$1</f>
        <v>-0</v>
      </c>
      <c r="AD32" s="36" t="n">
        <f aca="false">-[4]Aug!$O$1+[4]Aug!$AJ$1</f>
        <v>0</v>
      </c>
      <c r="AE32" s="36" t="n">
        <f aca="false">-[5]Aug!$O$1+[5]Aug!$AJ$1</f>
        <v>0</v>
      </c>
      <c r="AF32" s="36" t="n">
        <f aca="false">-[6]Aug!$O$1+[6]Aug!$AJ$1</f>
        <v>0</v>
      </c>
      <c r="AG32" s="36" t="n">
        <f aca="false">[7]Aug!$AG$1</f>
        <v>0</v>
      </c>
      <c r="AH32" s="36"/>
      <c r="AI32" s="36"/>
      <c r="AJ32" s="54"/>
      <c r="AK32" s="36" t="n">
        <f aca="false">SUM(Z32:AJ32)</f>
        <v>0</v>
      </c>
      <c r="AL32" s="57"/>
      <c r="AM32" s="36" t="n">
        <f aca="false">[3]Sep!$V$1</f>
        <v>0</v>
      </c>
      <c r="AN32" s="36" t="n">
        <f aca="false">-[2]Sep!$AK$1</f>
        <v>-0</v>
      </c>
      <c r="AO32" s="36" t="n">
        <f aca="false">-[4]Sep!$O$1+[4]Sep!$AJ$1</f>
        <v>0</v>
      </c>
      <c r="AP32" s="36" t="n">
        <f aca="false">-[5]Sep!$O$1+[5]Sep!$AJ$1</f>
        <v>0</v>
      </c>
      <c r="AQ32" s="36" t="n">
        <f aca="false">-[6]Sep!$O$1+[6]Sep!$AJ$1</f>
        <v>0</v>
      </c>
      <c r="AR32" s="36" t="n">
        <f aca="false">[7]Sep!$AG$1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[3]Oct!$V$1</f>
        <v>0</v>
      </c>
      <c r="AY32" s="36" t="n">
        <f aca="false">-[2]Oct!$AK$1</f>
        <v>-0</v>
      </c>
      <c r="AZ32" s="36" t="n">
        <f aca="false">-[4]Oct!$O$1+[4]Oct!$AJ$1</f>
        <v>0</v>
      </c>
      <c r="BA32" s="36" t="n">
        <f aca="false">-[5]Oct!$O$1+[5]Oct!$AJ$1</f>
        <v>0</v>
      </c>
      <c r="BB32" s="36" t="n">
        <f aca="false">-[6]Oct!$O$1+[6]Oct!$AJ$1</f>
        <v>0</v>
      </c>
      <c r="BC32" s="36" t="n">
        <f aca="false">[7]Oct!$AG$1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[3]Nov!$V$1</f>
        <v>0</v>
      </c>
      <c r="BJ32" s="36" t="n">
        <f aca="false">-[2]Nov!$AK$1</f>
        <v>-0</v>
      </c>
      <c r="BK32" s="36" t="n">
        <f aca="false">-[4]Nov!$O$1+[4]Nov!$AJ$1</f>
        <v>0</v>
      </c>
      <c r="BL32" s="36" t="n">
        <f aca="false">-[5]Nov!$O$1+[5]Nov!$AJ$1</f>
        <v>0</v>
      </c>
      <c r="BM32" s="36" t="n">
        <f aca="false">-[6]Nov!$O$1+[6]Nov!$AJ$1</f>
        <v>0</v>
      </c>
      <c r="BN32" s="36" t="n">
        <f aca="false">[7]Nov!$AG$1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[3]Dec!$V$1</f>
        <v>0</v>
      </c>
      <c r="BU32" s="36" t="n">
        <f aca="false">-[2]Dec!$AK$1</f>
        <v>-0</v>
      </c>
      <c r="BV32" s="36" t="n">
        <f aca="false">-[4]Dec!$O$1+[4]Dec!$AJ$1</f>
        <v>0</v>
      </c>
      <c r="BW32" s="36" t="n">
        <f aca="false">-[5]Dec!$O$1+[5]Dec!$AJ$1</f>
        <v>0</v>
      </c>
      <c r="BX32" s="36" t="n">
        <f aca="false">-[6]Dec!$O$1+[6]Dec!$AJ$1</f>
        <v>0</v>
      </c>
      <c r="BY32" s="36" t="n">
        <f aca="false">[7]Dec!$AG$1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[3]Jan!$V$1</f>
        <v>0</v>
      </c>
      <c r="CF32" s="36" t="n">
        <f aca="false">-[2]Jan!$AK$1</f>
        <v>-0</v>
      </c>
      <c r="CG32" s="36" t="n">
        <f aca="false">-[4]Jan!$O$1+[4]Jan!$AJ$1</f>
        <v>0</v>
      </c>
      <c r="CH32" s="36" t="n">
        <f aca="false">-[5]Jan!$O$1+[5]Jan!$AJ$1</f>
        <v>0</v>
      </c>
      <c r="CI32" s="36" t="n">
        <f aca="false">-[6]Jan!$O$1+[6]Jan!$AJ$1</f>
        <v>0</v>
      </c>
      <c r="CJ32" s="36" t="n">
        <f aca="false">[7]Jan!$AG$1</f>
        <v>0</v>
      </c>
      <c r="CK32" s="36"/>
      <c r="CL32" s="36"/>
      <c r="CM32" s="54"/>
      <c r="CN32" s="36" t="n">
        <f aca="false">SUM(CC32:CM32)</f>
        <v>0</v>
      </c>
      <c r="CO32" s="57"/>
      <c r="CP32" s="36" t="n">
        <f aca="false">[3]Feb!$V$1</f>
        <v>0</v>
      </c>
      <c r="CQ32" s="36" t="n">
        <f aca="false">-[2]Feb!$AK$1</f>
        <v>-0</v>
      </c>
      <c r="CR32" s="36" t="n">
        <f aca="false">-[4]Feb!$O$1+[4]Feb!$AJ$1</f>
        <v>0</v>
      </c>
      <c r="CS32" s="36" t="n">
        <f aca="false">-[5]Feb!$O$1+[5]Feb!$AJ$1</f>
        <v>0</v>
      </c>
      <c r="CT32" s="36" t="n">
        <f aca="false">-[6]Feb!$O$1+[6]Feb!$AJ$1</f>
        <v>0</v>
      </c>
      <c r="CU32" s="36" t="n">
        <f aca="false">[7]Feb!$AG$1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[3]Mar!$V$1</f>
        <v>0</v>
      </c>
      <c r="DB32" s="36" t="n">
        <f aca="false">-[2]Mar!$AK$1</f>
        <v>-0</v>
      </c>
      <c r="DC32" s="36" t="n">
        <f aca="false">-[4]Mar!$O$1+[4]Mar!$AJ$1</f>
        <v>0</v>
      </c>
      <c r="DD32" s="36" t="n">
        <f aca="false">-[5]Mar!$O$1+[5]Mar!$AJ$1</f>
        <v>0</v>
      </c>
      <c r="DE32" s="36" t="n">
        <f aca="false">-[6]Mar!$O$1+[6]Mar!$AJ$1</f>
        <v>0</v>
      </c>
      <c r="DF32" s="36" t="n">
        <f aca="false">[7]Mar!$AG$1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[3]Apr!$V$1</f>
        <v>0</v>
      </c>
      <c r="DM32" s="36" t="n">
        <f aca="false">-[2]Apr!$AK$1</f>
        <v>-0</v>
      </c>
      <c r="DN32" s="36" t="n">
        <f aca="false">-[4]Apr!$O$1+[4]Apr!$AJ$1</f>
        <v>0</v>
      </c>
      <c r="DO32" s="36" t="n">
        <f aca="false">-[5]Apr!$O$1+[5]Apr!$AJ$1</f>
        <v>0</v>
      </c>
      <c r="DP32" s="36" t="n">
        <f aca="false">-[6]Apr!$O$1+[6]Apr!$AJ$1</f>
        <v>0</v>
      </c>
      <c r="DQ32" s="36" t="n">
        <f aca="false">[7]Apr!$AG$1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[3]May!$V$1</f>
        <v>0</v>
      </c>
      <c r="DX32" s="36" t="n">
        <f aca="false">-[2]May!$AK$1</f>
        <v>-0</v>
      </c>
      <c r="DY32" s="36" t="n">
        <f aca="false">-[4]May!$O$1+[4]May!$AJ$1</f>
        <v>0</v>
      </c>
      <c r="DZ32" s="36" t="n">
        <f aca="false">-[5]May!$O$1+[5]May!$AJ$1</f>
        <v>0</v>
      </c>
      <c r="EA32" s="36" t="n">
        <f aca="false">-[6]May!$O$1+[6]May!$AJ$1</f>
        <v>0</v>
      </c>
      <c r="EB32" s="36" t="n">
        <f aca="false">[7]May!$AG$1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144</v>
      </c>
      <c r="C33" s="56" t="s">
        <v>145</v>
      </c>
      <c r="D33" s="36" t="n">
        <f aca="false">-OpenAccounts!H26</f>
        <v>-0</v>
      </c>
      <c r="E33" s="57"/>
      <c r="F33" s="36" t="n">
        <f aca="false">-[3]Jun!$G$1</f>
        <v>-1366.66666666667</v>
      </c>
      <c r="G33" s="36" t="n">
        <f aca="false">[2]Jun!$G$1</f>
        <v>0</v>
      </c>
      <c r="H33" s="36" t="n">
        <f aca="false">-[4]Jun!$N$1+[4]Jun!$AI$1</f>
        <v>0</v>
      </c>
      <c r="I33" s="36" t="n">
        <f aca="false">-[5]Jun!$N$1+[5]Jun!$AI$1</f>
        <v>0</v>
      </c>
      <c r="J33" s="36" t="n">
        <f aca="false">-[6]Jun!$N$1+[6]Jun!$AI$1</f>
        <v>0</v>
      </c>
      <c r="K33" s="36" t="n">
        <f aca="false">[7]Jun!$AF$1</f>
        <v>0</v>
      </c>
      <c r="L33" s="36"/>
      <c r="N33" s="57"/>
      <c r="O33" s="36" t="n">
        <f aca="false">SUM(D33:N33)</f>
        <v>-1366.66666666667</v>
      </c>
      <c r="P33" s="57"/>
      <c r="Q33" s="36" t="n">
        <f aca="false">-[3]Jul!$G$1</f>
        <v>-1166.66666666667</v>
      </c>
      <c r="R33" s="36" t="n">
        <f aca="false">[2]Jul!$G$1</f>
        <v>0</v>
      </c>
      <c r="S33" s="36" t="n">
        <f aca="false">-[4]Jul!$N$1+[4]Jul!$AI$1</f>
        <v>0</v>
      </c>
      <c r="T33" s="36" t="n">
        <f aca="false">-[5]Jul!$N$1+[5]Jul!$AI$1</f>
        <v>0</v>
      </c>
      <c r="U33" s="36" t="n">
        <f aca="false">-[6]Jul!$N$1+[6]Jul!$AI$1</f>
        <v>0</v>
      </c>
      <c r="V33" s="36" t="n">
        <f aca="false">[7]Jul!$AF$1</f>
        <v>0</v>
      </c>
      <c r="W33" s="36"/>
      <c r="X33" s="36"/>
      <c r="Y33" s="54"/>
      <c r="Z33" s="36" t="n">
        <f aca="false">SUM(O33:Y33)</f>
        <v>-2533.33333333334</v>
      </c>
      <c r="AA33" s="57"/>
      <c r="AB33" s="36" t="n">
        <f aca="false">-[3]Aug!$G$1</f>
        <v>-1566.66666666667</v>
      </c>
      <c r="AC33" s="36" t="n">
        <f aca="false">[2]Aug!$G$1</f>
        <v>0</v>
      </c>
      <c r="AD33" s="36" t="n">
        <f aca="false">-[4]Aug!$N$1+[4]Aug!$AI$1</f>
        <v>0</v>
      </c>
      <c r="AE33" s="36" t="n">
        <f aca="false">-[5]Aug!$N$1+[5]Aug!$AI$1</f>
        <v>0</v>
      </c>
      <c r="AF33" s="36" t="n">
        <f aca="false">-[6]Aug!$N$1+[6]Aug!$AI$1</f>
        <v>0</v>
      </c>
      <c r="AG33" s="36" t="n">
        <f aca="false">[7]Aug!$AF$1</f>
        <v>0</v>
      </c>
      <c r="AH33" s="36"/>
      <c r="AI33" s="36"/>
      <c r="AJ33" s="54"/>
      <c r="AK33" s="36" t="n">
        <f aca="false">SUM(Z33:AJ33)</f>
        <v>-4100.00000000001</v>
      </c>
      <c r="AL33" s="57"/>
      <c r="AM33" s="36" t="n">
        <f aca="false">-[3]Sep!$G$1</f>
        <v>-1366.66666666667</v>
      </c>
      <c r="AN33" s="36" t="n">
        <f aca="false">[2]Sep!$G$1</f>
        <v>0</v>
      </c>
      <c r="AO33" s="36" t="n">
        <f aca="false">-[4]Sep!$N$1+[4]Sep!$AI$1</f>
        <v>0</v>
      </c>
      <c r="AP33" s="36" t="n">
        <f aca="false">-[5]Sep!$N$1+[5]Sep!$AI$1</f>
        <v>0</v>
      </c>
      <c r="AQ33" s="36" t="n">
        <f aca="false">-[6]Sep!$N$1+[6]Sep!$AI$1</f>
        <v>0</v>
      </c>
      <c r="AR33" s="36" t="n">
        <f aca="false">[7]Sep!$AF$1</f>
        <v>0</v>
      </c>
      <c r="AS33" s="36"/>
      <c r="AT33" s="36"/>
      <c r="AU33" s="54"/>
      <c r="AV33" s="36" t="n">
        <f aca="false">SUM(AK33:AU33)</f>
        <v>-5466.66666666668</v>
      </c>
      <c r="AW33" s="57"/>
      <c r="AX33" s="36" t="n">
        <f aca="false">-[3]Oct!$G$1</f>
        <v>-1583.33333333333</v>
      </c>
      <c r="AY33" s="36" t="n">
        <f aca="false">[2]Oct!$G$1</f>
        <v>0</v>
      </c>
      <c r="AZ33" s="36" t="n">
        <f aca="false">-[4]Oct!$N$1+[4]Oct!$AI$1</f>
        <v>0</v>
      </c>
      <c r="BA33" s="36" t="n">
        <f aca="false">-[5]Oct!$N$1+[5]Oct!$AI$1</f>
        <v>0</v>
      </c>
      <c r="BB33" s="36" t="n">
        <f aca="false">-[6]Oct!$N$1+[6]Oct!$AI$1</f>
        <v>0</v>
      </c>
      <c r="BC33" s="36" t="n">
        <f aca="false">[7]Oct!$AF$1</f>
        <v>0</v>
      </c>
      <c r="BD33" s="36"/>
      <c r="BE33" s="36"/>
      <c r="BF33" s="54"/>
      <c r="BG33" s="36" t="n">
        <f aca="false">SUM(AV33:BF33)</f>
        <v>-7050.00000000001</v>
      </c>
      <c r="BH33" s="57"/>
      <c r="BI33" s="36" t="n">
        <f aca="false">-[3]Nov!$G$1</f>
        <v>-1266.66666666667</v>
      </c>
      <c r="BJ33" s="36" t="n">
        <f aca="false">[2]Nov!$G$1</f>
        <v>0</v>
      </c>
      <c r="BK33" s="36" t="n">
        <f aca="false">-[4]Nov!$N$1+[4]Nov!$AI$1</f>
        <v>0</v>
      </c>
      <c r="BL33" s="36" t="n">
        <f aca="false">-[5]Nov!$N$1+[5]Nov!$AI$1</f>
        <v>0</v>
      </c>
      <c r="BM33" s="36" t="n">
        <f aca="false">-[6]Nov!$N$1+[6]Nov!$AI$1</f>
        <v>0</v>
      </c>
      <c r="BN33" s="36" t="n">
        <f aca="false">[7]Nov!$AF$1</f>
        <v>0</v>
      </c>
      <c r="BO33" s="36"/>
      <c r="BP33" s="36"/>
      <c r="BQ33" s="54"/>
      <c r="BR33" s="36" t="n">
        <f aca="false">SUM(BG33:BQ33)</f>
        <v>-8316.66666666668</v>
      </c>
      <c r="BS33" s="57"/>
      <c r="BT33" s="36" t="n">
        <f aca="false">-[3]Dec!$G$1</f>
        <v>-2400</v>
      </c>
      <c r="BU33" s="36" t="n">
        <f aca="false">[2]Dec!$G$1</f>
        <v>0</v>
      </c>
      <c r="BV33" s="36" t="n">
        <f aca="false">-[4]Dec!$N$1+[4]Dec!$AI$1</f>
        <v>0</v>
      </c>
      <c r="BW33" s="36" t="n">
        <f aca="false">-[5]Dec!$N$1+[5]Dec!$AI$1</f>
        <v>0</v>
      </c>
      <c r="BX33" s="36" t="n">
        <f aca="false">-[6]Dec!$N$1+[6]Dec!$AI$1</f>
        <v>0</v>
      </c>
      <c r="BY33" s="36" t="n">
        <f aca="false">[7]Dec!$AF$1</f>
        <v>0</v>
      </c>
      <c r="BZ33" s="36"/>
      <c r="CA33" s="36"/>
      <c r="CB33" s="54"/>
      <c r="CC33" s="36" t="n">
        <f aca="false">SUM(BR33:CB33)</f>
        <v>-10716.6666666667</v>
      </c>
      <c r="CD33" s="57"/>
      <c r="CE33" s="36" t="n">
        <f aca="false">-[3]Jan!$G$1</f>
        <v>-2000</v>
      </c>
      <c r="CF33" s="36" t="n">
        <f aca="false">[2]Jan!$G$1</f>
        <v>0</v>
      </c>
      <c r="CG33" s="36" t="n">
        <f aca="false">-[4]Jan!$N$1+[4]Jan!$AI$1</f>
        <v>0</v>
      </c>
      <c r="CH33" s="36" t="n">
        <f aca="false">-[5]Jan!$N$1+[5]Jan!$AI$1</f>
        <v>0</v>
      </c>
      <c r="CI33" s="36" t="n">
        <f aca="false">-[6]Jan!$N$1+[6]Jan!$AI$1</f>
        <v>0</v>
      </c>
      <c r="CJ33" s="36" t="n">
        <f aca="false">[7]Jan!$AF$1</f>
        <v>0</v>
      </c>
      <c r="CK33" s="36"/>
      <c r="CL33" s="36"/>
      <c r="CM33" s="54"/>
      <c r="CN33" s="36" t="n">
        <f aca="false">SUM(CC33:CM33)</f>
        <v>-12716.6666666667</v>
      </c>
      <c r="CO33" s="57"/>
      <c r="CP33" s="36" t="n">
        <f aca="false">-[3]Feb!$G$1</f>
        <v>-1400</v>
      </c>
      <c r="CQ33" s="36" t="n">
        <f aca="false">[2]Feb!$G$1</f>
        <v>0</v>
      </c>
      <c r="CR33" s="36" t="n">
        <f aca="false">-[4]Feb!$N$1+[4]Feb!$AI$1</f>
        <v>0</v>
      </c>
      <c r="CS33" s="36" t="n">
        <f aca="false">-[5]Feb!$N$1+[5]Feb!$AI$1</f>
        <v>0</v>
      </c>
      <c r="CT33" s="36" t="n">
        <f aca="false">-[6]Feb!$N$1+[6]Feb!$AI$1</f>
        <v>0</v>
      </c>
      <c r="CU33" s="36" t="n">
        <f aca="false">[7]Feb!$AF$1</f>
        <v>0</v>
      </c>
      <c r="CV33" s="36"/>
      <c r="CW33" s="36"/>
      <c r="CX33" s="54"/>
      <c r="CY33" s="36" t="n">
        <f aca="false">SUM(CN33:CX33)</f>
        <v>-14116.6666666667</v>
      </c>
      <c r="CZ33" s="57"/>
      <c r="DA33" s="36" t="n">
        <f aca="false">-[3]Mar!$G$1</f>
        <v>-1600</v>
      </c>
      <c r="DB33" s="36" t="n">
        <f aca="false">[2]Mar!$G$1</f>
        <v>0</v>
      </c>
      <c r="DC33" s="36" t="n">
        <f aca="false">-[4]Mar!$N$1+[4]Mar!$AI$1</f>
        <v>0</v>
      </c>
      <c r="DD33" s="36" t="n">
        <f aca="false">-[5]Mar!$N$1+[5]Mar!$AI$1</f>
        <v>0</v>
      </c>
      <c r="DE33" s="36" t="n">
        <f aca="false">-[6]Mar!$N$1+[6]Mar!$AI$1</f>
        <v>0</v>
      </c>
      <c r="DF33" s="36" t="n">
        <f aca="false">[7]Mar!$AF$1</f>
        <v>0</v>
      </c>
      <c r="DG33" s="36"/>
      <c r="DH33" s="36"/>
      <c r="DI33" s="54"/>
      <c r="DJ33" s="36" t="n">
        <f aca="false">SUM(CY33:DI33)</f>
        <v>-15716.6666666667</v>
      </c>
      <c r="DK33" s="57"/>
      <c r="DL33" s="36" t="n">
        <f aca="false">-[3]Apr!$G$1</f>
        <v>-1400</v>
      </c>
      <c r="DM33" s="36" t="n">
        <f aca="false">[2]Apr!$G$1</f>
        <v>0</v>
      </c>
      <c r="DN33" s="36" t="n">
        <f aca="false">-[4]Apr!$N$1+[4]Apr!$AI$1</f>
        <v>0</v>
      </c>
      <c r="DO33" s="36" t="n">
        <f aca="false">-[5]Apr!$N$1+[5]Apr!$AI$1</f>
        <v>0</v>
      </c>
      <c r="DP33" s="36" t="n">
        <f aca="false">-[6]Apr!$N$1+[6]Apr!$AI$1</f>
        <v>0</v>
      </c>
      <c r="DQ33" s="36" t="n">
        <f aca="false">[7]Apr!$AF$1</f>
        <v>0</v>
      </c>
      <c r="DR33" s="36"/>
      <c r="DS33" s="36"/>
      <c r="DT33" s="54"/>
      <c r="DU33" s="36" t="n">
        <f aca="false">SUM(DJ33:DT33)</f>
        <v>-17116.6666666667</v>
      </c>
      <c r="DV33" s="57"/>
      <c r="DW33" s="36" t="n">
        <f aca="false">-[3]May!$G$1</f>
        <v>-1460</v>
      </c>
      <c r="DX33" s="36" t="n">
        <f aca="false">[2]May!$G$1</f>
        <v>0</v>
      </c>
      <c r="DY33" s="36" t="n">
        <f aca="false">-[4]May!$N$1+[4]May!$AI$1</f>
        <v>0</v>
      </c>
      <c r="DZ33" s="36" t="n">
        <f aca="false">-[5]May!$N$1+[5]May!$AI$1</f>
        <v>0</v>
      </c>
      <c r="EA33" s="36" t="n">
        <f aca="false">-[6]May!$N$1+[6]May!$AI$1</f>
        <v>0</v>
      </c>
      <c r="EB33" s="36" t="n">
        <f aca="false">[7]May!$AF$1</f>
        <v>0</v>
      </c>
      <c r="EC33" s="36"/>
      <c r="ED33" s="36"/>
      <c r="EE33" s="54"/>
      <c r="EF33" s="36" t="n">
        <f aca="false">SUM(DU33:EE33)</f>
        <v>-18576.6666666667</v>
      </c>
      <c r="EG33" s="54"/>
      <c r="EI33" s="54"/>
      <c r="EJ33" s="36" t="n">
        <f aca="false">SUM(EF33:EH33)</f>
        <v>-18576.6666666667</v>
      </c>
      <c r="EK33" s="54"/>
    </row>
    <row r="34" customFormat="false" ht="12" hidden="false" customHeight="false" outlineLevel="0" collapsed="false">
      <c r="A34" s="54"/>
      <c r="B34" s="54" t="s">
        <v>146</v>
      </c>
      <c r="C34" s="56" t="s">
        <v>147</v>
      </c>
      <c r="D34" s="36" t="n">
        <f aca="false">-OpenAccounts!G26</f>
        <v>-0</v>
      </c>
      <c r="E34" s="57"/>
      <c r="F34" s="36"/>
      <c r="G34" s="36"/>
      <c r="H34" s="36" t="n">
        <f aca="false">[4]Jun!$AH$1</f>
        <v>0</v>
      </c>
      <c r="I34" s="36" t="n">
        <f aca="false">[5]Jun!$AH$1</f>
        <v>0</v>
      </c>
      <c r="J34" s="36" t="n">
        <f aca="false">[6]Jun!$AH$1</f>
        <v>0</v>
      </c>
      <c r="K34" s="36" t="n">
        <f aca="false">[7]Jun!$AE$1</f>
        <v>0</v>
      </c>
      <c r="L34" s="36" t="n">
        <f aca="false">-(WagesInterface!D4+WagesInterface!E4+WagesInterface!H4)-(WagesInterface!D17+WagesInterface!E17+WagesInterface!H17)+(WagesInterface!I4+WagesInterface!I17)</f>
        <v>0</v>
      </c>
      <c r="N34" s="57"/>
      <c r="O34" s="36" t="n">
        <f aca="false">SUM(D34:N34)</f>
        <v>0</v>
      </c>
      <c r="P34" s="57"/>
      <c r="Q34" s="36"/>
      <c r="R34" s="36"/>
      <c r="S34" s="36" t="n">
        <f aca="false">[4]Jul!$AH$1</f>
        <v>0</v>
      </c>
      <c r="T34" s="36" t="n">
        <f aca="false">[5]Jul!$AH$1</f>
        <v>0</v>
      </c>
      <c r="U34" s="36" t="n">
        <f aca="false">[6]Jul!$AH$1</f>
        <v>0</v>
      </c>
      <c r="V34" s="36" t="n">
        <f aca="false">[7]Jul!$AE$1</f>
        <v>0</v>
      </c>
      <c r="W34" s="36" t="n">
        <f aca="false">-(WagesInterface!D5+WagesInterface!E5+WagesInterface!H5)-(WagesInterface!D18+WagesInterface!E18+WagesInterface!H18)+(WagesInterface!I5+WagesInterface!I18)</f>
        <v>0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[4]Aug!$AH$1</f>
        <v>0</v>
      </c>
      <c r="AE34" s="36" t="n">
        <f aca="false">[5]Aug!$AH$1</f>
        <v>0</v>
      </c>
      <c r="AF34" s="36" t="n">
        <f aca="false">[6]Aug!$AH$1</f>
        <v>0</v>
      </c>
      <c r="AG34" s="36" t="n">
        <f aca="false">[7]Aug!$AE$1</f>
        <v>0</v>
      </c>
      <c r="AH34" s="36" t="n">
        <f aca="false">-(WagesInterface!D6+WagesInterface!E6+WagesInterface!H6)-(WagesInterface!D19+WagesInterface!E19+WagesInterface!H19)+(WagesInterface!I6+WagesInterface!I19)</f>
        <v>0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[4]Sep!$AH$1</f>
        <v>0</v>
      </c>
      <c r="AP34" s="36" t="n">
        <f aca="false">[5]Sep!$AH$1</f>
        <v>0</v>
      </c>
      <c r="AQ34" s="36" t="n">
        <f aca="false">[6]Sep!$AH$1</f>
        <v>0</v>
      </c>
      <c r="AR34" s="36" t="n">
        <f aca="false">[7]Sep!$AE$1</f>
        <v>0</v>
      </c>
      <c r="AS34" s="36" t="n">
        <f aca="false">-(WagesInterface!D7+WagesInterface!E7+WagesInterface!H7)-(WagesInterface!D20+WagesInterface!E20+WagesInterface!H20)+(WagesInterface!I7+WagesInterface!I20)</f>
        <v>0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[4]Oct!$AH$1</f>
        <v>0</v>
      </c>
      <c r="BA34" s="36" t="n">
        <f aca="false">[5]Oct!$AH$1</f>
        <v>0</v>
      </c>
      <c r="BB34" s="36" t="n">
        <f aca="false">[6]Oct!$AH$1</f>
        <v>0</v>
      </c>
      <c r="BC34" s="36" t="n">
        <f aca="false">[7]Oct!$AE$1</f>
        <v>0</v>
      </c>
      <c r="BD34" s="36" t="n">
        <f aca="false">-(WagesInterface!D8+WagesInterface!E8+WagesInterface!H8)-(WagesInterface!D21+WagesInterface!E21+WagesInterface!H21)+(WagesInterface!I8+WagesInterface!I21)</f>
        <v>0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[4]Nov!$AH$1</f>
        <v>0</v>
      </c>
      <c r="BL34" s="36" t="n">
        <f aca="false">[5]Nov!$AH$1</f>
        <v>0</v>
      </c>
      <c r="BM34" s="36" t="n">
        <f aca="false">[6]Nov!$AH$1</f>
        <v>0</v>
      </c>
      <c r="BN34" s="36" t="n">
        <f aca="false">[7]Nov!$AE$1</f>
        <v>0</v>
      </c>
      <c r="BO34" s="36" t="n">
        <f aca="false">-(WagesInterface!D9+WagesInterface!E9+WagesInterface!H9)-(WagesInterface!D22+WagesInterface!E22+WagesInterface!H22)+(WagesInterface!I9+WagesInterface!I22)</f>
        <v>0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[4]Dec!$AH$1</f>
        <v>0</v>
      </c>
      <c r="BW34" s="36" t="n">
        <f aca="false">[5]Dec!$AH$1</f>
        <v>0</v>
      </c>
      <c r="BX34" s="36" t="n">
        <f aca="false">[6]Dec!$AH$1</f>
        <v>0</v>
      </c>
      <c r="BY34" s="36" t="n">
        <f aca="false">[7]Dec!$AE$1</f>
        <v>0</v>
      </c>
      <c r="BZ34" s="36" t="n">
        <f aca="false">-(WagesInterface!D10+WagesInterface!E10+WagesInterface!H10)-(WagesInterface!D23+WagesInterface!E23+WagesInterface!H23)+(WagesInterface!I10+WagesInterface!I23)</f>
        <v>0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[4]Jan!$AH$1</f>
        <v>0</v>
      </c>
      <c r="CH34" s="36" t="n">
        <f aca="false">[5]Jan!$AH$1</f>
        <v>0</v>
      </c>
      <c r="CI34" s="36" t="n">
        <f aca="false">[6]Jan!$AH$1</f>
        <v>0</v>
      </c>
      <c r="CJ34" s="36" t="n">
        <f aca="false">[7]Jan!$AE$1</f>
        <v>0</v>
      </c>
      <c r="CK34" s="36" t="n">
        <f aca="false">-(WagesInterface!D11+WagesInterface!E11+WagesInterface!H11)-(WagesInterface!D24+WagesInterface!E24+WagesInterface!H24)+(WagesInterface!I11+WagesInterface!I24)</f>
        <v>0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[4]Feb!$AH$1</f>
        <v>0</v>
      </c>
      <c r="CS34" s="36" t="n">
        <f aca="false">[5]Feb!$AH$1</f>
        <v>0</v>
      </c>
      <c r="CT34" s="36" t="n">
        <f aca="false">[6]Feb!$AH$1</f>
        <v>0</v>
      </c>
      <c r="CU34" s="36" t="n">
        <f aca="false">[7]Feb!$AE$1</f>
        <v>0</v>
      </c>
      <c r="CV34" s="36" t="n">
        <f aca="false">-(WagesInterface!D12+WagesInterface!E12+WagesInterface!H12)-(WagesInterface!D25+WagesInterface!E25+WagesInterface!H25)+(WagesInterface!I12+WagesInterface!I25)</f>
        <v>0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[4]Mar!$AH$1</f>
        <v>0</v>
      </c>
      <c r="DD34" s="36" t="n">
        <f aca="false">[5]Mar!$AH$1</f>
        <v>0</v>
      </c>
      <c r="DE34" s="36" t="n">
        <f aca="false">[6]Mar!$AH$1</f>
        <v>0</v>
      </c>
      <c r="DF34" s="36" t="n">
        <f aca="false">[7]Mar!$AE$1</f>
        <v>0</v>
      </c>
      <c r="DG34" s="36" t="n">
        <f aca="false">-(WagesInterface!D13+WagesInterface!E13+WagesInterface!H13)-(WagesInterface!D26+WagesInterface!E26+WagesInterface!H26)+(WagesInterface!I13+WagesInterface!I26)</f>
        <v>0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[4]Apr!$AH$1</f>
        <v>0</v>
      </c>
      <c r="DO34" s="36" t="n">
        <f aca="false">[5]Apr!$AH$1</f>
        <v>0</v>
      </c>
      <c r="DP34" s="36" t="n">
        <f aca="false">[6]Apr!$AH$1</f>
        <v>0</v>
      </c>
      <c r="DQ34" s="36" t="n">
        <f aca="false">[7]Apr!$AE$1</f>
        <v>0</v>
      </c>
      <c r="DR34" s="36" t="n">
        <f aca="false">-(WagesInterface!D14+WagesInterface!E14+WagesInterface!H14)-(WagesInterface!D27+WagesInterface!E27+WagesInterface!H27)+(WagesInterface!I14+WagesInterface!I27)</f>
        <v>0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[4]May!$AH$1</f>
        <v>0</v>
      </c>
      <c r="DZ34" s="36" t="n">
        <f aca="false">[5]May!$AH$1</f>
        <v>0</v>
      </c>
      <c r="EA34" s="36" t="n">
        <f aca="false">[6]May!$AH$1</f>
        <v>0</v>
      </c>
      <c r="EB34" s="36" t="n">
        <f aca="false">[7]May!$AE$1</f>
        <v>0</v>
      </c>
      <c r="EC34" s="36" t="n">
        <f aca="false">-(WagesInterface!D15+WagesInterface!E15+WagesInterface!H15)-(WagesInterface!D28+WagesInterface!E28+WagesInterface!H28)+(WagesInterface!I15+WagesInterface!I28)</f>
        <v>0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148</v>
      </c>
      <c r="C35" s="56" t="s">
        <v>149</v>
      </c>
      <c r="D35" s="36" t="n">
        <f aca="false">-OpenAccounts!E24</f>
        <v>-0</v>
      </c>
      <c r="E35" s="57"/>
      <c r="F35" s="36"/>
      <c r="G35" s="36"/>
      <c r="H35" s="36" t="n">
        <f aca="false">[4]Jun!$AK$1</f>
        <v>0</v>
      </c>
      <c r="I35" s="36" t="n">
        <f aca="false">[5]Jun!$AK$1</f>
        <v>0</v>
      </c>
      <c r="J35" s="36" t="n">
        <f aca="false">[6]Jun!$AK$1</f>
        <v>0</v>
      </c>
      <c r="K35" s="36" t="n">
        <f aca="false">[7]Jun!$AH$1</f>
        <v>0</v>
      </c>
      <c r="L35" s="36"/>
      <c r="N35" s="57"/>
      <c r="O35" s="36" t="n">
        <f aca="false">SUM(D35:N35)</f>
        <v>0</v>
      </c>
      <c r="P35" s="57"/>
      <c r="Q35" s="36"/>
      <c r="R35" s="36"/>
      <c r="S35" s="36" t="n">
        <f aca="false">[4]Jul!$AK$1</f>
        <v>0</v>
      </c>
      <c r="T35" s="36" t="n">
        <f aca="false">[5]Jul!$AK$1</f>
        <v>0</v>
      </c>
      <c r="U35" s="36" t="n">
        <f aca="false">[6]Jul!$AK$1</f>
        <v>0</v>
      </c>
      <c r="V35" s="36" t="n">
        <f aca="false">[7]Jul!$AH$1</f>
        <v>0</v>
      </c>
      <c r="W35" s="36"/>
      <c r="X35" s="36"/>
      <c r="Y35" s="54"/>
      <c r="Z35" s="36" t="n">
        <f aca="false">SUM(O35:Y35)</f>
        <v>0</v>
      </c>
      <c r="AA35" s="57"/>
      <c r="AB35" s="36"/>
      <c r="AC35" s="36"/>
      <c r="AD35" s="36" t="n">
        <f aca="false">[4]Aug!$AK$1</f>
        <v>0</v>
      </c>
      <c r="AE35" s="36" t="n">
        <f aca="false">[5]Aug!$AK$1</f>
        <v>0</v>
      </c>
      <c r="AF35" s="36" t="n">
        <f aca="false">[6]Aug!$AK$1</f>
        <v>0</v>
      </c>
      <c r="AG35" s="36" t="n">
        <f aca="false">[7]Aug!$AH$1</f>
        <v>0</v>
      </c>
      <c r="AH35" s="36"/>
      <c r="AI35" s="36"/>
      <c r="AJ35" s="54"/>
      <c r="AK35" s="36" t="n">
        <f aca="false">SUM(Z35:AJ35)</f>
        <v>0</v>
      </c>
      <c r="AL35" s="57"/>
      <c r="AM35" s="36"/>
      <c r="AN35" s="36"/>
      <c r="AO35" s="36" t="n">
        <f aca="false">[4]Sep!$AK$1</f>
        <v>0</v>
      </c>
      <c r="AP35" s="36" t="n">
        <f aca="false">[5]Sep!$AK$1</f>
        <v>0</v>
      </c>
      <c r="AQ35" s="36" t="n">
        <f aca="false">[6]Sep!$AK$1</f>
        <v>0</v>
      </c>
      <c r="AR35" s="36" t="n">
        <f aca="false">[7]Sep!$AH$1</f>
        <v>0</v>
      </c>
      <c r="AS35" s="36"/>
      <c r="AT35" s="36"/>
      <c r="AU35" s="54"/>
      <c r="AV35" s="36" t="n">
        <f aca="false">SUM(AK35:AU35)</f>
        <v>0</v>
      </c>
      <c r="AW35" s="57"/>
      <c r="AX35" s="36"/>
      <c r="AY35" s="36"/>
      <c r="AZ35" s="36" t="n">
        <f aca="false">[4]Oct!$AK$1</f>
        <v>0</v>
      </c>
      <c r="BA35" s="36" t="n">
        <f aca="false">[5]Oct!$AK$1</f>
        <v>0</v>
      </c>
      <c r="BB35" s="36" t="n">
        <f aca="false">[6]Oct!$AK$1</f>
        <v>0</v>
      </c>
      <c r="BC35" s="36" t="n">
        <f aca="false">[7]Oct!$AH$1</f>
        <v>0</v>
      </c>
      <c r="BD35" s="36"/>
      <c r="BE35" s="36"/>
      <c r="BF35" s="54"/>
      <c r="BG35" s="36" t="n">
        <f aca="false">SUM(AV35:BF35)</f>
        <v>0</v>
      </c>
      <c r="BH35" s="57"/>
      <c r="BI35" s="36"/>
      <c r="BJ35" s="36"/>
      <c r="BK35" s="36" t="n">
        <f aca="false">[4]Nov!$AK$1</f>
        <v>0</v>
      </c>
      <c r="BL35" s="36" t="n">
        <f aca="false">[5]Nov!$AK$1</f>
        <v>0</v>
      </c>
      <c r="BM35" s="36" t="n">
        <f aca="false">[6]Nov!$AK$1</f>
        <v>0</v>
      </c>
      <c r="BN35" s="36" t="n">
        <f aca="false">[7]Nov!$AH$1</f>
        <v>0</v>
      </c>
      <c r="BO35" s="36"/>
      <c r="BP35" s="36"/>
      <c r="BQ35" s="54"/>
      <c r="BR35" s="36" t="n">
        <f aca="false">SUM(BG35:BQ35)</f>
        <v>0</v>
      </c>
      <c r="BS35" s="57"/>
      <c r="BT35" s="36"/>
      <c r="BU35" s="36"/>
      <c r="BV35" s="36" t="n">
        <f aca="false">[4]Dec!$AK$1</f>
        <v>0</v>
      </c>
      <c r="BW35" s="36" t="n">
        <f aca="false">[5]Dec!$AK$1</f>
        <v>0</v>
      </c>
      <c r="BX35" s="36" t="n">
        <f aca="false">[6]Dec!$AK$1</f>
        <v>0</v>
      </c>
      <c r="BY35" s="36" t="n">
        <f aca="false">[7]Dec!$AH$1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[4]Jan!$AK$1</f>
        <v>0</v>
      </c>
      <c r="CH35" s="36" t="n">
        <f aca="false">[5]Jan!$AK$1</f>
        <v>0</v>
      </c>
      <c r="CI35" s="36" t="n">
        <f aca="false">[6]Jan!$AK$1</f>
        <v>0</v>
      </c>
      <c r="CJ35" s="36" t="n">
        <f aca="false">[7]Jan!$AH$1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[4]Feb!$AK$1</f>
        <v>0</v>
      </c>
      <c r="CS35" s="36" t="n">
        <f aca="false">[5]Feb!$AK$1</f>
        <v>0</v>
      </c>
      <c r="CT35" s="36" t="n">
        <f aca="false">[6]Feb!$AK$1</f>
        <v>0</v>
      </c>
      <c r="CU35" s="36" t="n">
        <f aca="false">[7]Feb!$AH$1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[4]Mar!$AK$1</f>
        <v>0</v>
      </c>
      <c r="DD35" s="36" t="n">
        <f aca="false">[5]Mar!$AK$1</f>
        <v>0</v>
      </c>
      <c r="DE35" s="36" t="n">
        <f aca="false">[6]Mar!$AK$1</f>
        <v>0</v>
      </c>
      <c r="DF35" s="36" t="n">
        <f aca="false">[7]Mar!$AH$1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[4]Apr!$AK$1</f>
        <v>0</v>
      </c>
      <c r="DO35" s="36" t="n">
        <f aca="false">[5]Apr!$AK$1</f>
        <v>0</v>
      </c>
      <c r="DP35" s="36" t="n">
        <f aca="false">[6]Apr!$AK$1</f>
        <v>0</v>
      </c>
      <c r="DQ35" s="36" t="n">
        <f aca="false">[7]Apr!$AH$1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[4]May!$AK$1</f>
        <v>0</v>
      </c>
      <c r="DZ35" s="36" t="n">
        <f aca="false">[5]May!$AK$1</f>
        <v>0</v>
      </c>
      <c r="EA35" s="36" t="n">
        <f aca="false">[6]May!$AK$1</f>
        <v>0</v>
      </c>
      <c r="EB35" s="36" t="n">
        <f aca="false">[7]May!$AH$1</f>
        <v>0</v>
      </c>
      <c r="EC35" s="36"/>
      <c r="ED35" s="36" t="n">
        <f aca="false">-CorporationTax!K35</f>
        <v>-7494.23333333333</v>
      </c>
      <c r="EE35" s="54"/>
      <c r="EF35" s="36" t="n">
        <f aca="false">SUM(DU35:EE35)</f>
        <v>-7494.23333333333</v>
      </c>
      <c r="EG35" s="54"/>
      <c r="EH35" s="36" t="n">
        <f aca="false">-EH58</f>
        <v>-0</v>
      </c>
      <c r="EI35" s="54"/>
      <c r="EJ35" s="36" t="n">
        <f aca="false">SUM(EF35:EH35)</f>
        <v>-7494.23333333333</v>
      </c>
      <c r="EK35" s="54"/>
    </row>
    <row r="36" s="57" customFormat="true" ht="12" hidden="false" customHeight="false" outlineLevel="0" collapsed="false">
      <c r="A36" s="54"/>
      <c r="B36" s="55" t="s">
        <v>150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151</v>
      </c>
      <c r="C37" s="56" t="s">
        <v>152</v>
      </c>
      <c r="D37" s="36" t="n">
        <f aca="false">OpenAccounts!E28</f>
        <v>0</v>
      </c>
      <c r="E37" s="57"/>
      <c r="F37" s="36"/>
      <c r="G37" s="36"/>
      <c r="H37" s="36" t="n">
        <f aca="false">-[4]Jun!$L$1+[4]Jun!$AF$1</f>
        <v>0</v>
      </c>
      <c r="I37" s="36" t="n">
        <f aca="false">-[5]Jun!$L$1+[5]Jun!$AF$1</f>
        <v>0</v>
      </c>
      <c r="J37" s="36" t="n">
        <f aca="false">-[6]Jun!$L$1+[6]Jun!$AF$1</f>
        <v>0</v>
      </c>
      <c r="K37" s="36" t="n">
        <f aca="false">-[7]Jun!$L$1+[7]Jun!$AC$1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-[4]Jul!$L$1+[4]Jul!$AF$1</f>
        <v>0</v>
      </c>
      <c r="T37" s="36" t="n">
        <f aca="false">-[5]Jul!$L$1+[5]Jul!$AF$1</f>
        <v>0</v>
      </c>
      <c r="U37" s="36" t="n">
        <f aca="false">-[6]Jul!$L$1+[6]Jul!$AF$1</f>
        <v>0</v>
      </c>
      <c r="V37" s="36" t="n">
        <f aca="false">-[7]Jul!$L$1+[7]Jul!$AC$1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-[4]Aug!$L$1+[4]Aug!$AF$1</f>
        <v>0</v>
      </c>
      <c r="AE37" s="36" t="n">
        <f aca="false">-[5]Aug!$L$1+[5]Aug!$AF$1</f>
        <v>0</v>
      </c>
      <c r="AF37" s="36" t="n">
        <f aca="false">-[6]Aug!$L$1+[6]Aug!$AF$1</f>
        <v>0</v>
      </c>
      <c r="AG37" s="36" t="n">
        <f aca="false">-[7]Aug!$L$1+[7]Aug!$AC$1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-[4]Sep!$L$1+[4]Sep!$AF$1</f>
        <v>0</v>
      </c>
      <c r="AP37" s="36" t="n">
        <f aca="false">-[5]Sep!$L$1+[5]Sep!$AF$1</f>
        <v>0</v>
      </c>
      <c r="AQ37" s="36" t="n">
        <f aca="false">-[6]Sep!$L$1+[6]Sep!$AF$1</f>
        <v>0</v>
      </c>
      <c r="AR37" s="36" t="n">
        <f aca="false">-[7]Sep!$L$1+[7]Sep!$AC$1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-[4]Oct!$L$1+[4]Oct!$AF$1</f>
        <v>0</v>
      </c>
      <c r="BA37" s="36" t="n">
        <f aca="false">-[5]Oct!$L$1+[5]Oct!$AF$1</f>
        <v>0</v>
      </c>
      <c r="BB37" s="36" t="n">
        <f aca="false">-[6]Oct!$L$1+[6]Oct!$AF$1</f>
        <v>0</v>
      </c>
      <c r="BC37" s="36" t="n">
        <f aca="false">-[7]Oct!$L$1+[7]Oct!$AC$1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-[4]Nov!$L$1+[4]Nov!$AF$1</f>
        <v>0</v>
      </c>
      <c r="BL37" s="36" t="n">
        <f aca="false">-[5]Nov!$L$1+[5]Nov!$AF$1</f>
        <v>0</v>
      </c>
      <c r="BM37" s="36" t="n">
        <f aca="false">-[6]Nov!$L$1+[6]Nov!$AF$1</f>
        <v>0</v>
      </c>
      <c r="BN37" s="36" t="n">
        <f aca="false">-[7]Nov!$L$1+[7]Nov!$AC$1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-[4]Dec!$L$1+[4]Dec!$AF$1</f>
        <v>0</v>
      </c>
      <c r="BW37" s="36" t="n">
        <f aca="false">-[5]Dec!$L$1+[5]Dec!$AF$1</f>
        <v>0</v>
      </c>
      <c r="BX37" s="36" t="n">
        <f aca="false">-[6]Dec!$L$1+[6]Dec!$AF$1</f>
        <v>0</v>
      </c>
      <c r="BY37" s="36" t="n">
        <f aca="false">-[7]Dec!$L$1+[7]Dec!$AC$1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-[4]Jan!$L$1+[4]Jan!$AF$1</f>
        <v>0</v>
      </c>
      <c r="CH37" s="36" t="n">
        <f aca="false">-[5]Jan!$L$1+[5]Jan!$AF$1</f>
        <v>0</v>
      </c>
      <c r="CI37" s="36" t="n">
        <f aca="false">-[6]Jan!$L$1+[6]Jan!$AF$1</f>
        <v>0</v>
      </c>
      <c r="CJ37" s="36" t="n">
        <f aca="false">-[7]Jan!$L$1+[7]Jan!$AC$1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-[4]Feb!$L$1+[4]Feb!$AF$1</f>
        <v>0</v>
      </c>
      <c r="CS37" s="36" t="n">
        <f aca="false">-[5]Feb!$L$1+[5]Feb!$AF$1</f>
        <v>0</v>
      </c>
      <c r="CT37" s="36" t="n">
        <f aca="false">-[6]Feb!$L$1+[6]Feb!$AF$1</f>
        <v>0</v>
      </c>
      <c r="CU37" s="36" t="n">
        <f aca="false">-[7]Feb!$L$1+[7]Feb!$AC$1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-[4]Mar!$L$1+[4]Mar!$AF$1</f>
        <v>0</v>
      </c>
      <c r="DD37" s="36" t="n">
        <f aca="false">-[5]Mar!$L$1+[5]Mar!$AF$1</f>
        <v>0</v>
      </c>
      <c r="DE37" s="36" t="n">
        <f aca="false">-[6]Mar!$L$1+[6]Mar!$AF$1</f>
        <v>0</v>
      </c>
      <c r="DF37" s="36" t="n">
        <f aca="false">-[7]Mar!$L$1+[7]Mar!$AC$1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-[4]Apr!$L$1+[4]Apr!$AF$1</f>
        <v>0</v>
      </c>
      <c r="DO37" s="36" t="n">
        <f aca="false">-[5]Apr!$L$1+[5]Apr!$AF$1</f>
        <v>0</v>
      </c>
      <c r="DP37" s="36" t="n">
        <f aca="false">-[6]Apr!$L$1+[6]Apr!$AF$1</f>
        <v>0</v>
      </c>
      <c r="DQ37" s="36" t="n">
        <f aca="false">-[7]Apr!$L$1+[7]Apr!$AC$1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-[4]May!$L$1+[4]May!$AF$1</f>
        <v>0</v>
      </c>
      <c r="DZ37" s="36" t="n">
        <f aca="false">-[5]May!$L$1+[5]May!$AF$1</f>
        <v>0</v>
      </c>
      <c r="EA37" s="36" t="n">
        <f aca="false">-[6]May!$L$1+[6]May!$AF$1</f>
        <v>0</v>
      </c>
      <c r="EB37" s="36" t="n">
        <f aca="false">-[7]May!$L$1+[7]May!$AC$1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153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44</v>
      </c>
      <c r="C39" s="56" t="s">
        <v>154</v>
      </c>
      <c r="D39" s="36" t="n">
        <f aca="false">-OpenAccounts!E30</f>
        <v>-0</v>
      </c>
      <c r="E39" s="57"/>
      <c r="F39" s="36"/>
      <c r="G39" s="36"/>
      <c r="H39" s="36" t="n">
        <f aca="false">-[4]Jun!$P$1+[4]Jun!$AM$1</f>
        <v>0</v>
      </c>
      <c r="I39" s="36" t="n">
        <f aca="false">-[5]Jun!$P$1+[5]Jun!$AM$1</f>
        <v>0</v>
      </c>
      <c r="J39" s="36" t="n">
        <f aca="false">-[6]Jun!$P$1+[6]Jun!$AM$1</f>
        <v>0</v>
      </c>
      <c r="K39" s="36" t="n">
        <f aca="false">-[7]Jun!$N$1+[7]Jun!$AJ$1</f>
        <v>0</v>
      </c>
      <c r="L39" s="36"/>
      <c r="N39" s="57"/>
      <c r="O39" s="36" t="n">
        <f aca="false">SUM(D39:N39)</f>
        <v>0</v>
      </c>
      <c r="P39" s="57"/>
      <c r="Q39" s="36"/>
      <c r="R39" s="36"/>
      <c r="S39" s="36" t="n">
        <f aca="false">-[4]Jul!$P$1+[4]Jul!$AM$1</f>
        <v>0</v>
      </c>
      <c r="T39" s="36" t="n">
        <f aca="false">-[5]Jul!$P$1+[5]Jul!$AM$1</f>
        <v>0</v>
      </c>
      <c r="U39" s="36" t="n">
        <f aca="false">-[6]Jul!$P$1+[6]Jul!$AM$1</f>
        <v>0</v>
      </c>
      <c r="V39" s="36" t="n">
        <f aca="false">-[7]Jul!$N$1+[7]Jul!$AJ$1</f>
        <v>0</v>
      </c>
      <c r="W39" s="36"/>
      <c r="X39" s="36"/>
      <c r="Y39" s="54"/>
      <c r="Z39" s="36" t="n">
        <f aca="false">SUM(O39:Y39)</f>
        <v>0</v>
      </c>
      <c r="AA39" s="57"/>
      <c r="AB39" s="36"/>
      <c r="AC39" s="36"/>
      <c r="AD39" s="36" t="n">
        <f aca="false">-[4]Aug!$P$1+[4]Aug!$AM$1</f>
        <v>0</v>
      </c>
      <c r="AE39" s="36" t="n">
        <f aca="false">-[5]Aug!$P$1+[5]Aug!$AM$1</f>
        <v>0</v>
      </c>
      <c r="AF39" s="36" t="n">
        <f aca="false">-[6]Aug!$P$1+[6]Aug!$AM$1</f>
        <v>0</v>
      </c>
      <c r="AG39" s="36" t="n">
        <f aca="false">-[7]Aug!$N$1+[7]Aug!$AJ$1</f>
        <v>0</v>
      </c>
      <c r="AH39" s="36"/>
      <c r="AI39" s="36"/>
      <c r="AJ39" s="54"/>
      <c r="AK39" s="36" t="n">
        <f aca="false">SUM(Z39:AJ39)</f>
        <v>0</v>
      </c>
      <c r="AL39" s="57"/>
      <c r="AM39" s="36"/>
      <c r="AN39" s="36"/>
      <c r="AO39" s="36" t="n">
        <f aca="false">-[4]Sep!$P$1+[4]Sep!$AM$1</f>
        <v>0</v>
      </c>
      <c r="AP39" s="36" t="n">
        <f aca="false">-[5]Sep!$P$1+[5]Sep!$AM$1</f>
        <v>0</v>
      </c>
      <c r="AQ39" s="36" t="n">
        <f aca="false">-[6]Sep!$P$1+[6]Sep!$AM$1</f>
        <v>0</v>
      </c>
      <c r="AR39" s="36" t="n">
        <f aca="false">-[7]Sep!$N$1+[7]Sep!$AJ$1</f>
        <v>0</v>
      </c>
      <c r="AS39" s="36"/>
      <c r="AT39" s="36"/>
      <c r="AU39" s="54"/>
      <c r="AV39" s="36" t="n">
        <f aca="false">SUM(AK39:AU39)</f>
        <v>0</v>
      </c>
      <c r="AW39" s="57"/>
      <c r="AX39" s="36"/>
      <c r="AY39" s="36"/>
      <c r="AZ39" s="36" t="n">
        <f aca="false">-[4]Oct!$P$1+[4]Oct!$AM$1</f>
        <v>0</v>
      </c>
      <c r="BA39" s="36" t="n">
        <f aca="false">-[5]Oct!$P$1+[5]Oct!$AM$1</f>
        <v>0</v>
      </c>
      <c r="BB39" s="36" t="n">
        <f aca="false">-[6]Oct!$P$1+[6]Oct!$AM$1</f>
        <v>0</v>
      </c>
      <c r="BC39" s="36" t="n">
        <f aca="false">-[7]Oct!$N$1+[7]Oct!$AJ$1</f>
        <v>0</v>
      </c>
      <c r="BD39" s="36"/>
      <c r="BE39" s="36"/>
      <c r="BF39" s="54"/>
      <c r="BG39" s="36" t="n">
        <f aca="false">SUM(AV39:BF39)</f>
        <v>0</v>
      </c>
      <c r="BH39" s="57"/>
      <c r="BI39" s="36"/>
      <c r="BJ39" s="36"/>
      <c r="BK39" s="36" t="n">
        <f aca="false">-[4]Nov!$P$1+[4]Nov!$AM$1</f>
        <v>0</v>
      </c>
      <c r="BL39" s="36" t="n">
        <f aca="false">-[5]Nov!$P$1+[5]Nov!$AM$1</f>
        <v>0</v>
      </c>
      <c r="BM39" s="36" t="n">
        <f aca="false">-[6]Nov!$P$1+[6]Nov!$AM$1</f>
        <v>0</v>
      </c>
      <c r="BN39" s="36" t="n">
        <f aca="false">-[7]Nov!$N$1+[7]Nov!$AJ$1</f>
        <v>0</v>
      </c>
      <c r="BO39" s="36"/>
      <c r="BP39" s="36"/>
      <c r="BQ39" s="54"/>
      <c r="BR39" s="36" t="n">
        <f aca="false">SUM(BG39:BQ39)</f>
        <v>0</v>
      </c>
      <c r="BS39" s="57"/>
      <c r="BT39" s="36"/>
      <c r="BU39" s="36"/>
      <c r="BV39" s="36" t="n">
        <f aca="false">-[4]Dec!$P$1+[4]Dec!$AM$1</f>
        <v>0</v>
      </c>
      <c r="BW39" s="36" t="n">
        <f aca="false">-[5]Dec!$P$1+[5]Dec!$AM$1</f>
        <v>0</v>
      </c>
      <c r="BX39" s="36" t="n">
        <f aca="false">-[6]Dec!$P$1+[6]Dec!$AM$1</f>
        <v>0</v>
      </c>
      <c r="BY39" s="36" t="n">
        <f aca="false">-[7]Dec!$N$1+[7]Dec!$AJ$1</f>
        <v>0</v>
      </c>
      <c r="BZ39" s="36"/>
      <c r="CA39" s="36"/>
      <c r="CB39" s="54"/>
      <c r="CC39" s="36" t="n">
        <f aca="false">SUM(BR39:CB39)</f>
        <v>0</v>
      </c>
      <c r="CD39" s="57"/>
      <c r="CE39" s="36"/>
      <c r="CF39" s="36"/>
      <c r="CG39" s="36" t="n">
        <f aca="false">-[4]Jan!$P$1+[4]Jan!$AM$1</f>
        <v>0</v>
      </c>
      <c r="CH39" s="36" t="n">
        <f aca="false">-[5]Jan!$P$1+[5]Jan!$AM$1</f>
        <v>0</v>
      </c>
      <c r="CI39" s="36" t="n">
        <f aca="false">-[6]Jan!$P$1+[6]Jan!$AM$1</f>
        <v>0</v>
      </c>
      <c r="CJ39" s="36" t="n">
        <f aca="false">-[7]Jan!$N$1+[7]Jan!$AJ$1</f>
        <v>0</v>
      </c>
      <c r="CK39" s="36"/>
      <c r="CL39" s="36"/>
      <c r="CM39" s="54"/>
      <c r="CN39" s="36" t="n">
        <f aca="false">SUM(CC39:CM39)</f>
        <v>0</v>
      </c>
      <c r="CO39" s="57"/>
      <c r="CP39" s="36"/>
      <c r="CQ39" s="36"/>
      <c r="CR39" s="36" t="n">
        <f aca="false">-[4]Feb!$P$1+[4]Feb!$AM$1</f>
        <v>0</v>
      </c>
      <c r="CS39" s="36" t="n">
        <f aca="false">-[5]Feb!$P$1+[5]Feb!$AM$1</f>
        <v>0</v>
      </c>
      <c r="CT39" s="36" t="n">
        <f aca="false">-[6]Feb!$P$1+[6]Feb!$AM$1</f>
        <v>0</v>
      </c>
      <c r="CU39" s="36" t="n">
        <f aca="false">-[7]Feb!$N$1+[7]Feb!$AJ$1</f>
        <v>0</v>
      </c>
      <c r="CV39" s="36"/>
      <c r="CW39" s="36"/>
      <c r="CX39" s="54"/>
      <c r="CY39" s="36" t="n">
        <f aca="false">SUM(CN39:CX39)</f>
        <v>0</v>
      </c>
      <c r="CZ39" s="57"/>
      <c r="DA39" s="36"/>
      <c r="DB39" s="36"/>
      <c r="DC39" s="36" t="n">
        <f aca="false">-[4]Mar!$P$1+[4]Mar!$AM$1</f>
        <v>0</v>
      </c>
      <c r="DD39" s="36" t="n">
        <f aca="false">-[5]Mar!$P$1+[5]Mar!$AM$1</f>
        <v>0</v>
      </c>
      <c r="DE39" s="36" t="n">
        <f aca="false">-[6]Mar!$P$1+[6]Mar!$AM$1</f>
        <v>0</v>
      </c>
      <c r="DF39" s="36" t="n">
        <f aca="false">-[7]Mar!$N$1+[7]Mar!$AJ$1</f>
        <v>0</v>
      </c>
      <c r="DG39" s="36"/>
      <c r="DH39" s="36"/>
      <c r="DI39" s="54"/>
      <c r="DJ39" s="36" t="n">
        <f aca="false">SUM(CY39:DI39)</f>
        <v>0</v>
      </c>
      <c r="DK39" s="57"/>
      <c r="DL39" s="36"/>
      <c r="DM39" s="36"/>
      <c r="DN39" s="36" t="n">
        <f aca="false">-[4]Apr!$P$1+[4]Apr!$AM$1</f>
        <v>0</v>
      </c>
      <c r="DO39" s="36" t="n">
        <f aca="false">-[5]Apr!$P$1+[5]Apr!$AM$1</f>
        <v>0</v>
      </c>
      <c r="DP39" s="36" t="n">
        <f aca="false">-[6]Apr!$P$1+[6]Apr!$AM$1</f>
        <v>0</v>
      </c>
      <c r="DQ39" s="36" t="n">
        <f aca="false">-[7]Apr!$N$1+[7]Apr!$AJ$1</f>
        <v>0</v>
      </c>
      <c r="DR39" s="36"/>
      <c r="DS39" s="36"/>
      <c r="DT39" s="54"/>
      <c r="DU39" s="36" t="n">
        <f aca="false">SUM(DJ39:DT39)</f>
        <v>0</v>
      </c>
      <c r="DV39" s="57"/>
      <c r="DW39" s="36"/>
      <c r="DX39" s="36"/>
      <c r="DY39" s="36" t="n">
        <f aca="false">-[4]May!$P$1+[4]May!$AM$1</f>
        <v>0</v>
      </c>
      <c r="DZ39" s="36" t="n">
        <f aca="false">-[5]May!$P$1+[5]May!$AM$1</f>
        <v>0</v>
      </c>
      <c r="EA39" s="36" t="n">
        <f aca="false">-[6]May!$P$1+[6]May!$AM$1</f>
        <v>0</v>
      </c>
      <c r="EB39" s="36" t="n">
        <f aca="false">-[7]May!$N$1+[7]May!$AJ$1</f>
        <v>0</v>
      </c>
      <c r="EC39" s="36"/>
      <c r="ED39" s="36"/>
      <c r="EE39" s="54"/>
      <c r="EF39" s="36" t="n">
        <f aca="false">SUM(DU39:EE39)</f>
        <v>0</v>
      </c>
      <c r="EG39" s="54"/>
      <c r="EI39" s="54"/>
      <c r="EJ39" s="36" t="n">
        <f aca="false">SUM(EF39:EH39)</f>
        <v>0</v>
      </c>
      <c r="EK39" s="54"/>
    </row>
    <row r="40" customFormat="false" ht="12" hidden="false" customHeight="false" outlineLevel="0" collapsed="false">
      <c r="A40" s="54"/>
      <c r="B40" s="54" t="s">
        <v>155</v>
      </c>
      <c r="C40" s="56" t="s">
        <v>156</v>
      </c>
      <c r="D40" s="36" t="n">
        <f aca="false">-OpenAccounts!E31</f>
        <v>-0</v>
      </c>
      <c r="E40" s="57"/>
      <c r="F40" s="36"/>
      <c r="G40" s="36"/>
      <c r="H40" s="36" t="n">
        <f aca="false">-[4]Jun!$M$1+[4]Jun!$AG$1</f>
        <v>0</v>
      </c>
      <c r="I40" s="36" t="n">
        <f aca="false">-[5]Jun!$M$1+[5]Jun!$AG$1</f>
        <v>0</v>
      </c>
      <c r="J40" s="36" t="n">
        <f aca="false">-[6]Jun!$M$1+[6]Jun!$AG$1</f>
        <v>0</v>
      </c>
      <c r="K40" s="36" t="n">
        <f aca="false">-[7]Jun!$M$1+[7]Jun!$AD$1</f>
        <v>0</v>
      </c>
      <c r="L40" s="36"/>
      <c r="N40" s="57"/>
      <c r="O40" s="36" t="n">
        <f aca="false">SUM(D40:N40)</f>
        <v>0</v>
      </c>
      <c r="P40" s="57"/>
      <c r="Q40" s="36"/>
      <c r="R40" s="36"/>
      <c r="S40" s="36" t="n">
        <f aca="false">-[4]Jul!$M$1+[4]Jul!$AG$1</f>
        <v>0</v>
      </c>
      <c r="T40" s="36" t="n">
        <f aca="false">-[5]Jul!$M$1+[5]Jul!$AG$1</f>
        <v>0</v>
      </c>
      <c r="U40" s="36" t="n">
        <f aca="false">-[6]Jul!$M$1+[6]Jul!$AG$1</f>
        <v>0</v>
      </c>
      <c r="V40" s="36" t="n">
        <f aca="false">-[7]Jul!$M$1+[7]Jul!$AD$1</f>
        <v>0</v>
      </c>
      <c r="W40" s="36"/>
      <c r="X40" s="36"/>
      <c r="Y40" s="54"/>
      <c r="Z40" s="36" t="n">
        <f aca="false">SUM(O40:Y40)</f>
        <v>0</v>
      </c>
      <c r="AA40" s="57"/>
      <c r="AB40" s="36"/>
      <c r="AC40" s="36"/>
      <c r="AD40" s="36" t="n">
        <f aca="false">-[4]Aug!$M$1+[4]Aug!$AG$1</f>
        <v>0</v>
      </c>
      <c r="AE40" s="36" t="n">
        <f aca="false">-[5]Aug!$M$1+[5]Aug!$AG$1</f>
        <v>0</v>
      </c>
      <c r="AF40" s="36" t="n">
        <f aca="false">-[6]Aug!$M$1+[6]Aug!$AG$1</f>
        <v>0</v>
      </c>
      <c r="AG40" s="36" t="n">
        <f aca="false">-[7]Aug!$M$1+[7]Aug!$AD$1</f>
        <v>0</v>
      </c>
      <c r="AH40" s="36"/>
      <c r="AI40" s="36"/>
      <c r="AJ40" s="54"/>
      <c r="AK40" s="36" t="n">
        <f aca="false">SUM(Z40:AJ40)</f>
        <v>0</v>
      </c>
      <c r="AL40" s="57"/>
      <c r="AM40" s="36"/>
      <c r="AN40" s="36"/>
      <c r="AO40" s="36" t="n">
        <f aca="false">-[4]Sep!$M$1+[4]Sep!$AG$1</f>
        <v>0</v>
      </c>
      <c r="AP40" s="36" t="n">
        <f aca="false">-[5]Sep!$M$1+[5]Sep!$AG$1</f>
        <v>0</v>
      </c>
      <c r="AQ40" s="36" t="n">
        <f aca="false">-[6]Sep!$M$1+[6]Sep!$AG$1</f>
        <v>0</v>
      </c>
      <c r="AR40" s="36" t="n">
        <f aca="false">-[7]Sep!$M$1+[7]Sep!$AD$1</f>
        <v>0</v>
      </c>
      <c r="AS40" s="36"/>
      <c r="AT40" s="36"/>
      <c r="AU40" s="54"/>
      <c r="AV40" s="36" t="n">
        <f aca="false">SUM(AK40:AU40)</f>
        <v>0</v>
      </c>
      <c r="AW40" s="57"/>
      <c r="AX40" s="36"/>
      <c r="AY40" s="36"/>
      <c r="AZ40" s="36" t="n">
        <f aca="false">-[4]Oct!$M$1+[4]Oct!$AG$1</f>
        <v>0</v>
      </c>
      <c r="BA40" s="36" t="n">
        <f aca="false">-[5]Oct!$M$1+[5]Oct!$AG$1</f>
        <v>0</v>
      </c>
      <c r="BB40" s="36" t="n">
        <f aca="false">-[6]Oct!$M$1+[6]Oct!$AG$1</f>
        <v>0</v>
      </c>
      <c r="BC40" s="36" t="n">
        <f aca="false">-[7]Oct!$M$1+[7]Oct!$AD$1</f>
        <v>0</v>
      </c>
      <c r="BD40" s="36"/>
      <c r="BE40" s="36"/>
      <c r="BF40" s="54"/>
      <c r="BG40" s="36" t="n">
        <f aca="false">SUM(AV40:BF40)</f>
        <v>0</v>
      </c>
      <c r="BH40" s="57"/>
      <c r="BI40" s="36"/>
      <c r="BJ40" s="36"/>
      <c r="BK40" s="36" t="n">
        <f aca="false">-[4]Nov!$M$1+[4]Nov!$AG$1</f>
        <v>0</v>
      </c>
      <c r="BL40" s="36" t="n">
        <f aca="false">-[5]Nov!$M$1+[5]Nov!$AG$1</f>
        <v>0</v>
      </c>
      <c r="BM40" s="36" t="n">
        <f aca="false">-[6]Nov!$M$1+[6]Nov!$AG$1</f>
        <v>0</v>
      </c>
      <c r="BN40" s="36" t="n">
        <f aca="false">-[7]Nov!$M$1+[7]Nov!$AD$1</f>
        <v>0</v>
      </c>
      <c r="BO40" s="36"/>
      <c r="BP40" s="36"/>
      <c r="BQ40" s="54"/>
      <c r="BR40" s="36" t="n">
        <f aca="false">SUM(BG40:BQ40)</f>
        <v>0</v>
      </c>
      <c r="BS40" s="57"/>
      <c r="BT40" s="36"/>
      <c r="BU40" s="36"/>
      <c r="BV40" s="36" t="n">
        <f aca="false">-[4]Dec!$M$1+[4]Dec!$AG$1</f>
        <v>0</v>
      </c>
      <c r="BW40" s="36" t="n">
        <f aca="false">-[5]Dec!$M$1+[5]Dec!$AG$1</f>
        <v>0</v>
      </c>
      <c r="BX40" s="36" t="n">
        <f aca="false">-[6]Dec!$M$1+[6]Dec!$AG$1</f>
        <v>0</v>
      </c>
      <c r="BY40" s="36" t="n">
        <f aca="false">-[7]Dec!$M$1+[7]Dec!$AD$1</f>
        <v>0</v>
      </c>
      <c r="BZ40" s="36"/>
      <c r="CA40" s="36"/>
      <c r="CB40" s="54"/>
      <c r="CC40" s="36" t="n">
        <f aca="false">SUM(BR40:CB40)</f>
        <v>0</v>
      </c>
      <c r="CD40" s="57"/>
      <c r="CE40" s="36"/>
      <c r="CF40" s="36"/>
      <c r="CG40" s="36" t="n">
        <f aca="false">-[4]Jan!$M$1+[4]Jan!$AG$1</f>
        <v>0</v>
      </c>
      <c r="CH40" s="36" t="n">
        <f aca="false">-[5]Jan!$M$1+[5]Jan!$AG$1</f>
        <v>0</v>
      </c>
      <c r="CI40" s="36" t="n">
        <f aca="false">-[6]Jan!$M$1+[6]Jan!$AG$1</f>
        <v>0</v>
      </c>
      <c r="CJ40" s="36" t="n">
        <f aca="false">-[7]Jan!$M$1+[7]Jan!$AD$1</f>
        <v>0</v>
      </c>
      <c r="CK40" s="36"/>
      <c r="CL40" s="36"/>
      <c r="CM40" s="54"/>
      <c r="CN40" s="36" t="n">
        <f aca="false">SUM(CC40:CM40)</f>
        <v>0</v>
      </c>
      <c r="CO40" s="57"/>
      <c r="CP40" s="36"/>
      <c r="CQ40" s="36"/>
      <c r="CR40" s="36" t="n">
        <f aca="false">-[4]Feb!$M$1+[4]Feb!$AG$1</f>
        <v>0</v>
      </c>
      <c r="CS40" s="36" t="n">
        <f aca="false">-[5]Feb!$M$1+[5]Feb!$AG$1</f>
        <v>0</v>
      </c>
      <c r="CT40" s="36" t="n">
        <f aca="false">-[6]Feb!$M$1+[6]Feb!$AG$1</f>
        <v>0</v>
      </c>
      <c r="CU40" s="36" t="n">
        <f aca="false">-[7]Feb!$M$1+[7]Feb!$AD$1</f>
        <v>0</v>
      </c>
      <c r="CV40" s="36"/>
      <c r="CW40" s="36"/>
      <c r="CX40" s="54"/>
      <c r="CY40" s="36" t="n">
        <f aca="false">SUM(CN40:CX40)</f>
        <v>0</v>
      </c>
      <c r="CZ40" s="57"/>
      <c r="DA40" s="36"/>
      <c r="DB40" s="36"/>
      <c r="DC40" s="36" t="n">
        <f aca="false">-[4]Mar!$M$1+[4]Mar!$AG$1</f>
        <v>0</v>
      </c>
      <c r="DD40" s="36" t="n">
        <f aca="false">-[5]Mar!$M$1+[5]Mar!$AG$1</f>
        <v>0</v>
      </c>
      <c r="DE40" s="36" t="n">
        <f aca="false">-[6]Mar!$M$1+[6]Mar!$AG$1</f>
        <v>0</v>
      </c>
      <c r="DF40" s="36" t="n">
        <f aca="false">-[7]Mar!$M$1+[7]Mar!$AD$1</f>
        <v>0</v>
      </c>
      <c r="DG40" s="36"/>
      <c r="DH40" s="36"/>
      <c r="DI40" s="54"/>
      <c r="DJ40" s="36" t="n">
        <f aca="false">SUM(CY40:DI40)</f>
        <v>0</v>
      </c>
      <c r="DK40" s="57"/>
      <c r="DL40" s="36"/>
      <c r="DM40" s="36"/>
      <c r="DN40" s="36" t="n">
        <f aca="false">-[4]Apr!$M$1+[4]Apr!$AG$1</f>
        <v>0</v>
      </c>
      <c r="DO40" s="36" t="n">
        <f aca="false">-[5]Apr!$M$1+[5]Apr!$AG$1</f>
        <v>0</v>
      </c>
      <c r="DP40" s="36" t="n">
        <f aca="false">-[6]Apr!$M$1+[6]Apr!$AG$1</f>
        <v>0</v>
      </c>
      <c r="DQ40" s="36" t="n">
        <f aca="false">-[7]Apr!$M$1+[7]Apr!$AD$1</f>
        <v>0</v>
      </c>
      <c r="DR40" s="36"/>
      <c r="DS40" s="36"/>
      <c r="DT40" s="54"/>
      <c r="DU40" s="36" t="n">
        <f aca="false">SUM(DJ40:DT40)</f>
        <v>0</v>
      </c>
      <c r="DV40" s="57"/>
      <c r="DW40" s="36"/>
      <c r="DX40" s="36"/>
      <c r="DY40" s="36" t="n">
        <f aca="false">-[4]May!$M$1+[4]May!$AG$1</f>
        <v>0</v>
      </c>
      <c r="DZ40" s="36" t="n">
        <f aca="false">-[5]May!$M$1+[5]May!$AG$1</f>
        <v>0</v>
      </c>
      <c r="EA40" s="36" t="n">
        <f aca="false">-[6]May!$M$1+[6]May!$AG$1</f>
        <v>0</v>
      </c>
      <c r="EB40" s="36" t="n">
        <f aca="false">-[7]May!$M$1+[7]May!$AD$1</f>
        <v>0</v>
      </c>
      <c r="EC40" s="36"/>
      <c r="ED40" s="36"/>
      <c r="EE40" s="54"/>
      <c r="EF40" s="36" t="n">
        <f aca="false">SUM(DU40:EE40)</f>
        <v>0</v>
      </c>
      <c r="EG40" s="54"/>
      <c r="EH40" s="36" t="n">
        <f aca="false">-[1]HPfinance!$E$2</f>
        <v>-0</v>
      </c>
      <c r="EI40" s="54"/>
      <c r="EJ40" s="36" t="n">
        <f aca="false">SUM(EF40:EH40)</f>
        <v>0</v>
      </c>
      <c r="EK40" s="54"/>
    </row>
    <row r="41" s="57" customFormat="true" ht="12" hidden="false" customHeight="false" outlineLevel="0" collapsed="false">
      <c r="A41" s="54"/>
      <c r="B41" s="55" t="s">
        <v>157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158</v>
      </c>
      <c r="C42" s="56"/>
      <c r="D42" s="36" t="n">
        <f aca="false">-OpenAccounts!E33</f>
        <v>-0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0</v>
      </c>
      <c r="EG42" s="54"/>
      <c r="EH42" s="36" t="n">
        <f aca="false">-[8]Boardmeeting!$E$6</f>
        <v>-0</v>
      </c>
      <c r="EI42" s="54"/>
      <c r="EJ42" s="36" t="n">
        <f aca="false">SUM(EF42:EH42)</f>
        <v>0</v>
      </c>
      <c r="EK42" s="54"/>
    </row>
    <row r="43" customFormat="false" ht="12" hidden="false" customHeight="false" outlineLevel="0" collapsed="false">
      <c r="A43" s="54"/>
      <c r="B43" s="54" t="s">
        <v>159</v>
      </c>
      <c r="C43" s="56"/>
      <c r="D43" s="36" t="n">
        <f aca="false">-OpenAccounts!E34</f>
        <v>-0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0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0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0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0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0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0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0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0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0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0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0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0</v>
      </c>
      <c r="EG43" s="54"/>
      <c r="EH43" s="36" t="n">
        <f aca="false">-'PubP&amp;L'!F54</f>
        <v>-29549.1</v>
      </c>
      <c r="EI43" s="54"/>
      <c r="EJ43" s="36" t="n">
        <f aca="false">SUM(EF43:EH43)</f>
        <v>-29549.1</v>
      </c>
      <c r="EK43" s="54"/>
    </row>
    <row r="44" customFormat="false" ht="12" hidden="false" customHeight="false" outlineLevel="0" collapsed="false">
      <c r="A44" s="54"/>
      <c r="B44" s="54" t="s">
        <v>160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161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162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7494.23333333333</v>
      </c>
      <c r="EE47" s="54"/>
      <c r="EF47" s="36" t="n">
        <f aca="false">SUM(DU47:EE47)</f>
        <v>7494.23333333333</v>
      </c>
      <c r="EG47" s="54"/>
      <c r="EI47" s="54"/>
      <c r="EJ47" s="36" t="n">
        <f aca="false">SUM(EF47:EH47)</f>
        <v>7494.23333333333</v>
      </c>
      <c r="EK47" s="54"/>
    </row>
    <row r="48" customFormat="false" ht="12" hidden="false" customHeight="false" outlineLevel="0" collapsed="false">
      <c r="A48" s="54"/>
      <c r="B48" s="54" t="s">
        <v>89</v>
      </c>
      <c r="C48" s="56" t="s">
        <v>141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0</v>
      </c>
      <c r="EI48" s="54"/>
      <c r="EJ48" s="36" t="n">
        <f aca="false">SUM(EF48:EH48)</f>
        <v>0</v>
      </c>
      <c r="EK48" s="54"/>
    </row>
    <row r="49" customFormat="false" ht="12" hidden="false" customHeight="false" outlineLevel="0" collapsed="false">
      <c r="A49" s="54"/>
      <c r="B49" s="54" t="s">
        <v>163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29549.1</v>
      </c>
      <c r="EI49" s="54"/>
      <c r="EJ49" s="36" t="n">
        <f aca="false">SUM(EF49:EH49)</f>
        <v>29549.1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164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165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166</v>
      </c>
      <c r="C53" s="56" t="s">
        <v>167</v>
      </c>
      <c r="D53" s="57"/>
      <c r="E53" s="57"/>
      <c r="F53" s="36" t="n">
        <f aca="false">-[3]Jun!$O$1</f>
        <v>-5833.33333333333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-5833.33333333333</v>
      </c>
      <c r="P53" s="57"/>
      <c r="Q53" s="36" t="n">
        <f aca="false">-[3]Jul!$O$1</f>
        <v>-5833.33333333333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-11666.6666666667</v>
      </c>
      <c r="AA53" s="57"/>
      <c r="AB53" s="36" t="n">
        <f aca="false">-[3]Aug!$O$1</f>
        <v>-5833.33333333333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-17500</v>
      </c>
      <c r="AL53" s="57"/>
      <c r="AM53" s="36" t="n">
        <f aca="false">-[3]Sep!$O$1</f>
        <v>-5833.33333333333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-23333.3333333333</v>
      </c>
      <c r="AW53" s="57"/>
      <c r="AX53" s="36" t="n">
        <f aca="false">-[3]Oct!$O$1</f>
        <v>-5833.33333333333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-29166.6666666667</v>
      </c>
      <c r="BH53" s="57"/>
      <c r="BI53" s="36" t="n">
        <f aca="false">-[3]Nov!$O$1</f>
        <v>-5833.33333333333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-35000</v>
      </c>
      <c r="BS53" s="57"/>
      <c r="BT53" s="36" t="n">
        <f aca="false">-[3]Dec!$O$1</f>
        <v>-7000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-42000</v>
      </c>
      <c r="CD53" s="57"/>
      <c r="CE53" s="36" t="n">
        <f aca="false">-[3]Jan!$O$1</f>
        <v>-7000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-49000</v>
      </c>
      <c r="CO53" s="57"/>
      <c r="CP53" s="36" t="n">
        <f aca="false">-[3]Feb!$O$1</f>
        <v>-7000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-56000</v>
      </c>
      <c r="CZ53" s="57"/>
      <c r="DA53" s="36" t="n">
        <f aca="false">-[3]Mar!$O$1</f>
        <v>-7000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-63000</v>
      </c>
      <c r="DK53" s="57"/>
      <c r="DL53" s="36" t="n">
        <f aca="false">-[3]Apr!$O$1</f>
        <v>-7000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-70000</v>
      </c>
      <c r="DV53" s="57"/>
      <c r="DW53" s="36" t="n">
        <f aca="false">-[3]May!$O$1</f>
        <v>-7000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-77000</v>
      </c>
      <c r="EG53" s="54"/>
      <c r="EI53" s="54"/>
      <c r="EJ53" s="36" t="n">
        <f aca="false">SUM(EF53:EH53)</f>
        <v>-77000</v>
      </c>
      <c r="EK53" s="54"/>
    </row>
    <row r="54" customFormat="false" ht="12" hidden="false" customHeight="false" outlineLevel="0" collapsed="false">
      <c r="A54" s="54"/>
      <c r="B54" s="54" t="s">
        <v>168</v>
      </c>
      <c r="C54" s="56" t="s">
        <v>169</v>
      </c>
      <c r="D54" s="57"/>
      <c r="E54" s="57"/>
      <c r="F54" s="36" t="n">
        <f aca="false">-[3]Jun!$P$1</f>
        <v>-1000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-1000</v>
      </c>
      <c r="P54" s="57"/>
      <c r="Q54" s="36" t="n">
        <f aca="false">-[3]Jul!$P$1</f>
        <v>-0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-1000</v>
      </c>
      <c r="AA54" s="57"/>
      <c r="AB54" s="36" t="n">
        <f aca="false">-[3]Aug!$P$1</f>
        <v>-0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-1000</v>
      </c>
      <c r="AL54" s="57"/>
      <c r="AM54" s="36" t="n">
        <f aca="false">-[3]Sep!$P$1</f>
        <v>-1000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-2000</v>
      </c>
      <c r="AW54" s="57"/>
      <c r="AX54" s="36" t="n">
        <f aca="false">-[3]Oct!$P$1</f>
        <v>-0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-2000</v>
      </c>
      <c r="BH54" s="57"/>
      <c r="BI54" s="36" t="n">
        <f aca="false">-[3]Nov!$P$1</f>
        <v>-0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-2000</v>
      </c>
      <c r="BS54" s="57"/>
      <c r="BT54" s="36" t="n">
        <f aca="false">-[3]Dec!$P$1</f>
        <v>-1000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-3000</v>
      </c>
      <c r="CD54" s="57"/>
      <c r="CE54" s="36" t="n">
        <f aca="false">-[3]Jan!$P$1</f>
        <v>-0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-3000</v>
      </c>
      <c r="CO54" s="57"/>
      <c r="CP54" s="36" t="n">
        <f aca="false">-[3]Feb!$P$1</f>
        <v>-0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-3000</v>
      </c>
      <c r="CZ54" s="57"/>
      <c r="DA54" s="36" t="n">
        <f aca="false">-[3]Mar!$P$1</f>
        <v>-1000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-4000</v>
      </c>
      <c r="DK54" s="57"/>
      <c r="DL54" s="36" t="n">
        <f aca="false">-[3]Apr!$P$1</f>
        <v>-0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-4000</v>
      </c>
      <c r="DV54" s="57"/>
      <c r="DW54" s="36" t="n">
        <f aca="false">-[3]May!$P$1</f>
        <v>-0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-4000</v>
      </c>
      <c r="EG54" s="54"/>
      <c r="EI54" s="54"/>
      <c r="EJ54" s="36" t="n">
        <f aca="false">SUM(EF54:EH54)</f>
        <v>-4000</v>
      </c>
      <c r="EK54" s="54"/>
    </row>
    <row r="55" customFormat="false" ht="12" hidden="false" customHeight="false" outlineLevel="0" collapsed="false">
      <c r="A55" s="54"/>
      <c r="B55" s="54" t="s">
        <v>170</v>
      </c>
      <c r="C55" s="56" t="s">
        <v>171</v>
      </c>
      <c r="D55" s="57"/>
      <c r="E55" s="57"/>
      <c r="F55" s="36" t="n">
        <f aca="false">-[3]Jun!$Q$1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-[3]Jul!$Q$1</f>
        <v>-0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0</v>
      </c>
      <c r="AA55" s="57"/>
      <c r="AB55" s="36" t="n">
        <f aca="false">-[3]Aug!$Q$1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-2000</v>
      </c>
      <c r="AL55" s="57"/>
      <c r="AM55" s="36" t="n">
        <f aca="false">-[3]Sep!$Q$1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-2000</v>
      </c>
      <c r="AW55" s="57"/>
      <c r="AX55" s="36" t="n">
        <f aca="false">-[3]Oct!$Q$1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-2000</v>
      </c>
      <c r="BH55" s="57"/>
      <c r="BI55" s="36" t="n">
        <f aca="false">-[3]Nov!$Q$1</f>
        <v>-0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-2000</v>
      </c>
      <c r="BS55" s="57"/>
      <c r="BT55" s="36" t="n">
        <f aca="false">-[3]Dec!$Q$1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-2000</v>
      </c>
      <c r="CD55" s="57"/>
      <c r="CE55" s="36" t="n">
        <f aca="false">-[3]Jan!$Q$1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-5000</v>
      </c>
      <c r="CO55" s="57"/>
      <c r="CP55" s="36" t="n">
        <f aca="false">-[3]Feb!$Q$1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-5000</v>
      </c>
      <c r="CZ55" s="57"/>
      <c r="DA55" s="36" t="n">
        <f aca="false">-[3]Mar!$Q$1</f>
        <v>-0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-5000</v>
      </c>
      <c r="DK55" s="57"/>
      <c r="DL55" s="36" t="n">
        <f aca="false">-[3]Apr!$Q$1</f>
        <v>-0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-5000</v>
      </c>
      <c r="DV55" s="57"/>
      <c r="DW55" s="36" t="n">
        <f aca="false">-[3]May!$Q$1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-5000</v>
      </c>
      <c r="EG55" s="54"/>
      <c r="EI55" s="54"/>
      <c r="EJ55" s="36" t="n">
        <f aca="false">SUM(EF55:EH55)</f>
        <v>-5000</v>
      </c>
      <c r="EK55" s="54"/>
    </row>
    <row r="56" customFormat="false" ht="12" hidden="false" customHeight="false" outlineLevel="0" collapsed="false">
      <c r="A56" s="54"/>
      <c r="B56" s="54" t="s">
        <v>85</v>
      </c>
      <c r="C56" s="56" t="s">
        <v>172</v>
      </c>
      <c r="D56" s="57"/>
      <c r="E56" s="57"/>
      <c r="F56" s="36" t="n">
        <f aca="false">-[3]Jun!$R$1</f>
        <v>-0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0</v>
      </c>
      <c r="P56" s="57"/>
      <c r="Q56" s="36" t="n">
        <f aca="false">-[3]Jul!$R$1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0</v>
      </c>
      <c r="AA56" s="57"/>
      <c r="AB56" s="36" t="n">
        <f aca="false">-[3]Aug!$R$1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0</v>
      </c>
      <c r="AL56" s="57"/>
      <c r="AM56" s="36" t="n">
        <f aca="false">-[3]Sep!$R$1</f>
        <v>-0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0</v>
      </c>
      <c r="AW56" s="57"/>
      <c r="AX56" s="36" t="n">
        <f aca="false">-[3]Oct!$R$1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0</v>
      </c>
      <c r="BH56" s="57"/>
      <c r="BI56" s="36" t="n">
        <f aca="false">-[3]Nov!$R$1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-500</v>
      </c>
      <c r="BS56" s="57"/>
      <c r="BT56" s="36" t="n">
        <f aca="false">-[3]Dec!$R$1</f>
        <v>-0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-500</v>
      </c>
      <c r="CD56" s="57"/>
      <c r="CE56" s="36" t="n">
        <f aca="false">-[3]Jan!$R$1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-500</v>
      </c>
      <c r="CO56" s="57"/>
      <c r="CP56" s="36" t="n">
        <f aca="false">-[3]Feb!$R$1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-500</v>
      </c>
      <c r="CZ56" s="57"/>
      <c r="DA56" s="36" t="n">
        <f aca="false">-[3]Mar!$R$1</f>
        <v>-0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-500</v>
      </c>
      <c r="DK56" s="57"/>
      <c r="DL56" s="36" t="n">
        <f aca="false">-[3]Apr!$R$1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-500</v>
      </c>
      <c r="DV56" s="57"/>
      <c r="DW56" s="36" t="n">
        <f aca="false">-[3]May!$R$1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-500</v>
      </c>
      <c r="EG56" s="54"/>
      <c r="EI56" s="54"/>
      <c r="EJ56" s="36" t="n">
        <f aca="false">SUM(EF56:EH56)</f>
        <v>-500</v>
      </c>
      <c r="EK56" s="54"/>
    </row>
    <row r="57" customFormat="false" ht="12" hidden="false" customHeight="false" outlineLevel="0" collapsed="false">
      <c r="A57" s="54"/>
      <c r="B57" s="54" t="s">
        <v>173</v>
      </c>
      <c r="C57" s="56" t="s">
        <v>174</v>
      </c>
      <c r="D57" s="57"/>
      <c r="E57" s="57"/>
      <c r="F57" s="36" t="n">
        <f aca="false">-[3]Jun!$S$1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-[3]Jul!$S$1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-[3]Aug!$S$1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-[3]Sep!$S$1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-[3]Oct!$S$1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-[3]Nov!$S$1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-[3]Dec!$S$1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-[3]Jan!$S$1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-[3]Feb!$S$1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-[3]Mar!$S$1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-[3]Apr!$S$1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-[3]May!$S$1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175</v>
      </c>
      <c r="C58" s="56" t="s">
        <v>176</v>
      </c>
      <c r="D58" s="57"/>
      <c r="E58" s="57"/>
      <c r="F58" s="36"/>
      <c r="G58" s="36"/>
      <c r="H58" s="36" t="n">
        <f aca="false">-[4]Jun!$K$1</f>
        <v>-0</v>
      </c>
      <c r="I58" s="36" t="n">
        <f aca="false">-[5]Jun!$K$1</f>
        <v>-0</v>
      </c>
      <c r="J58" s="36" t="n">
        <f aca="false">-[6]Jun!$K$1</f>
        <v>-0</v>
      </c>
      <c r="K58" s="36" t="n">
        <f aca="false">-[7]Jun!$K$1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-[4]Jul!$K$1</f>
        <v>-0</v>
      </c>
      <c r="T58" s="36" t="n">
        <f aca="false">-[5]Jul!$K$1</f>
        <v>-0</v>
      </c>
      <c r="U58" s="36" t="n">
        <f aca="false">-[6]Jul!$K$1</f>
        <v>-0</v>
      </c>
      <c r="V58" s="36" t="n">
        <f aca="false">-[7]Jul!$K$1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-[4]Aug!$K$1</f>
        <v>-0</v>
      </c>
      <c r="AE58" s="36" t="n">
        <f aca="false">-[5]Aug!$K$1</f>
        <v>-0</v>
      </c>
      <c r="AF58" s="36" t="n">
        <f aca="false">-[6]Aug!$K$1</f>
        <v>-0</v>
      </c>
      <c r="AG58" s="36" t="n">
        <f aca="false">-[7]Aug!$K$1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-[4]Sep!$K$1</f>
        <v>-0</v>
      </c>
      <c r="AP58" s="36" t="n">
        <f aca="false">-[5]Sep!$K$1</f>
        <v>-0</v>
      </c>
      <c r="AQ58" s="36" t="n">
        <f aca="false">-[6]Sep!$K$1</f>
        <v>-0</v>
      </c>
      <c r="AR58" s="36" t="n">
        <f aca="false">-[7]Sep!$K$1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-[4]Oct!$K$1</f>
        <v>-0</v>
      </c>
      <c r="BA58" s="36" t="n">
        <f aca="false">-[5]Oct!$K$1</f>
        <v>-0</v>
      </c>
      <c r="BB58" s="36" t="n">
        <f aca="false">-[6]Oct!$K$1</f>
        <v>-0</v>
      </c>
      <c r="BC58" s="36" t="n">
        <f aca="false">-[7]Oct!$K$1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-[4]Nov!$K$1</f>
        <v>-0</v>
      </c>
      <c r="BL58" s="36" t="n">
        <f aca="false">-[5]Nov!$K$1</f>
        <v>-0</v>
      </c>
      <c r="BM58" s="36" t="n">
        <f aca="false">-[6]Nov!$K$1</f>
        <v>-0</v>
      </c>
      <c r="BN58" s="36" t="n">
        <f aca="false">-[7]Nov!$K$1</f>
        <v>-0</v>
      </c>
      <c r="BO58" s="36"/>
      <c r="BP58" s="36"/>
      <c r="BQ58" s="54"/>
      <c r="BR58" s="36" t="n">
        <f aca="false">SUM(BG58:BQ58)</f>
        <v>0</v>
      </c>
      <c r="BS58" s="57"/>
      <c r="BT58" s="36"/>
      <c r="BU58" s="36"/>
      <c r="BV58" s="36" t="n">
        <f aca="false">-[4]Dec!$K$1</f>
        <v>-0</v>
      </c>
      <c r="BW58" s="36" t="n">
        <f aca="false">-[5]Dec!$K$1</f>
        <v>-0</v>
      </c>
      <c r="BX58" s="36" t="n">
        <f aca="false">-[6]Dec!$K$1</f>
        <v>-0</v>
      </c>
      <c r="BY58" s="36" t="n">
        <f aca="false">-[7]Dec!$K$1</f>
        <v>-0</v>
      </c>
      <c r="BZ58" s="36"/>
      <c r="CA58" s="36"/>
      <c r="CB58" s="54"/>
      <c r="CC58" s="36" t="n">
        <f aca="false">SUM(BR58:CB58)</f>
        <v>0</v>
      </c>
      <c r="CD58" s="57"/>
      <c r="CE58" s="36"/>
      <c r="CF58" s="36"/>
      <c r="CG58" s="36" t="n">
        <f aca="false">-[4]Jan!$K$1</f>
        <v>-0</v>
      </c>
      <c r="CH58" s="36" t="n">
        <f aca="false">-[5]Jan!$K$1</f>
        <v>-0</v>
      </c>
      <c r="CI58" s="36" t="n">
        <f aca="false">-[6]Jan!$K$1</f>
        <v>-0</v>
      </c>
      <c r="CJ58" s="36" t="n">
        <f aca="false">-[7]Jan!$K$1</f>
        <v>-0</v>
      </c>
      <c r="CK58" s="36"/>
      <c r="CL58" s="36"/>
      <c r="CM58" s="54"/>
      <c r="CN58" s="36" t="n">
        <f aca="false">SUM(CC58:CM58)</f>
        <v>0</v>
      </c>
      <c r="CO58" s="57"/>
      <c r="CP58" s="36"/>
      <c r="CQ58" s="36"/>
      <c r="CR58" s="36" t="n">
        <f aca="false">-[4]Feb!$K$1</f>
        <v>-0</v>
      </c>
      <c r="CS58" s="36" t="n">
        <f aca="false">-[5]Feb!$K$1</f>
        <v>-0</v>
      </c>
      <c r="CT58" s="36" t="n">
        <f aca="false">-[6]Feb!$K$1</f>
        <v>-0</v>
      </c>
      <c r="CU58" s="36" t="n">
        <f aca="false">-[7]Feb!$K$1</f>
        <v>-0</v>
      </c>
      <c r="CV58" s="36"/>
      <c r="CW58" s="36"/>
      <c r="CX58" s="54"/>
      <c r="CY58" s="36" t="n">
        <f aca="false">SUM(CN58:CX58)</f>
        <v>0</v>
      </c>
      <c r="CZ58" s="57"/>
      <c r="DA58" s="36"/>
      <c r="DB58" s="36"/>
      <c r="DC58" s="36" t="n">
        <f aca="false">-[4]Mar!$K$1</f>
        <v>-0</v>
      </c>
      <c r="DD58" s="36" t="n">
        <f aca="false">-[5]Mar!$K$1</f>
        <v>-0</v>
      </c>
      <c r="DE58" s="36" t="n">
        <f aca="false">-[6]Mar!$K$1</f>
        <v>-0</v>
      </c>
      <c r="DF58" s="36" t="n">
        <f aca="false">-[7]Mar!$K$1</f>
        <v>-0</v>
      </c>
      <c r="DG58" s="36"/>
      <c r="DH58" s="36"/>
      <c r="DI58" s="54"/>
      <c r="DJ58" s="36" t="n">
        <f aca="false">SUM(CY58:DI58)</f>
        <v>0</v>
      </c>
      <c r="DK58" s="57"/>
      <c r="DL58" s="36"/>
      <c r="DM58" s="36"/>
      <c r="DN58" s="36" t="n">
        <f aca="false">-[4]Apr!$K$1</f>
        <v>-0</v>
      </c>
      <c r="DO58" s="36" t="n">
        <f aca="false">-[5]Apr!$K$1</f>
        <v>-0</v>
      </c>
      <c r="DP58" s="36" t="n">
        <f aca="false">-[6]Apr!$K$1</f>
        <v>-0</v>
      </c>
      <c r="DQ58" s="36" t="n">
        <f aca="false">-[7]Apr!$K$1</f>
        <v>-0</v>
      </c>
      <c r="DR58" s="36"/>
      <c r="DS58" s="36"/>
      <c r="DT58" s="54"/>
      <c r="DU58" s="36" t="n">
        <f aca="false">SUM(DJ58:DT58)</f>
        <v>0</v>
      </c>
      <c r="DV58" s="57"/>
      <c r="DW58" s="36"/>
      <c r="DX58" s="36"/>
      <c r="DY58" s="36" t="n">
        <f aca="false">-[4]May!$K$1</f>
        <v>-0</v>
      </c>
      <c r="DZ58" s="36" t="n">
        <f aca="false">-[5]May!$K$1</f>
        <v>-0</v>
      </c>
      <c r="EA58" s="36" t="n">
        <f aca="false">-[6]May!$K$1</f>
        <v>-0</v>
      </c>
      <c r="EB58" s="36" t="n">
        <f aca="false">-[7]May!$K$1</f>
        <v>-0</v>
      </c>
      <c r="EC58" s="36"/>
      <c r="ED58" s="36"/>
      <c r="EE58" s="54"/>
      <c r="EF58" s="36" t="n">
        <f aca="false">SUM(DU58:EE58)</f>
        <v>0</v>
      </c>
      <c r="EG58" s="54"/>
      <c r="EH58" s="36" t="n">
        <f aca="false">IF(OpenAccounts!P8="X",0,EF58/((100-Admin!P7)/100)-EF58)</f>
        <v>0</v>
      </c>
      <c r="EI58" s="54"/>
      <c r="EJ58" s="36" t="n">
        <f aca="false">SUM(EF58:EH58)</f>
        <v>0</v>
      </c>
      <c r="EK58" s="54"/>
    </row>
    <row r="59" s="57" customFormat="true" ht="12" hidden="false" customHeight="false" outlineLevel="0" collapsed="false">
      <c r="A59" s="54"/>
      <c r="B59" s="55" t="s">
        <v>177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178</v>
      </c>
      <c r="C60" s="56" t="s">
        <v>179</v>
      </c>
      <c r="D60" s="57"/>
      <c r="E60" s="57"/>
      <c r="F60" s="36"/>
      <c r="G60" s="36" t="n">
        <f aca="false">[2]Jun!$O$1</f>
        <v>600</v>
      </c>
      <c r="H60" s="36"/>
      <c r="I60" s="36"/>
      <c r="J60" s="36"/>
      <c r="K60" s="36"/>
      <c r="L60" s="36"/>
      <c r="M60" s="36" t="n">
        <f aca="false">-(Stock!$F$8-Stock!$L$8-Stock!$R$8-Stock!$X$8+Stock!$Z$8)</f>
        <v>-0</v>
      </c>
      <c r="N60" s="57"/>
      <c r="O60" s="36" t="n">
        <f aca="false">SUM(D60:N60)</f>
        <v>600</v>
      </c>
      <c r="P60" s="57"/>
      <c r="Q60" s="36"/>
      <c r="R60" s="36" t="n">
        <f aca="false">[2]Jul!$O$1</f>
        <v>0</v>
      </c>
      <c r="S60" s="36"/>
      <c r="T60" s="36"/>
      <c r="U60" s="36"/>
      <c r="V60" s="36"/>
      <c r="W60" s="36"/>
      <c r="X60" s="36" t="n">
        <f aca="false">-(Stock!$F$10-Stock!$L$10-Stock!$R$10-Stock!$X$10+Stock!$Z$10)</f>
        <v>-0</v>
      </c>
      <c r="Y60" s="54"/>
      <c r="Z60" s="36" t="n">
        <f aca="false">SUM(O60:Y60)</f>
        <v>600</v>
      </c>
      <c r="AA60" s="57"/>
      <c r="AB60" s="36"/>
      <c r="AC60" s="36" t="n">
        <f aca="false">[2]Aug!$O$1</f>
        <v>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-0</v>
      </c>
      <c r="AJ60" s="54"/>
      <c r="AK60" s="36" t="n">
        <f aca="false">SUM(Z60:AJ60)</f>
        <v>600</v>
      </c>
      <c r="AL60" s="57"/>
      <c r="AM60" s="36"/>
      <c r="AN60" s="36" t="n">
        <f aca="false">[2]Sep!$O$1</f>
        <v>720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-0</v>
      </c>
      <c r="AU60" s="54"/>
      <c r="AV60" s="36" t="n">
        <f aca="false">SUM(AK60:AU60)</f>
        <v>1320</v>
      </c>
      <c r="AW60" s="57"/>
      <c r="AX60" s="36"/>
      <c r="AY60" s="36" t="n">
        <f aca="false">[2]Oct!$O$1</f>
        <v>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-0</v>
      </c>
      <c r="BF60" s="54"/>
      <c r="BG60" s="36" t="n">
        <f aca="false">SUM(AV60:BF60)</f>
        <v>1320</v>
      </c>
      <c r="BH60" s="57"/>
      <c r="BI60" s="36"/>
      <c r="BJ60" s="36" t="n">
        <f aca="false">[2]Nov!$O$1</f>
        <v>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-0</v>
      </c>
      <c r="BQ60" s="54"/>
      <c r="BR60" s="36" t="n">
        <f aca="false">SUM(BG60:BQ60)</f>
        <v>1320</v>
      </c>
      <c r="BS60" s="57"/>
      <c r="BT60" s="36"/>
      <c r="BU60" s="36" t="n">
        <f aca="false">[2]Dec!$O$1</f>
        <v>480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-0</v>
      </c>
      <c r="CB60" s="54"/>
      <c r="CC60" s="36" t="n">
        <f aca="false">SUM(BR60:CB60)</f>
        <v>1800</v>
      </c>
      <c r="CD60" s="57"/>
      <c r="CE60" s="36"/>
      <c r="CF60" s="36" t="n">
        <f aca="false">[2]Jan!$O$1</f>
        <v>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-0</v>
      </c>
      <c r="CM60" s="54"/>
      <c r="CN60" s="36" t="n">
        <f aca="false">SUM(CC60:CM60)</f>
        <v>1800</v>
      </c>
      <c r="CO60" s="57"/>
      <c r="CP60" s="36"/>
      <c r="CQ60" s="36" t="n">
        <f aca="false">[2]Feb!$O$1</f>
        <v>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-0</v>
      </c>
      <c r="CX60" s="54"/>
      <c r="CY60" s="36" t="n">
        <f aca="false">SUM(CN60:CX60)</f>
        <v>1800</v>
      </c>
      <c r="CZ60" s="57"/>
      <c r="DA60" s="36"/>
      <c r="DB60" s="36" t="n">
        <f aca="false">[2]Mar!$O$1</f>
        <v>600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-0</v>
      </c>
      <c r="DI60" s="54"/>
      <c r="DJ60" s="36" t="n">
        <f aca="false">SUM(CY60:DI60)</f>
        <v>2400</v>
      </c>
      <c r="DK60" s="57"/>
      <c r="DL60" s="36"/>
      <c r="DM60" s="36" t="n">
        <f aca="false">[2]Apr!$O$1</f>
        <v>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-0</v>
      </c>
      <c r="DT60" s="54"/>
      <c r="DU60" s="36" t="n">
        <f aca="false">SUM(DJ60:DT60)</f>
        <v>2400</v>
      </c>
      <c r="DV60" s="57"/>
      <c r="DW60" s="36"/>
      <c r="DX60" s="36" t="n">
        <f aca="false">[2]May!$O$1</f>
        <v>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-0</v>
      </c>
      <c r="EE60" s="54"/>
      <c r="EF60" s="36" t="n">
        <f aca="false">SUM(DU60:EE60)</f>
        <v>2400</v>
      </c>
      <c r="EG60" s="54"/>
      <c r="EI60" s="54"/>
      <c r="EJ60" s="36" t="n">
        <f aca="false">SUM(EF60:EH60)</f>
        <v>2400</v>
      </c>
      <c r="EK60" s="54"/>
    </row>
    <row r="61" customFormat="false" ht="12" hidden="false" customHeight="false" outlineLevel="0" collapsed="false">
      <c r="A61" s="54"/>
      <c r="B61" s="54" t="s">
        <v>180</v>
      </c>
      <c r="C61" s="56" t="s">
        <v>171</v>
      </c>
      <c r="D61" s="57"/>
      <c r="E61" s="57"/>
      <c r="F61" s="36"/>
      <c r="G61" s="36" t="n">
        <f aca="false">[2]Jun!$P$1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[2]Jul!$P$1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[2]Aug!$P$1</f>
        <v>3600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3600</v>
      </c>
      <c r="AL61" s="57"/>
      <c r="AM61" s="36"/>
      <c r="AN61" s="36" t="n">
        <f aca="false">[2]Sep!$P$1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3600</v>
      </c>
      <c r="AW61" s="57"/>
      <c r="AX61" s="36"/>
      <c r="AY61" s="36" t="n">
        <f aca="false">[2]Oct!$P$1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3600</v>
      </c>
      <c r="BH61" s="57"/>
      <c r="BI61" s="36"/>
      <c r="BJ61" s="36" t="n">
        <f aca="false">[2]Nov!$P$1</f>
        <v>2400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6000</v>
      </c>
      <c r="BS61" s="57"/>
      <c r="BT61" s="36"/>
      <c r="BU61" s="36" t="n">
        <f aca="false">[2]Dec!$P$1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6000</v>
      </c>
      <c r="CD61" s="57"/>
      <c r="CE61" s="36"/>
      <c r="CF61" s="36" t="n">
        <f aca="false">[2]Jan!$P$1</f>
        <v>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6000</v>
      </c>
      <c r="CO61" s="57"/>
      <c r="CP61" s="36"/>
      <c r="CQ61" s="36" t="n">
        <f aca="false">[2]Feb!$P$1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6000</v>
      </c>
      <c r="CZ61" s="57"/>
      <c r="DA61" s="36"/>
      <c r="DB61" s="36" t="n">
        <f aca="false">[2]Mar!$P$1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6000</v>
      </c>
      <c r="DK61" s="57"/>
      <c r="DL61" s="36"/>
      <c r="DM61" s="36" t="n">
        <f aca="false">[2]Apr!$P$1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6000</v>
      </c>
      <c r="DV61" s="57"/>
      <c r="DW61" s="36"/>
      <c r="DX61" s="36" t="n">
        <f aca="false">[2]May!$P$1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6000</v>
      </c>
      <c r="EG61" s="54"/>
      <c r="EI61" s="54"/>
      <c r="EJ61" s="36" t="n">
        <f aca="false">SUM(EF61:EH61)</f>
        <v>6000</v>
      </c>
      <c r="EK61" s="54"/>
    </row>
    <row r="62" customFormat="false" ht="12" hidden="false" customHeight="false" outlineLevel="0" collapsed="false">
      <c r="A62" s="54"/>
      <c r="B62" s="54" t="s">
        <v>181</v>
      </c>
      <c r="C62" s="56" t="s">
        <v>182</v>
      </c>
      <c r="D62" s="57"/>
      <c r="E62" s="57"/>
      <c r="F62" s="36"/>
      <c r="G62" s="36" t="n">
        <f aca="false">[2]Jun!$Q$1</f>
        <v>0</v>
      </c>
      <c r="H62" s="36"/>
      <c r="I62" s="36"/>
      <c r="J62" s="36"/>
      <c r="K62" s="36"/>
      <c r="L62" s="36"/>
      <c r="N62" s="57"/>
      <c r="O62" s="36" t="n">
        <f aca="false">SUM(D62:N62)</f>
        <v>0</v>
      </c>
      <c r="P62" s="57"/>
      <c r="Q62" s="36"/>
      <c r="R62" s="36" t="n">
        <f aca="false">[2]Jul!$Q$1</f>
        <v>360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360</v>
      </c>
      <c r="AA62" s="57"/>
      <c r="AB62" s="36"/>
      <c r="AC62" s="36" t="n">
        <f aca="false">[2]Aug!$Q$1</f>
        <v>0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360</v>
      </c>
      <c r="AL62" s="57"/>
      <c r="AM62" s="36"/>
      <c r="AN62" s="36" t="n">
        <f aca="false">[2]Sep!$Q$1</f>
        <v>0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360</v>
      </c>
      <c r="AW62" s="57"/>
      <c r="AX62" s="36"/>
      <c r="AY62" s="36" t="n">
        <f aca="false">[2]Oct!$Q$1</f>
        <v>0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360</v>
      </c>
      <c r="BH62" s="57"/>
      <c r="BI62" s="36"/>
      <c r="BJ62" s="36" t="n">
        <f aca="false">[2]Nov!$Q$1</f>
        <v>0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360</v>
      </c>
      <c r="BS62" s="57"/>
      <c r="BT62" s="36"/>
      <c r="BU62" s="36" t="n">
        <f aca="false">[2]Dec!$Q$1</f>
        <v>0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360</v>
      </c>
      <c r="CD62" s="57"/>
      <c r="CE62" s="36"/>
      <c r="CF62" s="36" t="n">
        <f aca="false">[2]Jan!$Q$1</f>
        <v>360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720</v>
      </c>
      <c r="CO62" s="57"/>
      <c r="CP62" s="36"/>
      <c r="CQ62" s="36" t="n">
        <f aca="false">[2]Feb!$Q$1</f>
        <v>0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720</v>
      </c>
      <c r="CZ62" s="57"/>
      <c r="DA62" s="36"/>
      <c r="DB62" s="36" t="n">
        <f aca="false">[2]Mar!$Q$1</f>
        <v>0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720</v>
      </c>
      <c r="DK62" s="57"/>
      <c r="DL62" s="36"/>
      <c r="DM62" s="36" t="n">
        <f aca="false">[2]Apr!$Q$1</f>
        <v>0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720</v>
      </c>
      <c r="DV62" s="57"/>
      <c r="DW62" s="36"/>
      <c r="DX62" s="36" t="n">
        <f aca="false">[2]May!$Q$1</f>
        <v>0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720</v>
      </c>
      <c r="EG62" s="54"/>
      <c r="EI62" s="54"/>
      <c r="EJ62" s="36" t="n">
        <f aca="false">SUM(EF62:EH62)</f>
        <v>720</v>
      </c>
      <c r="EK62" s="54"/>
    </row>
    <row r="63" s="57" customFormat="true" ht="12" hidden="false" customHeight="false" outlineLevel="0" collapsed="false">
      <c r="A63" s="54"/>
      <c r="B63" s="55" t="s">
        <v>183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184</v>
      </c>
      <c r="C64" s="56" t="s">
        <v>185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0</v>
      </c>
      <c r="N64" s="57"/>
      <c r="O64" s="36" t="n">
        <f aca="false">SUM(D64:N64)</f>
        <v>0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0</v>
      </c>
      <c r="X64" s="36"/>
      <c r="Y64" s="54"/>
      <c r="Z64" s="36" t="n">
        <f aca="false">SUM(O64:Y64)</f>
        <v>0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0</v>
      </c>
      <c r="AI64" s="36"/>
      <c r="AJ64" s="54"/>
      <c r="AK64" s="36" t="n">
        <f aca="false">SUM(Z64:AJ64)</f>
        <v>0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0</v>
      </c>
      <c r="AT64" s="36"/>
      <c r="AU64" s="54"/>
      <c r="AV64" s="36" t="n">
        <f aca="false">SUM(AK64:AU64)</f>
        <v>0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0</v>
      </c>
      <c r="BE64" s="36"/>
      <c r="BF64" s="54"/>
      <c r="BG64" s="36" t="n">
        <f aca="false">SUM(AV64:BF64)</f>
        <v>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0</v>
      </c>
      <c r="BP64" s="36"/>
      <c r="BQ64" s="54"/>
      <c r="BR64" s="36" t="n">
        <f aca="false">SUM(BG64:BQ64)</f>
        <v>0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0</v>
      </c>
      <c r="CA64" s="36"/>
      <c r="CB64" s="54"/>
      <c r="CC64" s="36" t="n">
        <f aca="false">SUM(BR64:CB64)</f>
        <v>0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0</v>
      </c>
      <c r="CL64" s="36"/>
      <c r="CM64" s="54"/>
      <c r="CN64" s="36" t="n">
        <f aca="false">SUM(CC64:CM64)</f>
        <v>0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0</v>
      </c>
      <c r="CW64" s="36"/>
      <c r="CX64" s="54"/>
      <c r="CY64" s="36" t="n">
        <f aca="false">SUM(CN64:CX64)</f>
        <v>0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0</v>
      </c>
      <c r="DH64" s="36"/>
      <c r="DI64" s="54"/>
      <c r="DJ64" s="36" t="n">
        <f aca="false">SUM(CY64:DI64)</f>
        <v>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0</v>
      </c>
      <c r="DS64" s="36"/>
      <c r="DT64" s="54"/>
      <c r="DU64" s="36" t="n">
        <f aca="false">SUM(DJ64:DT64)</f>
        <v>0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0</v>
      </c>
      <c r="ED64" s="36"/>
      <c r="EE64" s="54"/>
      <c r="EF64" s="36" t="n">
        <f aca="false">SUM(DU64:EE64)</f>
        <v>0</v>
      </c>
      <c r="EG64" s="54"/>
      <c r="EI64" s="54"/>
      <c r="EJ64" s="36" t="n">
        <f aca="false">SUM(EF64:EH64)</f>
        <v>0</v>
      </c>
      <c r="EK64" s="54"/>
    </row>
    <row r="65" customFormat="false" ht="12" hidden="false" customHeight="false" outlineLevel="0" collapsed="false">
      <c r="A65" s="54"/>
      <c r="B65" s="54" t="s">
        <v>186</v>
      </c>
      <c r="C65" s="56" t="s">
        <v>187</v>
      </c>
      <c r="D65" s="57"/>
      <c r="E65" s="57"/>
      <c r="F65" s="36"/>
      <c r="G65" s="36" t="n">
        <f aca="false">[2]Jun!$S$1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[2]Jul!$S$1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[2]Aug!$S$1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[2]Sep!$S$1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[2]Oct!$S$1</f>
        <v>800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800</v>
      </c>
      <c r="BH65" s="57"/>
      <c r="BI65" s="36"/>
      <c r="BJ65" s="36" t="n">
        <f aca="false">[2]Nov!$S$1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800</v>
      </c>
      <c r="BS65" s="57"/>
      <c r="BT65" s="36"/>
      <c r="BU65" s="36" t="n">
        <f aca="false">[2]Dec!$S$1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800</v>
      </c>
      <c r="CD65" s="57"/>
      <c r="CE65" s="36"/>
      <c r="CF65" s="36" t="n">
        <f aca="false">[2]Jan!$S$1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800</v>
      </c>
      <c r="CO65" s="57"/>
      <c r="CP65" s="36"/>
      <c r="CQ65" s="36" t="n">
        <f aca="false">[2]Feb!$S$1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800</v>
      </c>
      <c r="CZ65" s="57"/>
      <c r="DA65" s="36"/>
      <c r="DB65" s="36" t="n">
        <f aca="false">[2]Mar!$S$1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800</v>
      </c>
      <c r="DK65" s="57"/>
      <c r="DL65" s="36"/>
      <c r="DM65" s="36" t="n">
        <f aca="false">[2]Apr!$S$1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800</v>
      </c>
      <c r="DV65" s="57"/>
      <c r="DW65" s="36"/>
      <c r="DX65" s="36" t="n">
        <f aca="false">[2]May!$S$1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800</v>
      </c>
      <c r="EG65" s="54"/>
      <c r="EI65" s="54"/>
      <c r="EJ65" s="36" t="n">
        <f aca="false">SUM(EF65:EH65)</f>
        <v>800</v>
      </c>
      <c r="EK65" s="54"/>
    </row>
    <row r="66" customFormat="false" ht="12" hidden="false" customHeight="false" outlineLevel="0" collapsed="false">
      <c r="A66" s="54"/>
      <c r="B66" s="54" t="s">
        <v>62</v>
      </c>
      <c r="C66" s="56" t="s">
        <v>172</v>
      </c>
      <c r="D66" s="57"/>
      <c r="E66" s="57"/>
      <c r="F66" s="36"/>
      <c r="G66" s="36" t="n">
        <f aca="false">[2]Jun!$R$1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[2]Jul!$R$1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[2]Aug!$R$1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[2]Sep!$R$1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[2]Oct!$R$1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[2]Nov!$R$1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[2]Dec!$R$1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[2]Jan!$R$1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[2]Feb!$R$1</f>
        <v>5000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5000</v>
      </c>
      <c r="CZ66" s="57"/>
      <c r="DA66" s="36"/>
      <c r="DB66" s="36" t="n">
        <f aca="false">[2]Mar!$R$1</f>
        <v>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5000</v>
      </c>
      <c r="DK66" s="57"/>
      <c r="DL66" s="36"/>
      <c r="DM66" s="36" t="n">
        <f aca="false">[2]Apr!$R$1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5000</v>
      </c>
      <c r="DV66" s="57"/>
      <c r="DW66" s="36"/>
      <c r="DX66" s="36" t="n">
        <f aca="false">[2]May!$R$1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5000</v>
      </c>
      <c r="EG66" s="54"/>
      <c r="EI66" s="54"/>
      <c r="EJ66" s="36" t="n">
        <f aca="false">SUM(EF66:EH66)</f>
        <v>5000</v>
      </c>
      <c r="EK66" s="54"/>
    </row>
    <row r="67" customFormat="false" ht="12" hidden="false" customHeight="false" outlineLevel="0" collapsed="false">
      <c r="A67" s="54"/>
      <c r="B67" s="54" t="s">
        <v>188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0</v>
      </c>
      <c r="N67" s="57"/>
      <c r="O67" s="36" t="n">
        <f aca="false">SUM(D67:N67)</f>
        <v>0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0</v>
      </c>
      <c r="X67" s="36"/>
      <c r="Y67" s="54"/>
      <c r="Z67" s="36" t="n">
        <f aca="false">SUM(O67:Y67)</f>
        <v>0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0</v>
      </c>
      <c r="AI67" s="36"/>
      <c r="AJ67" s="54"/>
      <c r="AK67" s="36" t="n">
        <f aca="false">SUM(Z67:AJ67)</f>
        <v>0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0</v>
      </c>
      <c r="AT67" s="36"/>
      <c r="AU67" s="54"/>
      <c r="AV67" s="36" t="n">
        <f aca="false">SUM(AK67:AU67)</f>
        <v>0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0</v>
      </c>
      <c r="BE67" s="36"/>
      <c r="BF67" s="54"/>
      <c r="BG67" s="36" t="n">
        <f aca="false">SUM(AV67:BF67)</f>
        <v>0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0</v>
      </c>
      <c r="BP67" s="36"/>
      <c r="BQ67" s="54"/>
      <c r="BR67" s="36" t="n">
        <f aca="false">SUM(BG67:BQ67)</f>
        <v>0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0</v>
      </c>
      <c r="CA67" s="36"/>
      <c r="CB67" s="54"/>
      <c r="CC67" s="36" t="n">
        <f aca="false">SUM(BR67:CB67)</f>
        <v>0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0</v>
      </c>
      <c r="CL67" s="36"/>
      <c r="CM67" s="54"/>
      <c r="CN67" s="36" t="n">
        <f aca="false">SUM(CC67:CM67)</f>
        <v>0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0</v>
      </c>
      <c r="CW67" s="36"/>
      <c r="CX67" s="54"/>
      <c r="CY67" s="36" t="n">
        <f aca="false">SUM(CN67:CX67)</f>
        <v>0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0</v>
      </c>
      <c r="DH67" s="36"/>
      <c r="DI67" s="54"/>
      <c r="DJ67" s="36" t="n">
        <f aca="false">SUM(CY67:DI67)</f>
        <v>0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0</v>
      </c>
      <c r="DS67" s="36"/>
      <c r="DT67" s="54"/>
      <c r="DU67" s="36" t="n">
        <f aca="false">SUM(DJ67:DT67)</f>
        <v>0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0</v>
      </c>
      <c r="ED67" s="36"/>
      <c r="EE67" s="54"/>
      <c r="EF67" s="36" t="n">
        <f aca="false">SUM(DU67:EE67)</f>
        <v>0</v>
      </c>
      <c r="EG67" s="54"/>
      <c r="EI67" s="54"/>
      <c r="EJ67" s="36" t="n">
        <f aca="false">SUM(EF67:EH67)</f>
        <v>0</v>
      </c>
      <c r="EK67" s="54"/>
    </row>
    <row r="68" customFormat="false" ht="12" hidden="false" customHeight="false" outlineLevel="0" collapsed="false">
      <c r="A68" s="54"/>
      <c r="B68" s="54" t="s">
        <v>64</v>
      </c>
      <c r="C68" s="56" t="s">
        <v>189</v>
      </c>
      <c r="D68" s="57"/>
      <c r="E68" s="57"/>
      <c r="F68" s="36"/>
      <c r="G68" s="36" t="n">
        <f aca="false">[2]Jun!$T$1</f>
        <v>1200</v>
      </c>
      <c r="H68" s="36"/>
      <c r="I68" s="36"/>
      <c r="J68" s="36"/>
      <c r="K68" s="36"/>
      <c r="L68" s="36"/>
      <c r="N68" s="57"/>
      <c r="O68" s="36" t="n">
        <f aca="false">SUM(D68:N68)</f>
        <v>1200</v>
      </c>
      <c r="P68" s="57"/>
      <c r="Q68" s="36"/>
      <c r="R68" s="36" t="n">
        <f aca="false">[2]Jul!$T$1</f>
        <v>1200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2400</v>
      </c>
      <c r="AA68" s="57"/>
      <c r="AB68" s="36"/>
      <c r="AC68" s="36" t="n">
        <f aca="false">[2]Aug!$T$1</f>
        <v>1200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3600</v>
      </c>
      <c r="AL68" s="57"/>
      <c r="AM68" s="36"/>
      <c r="AN68" s="36" t="n">
        <f aca="false">[2]Sep!$T$1</f>
        <v>1200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4800</v>
      </c>
      <c r="AW68" s="57"/>
      <c r="AX68" s="36"/>
      <c r="AY68" s="36" t="n">
        <f aca="false">[2]Oct!$T$1</f>
        <v>1200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6000</v>
      </c>
      <c r="BH68" s="57"/>
      <c r="BI68" s="36"/>
      <c r="BJ68" s="36" t="n">
        <f aca="false">[2]Nov!$T$1</f>
        <v>1200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7200</v>
      </c>
      <c r="BS68" s="57"/>
      <c r="BT68" s="36"/>
      <c r="BU68" s="36" t="n">
        <f aca="false">[2]Dec!$T$1</f>
        <v>1200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8400</v>
      </c>
      <c r="CD68" s="57"/>
      <c r="CE68" s="36"/>
      <c r="CF68" s="36" t="n">
        <f aca="false">[2]Jan!$T$1</f>
        <v>1200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9600</v>
      </c>
      <c r="CO68" s="57"/>
      <c r="CP68" s="36"/>
      <c r="CQ68" s="36" t="n">
        <f aca="false">[2]Feb!$T$1</f>
        <v>1200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10800</v>
      </c>
      <c r="CZ68" s="57"/>
      <c r="DA68" s="36"/>
      <c r="DB68" s="36" t="n">
        <f aca="false">[2]Mar!$T$1</f>
        <v>1200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12000</v>
      </c>
      <c r="DK68" s="57"/>
      <c r="DL68" s="36"/>
      <c r="DM68" s="36" t="n">
        <f aca="false">[2]Apr!$T$1</f>
        <v>1200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13200</v>
      </c>
      <c r="DV68" s="57"/>
      <c r="DW68" s="36"/>
      <c r="DX68" s="36" t="n">
        <f aca="false">[2]May!$T$1</f>
        <v>1200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14400</v>
      </c>
      <c r="EG68" s="54"/>
      <c r="EI68" s="54"/>
      <c r="EJ68" s="36" t="n">
        <f aca="false">SUM(EF68:EH68)</f>
        <v>14400</v>
      </c>
      <c r="EK68" s="54"/>
    </row>
    <row r="69" customFormat="false" ht="12" hidden="false" customHeight="false" outlineLevel="0" collapsed="false">
      <c r="A69" s="54"/>
      <c r="B69" s="54" t="s">
        <v>65</v>
      </c>
      <c r="C69" s="56" t="s">
        <v>190</v>
      </c>
      <c r="D69" s="57"/>
      <c r="E69" s="57"/>
      <c r="F69" s="36"/>
      <c r="G69" s="36" t="n">
        <f aca="false">[2]Jun!$U$1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[2]Jul!$U$1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[2]Aug!$U$1</f>
        <v>360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360</v>
      </c>
      <c r="AL69" s="57"/>
      <c r="AM69" s="36"/>
      <c r="AN69" s="36" t="n">
        <f aca="false">[2]Sep!$U$1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360</v>
      </c>
      <c r="AW69" s="57"/>
      <c r="AX69" s="36"/>
      <c r="AY69" s="36" t="n">
        <f aca="false">[2]Oct!$U$1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360</v>
      </c>
      <c r="BH69" s="57"/>
      <c r="BI69" s="36"/>
      <c r="BJ69" s="36" t="n">
        <f aca="false">[2]Nov!$U$1</f>
        <v>360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720</v>
      </c>
      <c r="BS69" s="57"/>
      <c r="BT69" s="36"/>
      <c r="BU69" s="36" t="n">
        <f aca="false">[2]Dec!$U$1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720</v>
      </c>
      <c r="CD69" s="57"/>
      <c r="CE69" s="36"/>
      <c r="CF69" s="36" t="n">
        <f aca="false">[2]Jan!$U$1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720</v>
      </c>
      <c r="CO69" s="57"/>
      <c r="CP69" s="36"/>
      <c r="CQ69" s="36" t="n">
        <f aca="false">[2]Feb!$U$1</f>
        <v>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720</v>
      </c>
      <c r="CZ69" s="57"/>
      <c r="DA69" s="36"/>
      <c r="DB69" s="36" t="n">
        <f aca="false">[2]Mar!$U$1</f>
        <v>360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1080</v>
      </c>
      <c r="DK69" s="57"/>
      <c r="DL69" s="36"/>
      <c r="DM69" s="36" t="n">
        <f aca="false">[2]Apr!$U$1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1080</v>
      </c>
      <c r="DV69" s="57"/>
      <c r="DW69" s="36"/>
      <c r="DX69" s="36" t="n">
        <f aca="false">[2]May!$U$1</f>
        <v>360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1440</v>
      </c>
      <c r="EG69" s="54"/>
      <c r="EI69" s="54"/>
      <c r="EJ69" s="36" t="n">
        <f aca="false">SUM(EF69:EH69)</f>
        <v>1440</v>
      </c>
      <c r="EK69" s="54"/>
    </row>
    <row r="70" customFormat="false" ht="12" hidden="false" customHeight="false" outlineLevel="0" collapsed="false">
      <c r="A70" s="54"/>
      <c r="B70" s="54" t="s">
        <v>66</v>
      </c>
      <c r="C70" s="56" t="s">
        <v>191</v>
      </c>
      <c r="D70" s="57"/>
      <c r="E70" s="57"/>
      <c r="F70" s="36"/>
      <c r="G70" s="36" t="n">
        <f aca="false">[2]Jun!$V$1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[2]Jul!$V$1</f>
        <v>480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480</v>
      </c>
      <c r="AA70" s="57"/>
      <c r="AB70" s="36"/>
      <c r="AC70" s="36" t="n">
        <f aca="false">[2]Aug!$V$1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480</v>
      </c>
      <c r="AL70" s="57"/>
      <c r="AM70" s="36"/>
      <c r="AN70" s="36" t="n">
        <f aca="false">[2]Sep!$V$1</f>
        <v>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480</v>
      </c>
      <c r="AW70" s="57"/>
      <c r="AX70" s="36"/>
      <c r="AY70" s="36" t="n">
        <f aca="false">[2]Oct!$V$1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480</v>
      </c>
      <c r="BH70" s="57"/>
      <c r="BI70" s="36"/>
      <c r="BJ70" s="36" t="n">
        <f aca="false">[2]Nov!$V$1</f>
        <v>0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480</v>
      </c>
      <c r="BS70" s="57"/>
      <c r="BT70" s="36"/>
      <c r="BU70" s="36" t="n">
        <f aca="false">[2]Dec!$V$1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480</v>
      </c>
      <c r="CD70" s="57"/>
      <c r="CE70" s="36"/>
      <c r="CF70" s="36" t="n">
        <f aca="false">[2]Jan!$V$1</f>
        <v>240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720</v>
      </c>
      <c r="CO70" s="57"/>
      <c r="CP70" s="36"/>
      <c r="CQ70" s="36" t="n">
        <f aca="false">[2]Feb!$V$1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720</v>
      </c>
      <c r="CZ70" s="57"/>
      <c r="DA70" s="36"/>
      <c r="DB70" s="36" t="n">
        <f aca="false">[2]Mar!$V$1</f>
        <v>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720</v>
      </c>
      <c r="DK70" s="57"/>
      <c r="DL70" s="36"/>
      <c r="DM70" s="36" t="n">
        <f aca="false">[2]Apr!$V$1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720</v>
      </c>
      <c r="DV70" s="57"/>
      <c r="DW70" s="36"/>
      <c r="DX70" s="36" t="n">
        <f aca="false">[2]May!$V$1</f>
        <v>0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720</v>
      </c>
      <c r="EG70" s="54"/>
      <c r="EI70" s="54"/>
      <c r="EJ70" s="36" t="n">
        <f aca="false">SUM(EF70:EH70)</f>
        <v>720</v>
      </c>
      <c r="EK70" s="54"/>
    </row>
    <row r="71" customFormat="false" ht="12" hidden="false" customHeight="false" outlineLevel="0" collapsed="false">
      <c r="A71" s="54"/>
      <c r="B71" s="54" t="s">
        <v>67</v>
      </c>
      <c r="C71" s="56" t="s">
        <v>192</v>
      </c>
      <c r="D71" s="57"/>
      <c r="E71" s="57"/>
      <c r="F71" s="36"/>
      <c r="G71" s="36" t="n">
        <f aca="false">[2]Jun!$W$1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[2]Jul!$W$1</f>
        <v>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0</v>
      </c>
      <c r="AA71" s="57"/>
      <c r="AB71" s="36"/>
      <c r="AC71" s="36" t="n">
        <f aca="false">[2]Aug!$W$1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0</v>
      </c>
      <c r="AL71" s="57"/>
      <c r="AM71" s="36"/>
      <c r="AN71" s="36" t="n">
        <f aca="false">[2]Sep!$W$1</f>
        <v>960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960</v>
      </c>
      <c r="AW71" s="57"/>
      <c r="AX71" s="36"/>
      <c r="AY71" s="36" t="n">
        <f aca="false">[2]Oct!$W$1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960</v>
      </c>
      <c r="BH71" s="57"/>
      <c r="BI71" s="36"/>
      <c r="BJ71" s="36" t="n">
        <f aca="false">[2]Nov!$W$1</f>
        <v>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960</v>
      </c>
      <c r="BS71" s="57"/>
      <c r="BT71" s="36"/>
      <c r="BU71" s="36" t="n">
        <f aca="false">[2]Dec!$W$1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960</v>
      </c>
      <c r="CD71" s="57"/>
      <c r="CE71" s="36"/>
      <c r="CF71" s="36" t="n">
        <f aca="false">[2]Jan!$W$1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960</v>
      </c>
      <c r="CO71" s="57"/>
      <c r="CP71" s="36"/>
      <c r="CQ71" s="36" t="n">
        <f aca="false">[2]Feb!$W$1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960</v>
      </c>
      <c r="CZ71" s="57"/>
      <c r="DA71" s="36"/>
      <c r="DB71" s="36" t="n">
        <f aca="false">[2]Mar!$W$1</f>
        <v>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960</v>
      </c>
      <c r="DK71" s="57"/>
      <c r="DL71" s="36"/>
      <c r="DM71" s="36" t="n">
        <f aca="false">[2]Apr!$W$1</f>
        <v>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960</v>
      </c>
      <c r="DV71" s="57"/>
      <c r="DW71" s="36"/>
      <c r="DX71" s="36" t="n">
        <f aca="false">[2]May!$W$1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960</v>
      </c>
      <c r="EG71" s="54"/>
      <c r="EI71" s="54"/>
      <c r="EJ71" s="36" t="n">
        <f aca="false">SUM(EF71:EH71)</f>
        <v>960</v>
      </c>
      <c r="EK71" s="54"/>
    </row>
    <row r="72" customFormat="false" ht="12" hidden="false" customHeight="false" outlineLevel="0" collapsed="false">
      <c r="A72" s="54"/>
      <c r="B72" s="54" t="s">
        <v>68</v>
      </c>
      <c r="C72" s="56" t="s">
        <v>193</v>
      </c>
      <c r="D72" s="57"/>
      <c r="E72" s="57"/>
      <c r="F72" s="36"/>
      <c r="G72" s="36" t="n">
        <f aca="false">[2]Jun!$X$1</f>
        <v>0</v>
      </c>
      <c r="H72" s="36"/>
      <c r="I72" s="36"/>
      <c r="J72" s="36"/>
      <c r="K72" s="36"/>
      <c r="L72" s="36"/>
      <c r="N72" s="57"/>
      <c r="O72" s="36" t="n">
        <f aca="false">SUM(D72:N72)</f>
        <v>0</v>
      </c>
      <c r="P72" s="57"/>
      <c r="Q72" s="36"/>
      <c r="R72" s="36" t="n">
        <f aca="false">[2]Jul!$X$1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0</v>
      </c>
      <c r="AA72" s="57"/>
      <c r="AB72" s="36"/>
      <c r="AC72" s="36" t="n">
        <f aca="false">[2]Aug!$X$1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0</v>
      </c>
      <c r="AL72" s="57"/>
      <c r="AM72" s="36"/>
      <c r="AN72" s="36" t="n">
        <f aca="false">[2]Sep!$X$1</f>
        <v>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0</v>
      </c>
      <c r="AW72" s="57"/>
      <c r="AX72" s="36"/>
      <c r="AY72" s="36" t="n">
        <f aca="false">[2]Oct!$X$1</f>
        <v>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0</v>
      </c>
      <c r="BH72" s="57"/>
      <c r="BI72" s="36"/>
      <c r="BJ72" s="36" t="n">
        <f aca="false">[2]Nov!$X$1</f>
        <v>480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480</v>
      </c>
      <c r="BS72" s="57"/>
      <c r="BT72" s="36"/>
      <c r="BU72" s="36" t="n">
        <f aca="false">[2]Dec!$X$1</f>
        <v>0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480</v>
      </c>
      <c r="CD72" s="57"/>
      <c r="CE72" s="36"/>
      <c r="CF72" s="36" t="n">
        <f aca="false">[2]Jan!$X$1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480</v>
      </c>
      <c r="CO72" s="57"/>
      <c r="CP72" s="36"/>
      <c r="CQ72" s="36" t="n">
        <f aca="false">[2]Feb!$X$1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480</v>
      </c>
      <c r="CZ72" s="57"/>
      <c r="DA72" s="36"/>
      <c r="DB72" s="36" t="n">
        <f aca="false">[2]Mar!$X$1</f>
        <v>0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480</v>
      </c>
      <c r="DK72" s="57"/>
      <c r="DL72" s="36"/>
      <c r="DM72" s="36" t="n">
        <f aca="false">[2]Apr!$X$1</f>
        <v>360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840</v>
      </c>
      <c r="DV72" s="57"/>
      <c r="DW72" s="36"/>
      <c r="DX72" s="36" t="n">
        <f aca="false">[2]May!$X$1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840</v>
      </c>
      <c r="EG72" s="54"/>
      <c r="EI72" s="54"/>
      <c r="EJ72" s="36" t="n">
        <f aca="false">SUM(EF72:EH72)</f>
        <v>840</v>
      </c>
      <c r="EK72" s="54"/>
    </row>
    <row r="73" customFormat="false" ht="12" hidden="false" customHeight="false" outlineLevel="0" collapsed="false">
      <c r="A73" s="54"/>
      <c r="B73" s="54" t="s">
        <v>69</v>
      </c>
      <c r="C73" s="56" t="s">
        <v>194</v>
      </c>
      <c r="D73" s="57"/>
      <c r="E73" s="57"/>
      <c r="F73" s="36"/>
      <c r="G73" s="36" t="n">
        <f aca="false">[2]Jun!$Y$1</f>
        <v>180</v>
      </c>
      <c r="H73" s="36"/>
      <c r="I73" s="36"/>
      <c r="J73" s="36"/>
      <c r="K73" s="36"/>
      <c r="L73" s="36"/>
      <c r="N73" s="57"/>
      <c r="O73" s="36" t="n">
        <f aca="false">SUM(D73:N73)</f>
        <v>180</v>
      </c>
      <c r="P73" s="57"/>
      <c r="Q73" s="36"/>
      <c r="R73" s="36" t="n">
        <f aca="false">[2]Jul!$Y$1</f>
        <v>0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180</v>
      </c>
      <c r="AA73" s="57"/>
      <c r="AB73" s="36"/>
      <c r="AC73" s="36" t="n">
        <f aca="false">[2]Aug!$Y$1</f>
        <v>0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180</v>
      </c>
      <c r="AL73" s="57"/>
      <c r="AM73" s="36"/>
      <c r="AN73" s="36" t="n">
        <f aca="false">[2]Sep!$Y$1</f>
        <v>0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180</v>
      </c>
      <c r="AW73" s="57"/>
      <c r="AX73" s="36"/>
      <c r="AY73" s="36" t="n">
        <f aca="false">[2]Oct!$Y$1</f>
        <v>0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180</v>
      </c>
      <c r="BH73" s="57"/>
      <c r="BI73" s="36"/>
      <c r="BJ73" s="36" t="n">
        <f aca="false">[2]Nov!$Y$1</f>
        <v>0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180</v>
      </c>
      <c r="BS73" s="57"/>
      <c r="BT73" s="36"/>
      <c r="BU73" s="36" t="n">
        <f aca="false">[2]Dec!$Y$1</f>
        <v>144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324</v>
      </c>
      <c r="CD73" s="57"/>
      <c r="CE73" s="36"/>
      <c r="CF73" s="36" t="n">
        <f aca="false">[2]Jan!$Y$1</f>
        <v>0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324</v>
      </c>
      <c r="CO73" s="57"/>
      <c r="CP73" s="36"/>
      <c r="CQ73" s="36" t="n">
        <f aca="false">[2]Feb!$Y$1</f>
        <v>0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324</v>
      </c>
      <c r="CZ73" s="57"/>
      <c r="DA73" s="36"/>
      <c r="DB73" s="36" t="n">
        <f aca="false">[2]Mar!$Y$1</f>
        <v>0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324</v>
      </c>
      <c r="DK73" s="57"/>
      <c r="DL73" s="36"/>
      <c r="DM73" s="36" t="n">
        <f aca="false">[2]Apr!$Y$1</f>
        <v>0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324</v>
      </c>
      <c r="DV73" s="57"/>
      <c r="DW73" s="36"/>
      <c r="DX73" s="36" t="n">
        <f aca="false">[2]May!$Y$1</f>
        <v>0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324</v>
      </c>
      <c r="EG73" s="54"/>
      <c r="EI73" s="54"/>
      <c r="EJ73" s="36" t="n">
        <f aca="false">SUM(EF73:EH73)</f>
        <v>324</v>
      </c>
      <c r="EK73" s="54"/>
    </row>
    <row r="74" customFormat="false" ht="12" hidden="false" customHeight="false" outlineLevel="0" collapsed="false">
      <c r="A74" s="54"/>
      <c r="B74" s="54" t="s">
        <v>70</v>
      </c>
      <c r="C74" s="56" t="s">
        <v>167</v>
      </c>
      <c r="D74" s="57"/>
      <c r="E74" s="57"/>
      <c r="F74" s="36"/>
      <c r="G74" s="36" t="n">
        <f aca="false">[2]Jun!$Z$1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[2]Jul!$Z$1</f>
        <v>1200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1200</v>
      </c>
      <c r="AA74" s="57"/>
      <c r="AB74" s="36"/>
      <c r="AC74" s="36" t="n">
        <f aca="false">[2]Aug!$Z$1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1200</v>
      </c>
      <c r="AL74" s="57"/>
      <c r="AM74" s="36"/>
      <c r="AN74" s="36" t="n">
        <f aca="false">[2]Sep!$Z$1</f>
        <v>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1200</v>
      </c>
      <c r="AW74" s="57"/>
      <c r="AX74" s="36"/>
      <c r="AY74" s="36" t="n">
        <f aca="false">[2]Oct!$Z$1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1200</v>
      </c>
      <c r="BH74" s="57"/>
      <c r="BI74" s="36"/>
      <c r="BJ74" s="36" t="n">
        <f aca="false">[2]Nov!$Z$1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1200</v>
      </c>
      <c r="BS74" s="57"/>
      <c r="BT74" s="36"/>
      <c r="BU74" s="36" t="n">
        <f aca="false">[2]Dec!$Z$1</f>
        <v>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1200</v>
      </c>
      <c r="CD74" s="57"/>
      <c r="CE74" s="36"/>
      <c r="CF74" s="36" t="n">
        <f aca="false">[2]Jan!$Z$1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1200</v>
      </c>
      <c r="CO74" s="57"/>
      <c r="CP74" s="36"/>
      <c r="CQ74" s="36" t="n">
        <f aca="false">[2]Feb!$Z$1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1200</v>
      </c>
      <c r="CZ74" s="57"/>
      <c r="DA74" s="36"/>
      <c r="DB74" s="36" t="n">
        <f aca="false">[2]Mar!$Z$1</f>
        <v>600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1800</v>
      </c>
      <c r="DK74" s="57"/>
      <c r="DL74" s="36"/>
      <c r="DM74" s="36" t="n">
        <f aca="false">[2]Apr!$Z$1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1800</v>
      </c>
      <c r="DV74" s="57"/>
      <c r="DW74" s="36"/>
      <c r="DX74" s="36" t="n">
        <f aca="false">[2]May!$Z$1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1800</v>
      </c>
      <c r="EG74" s="54"/>
      <c r="EI74" s="54"/>
      <c r="EJ74" s="36" t="n">
        <f aca="false">SUM(EF74:EH74)</f>
        <v>1800</v>
      </c>
      <c r="EK74" s="54"/>
    </row>
    <row r="75" customFormat="false" ht="12" hidden="false" customHeight="false" outlineLevel="0" collapsed="false">
      <c r="A75" s="54"/>
      <c r="B75" s="54" t="s">
        <v>71</v>
      </c>
      <c r="C75" s="56" t="s">
        <v>174</v>
      </c>
      <c r="D75" s="57"/>
      <c r="E75" s="57"/>
      <c r="F75" s="36"/>
      <c r="G75" s="36" t="n">
        <f aca="false">[2]Jun!$AA$1</f>
        <v>60</v>
      </c>
      <c r="H75" s="36"/>
      <c r="I75" s="36"/>
      <c r="J75" s="36"/>
      <c r="K75" s="36"/>
      <c r="L75" s="36"/>
      <c r="N75" s="57"/>
      <c r="O75" s="36" t="n">
        <f aca="false">SUM(D75:N75)</f>
        <v>60</v>
      </c>
      <c r="P75" s="57"/>
      <c r="Q75" s="36"/>
      <c r="R75" s="36" t="n">
        <f aca="false">[2]Jul!$AA$1</f>
        <v>60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120</v>
      </c>
      <c r="AA75" s="57"/>
      <c r="AB75" s="36"/>
      <c r="AC75" s="36" t="n">
        <f aca="false">[2]Aug!$AA$1</f>
        <v>180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300</v>
      </c>
      <c r="AL75" s="57"/>
      <c r="AM75" s="36"/>
      <c r="AN75" s="36" t="n">
        <f aca="false">[2]Sep!$AA$1</f>
        <v>60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360</v>
      </c>
      <c r="AW75" s="57"/>
      <c r="AX75" s="36"/>
      <c r="AY75" s="36" t="n">
        <f aca="false">[2]Oct!$AA$1</f>
        <v>60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420</v>
      </c>
      <c r="BH75" s="57"/>
      <c r="BI75" s="36"/>
      <c r="BJ75" s="36" t="n">
        <f aca="false">[2]Nov!$AA$1</f>
        <v>60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480</v>
      </c>
      <c r="BS75" s="57"/>
      <c r="BT75" s="36"/>
      <c r="BU75" s="36" t="n">
        <f aca="false">[2]Dec!$AA$1</f>
        <v>60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540</v>
      </c>
      <c r="CD75" s="57"/>
      <c r="CE75" s="36"/>
      <c r="CF75" s="36" t="n">
        <f aca="false">[2]Jan!$AA$1</f>
        <v>60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600</v>
      </c>
      <c r="CO75" s="57"/>
      <c r="CP75" s="36"/>
      <c r="CQ75" s="36" t="n">
        <f aca="false">[2]Feb!$AA$1</f>
        <v>180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780</v>
      </c>
      <c r="CZ75" s="57"/>
      <c r="DA75" s="36"/>
      <c r="DB75" s="36" t="n">
        <f aca="false">[2]Mar!$AA$1</f>
        <v>60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840</v>
      </c>
      <c r="DK75" s="57"/>
      <c r="DL75" s="36"/>
      <c r="DM75" s="36" t="n">
        <f aca="false">[2]Apr!$AA$1</f>
        <v>60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900</v>
      </c>
      <c r="DV75" s="57"/>
      <c r="DW75" s="36"/>
      <c r="DX75" s="36" t="n">
        <f aca="false">[2]May!$AA$1</f>
        <v>60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960</v>
      </c>
      <c r="EG75" s="54"/>
      <c r="EI75" s="54"/>
      <c r="EJ75" s="36" t="n">
        <f aca="false">SUM(EF75:EH75)</f>
        <v>960</v>
      </c>
      <c r="EK75" s="54"/>
    </row>
    <row r="76" customFormat="false" ht="12" hidden="false" customHeight="false" outlineLevel="0" collapsed="false">
      <c r="A76" s="54"/>
      <c r="B76" s="54" t="s">
        <v>72</v>
      </c>
      <c r="C76" s="56" t="s">
        <v>195</v>
      </c>
      <c r="D76" s="57"/>
      <c r="E76" s="57"/>
      <c r="F76" s="36"/>
      <c r="G76" s="36" t="n">
        <f aca="false">[2]Jun!$AB$1</f>
        <v>0</v>
      </c>
      <c r="H76" s="36"/>
      <c r="I76" s="36"/>
      <c r="J76" s="36"/>
      <c r="K76" s="36"/>
      <c r="L76" s="36"/>
      <c r="N76" s="57"/>
      <c r="O76" s="36" t="n">
        <f aca="false">SUM(D76:N76)</f>
        <v>0</v>
      </c>
      <c r="P76" s="57"/>
      <c r="Q76" s="36"/>
      <c r="R76" s="36" t="n">
        <f aca="false">[2]Jul!$AB$1</f>
        <v>0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0</v>
      </c>
      <c r="AA76" s="57"/>
      <c r="AB76" s="36"/>
      <c r="AC76" s="36" t="n">
        <f aca="false">[2]Aug!$AB$1</f>
        <v>480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480</v>
      </c>
      <c r="AL76" s="57"/>
      <c r="AM76" s="36"/>
      <c r="AN76" s="36" t="n">
        <f aca="false">[2]Sep!$AB$1</f>
        <v>0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480</v>
      </c>
      <c r="AW76" s="57"/>
      <c r="AX76" s="36"/>
      <c r="AY76" s="36" t="n">
        <f aca="false">[2]Oct!$AB$1</f>
        <v>0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480</v>
      </c>
      <c r="BH76" s="57"/>
      <c r="BI76" s="36"/>
      <c r="BJ76" s="36" t="n">
        <f aca="false">[2]Nov!$AB$1</f>
        <v>0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480</v>
      </c>
      <c r="BS76" s="57"/>
      <c r="BT76" s="36"/>
      <c r="BU76" s="36" t="n">
        <f aca="false">[2]Dec!$AB$1</f>
        <v>0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480</v>
      </c>
      <c r="CD76" s="57"/>
      <c r="CE76" s="36"/>
      <c r="CF76" s="36" t="n">
        <f aca="false">[2]Jan!$AB$1</f>
        <v>360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840</v>
      </c>
      <c r="CO76" s="57"/>
      <c r="CP76" s="36"/>
      <c r="CQ76" s="36" t="n">
        <f aca="false">[2]Feb!$AB$1</f>
        <v>0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840</v>
      </c>
      <c r="CZ76" s="57"/>
      <c r="DA76" s="36"/>
      <c r="DB76" s="36" t="n">
        <f aca="false">[2]Mar!$AB$1</f>
        <v>0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840</v>
      </c>
      <c r="DK76" s="57"/>
      <c r="DL76" s="36"/>
      <c r="DM76" s="36" t="n">
        <f aca="false">[2]Apr!$AB$1</f>
        <v>96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936</v>
      </c>
      <c r="DV76" s="57"/>
      <c r="DW76" s="36"/>
      <c r="DX76" s="36" t="n">
        <f aca="false">[2]May!$AB$1</f>
        <v>0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936</v>
      </c>
      <c r="EG76" s="54"/>
      <c r="EI76" s="54"/>
      <c r="EJ76" s="36" t="n">
        <f aca="false">SUM(EF76:EH76)</f>
        <v>936</v>
      </c>
      <c r="EK76" s="54"/>
    </row>
    <row r="77" customFormat="false" ht="12" hidden="false" customHeight="false" outlineLevel="0" collapsed="false">
      <c r="A77" s="54"/>
      <c r="B77" s="54" t="s">
        <v>73</v>
      </c>
      <c r="C77" s="56" t="s">
        <v>196</v>
      </c>
      <c r="D77" s="57"/>
      <c r="E77" s="57"/>
      <c r="F77" s="36"/>
      <c r="G77" s="36" t="n">
        <f aca="false">[2]Jun!$AC$1</f>
        <v>1080</v>
      </c>
      <c r="H77" s="36"/>
      <c r="I77" s="36"/>
      <c r="J77" s="36"/>
      <c r="K77" s="36"/>
      <c r="L77" s="36"/>
      <c r="N77" s="57"/>
      <c r="O77" s="36" t="n">
        <f aca="false">SUM(D77:N77)</f>
        <v>1080</v>
      </c>
      <c r="P77" s="57"/>
      <c r="Q77" s="36"/>
      <c r="R77" s="36" t="n">
        <f aca="false">[2]Jul!$AC$1</f>
        <v>120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1200</v>
      </c>
      <c r="AA77" s="57"/>
      <c r="AB77" s="36"/>
      <c r="AC77" s="36" t="n">
        <f aca="false">[2]Aug!$AC$1</f>
        <v>0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1200</v>
      </c>
      <c r="AL77" s="57"/>
      <c r="AM77" s="36"/>
      <c r="AN77" s="36" t="n">
        <f aca="false">[2]Sep!$AC$1</f>
        <v>840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2040</v>
      </c>
      <c r="AW77" s="57"/>
      <c r="AX77" s="36"/>
      <c r="AY77" s="36" t="n">
        <f aca="false">[2]Oct!$AC$1</f>
        <v>120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2160</v>
      </c>
      <c r="BH77" s="57"/>
      <c r="BI77" s="36"/>
      <c r="BJ77" s="36" t="n">
        <f aca="false">[2]Nov!$AC$1</f>
        <v>0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2160</v>
      </c>
      <c r="BS77" s="57"/>
      <c r="BT77" s="36"/>
      <c r="BU77" s="36" t="n">
        <f aca="false">[2]Dec!$AC$1</f>
        <v>0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2160</v>
      </c>
      <c r="CD77" s="57"/>
      <c r="CE77" s="36"/>
      <c r="CF77" s="36" t="n">
        <f aca="false">[2]Jan!$AC$1</f>
        <v>120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2280</v>
      </c>
      <c r="CO77" s="57"/>
      <c r="CP77" s="36"/>
      <c r="CQ77" s="36" t="n">
        <f aca="false">[2]Feb!$AC$1</f>
        <v>0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2280</v>
      </c>
      <c r="CZ77" s="57"/>
      <c r="DA77" s="36"/>
      <c r="DB77" s="36" t="n">
        <f aca="false">[2]Mar!$AC$1</f>
        <v>0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2280</v>
      </c>
      <c r="DK77" s="57"/>
      <c r="DL77" s="36"/>
      <c r="DM77" s="36" t="n">
        <f aca="false">[2]Apr!$AC$1</f>
        <v>120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2400</v>
      </c>
      <c r="DV77" s="57"/>
      <c r="DW77" s="36"/>
      <c r="DX77" s="36" t="n">
        <f aca="false">[2]May!$AC$1</f>
        <v>0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2400</v>
      </c>
      <c r="EG77" s="54"/>
      <c r="EI77" s="54"/>
      <c r="EJ77" s="36" t="n">
        <f aca="false">SUM(EF77:EH77)</f>
        <v>2400</v>
      </c>
      <c r="EK77" s="54"/>
    </row>
    <row r="78" customFormat="false" ht="12" hidden="false" customHeight="false" outlineLevel="0" collapsed="false">
      <c r="A78" s="54"/>
      <c r="B78" s="54" t="s">
        <v>74</v>
      </c>
      <c r="C78" s="56" t="s">
        <v>197</v>
      </c>
      <c r="D78" s="57"/>
      <c r="E78" s="57"/>
      <c r="F78" s="36"/>
      <c r="G78" s="36" t="n">
        <f aca="false">[2]Jun!$AD$1</f>
        <v>960</v>
      </c>
      <c r="H78" s="36"/>
      <c r="I78" s="36"/>
      <c r="J78" s="36"/>
      <c r="K78" s="36"/>
      <c r="L78" s="36"/>
      <c r="N78" s="57"/>
      <c r="O78" s="36" t="n">
        <f aca="false">SUM(D78:N78)</f>
        <v>960</v>
      </c>
      <c r="P78" s="57"/>
      <c r="Q78" s="36"/>
      <c r="R78" s="36" t="n">
        <f aca="false">[2]Jul!$AD$1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960</v>
      </c>
      <c r="AA78" s="57"/>
      <c r="AB78" s="36"/>
      <c r="AC78" s="36" t="n">
        <f aca="false">[2]Aug!$AD$1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960</v>
      </c>
      <c r="AL78" s="57"/>
      <c r="AM78" s="36"/>
      <c r="AN78" s="36" t="n">
        <f aca="false">[2]Sep!$AD$1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960</v>
      </c>
      <c r="AW78" s="57"/>
      <c r="AX78" s="36"/>
      <c r="AY78" s="36" t="n">
        <f aca="false">[2]Oct!$AD$1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960</v>
      </c>
      <c r="BH78" s="57"/>
      <c r="BI78" s="36"/>
      <c r="BJ78" s="36" t="n">
        <f aca="false">[2]Nov!$AD$1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960</v>
      </c>
      <c r="BS78" s="57"/>
      <c r="BT78" s="36"/>
      <c r="BU78" s="36" t="n">
        <f aca="false">[2]Dec!$AD$1</f>
        <v>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960</v>
      </c>
      <c r="CD78" s="57"/>
      <c r="CE78" s="36"/>
      <c r="CF78" s="36" t="n">
        <f aca="false">[2]Jan!$AD$1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960</v>
      </c>
      <c r="CO78" s="57"/>
      <c r="CP78" s="36"/>
      <c r="CQ78" s="36" t="n">
        <f aca="false">[2]Feb!$AD$1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960</v>
      </c>
      <c r="CZ78" s="57"/>
      <c r="DA78" s="36"/>
      <c r="DB78" s="36" t="n">
        <f aca="false">[2]Mar!$AD$1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960</v>
      </c>
      <c r="DK78" s="57"/>
      <c r="DL78" s="36"/>
      <c r="DM78" s="36" t="n">
        <f aca="false">[2]Apr!$AD$1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960</v>
      </c>
      <c r="DV78" s="57"/>
      <c r="DW78" s="36"/>
      <c r="DX78" s="36" t="n">
        <f aca="false">[2]May!$AD$1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960</v>
      </c>
      <c r="EG78" s="54"/>
      <c r="EI78" s="54"/>
      <c r="EJ78" s="36" t="n">
        <f aca="false">SUM(EF78:EH78)</f>
        <v>960</v>
      </c>
      <c r="EK78" s="54"/>
    </row>
    <row r="79" customFormat="false" ht="12" hidden="false" customHeight="false" outlineLevel="0" collapsed="false">
      <c r="A79" s="54"/>
      <c r="B79" s="54" t="s">
        <v>75</v>
      </c>
      <c r="C79" s="56" t="s">
        <v>198</v>
      </c>
      <c r="D79" s="57"/>
      <c r="E79" s="57"/>
      <c r="F79" s="36"/>
      <c r="G79" s="36" t="n">
        <f aca="false">[2]Jun!$AE$1</f>
        <v>0</v>
      </c>
      <c r="H79" s="36"/>
      <c r="I79" s="36"/>
      <c r="J79" s="36"/>
      <c r="K79" s="36"/>
      <c r="L79" s="36"/>
      <c r="N79" s="57"/>
      <c r="O79" s="36" t="n">
        <f aca="false">SUM(D79:N79)</f>
        <v>0</v>
      </c>
      <c r="P79" s="57"/>
      <c r="Q79" s="36"/>
      <c r="R79" s="36" t="n">
        <f aca="false">[2]Jul!$AE$1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0</v>
      </c>
      <c r="AA79" s="57"/>
      <c r="AB79" s="36"/>
      <c r="AC79" s="36" t="n">
        <f aca="false">[2]Aug!$AE$1</f>
        <v>720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720</v>
      </c>
      <c r="AL79" s="57"/>
      <c r="AM79" s="36"/>
      <c r="AN79" s="36" t="n">
        <f aca="false">[2]Sep!$AE$1</f>
        <v>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720</v>
      </c>
      <c r="AW79" s="57"/>
      <c r="AX79" s="36"/>
      <c r="AY79" s="36" t="n">
        <f aca="false">[2]Oct!$AE$1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720</v>
      </c>
      <c r="BH79" s="57"/>
      <c r="BI79" s="36"/>
      <c r="BJ79" s="36" t="n">
        <f aca="false">[2]Nov!$AE$1</f>
        <v>720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1440</v>
      </c>
      <c r="BS79" s="57"/>
      <c r="BT79" s="36"/>
      <c r="BU79" s="36" t="n">
        <f aca="false">[2]Dec!$AE$1</f>
        <v>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1440</v>
      </c>
      <c r="CD79" s="57"/>
      <c r="CE79" s="36"/>
      <c r="CF79" s="36" t="n">
        <f aca="false">[2]Jan!$AE$1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1440</v>
      </c>
      <c r="CO79" s="57"/>
      <c r="CP79" s="36"/>
      <c r="CQ79" s="36" t="n">
        <f aca="false">[2]Feb!$AE$1</f>
        <v>720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2160</v>
      </c>
      <c r="CZ79" s="57"/>
      <c r="DA79" s="36"/>
      <c r="DB79" s="36" t="n">
        <f aca="false">[2]Mar!$AE$1</f>
        <v>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2160</v>
      </c>
      <c r="DK79" s="57"/>
      <c r="DL79" s="36"/>
      <c r="DM79" s="36" t="n">
        <f aca="false">[2]Apr!$AE$1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2160</v>
      </c>
      <c r="DV79" s="57"/>
      <c r="DW79" s="36"/>
      <c r="DX79" s="36" t="n">
        <f aca="false">[2]May!$AE$1</f>
        <v>720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2880</v>
      </c>
      <c r="EG79" s="54"/>
      <c r="EI79" s="54"/>
      <c r="EJ79" s="36" t="n">
        <f aca="false">SUM(EF79:EH79)</f>
        <v>2880</v>
      </c>
      <c r="EK79" s="54"/>
    </row>
    <row r="80" customFormat="false" ht="12" hidden="false" customHeight="false" outlineLevel="0" collapsed="false">
      <c r="A80" s="54"/>
      <c r="B80" s="54" t="s">
        <v>76</v>
      </c>
      <c r="C80" s="56" t="s">
        <v>199</v>
      </c>
      <c r="D80" s="57"/>
      <c r="E80" s="57"/>
      <c r="F80" s="36"/>
      <c r="G80" s="36" t="n">
        <f aca="false">[2]Jun!$AF$1</f>
        <v>300</v>
      </c>
      <c r="H80" s="36"/>
      <c r="I80" s="36"/>
      <c r="J80" s="36"/>
      <c r="K80" s="36"/>
      <c r="L80" s="36"/>
      <c r="N80" s="57"/>
      <c r="O80" s="36" t="n">
        <f aca="false">SUM(D80:N80)</f>
        <v>300</v>
      </c>
      <c r="P80" s="57"/>
      <c r="Q80" s="36"/>
      <c r="R80" s="36" t="n">
        <f aca="false">[2]Jul!$AF$1</f>
        <v>300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600</v>
      </c>
      <c r="AA80" s="57"/>
      <c r="AB80" s="36"/>
      <c r="AC80" s="36" t="n">
        <f aca="false">[2]Aug!$AF$1</f>
        <v>300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900</v>
      </c>
      <c r="AL80" s="57"/>
      <c r="AM80" s="36"/>
      <c r="AN80" s="36" t="n">
        <f aca="false">[2]Sep!$AF$1</f>
        <v>300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1200</v>
      </c>
      <c r="AW80" s="57"/>
      <c r="AX80" s="36"/>
      <c r="AY80" s="36" t="n">
        <f aca="false">[2]Oct!$AF$1</f>
        <v>300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1500</v>
      </c>
      <c r="BH80" s="57"/>
      <c r="BI80" s="36"/>
      <c r="BJ80" s="36" t="n">
        <f aca="false">[2]Nov!$AF$1</f>
        <v>300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1800</v>
      </c>
      <c r="BS80" s="57"/>
      <c r="BT80" s="36"/>
      <c r="BU80" s="36" t="n">
        <f aca="false">[2]Dec!$AF$1</f>
        <v>300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2100</v>
      </c>
      <c r="CD80" s="57"/>
      <c r="CE80" s="36"/>
      <c r="CF80" s="36" t="n">
        <f aca="false">[2]Jan!$AF$1</f>
        <v>300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2400</v>
      </c>
      <c r="CO80" s="57"/>
      <c r="CP80" s="36"/>
      <c r="CQ80" s="36" t="n">
        <f aca="false">[2]Feb!$AF$1</f>
        <v>300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2700</v>
      </c>
      <c r="CZ80" s="57"/>
      <c r="DA80" s="36"/>
      <c r="DB80" s="36" t="n">
        <f aca="false">[2]Mar!$AF$1</f>
        <v>300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3000</v>
      </c>
      <c r="DK80" s="57"/>
      <c r="DL80" s="36"/>
      <c r="DM80" s="36" t="n">
        <f aca="false">[2]Apr!$AF$1</f>
        <v>300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3300</v>
      </c>
      <c r="DV80" s="57"/>
      <c r="DW80" s="36"/>
      <c r="DX80" s="36" t="n">
        <f aca="false">[2]May!$AF$1</f>
        <v>2100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5400</v>
      </c>
      <c r="EG80" s="54"/>
      <c r="EI80" s="54"/>
      <c r="EJ80" s="36" t="n">
        <f aca="false">SUM(EF80:EH80)</f>
        <v>5400</v>
      </c>
      <c r="EK80" s="54"/>
    </row>
    <row r="81" customFormat="false" ht="12" hidden="false" customHeight="false" outlineLevel="0" collapsed="false">
      <c r="A81" s="54"/>
      <c r="B81" s="54" t="s">
        <v>77</v>
      </c>
      <c r="C81" s="56" t="s">
        <v>182</v>
      </c>
      <c r="D81" s="57"/>
      <c r="E81" s="57"/>
      <c r="F81" s="36" t="n">
        <f aca="false">-[3]Jun!$T$1</f>
        <v>-0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0</v>
      </c>
      <c r="P81" s="57"/>
      <c r="Q81" s="36" t="n">
        <f aca="false">-[3]Jul!$T$1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0</v>
      </c>
      <c r="AA81" s="57"/>
      <c r="AB81" s="36" t="n">
        <f aca="false">-[3]Aug!$T$1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0</v>
      </c>
      <c r="AL81" s="57"/>
      <c r="AM81" s="36" t="n">
        <f aca="false">-[3]Sep!$T$1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0</v>
      </c>
      <c r="AW81" s="57"/>
      <c r="AX81" s="36" t="n">
        <f aca="false">-[3]Oct!$T$1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0</v>
      </c>
      <c r="BH81" s="57"/>
      <c r="BI81" s="36" t="n">
        <f aca="false">-[3]Nov!$T$1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0</v>
      </c>
      <c r="BS81" s="57"/>
      <c r="BT81" s="36" t="n">
        <f aca="false">-[3]Dec!$T$1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0</v>
      </c>
      <c r="CD81" s="57"/>
      <c r="CE81" s="36" t="n">
        <f aca="false">-[3]Jan!$T$1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0</v>
      </c>
      <c r="CO81" s="57"/>
      <c r="CP81" s="36" t="n">
        <f aca="false">-[3]Feb!$T$1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0</v>
      </c>
      <c r="CZ81" s="57"/>
      <c r="DA81" s="36" t="n">
        <f aca="false">-[3]Mar!$T$1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0</v>
      </c>
      <c r="DK81" s="57"/>
      <c r="DL81" s="36" t="n">
        <f aca="false">-[3]Apr!$T$1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0</v>
      </c>
      <c r="DV81" s="57"/>
      <c r="DW81" s="36" t="n">
        <f aca="false">-[3]May!$T$1</f>
        <v>-300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78</v>
      </c>
      <c r="C82" s="56" t="s">
        <v>200</v>
      </c>
      <c r="D82" s="57"/>
      <c r="E82" s="57"/>
      <c r="F82" s="36"/>
      <c r="G82" s="36"/>
      <c r="H82" s="36" t="n">
        <f aca="false">[4]Jun!$AE$1</f>
        <v>0</v>
      </c>
      <c r="I82" s="36" t="n">
        <f aca="false">[5]Jun!$AE$1</f>
        <v>0</v>
      </c>
      <c r="J82" s="36" t="n">
        <f aca="false">[6]Jun!$AE$1</f>
        <v>0</v>
      </c>
      <c r="K82" s="36" t="n">
        <f aca="false">[7]Jun!$AB$1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[4]Jul!$AE$1</f>
        <v>0</v>
      </c>
      <c r="T82" s="36" t="n">
        <f aca="false">[5]Jul!$AE$1</f>
        <v>0</v>
      </c>
      <c r="U82" s="36" t="n">
        <f aca="false">[6]Jul!$AE$1</f>
        <v>0</v>
      </c>
      <c r="V82" s="36" t="n">
        <f aca="false">[7]Jul!$AB$1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[4]Aug!$AE$1</f>
        <v>0</v>
      </c>
      <c r="AE82" s="36" t="n">
        <f aca="false">[5]Aug!$AE$1</f>
        <v>0</v>
      </c>
      <c r="AF82" s="36" t="n">
        <f aca="false">[6]Aug!$AE$1</f>
        <v>0</v>
      </c>
      <c r="AG82" s="36" t="n">
        <f aca="false">[7]Aug!$AB$1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[4]Sep!$AE$1</f>
        <v>0</v>
      </c>
      <c r="AP82" s="36" t="n">
        <f aca="false">[5]Sep!$AE$1</f>
        <v>0</v>
      </c>
      <c r="AQ82" s="36" t="n">
        <f aca="false">[6]Sep!$AE$1</f>
        <v>0</v>
      </c>
      <c r="AR82" s="36" t="n">
        <f aca="false">[7]Sep!$AB$1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[4]Oct!$AE$1</f>
        <v>0</v>
      </c>
      <c r="BA82" s="36" t="n">
        <f aca="false">[5]Oct!$AE$1</f>
        <v>0</v>
      </c>
      <c r="BB82" s="36" t="n">
        <f aca="false">[6]Oct!$AE$1</f>
        <v>0</v>
      </c>
      <c r="BC82" s="36" t="n">
        <f aca="false">[7]Oct!$AB$1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[4]Nov!$AE$1</f>
        <v>0</v>
      </c>
      <c r="BL82" s="36" t="n">
        <f aca="false">[5]Nov!$AE$1</f>
        <v>0</v>
      </c>
      <c r="BM82" s="36" t="n">
        <f aca="false">[6]Nov!$AE$1</f>
        <v>0</v>
      </c>
      <c r="BN82" s="36" t="n">
        <f aca="false">[7]Nov!$AB$1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[4]Dec!$AE$1</f>
        <v>0</v>
      </c>
      <c r="BW82" s="36" t="n">
        <f aca="false">[5]Dec!$AE$1</f>
        <v>0</v>
      </c>
      <c r="BX82" s="36" t="n">
        <f aca="false">[6]Dec!$AE$1</f>
        <v>0</v>
      </c>
      <c r="BY82" s="36" t="n">
        <f aca="false">[7]Dec!$AB$1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[4]Jan!$AE$1</f>
        <v>0</v>
      </c>
      <c r="CH82" s="36" t="n">
        <f aca="false">[5]Jan!$AE$1</f>
        <v>0</v>
      </c>
      <c r="CI82" s="36" t="n">
        <f aca="false">[6]Jan!$AE$1</f>
        <v>0</v>
      </c>
      <c r="CJ82" s="36" t="n">
        <f aca="false">[7]Jan!$AB$1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[4]Feb!$AE$1</f>
        <v>0</v>
      </c>
      <c r="CS82" s="36" t="n">
        <f aca="false">[5]Feb!$AE$1</f>
        <v>0</v>
      </c>
      <c r="CT82" s="36" t="n">
        <f aca="false">[6]Feb!$AE$1</f>
        <v>0</v>
      </c>
      <c r="CU82" s="36" t="n">
        <f aca="false">[7]Feb!$AB$1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[4]Mar!$AE$1</f>
        <v>0</v>
      </c>
      <c r="DD82" s="36" t="n">
        <f aca="false">[5]Mar!$AE$1</f>
        <v>0</v>
      </c>
      <c r="DE82" s="36" t="n">
        <f aca="false">[6]Mar!$AE$1</f>
        <v>0</v>
      </c>
      <c r="DF82" s="36" t="n">
        <f aca="false">[7]Mar!$AB$1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[4]Apr!$AE$1</f>
        <v>0</v>
      </c>
      <c r="DO82" s="36" t="n">
        <f aca="false">[5]Apr!$AE$1</f>
        <v>0</v>
      </c>
      <c r="DP82" s="36" t="n">
        <f aca="false">[6]Apr!$AE$1</f>
        <v>0</v>
      </c>
      <c r="DQ82" s="36" t="n">
        <f aca="false">[7]Apr!$AB$1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[4]May!$AE$1</f>
        <v>0</v>
      </c>
      <c r="DZ82" s="36" t="n">
        <f aca="false">[5]May!$AE$1</f>
        <v>0</v>
      </c>
      <c r="EA82" s="36" t="n">
        <f aca="false">[6]May!$AE$1</f>
        <v>0</v>
      </c>
      <c r="EB82" s="36" t="n">
        <f aca="false">[7]May!$AB$1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79</v>
      </c>
      <c r="C83" s="56" t="s">
        <v>169</v>
      </c>
      <c r="D83" s="57"/>
      <c r="E83" s="57"/>
      <c r="F83" s="36"/>
      <c r="G83" s="36"/>
      <c r="H83" s="36" t="n">
        <f aca="false">[4]Jun!$AD$1</f>
        <v>0</v>
      </c>
      <c r="I83" s="36" t="n">
        <f aca="false">[5]Jun!$AD$1</f>
        <v>0</v>
      </c>
      <c r="J83" s="36" t="n">
        <f aca="false">[6]Jun!$AD$1</f>
        <v>0</v>
      </c>
      <c r="K83" s="36" t="n">
        <f aca="false">[7]Jun!$AA$1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[4]Jul!$AD$1</f>
        <v>0</v>
      </c>
      <c r="T83" s="36" t="n">
        <f aca="false">[5]Jul!$AD$1</f>
        <v>0</v>
      </c>
      <c r="U83" s="36" t="n">
        <f aca="false">[6]Jul!$AD$1</f>
        <v>0</v>
      </c>
      <c r="V83" s="36" t="n">
        <f aca="false">[7]Jul!$AA$1</f>
        <v>0</v>
      </c>
      <c r="W83" s="36"/>
      <c r="X83" s="36"/>
      <c r="Y83" s="54"/>
      <c r="Z83" s="36" t="n">
        <f aca="false">SUM(O83:Y83)</f>
        <v>0</v>
      </c>
      <c r="AA83" s="57"/>
      <c r="AB83" s="36"/>
      <c r="AC83" s="36"/>
      <c r="AD83" s="36" t="n">
        <f aca="false">[4]Aug!$AD$1</f>
        <v>0</v>
      </c>
      <c r="AE83" s="36" t="n">
        <f aca="false">[5]Aug!$AD$1</f>
        <v>0</v>
      </c>
      <c r="AF83" s="36" t="n">
        <f aca="false">[6]Aug!$AD$1</f>
        <v>0</v>
      </c>
      <c r="AG83" s="36" t="n">
        <f aca="false">[7]Aug!$AA$1</f>
        <v>0</v>
      </c>
      <c r="AH83" s="36"/>
      <c r="AI83" s="36"/>
      <c r="AJ83" s="54"/>
      <c r="AK83" s="36" t="n">
        <f aca="false">SUM(Z83:AJ83)</f>
        <v>0</v>
      </c>
      <c r="AL83" s="57"/>
      <c r="AM83" s="36"/>
      <c r="AN83" s="36"/>
      <c r="AO83" s="36" t="n">
        <f aca="false">[4]Sep!$AD$1</f>
        <v>0</v>
      </c>
      <c r="AP83" s="36" t="n">
        <f aca="false">[5]Sep!$AD$1</f>
        <v>0</v>
      </c>
      <c r="AQ83" s="36" t="n">
        <f aca="false">[6]Sep!$AD$1</f>
        <v>0</v>
      </c>
      <c r="AR83" s="36" t="n">
        <f aca="false">[7]Sep!$AA$1</f>
        <v>0</v>
      </c>
      <c r="AS83" s="36"/>
      <c r="AT83" s="36"/>
      <c r="AU83" s="54"/>
      <c r="AV83" s="36" t="n">
        <f aca="false">SUM(AK83:AU83)</f>
        <v>0</v>
      </c>
      <c r="AW83" s="57"/>
      <c r="AX83" s="36"/>
      <c r="AY83" s="36"/>
      <c r="AZ83" s="36" t="n">
        <f aca="false">[4]Oct!$AD$1</f>
        <v>0</v>
      </c>
      <c r="BA83" s="36" t="n">
        <f aca="false">[5]Oct!$AD$1</f>
        <v>0</v>
      </c>
      <c r="BB83" s="36" t="n">
        <f aca="false">[6]Oct!$AD$1</f>
        <v>0</v>
      </c>
      <c r="BC83" s="36" t="n">
        <f aca="false">[7]Oct!$AA$1</f>
        <v>0</v>
      </c>
      <c r="BD83" s="36"/>
      <c r="BE83" s="36"/>
      <c r="BF83" s="54"/>
      <c r="BG83" s="36" t="n">
        <f aca="false">SUM(AV83:BF83)</f>
        <v>0</v>
      </c>
      <c r="BH83" s="57"/>
      <c r="BI83" s="36"/>
      <c r="BJ83" s="36"/>
      <c r="BK83" s="36" t="n">
        <f aca="false">[4]Nov!$AD$1</f>
        <v>0</v>
      </c>
      <c r="BL83" s="36" t="n">
        <f aca="false">[5]Nov!$AD$1</f>
        <v>0</v>
      </c>
      <c r="BM83" s="36" t="n">
        <f aca="false">[6]Nov!$AD$1</f>
        <v>0</v>
      </c>
      <c r="BN83" s="36" t="n">
        <f aca="false">[7]Nov!$AA$1</f>
        <v>0</v>
      </c>
      <c r="BO83" s="36"/>
      <c r="BP83" s="36"/>
      <c r="BQ83" s="54"/>
      <c r="BR83" s="36" t="n">
        <f aca="false">SUM(BG83:BQ83)</f>
        <v>0</v>
      </c>
      <c r="BS83" s="57"/>
      <c r="BT83" s="36"/>
      <c r="BU83" s="36"/>
      <c r="BV83" s="36" t="n">
        <f aca="false">[4]Dec!$AD$1</f>
        <v>0</v>
      </c>
      <c r="BW83" s="36" t="n">
        <f aca="false">[5]Dec!$AD$1</f>
        <v>0</v>
      </c>
      <c r="BX83" s="36" t="n">
        <f aca="false">[6]Dec!$AD$1</f>
        <v>0</v>
      </c>
      <c r="BY83" s="36" t="n">
        <f aca="false">[7]Dec!$AA$1</f>
        <v>0</v>
      </c>
      <c r="BZ83" s="36"/>
      <c r="CA83" s="36"/>
      <c r="CB83" s="54"/>
      <c r="CC83" s="36" t="n">
        <f aca="false">SUM(BR83:CB83)</f>
        <v>0</v>
      </c>
      <c r="CD83" s="57"/>
      <c r="CE83" s="36"/>
      <c r="CF83" s="36"/>
      <c r="CG83" s="36" t="n">
        <f aca="false">[4]Jan!$AD$1</f>
        <v>0</v>
      </c>
      <c r="CH83" s="36" t="n">
        <f aca="false">[5]Jan!$AD$1</f>
        <v>0</v>
      </c>
      <c r="CI83" s="36" t="n">
        <f aca="false">[6]Jan!$AD$1</f>
        <v>0</v>
      </c>
      <c r="CJ83" s="36" t="n">
        <f aca="false">[7]Jan!$AA$1</f>
        <v>0</v>
      </c>
      <c r="CK83" s="36"/>
      <c r="CL83" s="36"/>
      <c r="CM83" s="54"/>
      <c r="CN83" s="36" t="n">
        <f aca="false">SUM(CC83:CM83)</f>
        <v>0</v>
      </c>
      <c r="CO83" s="57"/>
      <c r="CP83" s="36"/>
      <c r="CQ83" s="36"/>
      <c r="CR83" s="36" t="n">
        <f aca="false">[4]Feb!$AD$1</f>
        <v>0</v>
      </c>
      <c r="CS83" s="36" t="n">
        <f aca="false">[5]Feb!$AD$1</f>
        <v>0</v>
      </c>
      <c r="CT83" s="36" t="n">
        <f aca="false">[6]Feb!$AD$1</f>
        <v>0</v>
      </c>
      <c r="CU83" s="36" t="n">
        <f aca="false">[7]Feb!$AA$1</f>
        <v>0</v>
      </c>
      <c r="CV83" s="36"/>
      <c r="CW83" s="36"/>
      <c r="CX83" s="54"/>
      <c r="CY83" s="36" t="n">
        <f aca="false">SUM(CN83:CX83)</f>
        <v>0</v>
      </c>
      <c r="CZ83" s="57"/>
      <c r="DA83" s="36"/>
      <c r="DB83" s="36"/>
      <c r="DC83" s="36" t="n">
        <f aca="false">[4]Mar!$AD$1</f>
        <v>0</v>
      </c>
      <c r="DD83" s="36" t="n">
        <f aca="false">[5]Mar!$AD$1</f>
        <v>0</v>
      </c>
      <c r="DE83" s="36" t="n">
        <f aca="false">[6]Mar!$AD$1</f>
        <v>0</v>
      </c>
      <c r="DF83" s="36" t="n">
        <f aca="false">[7]Mar!$AA$1</f>
        <v>0</v>
      </c>
      <c r="DG83" s="36"/>
      <c r="DH83" s="36"/>
      <c r="DI83" s="54"/>
      <c r="DJ83" s="36" t="n">
        <f aca="false">SUM(CY83:DI83)</f>
        <v>0</v>
      </c>
      <c r="DK83" s="57"/>
      <c r="DL83" s="36"/>
      <c r="DM83" s="36"/>
      <c r="DN83" s="36" t="n">
        <f aca="false">[4]Apr!$AD$1</f>
        <v>0</v>
      </c>
      <c r="DO83" s="36" t="n">
        <f aca="false">[5]Apr!$AD$1</f>
        <v>0</v>
      </c>
      <c r="DP83" s="36" t="n">
        <f aca="false">[6]Apr!$AD$1</f>
        <v>0</v>
      </c>
      <c r="DQ83" s="36" t="n">
        <f aca="false">[7]Apr!$AA$1</f>
        <v>0</v>
      </c>
      <c r="DR83" s="36"/>
      <c r="DS83" s="36"/>
      <c r="DT83" s="54"/>
      <c r="DU83" s="36" t="n">
        <f aca="false">SUM(DJ83:DT83)</f>
        <v>0</v>
      </c>
      <c r="DV83" s="57"/>
      <c r="DW83" s="36"/>
      <c r="DX83" s="36"/>
      <c r="DY83" s="36" t="n">
        <f aca="false">[4]May!$AD$1</f>
        <v>0</v>
      </c>
      <c r="DZ83" s="36" t="n">
        <f aca="false">[5]May!$AD$1</f>
        <v>0</v>
      </c>
      <c r="EA83" s="36" t="n">
        <f aca="false">[6]May!$AD$1</f>
        <v>0</v>
      </c>
      <c r="EB83" s="36" t="n">
        <f aca="false">[7]May!$AA$1</f>
        <v>0</v>
      </c>
      <c r="EC83" s="36"/>
      <c r="ED83" s="36"/>
      <c r="EE83" s="54"/>
      <c r="EF83" s="36" t="n">
        <f aca="false">SUM(DU83:EE83)</f>
        <v>0</v>
      </c>
      <c r="EG83" s="54"/>
      <c r="EI83" s="54"/>
      <c r="EJ83" s="36" t="n">
        <f aca="false">SUM(EF83:EH83)</f>
        <v>0</v>
      </c>
      <c r="EK83" s="54"/>
    </row>
    <row r="84" customFormat="false" ht="12" hidden="false" customHeight="false" outlineLevel="0" collapsed="false">
      <c r="A84" s="54"/>
      <c r="B84" s="54" t="s">
        <v>80</v>
      </c>
      <c r="C84" s="56" t="s">
        <v>201</v>
      </c>
      <c r="D84" s="57"/>
      <c r="E84" s="57"/>
      <c r="F84" s="36"/>
      <c r="G84" s="36" t="n">
        <f aca="false">[2]Jun!$AG$1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[2]Jul!$AG$1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[2]Aug!$AG$1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[2]Sep!$AG$1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[2]Oct!$AG$1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[2]Nov!$AG$1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[2]Dec!$AG$1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[2]Jan!$AG$1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[2]Feb!$AG$1</f>
        <v>500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500</v>
      </c>
      <c r="CZ84" s="57"/>
      <c r="DA84" s="36"/>
      <c r="DB84" s="36" t="n">
        <f aca="false">[2]Mar!$AG$1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500</v>
      </c>
      <c r="DK84" s="57"/>
      <c r="DL84" s="36"/>
      <c r="DM84" s="36" t="n">
        <f aca="false">[2]Apr!$AG$1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500</v>
      </c>
      <c r="DV84" s="57"/>
      <c r="DW84" s="36"/>
      <c r="DX84" s="36" t="n">
        <f aca="false">[2]May!$AG$1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500</v>
      </c>
      <c r="EG84" s="54"/>
      <c r="EI84" s="54"/>
      <c r="EJ84" s="36" t="n">
        <f aca="false">SUM(EF84:EH84)</f>
        <v>500</v>
      </c>
      <c r="EK84" s="54"/>
    </row>
    <row r="85" customFormat="false" ht="12" hidden="false" customHeight="false" outlineLevel="0" collapsed="false">
      <c r="A85" s="54"/>
      <c r="B85" s="54" t="s">
        <v>81</v>
      </c>
      <c r="C85" s="56" t="s">
        <v>202</v>
      </c>
      <c r="D85" s="57"/>
      <c r="E85" s="57"/>
      <c r="F85" s="36"/>
      <c r="G85" s="36" t="n">
        <f aca="false">[2]Jun!$AH$1</f>
        <v>2400</v>
      </c>
      <c r="H85" s="36"/>
      <c r="I85" s="36"/>
      <c r="J85" s="36"/>
      <c r="K85" s="36"/>
      <c r="L85" s="36"/>
      <c r="N85" s="57"/>
      <c r="O85" s="36" t="n">
        <f aca="false">SUM(D85:N85)</f>
        <v>2400</v>
      </c>
      <c r="P85" s="57"/>
      <c r="Q85" s="36"/>
      <c r="R85" s="36" t="n">
        <f aca="false">[2]Jul!$AH$1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2400</v>
      </c>
      <c r="AA85" s="57"/>
      <c r="AB85" s="36"/>
      <c r="AC85" s="36" t="n">
        <f aca="false">[2]Aug!$AH$1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2400</v>
      </c>
      <c r="AL85" s="57"/>
      <c r="AM85" s="36"/>
      <c r="AN85" s="36" t="n">
        <f aca="false">[2]Sep!$AH$1</f>
        <v>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2400</v>
      </c>
      <c r="AW85" s="57"/>
      <c r="AX85" s="36"/>
      <c r="AY85" s="36" t="n">
        <f aca="false">[2]Oct!$AH$1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2400</v>
      </c>
      <c r="BH85" s="57"/>
      <c r="BI85" s="36"/>
      <c r="BJ85" s="36" t="n">
        <f aca="false">[2]Nov!$AH$1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2400</v>
      </c>
      <c r="BS85" s="57"/>
      <c r="BT85" s="36"/>
      <c r="BU85" s="36" t="n">
        <f aca="false">[2]Dec!$AH$1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2400</v>
      </c>
      <c r="CD85" s="57"/>
      <c r="CE85" s="36"/>
      <c r="CF85" s="36" t="n">
        <f aca="false">[2]Jan!$AH$1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2400</v>
      </c>
      <c r="CO85" s="57"/>
      <c r="CP85" s="36"/>
      <c r="CQ85" s="36" t="n">
        <f aca="false">[2]Feb!$AH$1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2400</v>
      </c>
      <c r="CZ85" s="57"/>
      <c r="DA85" s="36"/>
      <c r="DB85" s="36" t="n">
        <f aca="false">[2]Mar!$AH$1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2400</v>
      </c>
      <c r="DK85" s="57"/>
      <c r="DL85" s="36"/>
      <c r="DM85" s="36" t="n">
        <f aca="false">[2]Apr!$AH$1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2400</v>
      </c>
      <c r="DV85" s="57"/>
      <c r="DW85" s="36"/>
      <c r="DX85" s="36" t="n">
        <f aca="false">[2]May!$AH$1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2400</v>
      </c>
      <c r="EG85" s="54"/>
      <c r="EI85" s="54"/>
      <c r="EJ85" s="36" t="n">
        <f aca="false">SUM(EF85:EH85)</f>
        <v>2400</v>
      </c>
      <c r="EK85" s="54"/>
    </row>
    <row r="86" customFormat="false" ht="12" hidden="false" customHeight="false" outlineLevel="0" collapsed="false">
      <c r="A86" s="54"/>
      <c r="B86" s="54" t="s">
        <v>82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0</v>
      </c>
      <c r="N86" s="57"/>
      <c r="O86" s="36" t="n">
        <f aca="false">SUM(D86:N86)</f>
        <v>0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0</v>
      </c>
      <c r="Y86" s="54"/>
      <c r="Z86" s="36" t="n">
        <f aca="false">SUM(O86:Y86)</f>
        <v>0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0</v>
      </c>
      <c r="AJ86" s="54"/>
      <c r="AK86" s="36" t="n">
        <f aca="false">SUM(Z86:AJ86)</f>
        <v>0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0</v>
      </c>
      <c r="AU86" s="54"/>
      <c r="AV86" s="36" t="n">
        <f aca="false">SUM(AK86:AU86)</f>
        <v>0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0</v>
      </c>
      <c r="BF86" s="54"/>
      <c r="BG86" s="36" t="n">
        <f aca="false">SUM(AV86:BF86)</f>
        <v>0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0</v>
      </c>
      <c r="BQ86" s="54"/>
      <c r="BR86" s="36" t="n">
        <f aca="false">SUM(BG86:BQ86)</f>
        <v>0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0</v>
      </c>
      <c r="CB86" s="54"/>
      <c r="CC86" s="36" t="n">
        <f aca="false">SUM(BR86:CB86)</f>
        <v>0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0</v>
      </c>
      <c r="CM86" s="54"/>
      <c r="CN86" s="36" t="n">
        <f aca="false">SUM(CC86:CM86)</f>
        <v>0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0</v>
      </c>
      <c r="CX86" s="54"/>
      <c r="CY86" s="36" t="n">
        <f aca="false">SUM(CN86:CX86)</f>
        <v>0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0</v>
      </c>
      <c r="DI86" s="54"/>
      <c r="DJ86" s="36" t="n">
        <f aca="false">SUM(CY86:DI86)</f>
        <v>0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0</v>
      </c>
      <c r="DT86" s="54"/>
      <c r="DU86" s="36" t="n">
        <f aca="false">SUM(DJ86:DT86)</f>
        <v>0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0</v>
      </c>
      <c r="EE86" s="54"/>
      <c r="EF86" s="36" t="n">
        <f aca="false">SUM(DU86:EE86)</f>
        <v>0</v>
      </c>
      <c r="EG86" s="54"/>
      <c r="EI86" s="54"/>
      <c r="EJ86" s="36" t="n">
        <f aca="false">SUM(EF86:EH86)</f>
        <v>0</v>
      </c>
      <c r="EK86" s="54"/>
    </row>
    <row r="87" customFormat="false" ht="12" hidden="false" customHeight="false" outlineLevel="0" collapsed="false">
      <c r="A87" s="54"/>
      <c r="B87" s="54" t="s">
        <v>83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0</v>
      </c>
      <c r="N87" s="57"/>
      <c r="O87" s="36" t="n">
        <f aca="false">SUM(D87:N87)</f>
        <v>0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0</v>
      </c>
      <c r="Y87" s="54"/>
      <c r="Z87" s="36" t="n">
        <f aca="false">SUM(O87:Y87)</f>
        <v>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0</v>
      </c>
      <c r="AJ87" s="54"/>
      <c r="AK87" s="36" t="n">
        <f aca="false">SUM(Z87:AJ87)</f>
        <v>0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0</v>
      </c>
      <c r="AU87" s="54"/>
      <c r="AV87" s="36" t="n">
        <f aca="false">SUM(AK87:AU87)</f>
        <v>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0</v>
      </c>
      <c r="BF87" s="54"/>
      <c r="BG87" s="36" t="n">
        <f aca="false">SUM(AV87:BF87)</f>
        <v>0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0</v>
      </c>
      <c r="BQ87" s="54"/>
      <c r="BR87" s="36" t="n">
        <f aca="false">SUM(BG87:BQ87)</f>
        <v>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0</v>
      </c>
      <c r="CB87" s="54"/>
      <c r="CC87" s="36" t="n">
        <f aca="false">SUM(BR87:CB87)</f>
        <v>0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0</v>
      </c>
      <c r="CM87" s="54"/>
      <c r="CN87" s="36" t="n">
        <f aca="false">SUM(CC87:CM87)</f>
        <v>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0</v>
      </c>
      <c r="CX87" s="54"/>
      <c r="CY87" s="36" t="n">
        <f aca="false">SUM(CN87:CX87)</f>
        <v>0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0</v>
      </c>
      <c r="DI87" s="54"/>
      <c r="DJ87" s="36" t="n">
        <f aca="false">SUM(CY87:DI87)</f>
        <v>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0</v>
      </c>
      <c r="DT87" s="54"/>
      <c r="DU87" s="36" t="n">
        <f aca="false">SUM(DJ87:DT87)</f>
        <v>0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0</v>
      </c>
      <c r="EE87" s="54"/>
      <c r="EF87" s="36" t="n">
        <f aca="false">SUM(DU87:EE87)</f>
        <v>0</v>
      </c>
      <c r="EG87" s="54"/>
      <c r="EI87" s="54"/>
      <c r="EJ87" s="36" t="n">
        <f aca="false">SUM(EF87:EH87)</f>
        <v>0</v>
      </c>
      <c r="EK87" s="54"/>
    </row>
    <row r="88" customFormat="false" ht="12" hidden="false" customHeight="false" outlineLevel="0" collapsed="false">
      <c r="A88" s="54"/>
      <c r="B88" s="54" t="s">
        <v>203</v>
      </c>
      <c r="C88" s="56" t="s">
        <v>204</v>
      </c>
      <c r="D88" s="57"/>
      <c r="E88" s="57"/>
      <c r="F88" s="36"/>
      <c r="G88" s="36"/>
      <c r="H88" s="36" t="n">
        <f aca="false">-[4]Jun!$Q$1</f>
        <v>-0</v>
      </c>
      <c r="I88" s="36" t="n">
        <f aca="false">-[5]Jun!$Q$1</f>
        <v>-0</v>
      </c>
      <c r="J88" s="36" t="n">
        <f aca="false">-[6]Jun!$Q$1</f>
        <v>-0</v>
      </c>
      <c r="K88" s="36"/>
      <c r="L88" s="36"/>
      <c r="N88" s="57"/>
      <c r="O88" s="36" t="n">
        <f aca="false">SUM(D88:N88)</f>
        <v>0</v>
      </c>
      <c r="P88" s="57"/>
      <c r="Q88" s="36"/>
      <c r="R88" s="36"/>
      <c r="S88" s="36" t="n">
        <f aca="false">-[4]Jul!$Q$1</f>
        <v>-0</v>
      </c>
      <c r="T88" s="36" t="n">
        <f aca="false">-[5]Jul!$Q$1</f>
        <v>-0</v>
      </c>
      <c r="U88" s="36" t="n">
        <f aca="false">-[6]Jul!$Q$1</f>
        <v>-0</v>
      </c>
      <c r="V88" s="36"/>
      <c r="W88" s="36"/>
      <c r="X88" s="36"/>
      <c r="Y88" s="54"/>
      <c r="Z88" s="36" t="n">
        <f aca="false">SUM(O88:Y88)</f>
        <v>0</v>
      </c>
      <c r="AA88" s="57"/>
      <c r="AB88" s="36"/>
      <c r="AC88" s="36"/>
      <c r="AD88" s="36" t="n">
        <f aca="false">-[4]Aug!$Q$1</f>
        <v>-0</v>
      </c>
      <c r="AE88" s="36" t="n">
        <f aca="false">-[5]Aug!$Q$1</f>
        <v>-0</v>
      </c>
      <c r="AF88" s="36" t="n">
        <f aca="false">-[6]Aug!$Q$1</f>
        <v>-0</v>
      </c>
      <c r="AG88" s="36"/>
      <c r="AH88" s="36"/>
      <c r="AI88" s="36"/>
      <c r="AJ88" s="54"/>
      <c r="AK88" s="36" t="n">
        <f aca="false">SUM(Z88:AJ88)</f>
        <v>0</v>
      </c>
      <c r="AL88" s="57"/>
      <c r="AM88" s="36"/>
      <c r="AN88" s="36"/>
      <c r="AO88" s="36" t="n">
        <f aca="false">-[4]Sep!$Q$1</f>
        <v>-0</v>
      </c>
      <c r="AP88" s="36" t="n">
        <f aca="false">-[5]Sep!$Q$1</f>
        <v>-0</v>
      </c>
      <c r="AQ88" s="36" t="n">
        <f aca="false">-[6]Sep!$Q$1</f>
        <v>-0</v>
      </c>
      <c r="AR88" s="36"/>
      <c r="AS88" s="36"/>
      <c r="AT88" s="36"/>
      <c r="AU88" s="54"/>
      <c r="AV88" s="36" t="n">
        <f aca="false">SUM(AK88:AU88)</f>
        <v>0</v>
      </c>
      <c r="AW88" s="57"/>
      <c r="AX88" s="36"/>
      <c r="AY88" s="36"/>
      <c r="AZ88" s="36" t="n">
        <f aca="false">-[4]Oct!$Q$1</f>
        <v>-0</v>
      </c>
      <c r="BA88" s="36" t="n">
        <f aca="false">-[5]Oct!$Q$1</f>
        <v>-0</v>
      </c>
      <c r="BB88" s="36" t="n">
        <f aca="false">-[6]Oct!$Q$1</f>
        <v>-0</v>
      </c>
      <c r="BC88" s="36"/>
      <c r="BD88" s="36"/>
      <c r="BE88" s="36"/>
      <c r="BF88" s="54"/>
      <c r="BG88" s="36" t="n">
        <f aca="false">SUM(AV88:BF88)</f>
        <v>0</v>
      </c>
      <c r="BH88" s="57"/>
      <c r="BI88" s="36"/>
      <c r="BJ88" s="36"/>
      <c r="BK88" s="36" t="n">
        <f aca="false">-[4]Nov!$Q$1</f>
        <v>-0</v>
      </c>
      <c r="BL88" s="36" t="n">
        <f aca="false">-[5]Nov!$Q$1</f>
        <v>-0</v>
      </c>
      <c r="BM88" s="36" t="n">
        <f aca="false">-[6]Nov!$Q$1</f>
        <v>-0</v>
      </c>
      <c r="BN88" s="36"/>
      <c r="BO88" s="36"/>
      <c r="BP88" s="36"/>
      <c r="BQ88" s="54"/>
      <c r="BR88" s="36" t="n">
        <f aca="false">SUM(BG88:BQ88)</f>
        <v>0</v>
      </c>
      <c r="BS88" s="57"/>
      <c r="BT88" s="36"/>
      <c r="BU88" s="36"/>
      <c r="BV88" s="36" t="n">
        <f aca="false">-[4]Dec!$Q$1</f>
        <v>-0</v>
      </c>
      <c r="BW88" s="36" t="n">
        <f aca="false">-[5]Dec!$Q$1</f>
        <v>-0</v>
      </c>
      <c r="BX88" s="36" t="n">
        <f aca="false">-[6]Dec!$Q$1</f>
        <v>-0</v>
      </c>
      <c r="BY88" s="36"/>
      <c r="BZ88" s="36"/>
      <c r="CA88" s="36"/>
      <c r="CB88" s="54"/>
      <c r="CC88" s="36" t="n">
        <f aca="false">SUM(BR88:CB88)</f>
        <v>0</v>
      </c>
      <c r="CD88" s="57"/>
      <c r="CE88" s="36"/>
      <c r="CF88" s="36"/>
      <c r="CG88" s="36" t="n">
        <f aca="false">-[4]Jan!$Q$1</f>
        <v>-0</v>
      </c>
      <c r="CH88" s="36" t="n">
        <f aca="false">-[5]Jan!$Q$1</f>
        <v>-0</v>
      </c>
      <c r="CI88" s="36" t="n">
        <f aca="false">-[6]Jan!$Q$1</f>
        <v>-0</v>
      </c>
      <c r="CJ88" s="36"/>
      <c r="CK88" s="36"/>
      <c r="CL88" s="36"/>
      <c r="CM88" s="54"/>
      <c r="CN88" s="36" t="n">
        <f aca="false">SUM(CC88:CM88)</f>
        <v>0</v>
      </c>
      <c r="CO88" s="57"/>
      <c r="CP88" s="36"/>
      <c r="CQ88" s="36"/>
      <c r="CR88" s="36" t="n">
        <f aca="false">-[4]Feb!$Q$1</f>
        <v>-0</v>
      </c>
      <c r="CS88" s="36" t="n">
        <f aca="false">-[5]Feb!$Q$1</f>
        <v>-0</v>
      </c>
      <c r="CT88" s="36" t="n">
        <f aca="false">-[6]Feb!$Q$1</f>
        <v>-0</v>
      </c>
      <c r="CU88" s="36"/>
      <c r="CV88" s="36"/>
      <c r="CW88" s="36"/>
      <c r="CX88" s="54"/>
      <c r="CY88" s="36" t="n">
        <f aca="false">SUM(CN88:CX88)</f>
        <v>0</v>
      </c>
      <c r="CZ88" s="57"/>
      <c r="DA88" s="36"/>
      <c r="DB88" s="36"/>
      <c r="DC88" s="36" t="n">
        <f aca="false">-[4]Mar!$Q$1</f>
        <v>-0</v>
      </c>
      <c r="DD88" s="36" t="n">
        <f aca="false">-[5]Mar!$Q$1</f>
        <v>-0</v>
      </c>
      <c r="DE88" s="36" t="n">
        <f aca="false">-[6]Mar!$Q$1</f>
        <v>-0</v>
      </c>
      <c r="DF88" s="36"/>
      <c r="DG88" s="36"/>
      <c r="DH88" s="36"/>
      <c r="DI88" s="54"/>
      <c r="DJ88" s="36" t="n">
        <f aca="false">SUM(CY88:DI88)</f>
        <v>0</v>
      </c>
      <c r="DK88" s="57"/>
      <c r="DL88" s="36"/>
      <c r="DM88" s="36"/>
      <c r="DN88" s="36" t="n">
        <f aca="false">-[4]Apr!$Q$1</f>
        <v>-0</v>
      </c>
      <c r="DO88" s="36" t="n">
        <f aca="false">-[5]Apr!$Q$1</f>
        <v>-0</v>
      </c>
      <c r="DP88" s="36" t="n">
        <f aca="false">-[6]Apr!$Q$1</f>
        <v>-0</v>
      </c>
      <c r="DQ88" s="36"/>
      <c r="DR88" s="36"/>
      <c r="DS88" s="36"/>
      <c r="DT88" s="54"/>
      <c r="DU88" s="36" t="n">
        <f aca="false">SUM(DJ88:DT88)</f>
        <v>0</v>
      </c>
      <c r="DV88" s="57"/>
      <c r="DW88" s="36"/>
      <c r="DX88" s="36"/>
      <c r="DY88" s="36" t="n">
        <f aca="false">-[4]May!$Q$1</f>
        <v>-0</v>
      </c>
      <c r="DZ88" s="36" t="n">
        <f aca="false">-[5]May!$Q$1</f>
        <v>-0</v>
      </c>
      <c r="EA88" s="36" t="n">
        <f aca="false">-[6]May!$Q$1</f>
        <v>-0</v>
      </c>
      <c r="EB88" s="36"/>
      <c r="EC88" s="36"/>
      <c r="ED88" s="36"/>
      <c r="EE88" s="54"/>
      <c r="EF88" s="36" t="n">
        <f aca="false">SUM(DU88:EE88)</f>
        <v>0</v>
      </c>
      <c r="EG88" s="54"/>
      <c r="EI88" s="54"/>
      <c r="EJ88" s="36" t="n">
        <f aca="false">SUM(EF88:EH88)</f>
        <v>0</v>
      </c>
      <c r="EK88" s="54"/>
    </row>
    <row r="89" customFormat="false" ht="12" hidden="false" customHeight="false" outlineLevel="0" collapsed="false">
      <c r="A89" s="54"/>
      <c r="B89" s="54" t="s">
        <v>205</v>
      </c>
      <c r="C89" s="56" t="s">
        <v>204</v>
      </c>
      <c r="D89" s="57"/>
      <c r="E89" s="57"/>
      <c r="F89" s="36"/>
      <c r="G89" s="36"/>
      <c r="H89" s="36" t="n">
        <f aca="false">[4]Jun!$AN$1</f>
        <v>0</v>
      </c>
      <c r="I89" s="36" t="n">
        <f aca="false">[5]Jun!$AN$1</f>
        <v>0</v>
      </c>
      <c r="J89" s="36" t="n">
        <f aca="false">[6]Jun!$AN$1</f>
        <v>0</v>
      </c>
      <c r="K89" s="36"/>
      <c r="L89" s="36"/>
      <c r="N89" s="57"/>
      <c r="O89" s="36" t="n">
        <f aca="false">SUM(D89:N89)</f>
        <v>0</v>
      </c>
      <c r="P89" s="57"/>
      <c r="Q89" s="36"/>
      <c r="R89" s="36"/>
      <c r="S89" s="36" t="n">
        <f aca="false">[4]Jul!$AN$1</f>
        <v>0</v>
      </c>
      <c r="T89" s="36" t="n">
        <f aca="false">[5]Jul!$AN$1</f>
        <v>0</v>
      </c>
      <c r="U89" s="36" t="n">
        <f aca="false">[6]Jul!$AN$1</f>
        <v>0</v>
      </c>
      <c r="V89" s="36"/>
      <c r="W89" s="36"/>
      <c r="X89" s="36"/>
      <c r="Y89" s="54"/>
      <c r="Z89" s="36" t="n">
        <f aca="false">SUM(O89:Y89)</f>
        <v>0</v>
      </c>
      <c r="AA89" s="57"/>
      <c r="AB89" s="36"/>
      <c r="AC89" s="36"/>
      <c r="AD89" s="36" t="n">
        <f aca="false">[4]Aug!$AN$1</f>
        <v>0</v>
      </c>
      <c r="AE89" s="36" t="n">
        <f aca="false">[5]Aug!$AN$1</f>
        <v>0</v>
      </c>
      <c r="AF89" s="36" t="n">
        <f aca="false">[6]Aug!$AN$1</f>
        <v>0</v>
      </c>
      <c r="AG89" s="36"/>
      <c r="AH89" s="36"/>
      <c r="AI89" s="36"/>
      <c r="AJ89" s="54"/>
      <c r="AK89" s="36" t="n">
        <f aca="false">SUM(Z89:AJ89)</f>
        <v>0</v>
      </c>
      <c r="AL89" s="57"/>
      <c r="AM89" s="36"/>
      <c r="AN89" s="36"/>
      <c r="AO89" s="36" t="n">
        <f aca="false">[4]Sep!$AN$1</f>
        <v>0</v>
      </c>
      <c r="AP89" s="36" t="n">
        <f aca="false">[5]Sep!$AN$1</f>
        <v>0</v>
      </c>
      <c r="AQ89" s="36" t="n">
        <f aca="false">[6]Sep!$AN$1</f>
        <v>0</v>
      </c>
      <c r="AR89" s="36"/>
      <c r="AS89" s="36"/>
      <c r="AT89" s="36"/>
      <c r="AU89" s="54"/>
      <c r="AV89" s="36" t="n">
        <f aca="false">SUM(AK89:AU89)</f>
        <v>0</v>
      </c>
      <c r="AW89" s="57"/>
      <c r="AX89" s="36"/>
      <c r="AY89" s="36"/>
      <c r="AZ89" s="36" t="n">
        <f aca="false">[4]Oct!$AN$1</f>
        <v>0</v>
      </c>
      <c r="BA89" s="36" t="n">
        <f aca="false">[5]Oct!$AN$1</f>
        <v>0</v>
      </c>
      <c r="BB89" s="36" t="n">
        <f aca="false">[6]Oct!$AN$1</f>
        <v>0</v>
      </c>
      <c r="BC89" s="36"/>
      <c r="BD89" s="36"/>
      <c r="BE89" s="36"/>
      <c r="BF89" s="54"/>
      <c r="BG89" s="36" t="n">
        <f aca="false">SUM(AV89:BF89)</f>
        <v>0</v>
      </c>
      <c r="BH89" s="57"/>
      <c r="BI89" s="36"/>
      <c r="BJ89" s="36"/>
      <c r="BK89" s="36" t="n">
        <f aca="false">[4]Nov!$AN$1</f>
        <v>0</v>
      </c>
      <c r="BL89" s="36" t="n">
        <f aca="false">[5]Nov!$AN$1</f>
        <v>0</v>
      </c>
      <c r="BM89" s="36" t="n">
        <f aca="false">[6]Nov!$AN$1</f>
        <v>0</v>
      </c>
      <c r="BN89" s="36"/>
      <c r="BO89" s="36"/>
      <c r="BP89" s="36"/>
      <c r="BQ89" s="54"/>
      <c r="BR89" s="36" t="n">
        <f aca="false">SUM(BG89:BQ89)</f>
        <v>0</v>
      </c>
      <c r="BS89" s="57"/>
      <c r="BT89" s="36"/>
      <c r="BU89" s="36"/>
      <c r="BV89" s="36" t="n">
        <f aca="false">[4]Dec!$AN$1</f>
        <v>0</v>
      </c>
      <c r="BW89" s="36" t="n">
        <f aca="false">[5]Dec!$AN$1</f>
        <v>0</v>
      </c>
      <c r="BX89" s="36" t="n">
        <f aca="false">[6]Dec!$AN$1</f>
        <v>0</v>
      </c>
      <c r="BY89" s="36"/>
      <c r="BZ89" s="36"/>
      <c r="CA89" s="36"/>
      <c r="CB89" s="54"/>
      <c r="CC89" s="36" t="n">
        <f aca="false">SUM(BR89:CB89)</f>
        <v>0</v>
      </c>
      <c r="CD89" s="57"/>
      <c r="CE89" s="36"/>
      <c r="CF89" s="36"/>
      <c r="CG89" s="36" t="n">
        <f aca="false">[4]Jan!$AN$1</f>
        <v>0</v>
      </c>
      <c r="CH89" s="36" t="n">
        <f aca="false">[5]Jan!$AN$1</f>
        <v>0</v>
      </c>
      <c r="CI89" s="36" t="n">
        <f aca="false">[6]Jan!$AN$1</f>
        <v>0</v>
      </c>
      <c r="CJ89" s="36"/>
      <c r="CK89" s="36"/>
      <c r="CL89" s="36"/>
      <c r="CM89" s="54"/>
      <c r="CN89" s="36" t="n">
        <f aca="false">SUM(CC89:CM89)</f>
        <v>0</v>
      </c>
      <c r="CO89" s="57"/>
      <c r="CP89" s="36"/>
      <c r="CQ89" s="36"/>
      <c r="CR89" s="36" t="n">
        <f aca="false">[4]Feb!$AN$1</f>
        <v>0</v>
      </c>
      <c r="CS89" s="36" t="n">
        <f aca="false">[5]Feb!$AN$1</f>
        <v>0</v>
      </c>
      <c r="CT89" s="36" t="n">
        <f aca="false">[6]Feb!$AN$1</f>
        <v>0</v>
      </c>
      <c r="CU89" s="36"/>
      <c r="CV89" s="36"/>
      <c r="CW89" s="36"/>
      <c r="CX89" s="54"/>
      <c r="CY89" s="36" t="n">
        <f aca="false">SUM(CN89:CX89)</f>
        <v>0</v>
      </c>
      <c r="CZ89" s="57"/>
      <c r="DA89" s="36"/>
      <c r="DB89" s="36"/>
      <c r="DC89" s="36" t="n">
        <f aca="false">[4]Mar!$AN$1</f>
        <v>0</v>
      </c>
      <c r="DD89" s="36" t="n">
        <f aca="false">[5]Mar!$AN$1</f>
        <v>0</v>
      </c>
      <c r="DE89" s="36" t="n">
        <f aca="false">[6]Mar!$AN$1</f>
        <v>0</v>
      </c>
      <c r="DF89" s="36"/>
      <c r="DG89" s="36"/>
      <c r="DH89" s="36"/>
      <c r="DI89" s="54"/>
      <c r="DJ89" s="36" t="n">
        <f aca="false">SUM(CY89:DI89)</f>
        <v>0</v>
      </c>
      <c r="DK89" s="57"/>
      <c r="DL89" s="36"/>
      <c r="DM89" s="36"/>
      <c r="DN89" s="36" t="n">
        <f aca="false">[4]Apr!$AN$1</f>
        <v>0</v>
      </c>
      <c r="DO89" s="36" t="n">
        <f aca="false">[5]Apr!$AN$1</f>
        <v>0</v>
      </c>
      <c r="DP89" s="36" t="n">
        <f aca="false">[6]Apr!$AN$1</f>
        <v>0</v>
      </c>
      <c r="DQ89" s="36"/>
      <c r="DR89" s="36"/>
      <c r="DS89" s="36"/>
      <c r="DT89" s="54"/>
      <c r="DU89" s="36" t="n">
        <f aca="false">SUM(DJ89:DT89)</f>
        <v>0</v>
      </c>
      <c r="DV89" s="57"/>
      <c r="DW89" s="36"/>
      <c r="DX89" s="36"/>
      <c r="DY89" s="36" t="n">
        <f aca="false">[4]May!$AN$1</f>
        <v>0</v>
      </c>
      <c r="DZ89" s="36" t="n">
        <f aca="false">[5]May!$AN$1</f>
        <v>0</v>
      </c>
      <c r="EA89" s="36" t="n">
        <f aca="false">[6]May!$AN$1</f>
        <v>0</v>
      </c>
      <c r="EB89" s="36"/>
      <c r="EC89" s="36"/>
      <c r="ED89" s="36"/>
      <c r="EE89" s="54"/>
      <c r="EF89" s="36" t="n">
        <f aca="false">SUM(DU89:EE89)</f>
        <v>0</v>
      </c>
      <c r="EG89" s="54"/>
      <c r="EI89" s="54"/>
      <c r="EJ89" s="36" t="n">
        <f aca="false">SUM(EF89:EH89)</f>
        <v>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206</v>
      </c>
      <c r="C91" s="60"/>
      <c r="D91" s="36" t="n">
        <f aca="false">SUM(D4:D90)</f>
        <v>0</v>
      </c>
      <c r="E91" s="54"/>
      <c r="F91" s="36" t="n">
        <f aca="false">SUM(F4:F90)</f>
        <v>0</v>
      </c>
      <c r="G91" s="36" t="n">
        <f aca="false">SUM(G4:G90)</f>
        <v>0</v>
      </c>
      <c r="H91" s="36" t="n">
        <f aca="false">SUM(H4:H90)</f>
        <v>0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0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0</v>
      </c>
      <c r="P91" s="54"/>
      <c r="Q91" s="36" t="n">
        <f aca="false">SUM(Q4:Q90)</f>
        <v>0</v>
      </c>
      <c r="R91" s="36" t="n">
        <f aca="false">SUM(R4:R90)</f>
        <v>0</v>
      </c>
      <c r="S91" s="36" t="n">
        <f aca="false">SUM(S4:S90)</f>
        <v>0</v>
      </c>
      <c r="T91" s="36" t="n">
        <f aca="false">SUM(T4:T90)</f>
        <v>0</v>
      </c>
      <c r="U91" s="36" t="n">
        <f aca="false">SUM(U4:U90)</f>
        <v>0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0</v>
      </c>
      <c r="AA91" s="54"/>
      <c r="AB91" s="36" t="n">
        <f aca="false">SUM(AB4:AB90)</f>
        <v>0</v>
      </c>
      <c r="AC91" s="36" t="n">
        <f aca="false">SUM(AC4:AC90)</f>
        <v>0</v>
      </c>
      <c r="AD91" s="36" t="n">
        <f aca="false">SUM(AD4:AD90)</f>
        <v>0</v>
      </c>
      <c r="AE91" s="36" t="n">
        <f aca="false">SUM(AE4:AE90)</f>
        <v>0</v>
      </c>
      <c r="AF91" s="36" t="n">
        <f aca="false">SUM(AF4:AF90)</f>
        <v>0</v>
      </c>
      <c r="AG91" s="36" t="n">
        <f aca="false">SUM(AG4:AG90)</f>
        <v>0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0</v>
      </c>
      <c r="AL91" s="54"/>
      <c r="AM91" s="36" t="n">
        <f aca="false">SUM(AM4:AM90)</f>
        <v>0</v>
      </c>
      <c r="AN91" s="36" t="n">
        <f aca="false">SUM(AN4:AN90)</f>
        <v>0</v>
      </c>
      <c r="AO91" s="36" t="n">
        <f aca="false">SUM(AO4:AO90)</f>
        <v>0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0</v>
      </c>
      <c r="AW91" s="54"/>
      <c r="AX91" s="36" t="n">
        <f aca="false">SUM(AX4:AX90)</f>
        <v>9.54969436861575E-012</v>
      </c>
      <c r="AY91" s="36" t="n">
        <f aca="false">SUM(AY4:AY90)</f>
        <v>0</v>
      </c>
      <c r="AZ91" s="36" t="n">
        <f aca="false">SUM(AZ4:AZ90)</f>
        <v>0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1.04591890703887E-011</v>
      </c>
      <c r="BH91" s="54"/>
      <c r="BI91" s="36" t="n">
        <f aca="false">SUM(BI4:BI90)</f>
        <v>0</v>
      </c>
      <c r="BJ91" s="36" t="n">
        <f aca="false">SUM(BJ4:BJ90)</f>
        <v>0</v>
      </c>
      <c r="BK91" s="36" t="n">
        <f aca="false">SUM(BK4:BK90)</f>
        <v>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0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1.13686837721616E-011</v>
      </c>
      <c r="BS91" s="54"/>
      <c r="BT91" s="36" t="n">
        <f aca="false">SUM(BT4:BT90)</f>
        <v>0</v>
      </c>
      <c r="BU91" s="36" t="n">
        <f aca="false">SUM(BU4:BU90)</f>
        <v>0</v>
      </c>
      <c r="BV91" s="36" t="n">
        <f aca="false">SUM(BV4:BV90)</f>
        <v>0</v>
      </c>
      <c r="BW91" s="36" t="n">
        <f aca="false">SUM(BW4:BW90)</f>
        <v>0</v>
      </c>
      <c r="BX91" s="36" t="n">
        <f aca="false">SUM(BX4:BX90)</f>
        <v>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1.13686837721616E-011</v>
      </c>
      <c r="CD91" s="54"/>
      <c r="CE91" s="36" t="n">
        <f aca="false">SUM(CE4:CE90)</f>
        <v>0</v>
      </c>
      <c r="CF91" s="36" t="n">
        <f aca="false">SUM(CF4:CF90)</f>
        <v>0</v>
      </c>
      <c r="CG91" s="36" t="n">
        <f aca="false">SUM(CG4:CG90)</f>
        <v>0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1.13686837721616E-011</v>
      </c>
      <c r="CO91" s="54"/>
      <c r="CP91" s="36" t="n">
        <f aca="false">SUM(CP4:CP90)</f>
        <v>0</v>
      </c>
      <c r="CQ91" s="36" t="n">
        <f aca="false">SUM(CQ4:CQ90)</f>
        <v>0</v>
      </c>
      <c r="CR91" s="36" t="n">
        <f aca="false">SUM(CR4:CR90)</f>
        <v>0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1.13686837721616E-011</v>
      </c>
      <c r="CZ91" s="54"/>
      <c r="DA91" s="36" t="n">
        <f aca="false">SUM(DA4:DA90)</f>
        <v>0</v>
      </c>
      <c r="DB91" s="36" t="n">
        <f aca="false">SUM(DB4:DB90)</f>
        <v>0</v>
      </c>
      <c r="DC91" s="36" t="n">
        <f aca="false">SUM(DC4:DC90)</f>
        <v>0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1.13686837721616E-011</v>
      </c>
      <c r="DK91" s="54"/>
      <c r="DL91" s="36" t="n">
        <f aca="false">SUM(DL4:DL90)</f>
        <v>0</v>
      </c>
      <c r="DM91" s="36" t="n">
        <f aca="false">SUM(DM4:DM90)</f>
        <v>0</v>
      </c>
      <c r="DN91" s="36" t="n">
        <f aca="false">SUM(DN4:DN90)</f>
        <v>0</v>
      </c>
      <c r="DO91" s="36" t="n">
        <f aca="false">SUM(DO4:DO90)</f>
        <v>0</v>
      </c>
      <c r="DP91" s="36" t="n">
        <f aca="false">SUM(DP4:DP90)</f>
        <v>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2.04636307898909E-011</v>
      </c>
      <c r="DV91" s="54"/>
      <c r="DW91" s="36" t="n">
        <f aca="false">SUM(DW4:DW90)</f>
        <v>0</v>
      </c>
      <c r="DX91" s="36" t="n">
        <f aca="false">SUM(DX4:DX90)</f>
        <v>0</v>
      </c>
      <c r="DY91" s="36" t="n">
        <f aca="false">SUM(DY4:DY90)</f>
        <v>0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0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2.04636307898909E-011</v>
      </c>
      <c r="EG91" s="54"/>
      <c r="EH91" s="36" t="n">
        <f aca="false">SUM(EH4:EH90)</f>
        <v>0</v>
      </c>
      <c r="EI91" s="54"/>
      <c r="EJ91" s="36" t="n">
        <f aca="false">SUM(EJ4:EJ90)</f>
        <v>2.04636307898909E-011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207</v>
      </c>
      <c r="B1" s="63" t="s">
        <v>208</v>
      </c>
      <c r="C1" s="64" t="n">
        <f aca="false">Admin!B10</f>
        <v>46203</v>
      </c>
      <c r="D1" s="65" t="n">
        <f aca="false">Admin!B12</f>
        <v>46234</v>
      </c>
      <c r="E1" s="65" t="n">
        <f aca="false">Admin!B14</f>
        <v>46265</v>
      </c>
      <c r="F1" s="65" t="n">
        <f aca="false">Admin!B16</f>
        <v>46295</v>
      </c>
      <c r="G1" s="65" t="n">
        <f aca="false">Admin!B18</f>
        <v>46326</v>
      </c>
      <c r="H1" s="65" t="n">
        <f aca="false">Admin!B20</f>
        <v>46356</v>
      </c>
      <c r="I1" s="65" t="n">
        <f aca="false">Admin!B22</f>
        <v>46387</v>
      </c>
      <c r="J1" s="65" t="n">
        <f aca="false">Admin!B24</f>
        <v>46418</v>
      </c>
      <c r="K1" s="65" t="n">
        <f aca="false">Admin!B26</f>
        <v>46446</v>
      </c>
      <c r="L1" s="65" t="n">
        <f aca="false">Admin!B28</f>
        <v>46477</v>
      </c>
      <c r="M1" s="65" t="n">
        <f aca="false">Admin!B30</f>
        <v>46507</v>
      </c>
      <c r="N1" s="65" t="n">
        <f aca="false">Admin!B32</f>
        <v>46538</v>
      </c>
      <c r="O1" s="66"/>
    </row>
    <row r="2" customFormat="false" ht="12" hidden="false" customHeight="true" outlineLevel="0" collapsed="false">
      <c r="A2" s="62"/>
      <c r="B2" s="67" t="n">
        <f aca="false">Admin!B32</f>
        <v>46538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209</v>
      </c>
      <c r="C3" s="69" t="s">
        <v>209</v>
      </c>
      <c r="D3" s="69" t="s">
        <v>209</v>
      </c>
      <c r="E3" s="69" t="s">
        <v>209</v>
      </c>
      <c r="F3" s="69" t="s">
        <v>209</v>
      </c>
      <c r="G3" s="69" t="s">
        <v>209</v>
      </c>
      <c r="H3" s="69" t="s">
        <v>209</v>
      </c>
      <c r="I3" s="69" t="s">
        <v>209</v>
      </c>
      <c r="J3" s="69" t="s">
        <v>209</v>
      </c>
      <c r="K3" s="69" t="s">
        <v>209</v>
      </c>
      <c r="L3" s="69" t="s">
        <v>209</v>
      </c>
      <c r="M3" s="69" t="s">
        <v>209</v>
      </c>
      <c r="N3" s="69" t="s">
        <v>209</v>
      </c>
      <c r="O3" s="68"/>
    </row>
    <row r="4" customFormat="false" ht="12" hidden="false" customHeight="false" outlineLevel="0" collapsed="false">
      <c r="A4" s="70" t="s">
        <v>166</v>
      </c>
      <c r="B4" s="71" t="n">
        <f aca="false">SUM(C4:N4)</f>
        <v>77000</v>
      </c>
      <c r="C4" s="72" t="n">
        <f aca="false">-TrialBalance!O53-0</f>
        <v>5833.33333333333</v>
      </c>
      <c r="D4" s="72" t="n">
        <f aca="false">-TrialBalance!Z53-C4</f>
        <v>5833.33333333333</v>
      </c>
      <c r="E4" s="72" t="n">
        <f aca="false">-TrialBalance!AK53-SUM(C4:D4)</f>
        <v>5833.33333333333</v>
      </c>
      <c r="F4" s="72" t="n">
        <f aca="false">-TrialBalance!AV53-SUM(C4:E4)</f>
        <v>5833.33333333333</v>
      </c>
      <c r="G4" s="72" t="n">
        <f aca="false">-TrialBalance!BG53-SUM(C4:F4)</f>
        <v>5833.33333333333</v>
      </c>
      <c r="H4" s="72" t="n">
        <f aca="false">-TrialBalance!BR53-SUM(C4:G4)</f>
        <v>5833.33333333333</v>
      </c>
      <c r="I4" s="72" t="n">
        <f aca="false">-TrialBalance!CC53-SUM(C4:H4)</f>
        <v>7000</v>
      </c>
      <c r="J4" s="72" t="n">
        <f aca="false">-TrialBalance!CN53-SUM(C4:I4)</f>
        <v>7000</v>
      </c>
      <c r="K4" s="72" t="n">
        <f aca="false">-TrialBalance!CY53-SUM(C4:J4)</f>
        <v>7000</v>
      </c>
      <c r="L4" s="72" t="n">
        <f aca="false">-TrialBalance!DJ53-SUM(C4:K4)</f>
        <v>7000</v>
      </c>
      <c r="M4" s="72" t="n">
        <f aca="false">-TrialBalance!DU53-SUM(C4:L4)</f>
        <v>6999.99999999999</v>
      </c>
      <c r="N4" s="72" t="n">
        <f aca="false">-TrialBalance!EF53-SUM(C4:M4)</f>
        <v>7000</v>
      </c>
      <c r="O4" s="68"/>
    </row>
    <row r="5" customFormat="false" ht="12" hidden="false" customHeight="false" outlineLevel="0" collapsed="false">
      <c r="A5" s="70" t="s">
        <v>168</v>
      </c>
      <c r="B5" s="71" t="n">
        <f aca="false">SUM(C5:N5)</f>
        <v>4000</v>
      </c>
      <c r="C5" s="72" t="n">
        <f aca="false">-TrialBalance!O54-0</f>
        <v>1000</v>
      </c>
      <c r="D5" s="72" t="n">
        <f aca="false">-TrialBalance!Z54-C5</f>
        <v>0</v>
      </c>
      <c r="E5" s="72" t="n">
        <f aca="false">-TrialBalance!AK54-SUM(C5:D5)</f>
        <v>0</v>
      </c>
      <c r="F5" s="72" t="n">
        <f aca="false">-TrialBalance!AV54-SUM(C5:E5)</f>
        <v>1000</v>
      </c>
      <c r="G5" s="72" t="n">
        <f aca="false">-TrialBalance!BG54-SUM(C5:F5)</f>
        <v>0</v>
      </c>
      <c r="H5" s="72" t="n">
        <f aca="false">-TrialBalance!BR54-SUM(C5:G5)</f>
        <v>0</v>
      </c>
      <c r="I5" s="72" t="n">
        <f aca="false">-TrialBalance!CC54-SUM(C5:H5)</f>
        <v>1000</v>
      </c>
      <c r="J5" s="72" t="n">
        <f aca="false">-TrialBalance!CN54-SUM(C5:I5)</f>
        <v>0</v>
      </c>
      <c r="K5" s="72" t="n">
        <f aca="false">-TrialBalance!CY54-SUM(C5:J5)</f>
        <v>0</v>
      </c>
      <c r="L5" s="72" t="n">
        <f aca="false">-TrialBalance!DJ54-SUM(C5:K5)</f>
        <v>1000</v>
      </c>
      <c r="M5" s="72" t="n">
        <f aca="false">-TrialBalance!DU54-SUM(C5:L5)</f>
        <v>0</v>
      </c>
      <c r="N5" s="72" t="n">
        <f aca="false">-TrialBalance!EF54-SUM(C5:M5)</f>
        <v>0</v>
      </c>
      <c r="O5" s="68"/>
    </row>
    <row r="6" customFormat="false" ht="12" hidden="false" customHeight="false" outlineLevel="0" collapsed="false">
      <c r="A6" s="70" t="s">
        <v>170</v>
      </c>
      <c r="B6" s="71" t="n">
        <f aca="false">SUM(C6:N6)</f>
        <v>5000</v>
      </c>
      <c r="C6" s="72" t="n">
        <f aca="false">-TrialBalance!O55-0</f>
        <v>-0</v>
      </c>
      <c r="D6" s="72" t="n">
        <f aca="false">-TrialBalance!Z55-C6</f>
        <v>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0</v>
      </c>
      <c r="M6" s="72" t="n">
        <f aca="false">-TrialBalance!DU55-SUM(C6:L6)</f>
        <v>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85</v>
      </c>
      <c r="B7" s="71" t="n">
        <f aca="false">SUM(C7:N7)</f>
        <v>500</v>
      </c>
      <c r="C7" s="72" t="n">
        <f aca="false">-TrialBalance!O56</f>
        <v>-0</v>
      </c>
      <c r="D7" s="72" t="n">
        <f aca="false">-TrialBalance!Z56-C7</f>
        <v>0</v>
      </c>
      <c r="E7" s="72" t="n">
        <f aca="false">-TrialBalance!AK56-SUM(C7:D7)</f>
        <v>-0</v>
      </c>
      <c r="F7" s="72" t="n">
        <f aca="false">-TrialBalance!AV56-SUM(C7:E7)</f>
        <v>-0</v>
      </c>
      <c r="G7" s="72" t="n">
        <f aca="false">-TrialBalance!BG56-SUM(C7:F7)</f>
        <v>-0</v>
      </c>
      <c r="H7" s="72" t="n">
        <f aca="false">-TrialBalance!BR56-SUM(C7:G7)</f>
        <v>500</v>
      </c>
      <c r="I7" s="72" t="n">
        <f aca="false">-TrialBalance!CC56-SUM(C7:H7)</f>
        <v>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53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52</v>
      </c>
      <c r="B9" s="71" t="n">
        <f aca="false">SUM(B4:B8)</f>
        <v>88583.3333333333</v>
      </c>
      <c r="C9" s="74" t="n">
        <f aca="false">SUM(C4:C8)</f>
        <v>6833.33333333333</v>
      </c>
      <c r="D9" s="71" t="n">
        <f aca="false">SUM(D4:D8)</f>
        <v>5833.33333333333</v>
      </c>
      <c r="E9" s="71" t="n">
        <f aca="false">SUM(E4:E8)</f>
        <v>7833.33333333333</v>
      </c>
      <c r="F9" s="71" t="n">
        <f aca="false">SUM(F4:F8)</f>
        <v>6833.33333333333</v>
      </c>
      <c r="G9" s="71" t="n">
        <f aca="false">SUM(G4:G8)</f>
        <v>7916.66666666666</v>
      </c>
      <c r="H9" s="71" t="n">
        <f aca="false">SUM(H4:H8)</f>
        <v>6333.33333333333</v>
      </c>
      <c r="I9" s="71" t="n">
        <f aca="false">SUM(I4:I8)</f>
        <v>8000</v>
      </c>
      <c r="J9" s="71" t="n">
        <f aca="false">SUM(J4:J8)</f>
        <v>10000</v>
      </c>
      <c r="K9" s="71" t="n">
        <f aca="false">SUM(K4:K8)</f>
        <v>7000</v>
      </c>
      <c r="L9" s="71" t="n">
        <f aca="false">SUM(L4:L8)</f>
        <v>8000</v>
      </c>
      <c r="M9" s="71" t="n">
        <f aca="false">SUM(M4:M8)</f>
        <v>6999.99999999999</v>
      </c>
      <c r="N9" s="71" t="n">
        <f aca="false">SUM(N4:N8)</f>
        <v>7000</v>
      </c>
      <c r="O9" s="75"/>
    </row>
    <row r="10" s="76" customFormat="true" ht="10.5" hidden="false" customHeight="true" outlineLevel="0" collapsed="false">
      <c r="A10" s="77" t="s">
        <v>58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55</v>
      </c>
      <c r="B11" s="71" t="n">
        <f aca="false">SUM(C11:N11)</f>
        <v>2400</v>
      </c>
      <c r="C11" s="72" t="n">
        <f aca="false">TrialBalance!O60-0</f>
        <v>600</v>
      </c>
      <c r="D11" s="72" t="n">
        <f aca="false">TrialBalance!Z60-C11</f>
        <v>0</v>
      </c>
      <c r="E11" s="72" t="n">
        <f aca="false">TrialBalance!AK60-SUM(C11:D11)</f>
        <v>0</v>
      </c>
      <c r="F11" s="72" t="n">
        <f aca="false">TrialBalance!AV60-SUM(C11:E11)</f>
        <v>720</v>
      </c>
      <c r="G11" s="72" t="n">
        <f aca="false">TrialBalance!BG60-SUM(C11:F11)</f>
        <v>0</v>
      </c>
      <c r="H11" s="72" t="n">
        <f aca="false">TrialBalance!BR60-SUM(C11:G11)</f>
        <v>0</v>
      </c>
      <c r="I11" s="72" t="n">
        <f aca="false">TrialBalance!CC60-SUM(C11:H11)</f>
        <v>480</v>
      </c>
      <c r="J11" s="72" t="n">
        <f aca="false">TrialBalance!CN60-SUM(C11:I11)</f>
        <v>0</v>
      </c>
      <c r="K11" s="72" t="n">
        <f aca="false">TrialBalance!CY60-SUM(C11:J11)</f>
        <v>0</v>
      </c>
      <c r="L11" s="72" t="n">
        <f aca="false">TrialBalance!DJ60-SUM(C11:K11)</f>
        <v>600</v>
      </c>
      <c r="M11" s="72" t="n">
        <f aca="false">TrialBalance!DU60-SUM(C11:L11)</f>
        <v>0</v>
      </c>
      <c r="N11" s="72" t="n">
        <f aca="false">TrialBalance!EF60-SUM(C11:M11)</f>
        <v>0</v>
      </c>
      <c r="O11" s="68"/>
    </row>
    <row r="12" customFormat="false" ht="12" hidden="false" customHeight="false" outlineLevel="0" collapsed="false">
      <c r="A12" s="70" t="s">
        <v>57</v>
      </c>
      <c r="B12" s="71" t="n">
        <f aca="false">SUM(C12:N12)</f>
        <v>6000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3600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2400</v>
      </c>
      <c r="I12" s="72" t="n">
        <f aca="false">TrialBalance!CC61-SUM(C12:H12)</f>
        <v>0</v>
      </c>
      <c r="J12" s="72" t="n">
        <f aca="false">TrialBalance!CN61-SUM(C12:I12)</f>
        <v>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210</v>
      </c>
      <c r="B13" s="71" t="n">
        <f aca="false">SUM(C13:N13)</f>
        <v>720</v>
      </c>
      <c r="C13" s="79" t="n">
        <f aca="false">TrialBalance!O62-0</f>
        <v>0</v>
      </c>
      <c r="D13" s="72" t="n">
        <f aca="false">TrialBalance!Z62-C13</f>
        <v>360</v>
      </c>
      <c r="E13" s="72" t="n">
        <f aca="false">TrialBalance!AK62-SUM(C13:D13)</f>
        <v>0</v>
      </c>
      <c r="F13" s="79" t="n">
        <f aca="false">TrialBalance!AV62-SUM(C13:E13)</f>
        <v>0</v>
      </c>
      <c r="G13" s="72" t="n">
        <f aca="false">TrialBalance!BG62-SUM(C13:F13)</f>
        <v>0</v>
      </c>
      <c r="H13" s="72" t="n">
        <f aca="false">TrialBalance!BR62-SUM(C13:G13)</f>
        <v>0</v>
      </c>
      <c r="I13" s="72" t="n">
        <f aca="false">TrialBalance!CC62-SUM(C13:H13)</f>
        <v>0</v>
      </c>
      <c r="J13" s="72" t="n">
        <f aca="false">TrialBalance!CN62-SUM(C13:I13)</f>
        <v>360</v>
      </c>
      <c r="K13" s="72" t="n">
        <f aca="false">TrialBalance!CY62-SUM(C13:J13)</f>
        <v>0</v>
      </c>
      <c r="L13" s="72" t="n">
        <f aca="false">TrialBalance!DJ62-SUM(C13:K13)</f>
        <v>0</v>
      </c>
      <c r="M13" s="72" t="n">
        <f aca="false">TrialBalance!DU62-SUM(C13:L13)</f>
        <v>0</v>
      </c>
      <c r="N13" s="72" t="n">
        <f aca="false">TrialBalance!EF62-SUM(C13:M13)</f>
        <v>0</v>
      </c>
      <c r="O13" s="68"/>
    </row>
    <row r="14" s="76" customFormat="true" ht="12" hidden="false" customHeight="false" outlineLevel="0" collapsed="false">
      <c r="A14" s="73" t="s">
        <v>58</v>
      </c>
      <c r="B14" s="71" t="n">
        <f aca="false">SUM(B11:B13)</f>
        <v>9120</v>
      </c>
      <c r="C14" s="74" t="n">
        <f aca="false">SUM(C11:C13)</f>
        <v>600</v>
      </c>
      <c r="D14" s="71" t="n">
        <f aca="false">SUM(D11:D13)</f>
        <v>360</v>
      </c>
      <c r="E14" s="71" t="n">
        <f aca="false">SUM(E11:E13)</f>
        <v>3600</v>
      </c>
      <c r="F14" s="71" t="n">
        <f aca="false">SUM(F11:F13)</f>
        <v>720</v>
      </c>
      <c r="G14" s="71" t="n">
        <f aca="false">SUM(G11:G13)</f>
        <v>0</v>
      </c>
      <c r="H14" s="71" t="n">
        <f aca="false">SUM(H11:H13)</f>
        <v>2400</v>
      </c>
      <c r="I14" s="71" t="n">
        <f aca="false">SUM(I11:I13)</f>
        <v>480</v>
      </c>
      <c r="J14" s="71" t="n">
        <f aca="false">SUM(J11:J13)</f>
        <v>360</v>
      </c>
      <c r="K14" s="71" t="n">
        <f aca="false">SUM(K11:K13)</f>
        <v>0</v>
      </c>
      <c r="L14" s="71" t="n">
        <f aca="false">SUM(L11:L13)</f>
        <v>600</v>
      </c>
      <c r="M14" s="71" t="n">
        <f aca="false">SUM(M11:M13)</f>
        <v>0</v>
      </c>
      <c r="N14" s="71" t="n">
        <f aca="false">SUM(N11:N13)</f>
        <v>0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59</v>
      </c>
      <c r="B16" s="71" t="n">
        <f aca="false">B9-B14</f>
        <v>79463.3333333333</v>
      </c>
      <c r="C16" s="71" t="n">
        <f aca="false">C9-C14</f>
        <v>6233.33333333333</v>
      </c>
      <c r="D16" s="71" t="n">
        <f aca="false">D9-D14</f>
        <v>5473.33333333333</v>
      </c>
      <c r="E16" s="71" t="n">
        <f aca="false">E9-E14</f>
        <v>4233.33333333333</v>
      </c>
      <c r="F16" s="71" t="n">
        <f aca="false">F9-F14</f>
        <v>6113.33333333333</v>
      </c>
      <c r="G16" s="71" t="n">
        <f aca="false">G9-G14</f>
        <v>7916.66666666666</v>
      </c>
      <c r="H16" s="71" t="n">
        <f aca="false">H9-H14</f>
        <v>3933.33333333333</v>
      </c>
      <c r="I16" s="71" t="n">
        <f aca="false">I9-I14</f>
        <v>7520</v>
      </c>
      <c r="J16" s="71" t="n">
        <f aca="false">J9-J14</f>
        <v>9640</v>
      </c>
      <c r="K16" s="71" t="n">
        <f aca="false">K9-K14</f>
        <v>7000</v>
      </c>
      <c r="L16" s="71" t="n">
        <f aca="false">L9-L14</f>
        <v>7400</v>
      </c>
      <c r="M16" s="71" t="n">
        <f aca="false">M9-M14</f>
        <v>6999.99999999999</v>
      </c>
      <c r="N16" s="71" t="n">
        <f aca="false">N9-N14</f>
        <v>7000</v>
      </c>
      <c r="O16" s="75"/>
    </row>
    <row r="17" s="76" customFormat="true" ht="10.5" hidden="false" customHeight="true" outlineLevel="0" collapsed="false">
      <c r="A17" s="77" t="s">
        <v>60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61</v>
      </c>
      <c r="B18" s="71" t="n">
        <f aca="false">SUM(C18:N18)</f>
        <v>800</v>
      </c>
      <c r="C18" s="72" t="n">
        <f aca="false">TrialBalance!O64+TrialBalance!O65-0</f>
        <v>0</v>
      </c>
      <c r="D18" s="72" t="n">
        <f aca="false">TrialBalance!Z64+TrialBalance!Z65-C18</f>
        <v>0</v>
      </c>
      <c r="E18" s="72" t="n">
        <f aca="false">TrialBalance!AK64+TrialBalance!AK65-SUM(C18:D18)</f>
        <v>0</v>
      </c>
      <c r="F18" s="72" t="n">
        <f aca="false">TrialBalance!AV64+TrialBalance!AV65-SUM(C18:E18)</f>
        <v>0</v>
      </c>
      <c r="G18" s="72" t="n">
        <f aca="false">TrialBalance!BG64+TrialBalance!BG65-SUM(C18:F18)</f>
        <v>800</v>
      </c>
      <c r="H18" s="72" t="n">
        <f aca="false">TrialBalance!BR64+TrialBalance!BR65-SUM(C18:G18)</f>
        <v>0</v>
      </c>
      <c r="I18" s="72" t="n">
        <f aca="false">TrialBalance!CC64+TrialBalance!CC65-SUM(C18:H18)</f>
        <v>0</v>
      </c>
      <c r="J18" s="72" t="n">
        <f aca="false">TrialBalance!CN64+TrialBalance!CN65-SUM(C18:I18)</f>
        <v>0</v>
      </c>
      <c r="K18" s="72" t="n">
        <f aca="false">TrialBalance!CY64+TrialBalance!CY65-SUM(C18:J18)</f>
        <v>0</v>
      </c>
      <c r="L18" s="72" t="n">
        <f aca="false">TrialBalance!DJ64+TrialBalance!DJ65-SUM(C18:K18)</f>
        <v>0</v>
      </c>
      <c r="M18" s="72" t="n">
        <f aca="false">TrialBalance!DU64+TrialBalance!DU65-SUM(C18:L18)</f>
        <v>0</v>
      </c>
      <c r="N18" s="72" t="n">
        <f aca="false">TrialBalance!EF64+TrialBalance!EF65-SUM(C18:M18)</f>
        <v>0</v>
      </c>
      <c r="O18" s="68"/>
    </row>
    <row r="19" customFormat="false" ht="12" hidden="false" customHeight="false" outlineLevel="0" collapsed="false">
      <c r="A19" s="70" t="s">
        <v>62</v>
      </c>
      <c r="B19" s="71" t="n">
        <f aca="false">SUM(C19:N19)</f>
        <v>5000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5000</v>
      </c>
      <c r="L19" s="72" t="n">
        <f aca="false">TrialBalance!DJ66-SUM(C19:K19)</f>
        <v>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188</v>
      </c>
      <c r="B20" s="71" t="n">
        <f aca="false">SUM(C20:N20)</f>
        <v>0</v>
      </c>
      <c r="C20" s="72" t="n">
        <f aca="false">TrialBalance!O67-0</f>
        <v>0</v>
      </c>
      <c r="D20" s="72" t="n">
        <f aca="false">TrialBalance!Z67-C20</f>
        <v>0</v>
      </c>
      <c r="E20" s="72" t="n">
        <f aca="false">TrialBalance!AK67-SUM(C20:D20)</f>
        <v>0</v>
      </c>
      <c r="F20" s="72" t="n">
        <f aca="false">TrialBalance!AV67-SUM(C20:E20)</f>
        <v>0</v>
      </c>
      <c r="G20" s="72" t="n">
        <f aca="false">TrialBalance!BG67-SUM(C20:F20)</f>
        <v>0</v>
      </c>
      <c r="H20" s="72" t="n">
        <f aca="false">TrialBalance!BR67-SUM(C20:G20)</f>
        <v>0</v>
      </c>
      <c r="I20" s="72" t="n">
        <f aca="false">TrialBalance!CC67-SUM(C20:H20)</f>
        <v>0</v>
      </c>
      <c r="J20" s="72" t="n">
        <f aca="false">TrialBalance!CN67-SUM(C20:I20)</f>
        <v>0</v>
      </c>
      <c r="K20" s="72" t="n">
        <f aca="false">TrialBalance!CY67-SUM(C20:J20)</f>
        <v>0</v>
      </c>
      <c r="L20" s="72" t="n">
        <f aca="false">TrialBalance!DJ67-SUM(C20:K20)</f>
        <v>0</v>
      </c>
      <c r="M20" s="72" t="n">
        <f aca="false">TrialBalance!DU67-SUM(C20:L20)</f>
        <v>0</v>
      </c>
      <c r="N20" s="72" t="n">
        <f aca="false">TrialBalance!EF67-SUM(C20:M20)</f>
        <v>0</v>
      </c>
      <c r="O20" s="68"/>
    </row>
    <row r="21" customFormat="false" ht="12" hidden="false" customHeight="false" outlineLevel="0" collapsed="false">
      <c r="A21" s="81" t="s">
        <v>64</v>
      </c>
      <c r="B21" s="71" t="n">
        <f aca="false">SUM(C21:N21)</f>
        <v>14400</v>
      </c>
      <c r="C21" s="72" t="n">
        <f aca="false">TrialBalance!O68-0</f>
        <v>1200</v>
      </c>
      <c r="D21" s="72" t="n">
        <f aca="false">TrialBalance!Z68-C21</f>
        <v>1200</v>
      </c>
      <c r="E21" s="72" t="n">
        <f aca="false">TrialBalance!AK68-SUM(C21:D21)</f>
        <v>1200</v>
      </c>
      <c r="F21" s="72" t="n">
        <f aca="false">TrialBalance!AV68-SUM(C21:E21)</f>
        <v>1200</v>
      </c>
      <c r="G21" s="72" t="n">
        <f aca="false">TrialBalance!BG68-SUM(C21:F21)</f>
        <v>1200</v>
      </c>
      <c r="H21" s="72" t="n">
        <f aca="false">TrialBalance!BR68-SUM(C21:G21)</f>
        <v>1200</v>
      </c>
      <c r="I21" s="72" t="n">
        <f aca="false">TrialBalance!CC68-SUM(C21:H21)</f>
        <v>1200</v>
      </c>
      <c r="J21" s="72" t="n">
        <f aca="false">TrialBalance!CN68-SUM(C21:I21)</f>
        <v>1200</v>
      </c>
      <c r="K21" s="72" t="n">
        <f aca="false">TrialBalance!CY68-SUM(C21:J21)</f>
        <v>1200</v>
      </c>
      <c r="L21" s="72" t="n">
        <f aca="false">TrialBalance!DJ68-SUM(C21:K21)</f>
        <v>1200</v>
      </c>
      <c r="M21" s="72" t="n">
        <f aca="false">TrialBalance!DU68-SUM(C21:L21)</f>
        <v>1200</v>
      </c>
      <c r="N21" s="72" t="n">
        <f aca="false">TrialBalance!EF68-SUM(C21:M21)</f>
        <v>1200</v>
      </c>
      <c r="O21" s="68"/>
    </row>
    <row r="22" customFormat="false" ht="12" hidden="false" customHeight="false" outlineLevel="0" collapsed="false">
      <c r="A22" s="81" t="s">
        <v>65</v>
      </c>
      <c r="B22" s="71" t="n">
        <f aca="false">SUM(C22:N22)</f>
        <v>1440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360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360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0</v>
      </c>
      <c r="L22" s="72" t="n">
        <f aca="false">TrialBalance!DJ69-SUM(C22:K22)</f>
        <v>360</v>
      </c>
      <c r="M22" s="72" t="n">
        <f aca="false">TrialBalance!DU69-SUM(C22:L22)</f>
        <v>0</v>
      </c>
      <c r="N22" s="72" t="n">
        <f aca="false">TrialBalance!EF69-SUM(C22:M22)</f>
        <v>360</v>
      </c>
      <c r="O22" s="68"/>
    </row>
    <row r="23" customFormat="false" ht="12" hidden="false" customHeight="false" outlineLevel="0" collapsed="false">
      <c r="A23" s="81" t="s">
        <v>66</v>
      </c>
      <c r="B23" s="71" t="n">
        <f aca="false">SUM(C23:N23)</f>
        <v>720</v>
      </c>
      <c r="C23" s="72" t="n">
        <f aca="false">TrialBalance!O70-0</f>
        <v>0</v>
      </c>
      <c r="D23" s="72" t="n">
        <f aca="false">TrialBalance!Z70-C23</f>
        <v>480</v>
      </c>
      <c r="E23" s="72" t="n">
        <f aca="false">TrialBalance!AK70-SUM(C23:D23)</f>
        <v>0</v>
      </c>
      <c r="F23" s="72" t="n">
        <f aca="false">TrialBalance!AV70-SUM(C23:E23)</f>
        <v>0</v>
      </c>
      <c r="G23" s="72" t="n">
        <f aca="false">TrialBalance!BG70-SUM(C23:F23)</f>
        <v>0</v>
      </c>
      <c r="H23" s="72" t="n">
        <f aca="false">TrialBalance!BR70-SUM(C23:G23)</f>
        <v>0</v>
      </c>
      <c r="I23" s="72" t="n">
        <f aca="false">TrialBalance!CC70-SUM(C23:H23)</f>
        <v>0</v>
      </c>
      <c r="J23" s="72" t="n">
        <f aca="false">TrialBalance!CN70-SUM(C23:I23)</f>
        <v>240</v>
      </c>
      <c r="K23" s="72" t="n">
        <f aca="false">TrialBalance!CY70-SUM(C23:J23)</f>
        <v>0</v>
      </c>
      <c r="L23" s="72" t="n">
        <f aca="false">TrialBalance!DJ70-SUM(C23:K23)</f>
        <v>0</v>
      </c>
      <c r="M23" s="72" t="n">
        <f aca="false">TrialBalance!DU70-SUM(C23:L23)</f>
        <v>0</v>
      </c>
      <c r="N23" s="72" t="n">
        <f aca="false">TrialBalance!EF70-SUM(C23:M23)</f>
        <v>0</v>
      </c>
      <c r="O23" s="68"/>
    </row>
    <row r="24" customFormat="false" ht="12" hidden="false" customHeight="false" outlineLevel="0" collapsed="false">
      <c r="A24" s="81" t="s">
        <v>67</v>
      </c>
      <c r="B24" s="71" t="n">
        <f aca="false">SUM(C24:N24)</f>
        <v>960</v>
      </c>
      <c r="C24" s="72" t="n">
        <f aca="false">TrialBalance!O71-0</f>
        <v>0</v>
      </c>
      <c r="D24" s="72" t="n">
        <f aca="false">TrialBalance!Z71-C24</f>
        <v>0</v>
      </c>
      <c r="E24" s="72" t="n">
        <f aca="false">TrialBalance!AK71-SUM(C24:D24)</f>
        <v>0</v>
      </c>
      <c r="F24" s="72" t="n">
        <f aca="false">TrialBalance!AV71-SUM(C24:E24)</f>
        <v>960</v>
      </c>
      <c r="G24" s="72" t="n">
        <f aca="false">TrialBalance!BG71-SUM(C24:F24)</f>
        <v>0</v>
      </c>
      <c r="H24" s="72" t="n">
        <f aca="false">TrialBalance!BR71-SUM(C24:G24)</f>
        <v>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0</v>
      </c>
      <c r="M24" s="72" t="n">
        <f aca="false">TrialBalance!DU71-SUM(C24:L24)</f>
        <v>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68</v>
      </c>
      <c r="B25" s="71" t="n">
        <f aca="false">SUM(C25:N25)</f>
        <v>840</v>
      </c>
      <c r="C25" s="72" t="n">
        <f aca="false">TrialBalance!O72-0</f>
        <v>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0</v>
      </c>
      <c r="G25" s="72" t="n">
        <f aca="false">TrialBalance!BG72-SUM(C25:F25)</f>
        <v>0</v>
      </c>
      <c r="H25" s="72" t="n">
        <f aca="false">TrialBalance!BR72-SUM(C25:G25)</f>
        <v>480</v>
      </c>
      <c r="I25" s="72" t="n">
        <f aca="false">TrialBalance!CC72-SUM(C25:H25)</f>
        <v>0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0</v>
      </c>
      <c r="M25" s="72" t="n">
        <f aca="false">TrialBalance!DU72-SUM(C25:L25)</f>
        <v>360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69</v>
      </c>
      <c r="B26" s="71" t="n">
        <f aca="false">SUM(C26:N26)</f>
        <v>324</v>
      </c>
      <c r="C26" s="72" t="n">
        <f aca="false">TrialBalance!O73-0</f>
        <v>180</v>
      </c>
      <c r="D26" s="72" t="n">
        <f aca="false">TrialBalance!Z73-C26</f>
        <v>0</v>
      </c>
      <c r="E26" s="72" t="n">
        <f aca="false">TrialBalance!AK73-SUM(C26:D26)</f>
        <v>0</v>
      </c>
      <c r="F26" s="72" t="n">
        <f aca="false">TrialBalance!AV73-SUM(C26:E26)</f>
        <v>0</v>
      </c>
      <c r="G26" s="72" t="n">
        <f aca="false">TrialBalance!BG73-SUM(C26:F26)</f>
        <v>0</v>
      </c>
      <c r="H26" s="72" t="n">
        <f aca="false">TrialBalance!BR73-SUM(C26:G26)</f>
        <v>0</v>
      </c>
      <c r="I26" s="72" t="n">
        <f aca="false">TrialBalance!CC73-SUM(C26:H26)</f>
        <v>144</v>
      </c>
      <c r="J26" s="72" t="n">
        <f aca="false">TrialBalance!CN73-SUM(C26:I26)</f>
        <v>0</v>
      </c>
      <c r="K26" s="72" t="n">
        <f aca="false">TrialBalance!CY73-SUM(C26:J26)</f>
        <v>0</v>
      </c>
      <c r="L26" s="72" t="n">
        <f aca="false">TrialBalance!DJ73-SUM(C26:K26)</f>
        <v>0</v>
      </c>
      <c r="M26" s="72" t="n">
        <f aca="false">TrialBalance!DU73-SUM(C26:L26)</f>
        <v>0</v>
      </c>
      <c r="N26" s="72" t="n">
        <f aca="false">TrialBalance!EF73-SUM(C26:M26)</f>
        <v>0</v>
      </c>
      <c r="O26" s="68"/>
    </row>
    <row r="27" customFormat="false" ht="12" hidden="false" customHeight="false" outlineLevel="0" collapsed="false">
      <c r="A27" s="81" t="s">
        <v>70</v>
      </c>
      <c r="B27" s="71" t="n">
        <f aca="false">SUM(C27:N27)</f>
        <v>1800</v>
      </c>
      <c r="C27" s="72" t="n">
        <f aca="false">TrialBalance!O74-0</f>
        <v>0</v>
      </c>
      <c r="D27" s="72" t="n">
        <f aca="false">TrialBalance!Z74-C27</f>
        <v>1200</v>
      </c>
      <c r="E27" s="72" t="n">
        <f aca="false">TrialBalance!AK74-SUM(C27:D27)</f>
        <v>0</v>
      </c>
      <c r="F27" s="72" t="n">
        <f aca="false">TrialBalance!AV74-SUM(C27:E27)</f>
        <v>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600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71</v>
      </c>
      <c r="B28" s="71" t="n">
        <f aca="false">SUM(C28:N28)</f>
        <v>960</v>
      </c>
      <c r="C28" s="72" t="n">
        <f aca="false">TrialBalance!O75-0</f>
        <v>60</v>
      </c>
      <c r="D28" s="72" t="n">
        <f aca="false">TrialBalance!Z75-C28</f>
        <v>60</v>
      </c>
      <c r="E28" s="72" t="n">
        <f aca="false">TrialBalance!AK75-SUM(C28:D28)</f>
        <v>180</v>
      </c>
      <c r="F28" s="72" t="n">
        <f aca="false">TrialBalance!AV75-SUM(C28:E28)</f>
        <v>60</v>
      </c>
      <c r="G28" s="72" t="n">
        <f aca="false">TrialBalance!BG75-SUM(C28:F28)</f>
        <v>60</v>
      </c>
      <c r="H28" s="72" t="n">
        <f aca="false">TrialBalance!BR75-SUM(C28:G28)</f>
        <v>60</v>
      </c>
      <c r="I28" s="72" t="n">
        <f aca="false">TrialBalance!CC75-SUM(C28:H28)</f>
        <v>60</v>
      </c>
      <c r="J28" s="72" t="n">
        <f aca="false">TrialBalance!CN75-SUM(C28:I28)</f>
        <v>60</v>
      </c>
      <c r="K28" s="72" t="n">
        <f aca="false">TrialBalance!CY75-SUM(C28:J28)</f>
        <v>180</v>
      </c>
      <c r="L28" s="72" t="n">
        <f aca="false">TrialBalance!DJ75-SUM(C28:K28)</f>
        <v>60</v>
      </c>
      <c r="M28" s="72" t="n">
        <f aca="false">TrialBalance!DU75-SUM(C28:L28)</f>
        <v>60</v>
      </c>
      <c r="N28" s="72" t="n">
        <f aca="false">TrialBalance!EF75-SUM(C28:M28)</f>
        <v>60</v>
      </c>
      <c r="O28" s="68"/>
    </row>
    <row r="29" customFormat="false" ht="12" hidden="false" customHeight="false" outlineLevel="0" collapsed="false">
      <c r="A29" s="81" t="s">
        <v>72</v>
      </c>
      <c r="B29" s="71" t="n">
        <f aca="false">SUM(C29:N29)</f>
        <v>936</v>
      </c>
      <c r="C29" s="72" t="n">
        <f aca="false">TrialBalance!O76-0</f>
        <v>0</v>
      </c>
      <c r="D29" s="72" t="n">
        <f aca="false">TrialBalance!Z76-C29</f>
        <v>0</v>
      </c>
      <c r="E29" s="72" t="n">
        <f aca="false">TrialBalance!AK76-SUM(C29:D29)</f>
        <v>480</v>
      </c>
      <c r="F29" s="72" t="n">
        <f aca="false">TrialBalance!AV76-SUM(C29:E29)</f>
        <v>0</v>
      </c>
      <c r="G29" s="72" t="n">
        <f aca="false">TrialBalance!BG76-SUM(C29:F29)</f>
        <v>0</v>
      </c>
      <c r="H29" s="72" t="n">
        <f aca="false">TrialBalance!BR76-SUM(C29:G29)</f>
        <v>0</v>
      </c>
      <c r="I29" s="72" t="n">
        <f aca="false">TrialBalance!CC76-SUM(C29:H29)</f>
        <v>0</v>
      </c>
      <c r="J29" s="72" t="n">
        <f aca="false">TrialBalance!CN76-SUM(C29:I29)</f>
        <v>360</v>
      </c>
      <c r="K29" s="72" t="n">
        <f aca="false">TrialBalance!CY76-SUM(C29:J29)</f>
        <v>0</v>
      </c>
      <c r="L29" s="72" t="n">
        <f aca="false">TrialBalance!DJ76-SUM(C29:K29)</f>
        <v>0</v>
      </c>
      <c r="M29" s="72" t="n">
        <f aca="false">TrialBalance!DU76-SUM(C29:L29)</f>
        <v>96</v>
      </c>
      <c r="N29" s="72" t="n">
        <f aca="false">TrialBalance!EF76-SUM(C29:M29)</f>
        <v>0</v>
      </c>
      <c r="O29" s="68"/>
    </row>
    <row r="30" customFormat="false" ht="12" hidden="false" customHeight="false" outlineLevel="0" collapsed="false">
      <c r="A30" s="81" t="s">
        <v>73</v>
      </c>
      <c r="B30" s="71" t="n">
        <f aca="false">SUM(C30:N30)</f>
        <v>2400</v>
      </c>
      <c r="C30" s="72" t="n">
        <f aca="false">TrialBalance!O77-0</f>
        <v>1080</v>
      </c>
      <c r="D30" s="72" t="n">
        <f aca="false">TrialBalance!Z77-C30</f>
        <v>120</v>
      </c>
      <c r="E30" s="72" t="n">
        <f aca="false">TrialBalance!AK77-SUM(C30:D30)</f>
        <v>0</v>
      </c>
      <c r="F30" s="72" t="n">
        <f aca="false">TrialBalance!AV77-SUM(C30:E30)</f>
        <v>840</v>
      </c>
      <c r="G30" s="72" t="n">
        <f aca="false">TrialBalance!BG77-SUM(C30:F30)</f>
        <v>120</v>
      </c>
      <c r="H30" s="72" t="n">
        <f aca="false">TrialBalance!BR77-SUM(C30:G30)</f>
        <v>0</v>
      </c>
      <c r="I30" s="72" t="n">
        <f aca="false">TrialBalance!CC77-SUM(C30:H30)</f>
        <v>0</v>
      </c>
      <c r="J30" s="72" t="n">
        <f aca="false">TrialBalance!CN77-SUM(C30:I30)</f>
        <v>120</v>
      </c>
      <c r="K30" s="72" t="n">
        <f aca="false">TrialBalance!CY77-SUM(C30:J30)</f>
        <v>0</v>
      </c>
      <c r="L30" s="72" t="n">
        <f aca="false">TrialBalance!DJ77-SUM(C30:K30)</f>
        <v>0</v>
      </c>
      <c r="M30" s="72" t="n">
        <f aca="false">TrialBalance!DU77-SUM(C30:L30)</f>
        <v>120</v>
      </c>
      <c r="N30" s="72" t="n">
        <f aca="false">TrialBalance!EF77-SUM(C30:M30)</f>
        <v>0</v>
      </c>
      <c r="O30" s="68"/>
    </row>
    <row r="31" customFormat="false" ht="12" hidden="false" customHeight="false" outlineLevel="0" collapsed="false">
      <c r="A31" s="81" t="s">
        <v>74</v>
      </c>
      <c r="B31" s="71" t="n">
        <f aca="false">SUM(C31:N31)</f>
        <v>960</v>
      </c>
      <c r="C31" s="72" t="n">
        <f aca="false">TrialBalance!O78-0</f>
        <v>960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75</v>
      </c>
      <c r="B32" s="71" t="n">
        <f aca="false">SUM(C32:N32)</f>
        <v>2880</v>
      </c>
      <c r="C32" s="72" t="n">
        <f aca="false">TrialBalance!O79-0</f>
        <v>0</v>
      </c>
      <c r="D32" s="72" t="n">
        <f aca="false">TrialBalance!Z79-C32</f>
        <v>0</v>
      </c>
      <c r="E32" s="72" t="n">
        <f aca="false">TrialBalance!AK79-SUM(C32:D32)</f>
        <v>720</v>
      </c>
      <c r="F32" s="72" t="n">
        <f aca="false">TrialBalance!AV79-SUM(C32:E32)</f>
        <v>0</v>
      </c>
      <c r="G32" s="72" t="n">
        <f aca="false">TrialBalance!BG79-SUM(C32:F32)</f>
        <v>0</v>
      </c>
      <c r="H32" s="72" t="n">
        <f aca="false">TrialBalance!BR79-SUM(C32:G32)</f>
        <v>720</v>
      </c>
      <c r="I32" s="72" t="n">
        <f aca="false">TrialBalance!CC79-SUM(C32:H32)</f>
        <v>0</v>
      </c>
      <c r="J32" s="72" t="n">
        <f aca="false">TrialBalance!CN79-SUM(C32:I32)</f>
        <v>0</v>
      </c>
      <c r="K32" s="72" t="n">
        <f aca="false">TrialBalance!CY79-SUM(C32:J32)</f>
        <v>720</v>
      </c>
      <c r="L32" s="72" t="n">
        <f aca="false">TrialBalance!DJ79-SUM(C32:K32)</f>
        <v>0</v>
      </c>
      <c r="M32" s="72" t="n">
        <f aca="false">TrialBalance!DU79-SUM(C32:L32)</f>
        <v>0</v>
      </c>
      <c r="N32" s="72" t="n">
        <f aca="false">TrialBalance!EF79-SUM(C32:M32)</f>
        <v>720</v>
      </c>
      <c r="O32" s="68"/>
    </row>
    <row r="33" customFormat="false" ht="12" hidden="false" customHeight="false" outlineLevel="0" collapsed="false">
      <c r="A33" s="81" t="s">
        <v>76</v>
      </c>
      <c r="B33" s="71" t="n">
        <f aca="false">SUM(C33:N33)</f>
        <v>5400</v>
      </c>
      <c r="C33" s="72" t="n">
        <f aca="false">TrialBalance!O80-0</f>
        <v>300</v>
      </c>
      <c r="D33" s="72" t="n">
        <f aca="false">TrialBalance!Z80-C33</f>
        <v>300</v>
      </c>
      <c r="E33" s="72" t="n">
        <f aca="false">TrialBalance!AK80-SUM(C33:D33)</f>
        <v>300</v>
      </c>
      <c r="F33" s="72" t="n">
        <f aca="false">TrialBalance!AV80-SUM(C33:E33)</f>
        <v>300</v>
      </c>
      <c r="G33" s="72" t="n">
        <f aca="false">TrialBalance!BG80-SUM(C33:F33)</f>
        <v>300</v>
      </c>
      <c r="H33" s="72" t="n">
        <f aca="false">TrialBalance!BR80-SUM(C33:G33)</f>
        <v>300</v>
      </c>
      <c r="I33" s="72" t="n">
        <f aca="false">TrialBalance!CC80-SUM(C33:H33)</f>
        <v>300</v>
      </c>
      <c r="J33" s="72" t="n">
        <f aca="false">TrialBalance!CN80-SUM(C33:I33)</f>
        <v>300</v>
      </c>
      <c r="K33" s="72" t="n">
        <f aca="false">TrialBalance!CY80-SUM(C33:J33)</f>
        <v>300</v>
      </c>
      <c r="L33" s="72" t="n">
        <f aca="false">TrialBalance!DJ80-SUM(C33:K33)</f>
        <v>300</v>
      </c>
      <c r="M33" s="72" t="n">
        <f aca="false">TrialBalance!DU80-SUM(C33:L33)</f>
        <v>300</v>
      </c>
      <c r="N33" s="72" t="n">
        <f aca="false">TrialBalance!EF80-SUM(C33:M33)</f>
        <v>2100</v>
      </c>
      <c r="O33" s="68"/>
    </row>
    <row r="34" customFormat="false" ht="12" hidden="false" customHeight="false" outlineLevel="0" collapsed="false">
      <c r="A34" s="81" t="s">
        <v>77</v>
      </c>
      <c r="B34" s="71" t="n">
        <f aca="false">SUM(C34:N34)</f>
        <v>-300</v>
      </c>
      <c r="C34" s="72" t="n">
        <f aca="false">TrialBalance!O81-0</f>
        <v>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-300</v>
      </c>
      <c r="O34" s="68"/>
    </row>
    <row r="35" customFormat="false" ht="12" hidden="false" customHeight="false" outlineLevel="0" collapsed="false">
      <c r="A35" s="81" t="s">
        <v>78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79</v>
      </c>
      <c r="B36" s="71" t="n">
        <f aca="false">SUM(C36:N36)</f>
        <v>0</v>
      </c>
      <c r="C36" s="72" t="n">
        <f aca="false">TrialBalance!O83+TrialBalance!O88+TrialBalance!O89-0</f>
        <v>0</v>
      </c>
      <c r="D36" s="72" t="n">
        <f aca="false">TrialBalance!Z83+TrialBalance!Z88+TrialBalance!Z89-C36</f>
        <v>0</v>
      </c>
      <c r="E36" s="72" t="n">
        <f aca="false">TrialBalance!AK83+TrialBalance!AK88+TrialBalance!AK89-SUM(C36:D36)</f>
        <v>0</v>
      </c>
      <c r="F36" s="72" t="n">
        <f aca="false">TrialBalance!AV83+TrialBalance!AV88+TrialBalance!AV89-SUM(C36:E36)</f>
        <v>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0</v>
      </c>
      <c r="I36" s="72" t="n">
        <f aca="false">TrialBalance!CC83+TrialBalance!CC88+TrialBalance!CC89-SUM(C36:H36)</f>
        <v>0</v>
      </c>
      <c r="J36" s="72" t="n">
        <f aca="false">TrialBalance!CN83+TrialBalance!CN88+TrialBalance!CN89-SUM(C36:I36)</f>
        <v>0</v>
      </c>
      <c r="K36" s="72" t="n">
        <f aca="false">TrialBalance!CY83+TrialBalance!CY88+TrialBalance!CY89-SUM(C36:J36)</f>
        <v>0</v>
      </c>
      <c r="L36" s="72" t="n">
        <f aca="false">TrialBalance!DJ83+TrialBalance!DJ88+TrialBalance!DJ89-SUM(C36:K36)</f>
        <v>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0</v>
      </c>
      <c r="O36" s="68"/>
    </row>
    <row r="37" customFormat="false" ht="12" hidden="false" customHeight="false" outlineLevel="0" collapsed="false">
      <c r="A37" s="81" t="s">
        <v>80</v>
      </c>
      <c r="B37" s="71" t="n">
        <f aca="false">SUM(C37:N37)</f>
        <v>500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500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81</v>
      </c>
      <c r="B38" s="71" t="n">
        <f aca="false">SUM(C38:N38)</f>
        <v>2400</v>
      </c>
      <c r="C38" s="72" t="n">
        <f aca="false">TrialBalance!O85-0</f>
        <v>2400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82</v>
      </c>
      <c r="B39" s="71" t="n">
        <f aca="false">SUM(C39:N39)</f>
        <v>0</v>
      </c>
      <c r="C39" s="72" t="n">
        <f aca="false">TrialBalance!O86-0</f>
        <v>0</v>
      </c>
      <c r="D39" s="72" t="n">
        <f aca="false">TrialBalance!Z86-C39</f>
        <v>0</v>
      </c>
      <c r="E39" s="72" t="n">
        <f aca="false">TrialBalance!AK86-SUM(C39:D39)</f>
        <v>0</v>
      </c>
      <c r="F39" s="72" t="n">
        <f aca="false">TrialBalance!AV86-SUM(C39:E39)</f>
        <v>0</v>
      </c>
      <c r="G39" s="72" t="n">
        <f aca="false">TrialBalance!BG86-SUM(C39:F39)</f>
        <v>0</v>
      </c>
      <c r="H39" s="72" t="n">
        <f aca="false">TrialBalance!BR86-SUM(C39:G39)</f>
        <v>0</v>
      </c>
      <c r="I39" s="72" t="n">
        <f aca="false">TrialBalance!CC86-SUM(C39:H39)</f>
        <v>0</v>
      </c>
      <c r="J39" s="72" t="n">
        <f aca="false">TrialBalance!CN86-SUM(C39:I39)</f>
        <v>0</v>
      </c>
      <c r="K39" s="72" t="n">
        <f aca="false">TrialBalance!CY86-SUM(C39:J39)</f>
        <v>0</v>
      </c>
      <c r="L39" s="72" t="n">
        <f aca="false">TrialBalance!DJ86-SUM(C39:K39)</f>
        <v>0</v>
      </c>
      <c r="M39" s="72" t="n">
        <f aca="false">TrialBalance!DU86-SUM(C39:L39)</f>
        <v>0</v>
      </c>
      <c r="N39" s="72" t="n">
        <f aca="false">TrialBalance!EF86-SUM(C39:M39)</f>
        <v>0</v>
      </c>
      <c r="O39" s="68"/>
    </row>
    <row r="40" customFormat="false" ht="12" hidden="false" customHeight="false" outlineLevel="0" collapsed="false">
      <c r="A40" s="70" t="s">
        <v>83</v>
      </c>
      <c r="B40" s="71" t="n">
        <f aca="false">SUM(C40:N40)</f>
        <v>0</v>
      </c>
      <c r="C40" s="79" t="n">
        <f aca="false">TrialBalance!O87-0</f>
        <v>0</v>
      </c>
      <c r="D40" s="72" t="n">
        <f aca="false">TrialBalance!Z87-C40</f>
        <v>0</v>
      </c>
      <c r="E40" s="72" t="n">
        <f aca="false">TrialBalance!AK87-SUM(C40:D40)</f>
        <v>0</v>
      </c>
      <c r="F40" s="72" t="n">
        <f aca="false">TrialBalance!AV87-SUM(C40:E40)</f>
        <v>0</v>
      </c>
      <c r="G40" s="72" t="n">
        <f aca="false">TrialBalance!BG87-SUM(C40:F40)</f>
        <v>0</v>
      </c>
      <c r="H40" s="72" t="n">
        <f aca="false">TrialBalance!BR87-SUM(C40:G40)</f>
        <v>0</v>
      </c>
      <c r="I40" s="72" t="n">
        <f aca="false">TrialBalance!CC87-SUM(C40:H40)</f>
        <v>0</v>
      </c>
      <c r="J40" s="72" t="n">
        <f aca="false">TrialBalance!CN87-SUM(C40:I40)</f>
        <v>0</v>
      </c>
      <c r="K40" s="72" t="n">
        <f aca="false">TrialBalance!CY87-SUM(C40:J40)</f>
        <v>0</v>
      </c>
      <c r="L40" s="72" t="n">
        <f aca="false">TrialBalance!DJ87-SUM(C40:K40)</f>
        <v>0</v>
      </c>
      <c r="M40" s="72" t="n">
        <f aca="false">TrialBalance!DU87-SUM(C40:L40)</f>
        <v>0</v>
      </c>
      <c r="N40" s="72" t="n">
        <f aca="false">TrialBalance!EF87-SUM(C40:M40)</f>
        <v>0</v>
      </c>
      <c r="O40" s="68"/>
    </row>
    <row r="41" customFormat="false" ht="12" hidden="false" customHeight="false" outlineLevel="0" collapsed="false">
      <c r="A41" s="73" t="s">
        <v>60</v>
      </c>
      <c r="B41" s="71" t="n">
        <f aca="false">SUM(B18:B40)</f>
        <v>42420</v>
      </c>
      <c r="C41" s="74" t="n">
        <f aca="false">SUM(C18:C40)</f>
        <v>6180</v>
      </c>
      <c r="D41" s="71" t="n">
        <f aca="false">SUM(D18:D40)</f>
        <v>3360</v>
      </c>
      <c r="E41" s="71" t="n">
        <f aca="false">SUM(E18:E40)</f>
        <v>3240</v>
      </c>
      <c r="F41" s="71" t="n">
        <f aca="false">SUM(F18:F40)</f>
        <v>3360</v>
      </c>
      <c r="G41" s="71" t="n">
        <f aca="false">SUM(G18:G40)</f>
        <v>2480</v>
      </c>
      <c r="H41" s="71" t="n">
        <f aca="false">SUM(H18:H40)</f>
        <v>3120</v>
      </c>
      <c r="I41" s="71" t="n">
        <f aca="false">SUM(I18:I40)</f>
        <v>1704</v>
      </c>
      <c r="J41" s="71" t="n">
        <f aca="false">SUM(J18:J40)</f>
        <v>2280</v>
      </c>
      <c r="K41" s="71" t="n">
        <f aca="false">SUM(K18:K40)</f>
        <v>7900</v>
      </c>
      <c r="L41" s="71" t="n">
        <f aca="false">SUM(L18:L40)</f>
        <v>2520</v>
      </c>
      <c r="M41" s="71" t="n">
        <f aca="false">SUM(M18:M40)</f>
        <v>2136</v>
      </c>
      <c r="N41" s="71" t="n">
        <f aca="false">SUM(N18:N40)</f>
        <v>4140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84</v>
      </c>
      <c r="B43" s="71" t="n">
        <f aca="false">B16-B41</f>
        <v>37043.3333333333</v>
      </c>
      <c r="C43" s="71" t="n">
        <f aca="false">C16-C41</f>
        <v>53.3333333333303</v>
      </c>
      <c r="D43" s="71" t="n">
        <f aca="false">D16-D41</f>
        <v>2113.33333333333</v>
      </c>
      <c r="E43" s="71" t="n">
        <f aca="false">E16-E41</f>
        <v>993.333333333332</v>
      </c>
      <c r="F43" s="71" t="n">
        <f aca="false">F16-F41</f>
        <v>2753.33333333333</v>
      </c>
      <c r="G43" s="71" t="n">
        <f aca="false">G16-G41</f>
        <v>5436.66666666666</v>
      </c>
      <c r="H43" s="71" t="n">
        <f aca="false">H16-H41</f>
        <v>813.333333333329</v>
      </c>
      <c r="I43" s="71" t="n">
        <f aca="false">I16-I41</f>
        <v>5816</v>
      </c>
      <c r="J43" s="71" t="n">
        <f aca="false">J16-J41</f>
        <v>7360</v>
      </c>
      <c r="K43" s="71" t="n">
        <f aca="false">K16-K41</f>
        <v>-900</v>
      </c>
      <c r="L43" s="71" t="n">
        <f aca="false">L16-L41</f>
        <v>4880</v>
      </c>
      <c r="M43" s="71" t="n">
        <f aca="false">M16-M41</f>
        <v>4863.99999999999</v>
      </c>
      <c r="N43" s="71" t="n">
        <f aca="false">N16-N41</f>
        <v>2860</v>
      </c>
      <c r="O43" s="68"/>
    </row>
    <row r="44" customFormat="false" ht="12" hidden="false" customHeight="false" outlineLevel="0" collapsed="false">
      <c r="A44" s="70" t="s">
        <v>211</v>
      </c>
      <c r="B44" s="71" t="n">
        <f aca="false">SUM(C44:N44)</f>
        <v>0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-0</v>
      </c>
      <c r="I44" s="72" t="n">
        <f aca="false">-TrialBalance!CC58-SUM(C44:H44)</f>
        <v>-0</v>
      </c>
      <c r="J44" s="72" t="n">
        <f aca="false">-TrialBalance!CN58-SUM(C44:I44)</f>
        <v>-0</v>
      </c>
      <c r="K44" s="72" t="n">
        <f aca="false">-TrialBalance!CY58-SUM(C44:J44)</f>
        <v>-0</v>
      </c>
      <c r="L44" s="72" t="n">
        <f aca="false">-TrialBalance!DJ58-SUM(C44:K44)</f>
        <v>-0</v>
      </c>
      <c r="M44" s="72" t="n">
        <f aca="false">-TrialBalance!DU58-SUM(C44:L44)</f>
        <v>-0</v>
      </c>
      <c r="N44" s="72" t="n">
        <f aca="false">-TrialBalance!EF58-SUM(C44:M44)</f>
        <v>-0</v>
      </c>
      <c r="O44" s="68"/>
    </row>
    <row r="45" customFormat="false" ht="12" hidden="false" customHeight="false" outlineLevel="0" collapsed="false">
      <c r="A45" s="73" t="s">
        <v>86</v>
      </c>
      <c r="B45" s="71" t="n">
        <f aca="false">B43+B44</f>
        <v>37043.3333333333</v>
      </c>
      <c r="C45" s="71" t="n">
        <f aca="false">C43+C44</f>
        <v>53.3333333333303</v>
      </c>
      <c r="D45" s="71" t="n">
        <f aca="false">D43+D44</f>
        <v>2113.33333333333</v>
      </c>
      <c r="E45" s="71" t="n">
        <f aca="false">E43+E44</f>
        <v>993.333333333332</v>
      </c>
      <c r="F45" s="71" t="n">
        <f aca="false">F43+F44</f>
        <v>2753.33333333333</v>
      </c>
      <c r="G45" s="71" t="n">
        <f aca="false">G43+G44</f>
        <v>5436.66666666666</v>
      </c>
      <c r="H45" s="71" t="n">
        <f aca="false">H43+H44</f>
        <v>813.333333333329</v>
      </c>
      <c r="I45" s="71" t="n">
        <f aca="false">I43+I44</f>
        <v>5816</v>
      </c>
      <c r="J45" s="71" t="n">
        <f aca="false">J43+J44</f>
        <v>7360</v>
      </c>
      <c r="K45" s="71" t="n">
        <f aca="false">K43+K44</f>
        <v>-900</v>
      </c>
      <c r="L45" s="71" t="n">
        <f aca="false">L43+L44</f>
        <v>4880</v>
      </c>
      <c r="M45" s="71" t="n">
        <f aca="false">M43+M44</f>
        <v>4863.99999999999</v>
      </c>
      <c r="N45" s="71" t="n">
        <f aca="false">N43+N44</f>
        <v>2860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212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213</v>
      </c>
      <c r="D3" s="93" t="n">
        <f aca="false">Admin!B32</f>
        <v>46538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46173</v>
      </c>
      <c r="B5" s="97"/>
      <c r="C5" s="98"/>
      <c r="D5" s="98"/>
      <c r="E5" s="97" t="n">
        <f aca="false">D3</f>
        <v>46538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209</v>
      </c>
      <c r="B6" s="99" t="s">
        <v>209</v>
      </c>
      <c r="C6" s="100"/>
      <c r="D6" s="100"/>
      <c r="E6" s="99" t="s">
        <v>209</v>
      </c>
      <c r="F6" s="99" t="s">
        <v>209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52</v>
      </c>
      <c r="D7" s="101"/>
      <c r="F7" s="86" t="n">
        <f aca="false">-(TrialBalance!EJ53+TrialBalance!EJ54+TrialBalance!EJ55+TrialBalance!EJ56)</f>
        <v>86500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53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52</v>
      </c>
      <c r="D9" s="105"/>
      <c r="E9" s="103"/>
      <c r="F9" s="104" t="n">
        <f aca="false">SUM(F7:F8)</f>
        <v>88583.3333333333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58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214</v>
      </c>
      <c r="D12" s="107" t="n">
        <f aca="false">Admin!B9</f>
        <v>46174</v>
      </c>
      <c r="E12" s="86" t="n">
        <f aca="false">TrialBalance!D19</f>
        <v>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55</v>
      </c>
      <c r="D13" s="101"/>
      <c r="E13" s="86" t="n">
        <f aca="false">F14-E12+E14</f>
        <v>3120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215</v>
      </c>
      <c r="D14" s="107" t="n">
        <f aca="false">D3</f>
        <v>46538</v>
      </c>
      <c r="E14" s="86" t="n">
        <f aca="false">TrialBalance!EJ19</f>
        <v>0</v>
      </c>
      <c r="F14" s="86" t="n">
        <f aca="false">TrialBalance!EJ60+TrialBalance!EJ62</f>
        <v>3120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57</v>
      </c>
      <c r="D15" s="101"/>
      <c r="F15" s="102" t="n">
        <f aca="false">TrialBalance!EJ61</f>
        <v>6000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58</v>
      </c>
      <c r="D16" s="105"/>
      <c r="E16" s="103"/>
      <c r="F16" s="104" t="n">
        <f aca="false">SUM(F14:F15)</f>
        <v>9120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59</v>
      </c>
      <c r="D18" s="105"/>
      <c r="E18" s="103"/>
      <c r="F18" s="104" t="n">
        <f aca="false">F9-F16</f>
        <v>79463.3333333333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60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61</v>
      </c>
      <c r="D21" s="101"/>
      <c r="E21" s="86" t="n">
        <f aca="false">TrialBalance!EJ64+TrialBalance!EJ65</f>
        <v>800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62</v>
      </c>
      <c r="D22" s="101"/>
      <c r="E22" s="86" t="n">
        <f aca="false">TrialBalance!EJ66</f>
        <v>5000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63</v>
      </c>
      <c r="D23" s="101"/>
      <c r="E23" s="86" t="n">
        <f aca="false">TrialBalance!EJ67</f>
        <v>0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64</v>
      </c>
      <c r="D24" s="88"/>
      <c r="E24" s="86" t="n">
        <f aca="false">TrialBalance!EJ68</f>
        <v>14400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65</v>
      </c>
      <c r="D25" s="88"/>
      <c r="E25" s="86" t="n">
        <f aca="false">TrialBalance!EJ69</f>
        <v>1440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66</v>
      </c>
      <c r="D26" s="88"/>
      <c r="E26" s="86" t="n">
        <f aca="false">TrialBalance!EJ70</f>
        <v>720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67</v>
      </c>
      <c r="D27" s="88"/>
      <c r="E27" s="86" t="n">
        <f aca="false">TrialBalance!EJ71</f>
        <v>960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68</v>
      </c>
      <c r="D28" s="88"/>
      <c r="E28" s="86" t="n">
        <f aca="false">TrialBalance!EJ72</f>
        <v>840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69</v>
      </c>
      <c r="D29" s="88"/>
      <c r="E29" s="86" t="n">
        <f aca="false">TrialBalance!EJ73</f>
        <v>324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70</v>
      </c>
      <c r="D30" s="88"/>
      <c r="E30" s="86" t="n">
        <f aca="false">TrialBalance!EJ74</f>
        <v>1800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71</v>
      </c>
      <c r="D31" s="88"/>
      <c r="E31" s="86" t="n">
        <f aca="false">TrialBalance!EJ75</f>
        <v>960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72</v>
      </c>
      <c r="D32" s="88"/>
      <c r="E32" s="86" t="n">
        <f aca="false">TrialBalance!EJ76</f>
        <v>936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73</v>
      </c>
      <c r="D33" s="88"/>
      <c r="E33" s="86" t="n">
        <f aca="false">TrialBalance!EJ77</f>
        <v>2400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74</v>
      </c>
      <c r="D34" s="88"/>
      <c r="E34" s="86" t="n">
        <f aca="false">TrialBalance!EJ78</f>
        <v>960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75</v>
      </c>
      <c r="D35" s="88"/>
      <c r="E35" s="86" t="n">
        <f aca="false">TrialBalance!EJ79</f>
        <v>2880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76</v>
      </c>
      <c r="D36" s="88"/>
      <c r="E36" s="86" t="n">
        <f aca="false">TrialBalance!EJ80</f>
        <v>5400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77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78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79</v>
      </c>
      <c r="D39" s="88"/>
      <c r="E39" s="86" t="n">
        <f aca="false">TrialBalance!EJ83+TrialBalance!EJ88+TrialBalance!EJ89</f>
        <v>0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80</v>
      </c>
      <c r="D40" s="88"/>
      <c r="E40" s="86" t="n">
        <f aca="false">TrialBalance!EJ84</f>
        <v>500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81</v>
      </c>
      <c r="D41" s="88"/>
      <c r="E41" s="86" t="n">
        <f aca="false">TrialBalance!EJ85</f>
        <v>2400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82</v>
      </c>
      <c r="D42" s="101"/>
      <c r="E42" s="86" t="n">
        <f aca="false">TrialBalance!EJ86</f>
        <v>0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83</v>
      </c>
      <c r="D43" s="101"/>
      <c r="E43" s="86" t="n">
        <f aca="false">TrialBalance!EJ87</f>
        <v>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60</v>
      </c>
      <c r="D44" s="109"/>
      <c r="E44" s="103"/>
      <c r="F44" s="104" t="n">
        <f aca="false">SUM(E21:E43)</f>
        <v>42420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84</v>
      </c>
      <c r="D46" s="109"/>
      <c r="E46" s="103"/>
      <c r="F46" s="104" t="n">
        <f aca="false">F18-F44</f>
        <v>37043.3333333333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85</v>
      </c>
      <c r="D48" s="101"/>
      <c r="F48" s="86" t="n">
        <f aca="false">-TrialBalance!EJ58</f>
        <v>-0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86</v>
      </c>
      <c r="D49" s="106"/>
      <c r="E49" s="103"/>
      <c r="F49" s="104" t="n">
        <f aca="false">F46+F48</f>
        <v>37043.3333333333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87</v>
      </c>
      <c r="D50" s="101"/>
      <c r="F50" s="86" t="n">
        <f aca="false">TrialBalance!EJ47</f>
        <v>7494.23333333333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88</v>
      </c>
      <c r="D51" s="106"/>
      <c r="E51" s="103"/>
      <c r="F51" s="104" t="n">
        <f aca="false">F49-F50</f>
        <v>29549.1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89</v>
      </c>
      <c r="D52" s="101"/>
      <c r="F52" s="86" t="n">
        <f aca="false">TrialBalance!EJ48</f>
        <v>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209</v>
      </c>
      <c r="B54" s="104" t="n">
        <f aca="false">B51-B52</f>
        <v>0</v>
      </c>
      <c r="C54" s="106" t="s">
        <v>90</v>
      </c>
      <c r="D54" s="106"/>
      <c r="E54" s="110" t="s">
        <v>209</v>
      </c>
      <c r="F54" s="104" t="n">
        <f aca="false">F51-F52</f>
        <v>29549.1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216</v>
      </c>
      <c r="D1" s="111"/>
      <c r="E1" s="90"/>
    </row>
    <row r="2" customFormat="false" ht="12" hidden="false" customHeight="false" outlineLevel="0" collapsed="false">
      <c r="C2" s="112" t="s">
        <v>217</v>
      </c>
      <c r="D2" s="113" t="n">
        <f aca="false">'PubP&amp;L'!D3</f>
        <v>46538</v>
      </c>
    </row>
    <row r="3" customFormat="false" ht="12" hidden="false" customHeight="true" outlineLevel="0" collapsed="false">
      <c r="A3" s="97" t="n">
        <f aca="false">'PubP&amp;L'!A5</f>
        <v>46173</v>
      </c>
      <c r="B3" s="97"/>
      <c r="E3" s="97" t="n">
        <f aca="false">'PubP&amp;L'!E5</f>
        <v>46538</v>
      </c>
      <c r="F3" s="97"/>
    </row>
    <row r="4" s="114" customFormat="true" ht="12" hidden="false" customHeight="false" outlineLevel="0" collapsed="false">
      <c r="A4" s="99" t="s">
        <v>209</v>
      </c>
      <c r="B4" s="99" t="s">
        <v>209</v>
      </c>
      <c r="C4" s="88"/>
      <c r="D4" s="88"/>
      <c r="E4" s="99" t="s">
        <v>209</v>
      </c>
      <c r="F4" s="99" t="s">
        <v>209</v>
      </c>
    </row>
    <row r="6" customFormat="false" ht="12" hidden="false" customHeight="false" outlineLevel="0" collapsed="false">
      <c r="A6" s="115"/>
      <c r="B6" s="116" t="n">
        <f aca="false">SUM(TrialBalance!D6:D17)</f>
        <v>0</v>
      </c>
      <c r="C6" s="117" t="s">
        <v>21</v>
      </c>
      <c r="D6" s="117"/>
      <c r="E6" s="115"/>
      <c r="F6" s="116" t="n">
        <f aca="false">SUM(TrialBalance!EJ6:EJ17)</f>
        <v>18200</v>
      </c>
    </row>
    <row r="7" customFormat="false" ht="12" hidden="false" customHeight="false" outlineLevel="0" collapsed="false">
      <c r="A7" s="115"/>
      <c r="B7" s="118"/>
      <c r="C7" s="88" t="s">
        <v>22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23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0</v>
      </c>
      <c r="B10" s="115"/>
      <c r="C10" s="88" t="s">
        <v>24</v>
      </c>
      <c r="E10" s="115" t="n">
        <f aca="false">TrialBalance!EJ19</f>
        <v>0</v>
      </c>
      <c r="F10" s="115"/>
    </row>
    <row r="11" customFormat="false" ht="12" hidden="false" customHeight="false" outlineLevel="0" collapsed="false">
      <c r="A11" s="115" t="n">
        <f aca="false">TrialBalance!D20</f>
        <v>0</v>
      </c>
      <c r="B11" s="115"/>
      <c r="C11" s="88" t="s">
        <v>25</v>
      </c>
      <c r="E11" s="115" t="n">
        <f aca="false">TrialBalance!EJ20</f>
        <v>111460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0</v>
      </c>
      <c r="B12" s="115"/>
      <c r="C12" s="88" t="s">
        <v>218</v>
      </c>
      <c r="E12" s="119" t="n">
        <f aca="false">IF(SUM(TrialBalance!EJ22:EJ24)&gt;0,SUM(TrialBalance!EJ22:EJ24)+TrialBalance!EJ25+TrialBalance!EJ26,TrialBalance!EJ25)</f>
        <v>0</v>
      </c>
      <c r="F12" s="115"/>
    </row>
    <row r="13" s="120" customFormat="true" ht="12" hidden="false" customHeight="false" outlineLevel="0" collapsed="false">
      <c r="A13" s="116" t="n">
        <f aca="false">SUM(A10:A12)</f>
        <v>0</v>
      </c>
      <c r="B13" s="118"/>
      <c r="C13" s="117" t="s">
        <v>23</v>
      </c>
      <c r="D13" s="117"/>
      <c r="E13" s="116" t="n">
        <f aca="false">SUM(E10:E12)</f>
        <v>111460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219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-0</v>
      </c>
      <c r="B16" s="115"/>
      <c r="C16" s="88" t="s">
        <v>33</v>
      </c>
      <c r="E16" s="115" t="n">
        <f aca="false">-SUM(TrialBalance!EJ28:EJ31)</f>
        <v>74040</v>
      </c>
      <c r="F16" s="115"/>
    </row>
    <row r="17" customFormat="false" ht="12" hidden="false" customHeight="false" outlineLevel="0" collapsed="false">
      <c r="A17" s="115" t="n">
        <f aca="false">-TrialBalance!D35</f>
        <v>0</v>
      </c>
      <c r="B17" s="115"/>
      <c r="C17" s="88" t="s">
        <v>37</v>
      </c>
      <c r="E17" s="115" t="n">
        <f aca="false">-TrialBalance!EJ35</f>
        <v>7494.23333333333</v>
      </c>
      <c r="F17" s="115"/>
    </row>
    <row r="18" customFormat="false" ht="12" hidden="false" customHeight="false" outlineLevel="0" collapsed="false">
      <c r="A18" s="115" t="n">
        <f aca="false">-SUM(TrialBalance!D32:D34)</f>
        <v>-0</v>
      </c>
      <c r="B18" s="115"/>
      <c r="C18" s="88" t="s">
        <v>41</v>
      </c>
      <c r="E18" s="115" t="n">
        <f aca="false">-SUM(TrialBalance!EJ32:EJ34)</f>
        <v>18576.6666666667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220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0</v>
      </c>
      <c r="B20" s="118"/>
      <c r="C20" s="117" t="s">
        <v>32</v>
      </c>
      <c r="D20" s="117"/>
      <c r="E20" s="116" t="n">
        <f aca="false">SUM(E16:E19)</f>
        <v>100110.9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0</v>
      </c>
      <c r="C22" s="117" t="s">
        <v>221</v>
      </c>
      <c r="D22" s="117"/>
      <c r="E22" s="118"/>
      <c r="F22" s="116" t="n">
        <f aca="false">E13-E20</f>
        <v>11349.1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222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0</v>
      </c>
      <c r="C26" s="117" t="s">
        <v>223</v>
      </c>
      <c r="D26" s="117"/>
      <c r="E26" s="118"/>
      <c r="F26" s="116" t="n">
        <f aca="false">SUM(F6:F25)</f>
        <v>29549.1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43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0</v>
      </c>
      <c r="B29" s="115"/>
      <c r="C29" s="88" t="s">
        <v>44</v>
      </c>
      <c r="D29" s="88"/>
      <c r="E29" s="115" t="n">
        <f aca="false">-TrialBalance!EJ39</f>
        <v>-0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0</v>
      </c>
      <c r="B30" s="118"/>
      <c r="C30" s="117" t="s">
        <v>224</v>
      </c>
      <c r="D30" s="117"/>
      <c r="E30" s="115" t="n">
        <f aca="false">-TrialBalance!EJ40</f>
        <v>-0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0</v>
      </c>
      <c r="E31" s="115"/>
      <c r="F31" s="116" t="n">
        <f aca="false">SUM(E29:E30)</f>
        <v>0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209</v>
      </c>
      <c r="B33" s="116" t="n">
        <f aca="false">B26-B31</f>
        <v>0</v>
      </c>
      <c r="C33" s="117" t="s">
        <v>225</v>
      </c>
      <c r="D33" s="117"/>
      <c r="E33" s="118" t="s">
        <v>209</v>
      </c>
      <c r="F33" s="116" t="n">
        <f aca="false">F26-F31</f>
        <v>29549.1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46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0</v>
      </c>
      <c r="C36" s="88" t="s">
        <v>226</v>
      </c>
      <c r="E36" s="115"/>
      <c r="F36" s="115" t="n">
        <f aca="false">-TrialBalance!EJ42</f>
        <v>-0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0</v>
      </c>
      <c r="C37" s="88" t="s">
        <v>48</v>
      </c>
      <c r="D37" s="88"/>
      <c r="E37" s="115"/>
      <c r="F37" s="115" t="n">
        <f aca="false">-TrialBalance!EJ43</f>
        <v>29549.1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49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209</v>
      </c>
      <c r="B39" s="116" t="n">
        <f aca="false">SUM(B36:B38)</f>
        <v>0</v>
      </c>
      <c r="C39" s="117" t="s">
        <v>227</v>
      </c>
      <c r="D39" s="117"/>
      <c r="E39" s="118" t="s">
        <v>209</v>
      </c>
      <c r="F39" s="116" t="n">
        <f aca="false">SUM(F36:F38)</f>
        <v>29549.1</v>
      </c>
      <c r="G39" s="120"/>
    </row>
    <row r="41" s="87" customFormat="true" ht="12" hidden="false" customHeight="true" outlineLevel="0" collapsed="false">
      <c r="A41" s="121" t="s">
        <v>228</v>
      </c>
      <c r="B41" s="122" t="n">
        <f aca="false">D2</f>
        <v>46538</v>
      </c>
      <c r="C41" s="123" t="s">
        <v>229</v>
      </c>
      <c r="D41" s="123"/>
      <c r="E41" s="123"/>
    </row>
    <row r="42" s="87" customFormat="true" ht="12" hidden="false" customHeight="true" outlineLevel="0" collapsed="false">
      <c r="A42" s="124" t="s">
        <v>230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231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232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233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234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235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236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237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238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239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240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241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242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243</v>
      </c>
      <c r="B56" s="129"/>
      <c r="C56" s="88" t="n">
        <f aca="false">OpenAccounts!E5</f>
        <v>0</v>
      </c>
    </row>
    <row r="57" customFormat="false" ht="12" hidden="false" customHeight="true" outlineLevel="0" collapsed="false">
      <c r="A57" s="129" t="s">
        <v>244</v>
      </c>
      <c r="B57" s="129"/>
      <c r="C57" s="130" t="n">
        <f aca="true">TODAY()</f>
        <v>46116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245</v>
      </c>
      <c r="B59" s="129"/>
      <c r="C59" s="88" t="n">
        <f aca="false">OpenAccounts!E3</f>
        <v>0</v>
      </c>
      <c r="E59" s="127"/>
    </row>
    <row r="60" customFormat="false" ht="12" hidden="false" customHeight="true" outlineLevel="0" collapsed="false">
      <c r="A60" s="129" t="s">
        <v>246</v>
      </c>
      <c r="B60" s="129"/>
      <c r="C60" s="88" t="n">
        <f aca="false">OpenAccounts!J3</f>
        <v>0</v>
      </c>
    </row>
    <row r="61" customFormat="false" ht="12" hidden="false" customHeight="false" outlineLevel="0" collapsed="false">
      <c r="A61" s="115"/>
      <c r="B61" s="115"/>
      <c r="C61" s="88" t="n">
        <f aca="false">OpenAccounts!J4</f>
        <v>0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247</v>
      </c>
    </row>
    <row r="3" customFormat="false" ht="12" hidden="false" customHeight="false" outlineLevel="0" collapsed="false">
      <c r="A3" s="106" t="s">
        <v>248</v>
      </c>
    </row>
    <row r="4" s="114" customFormat="true" ht="17.25" hidden="false" customHeight="true" outlineLevel="0" collapsed="false">
      <c r="A4" s="131"/>
      <c r="B4" s="132" t="s">
        <v>249</v>
      </c>
      <c r="C4" s="132" t="s">
        <v>250</v>
      </c>
      <c r="D4" s="132" t="s">
        <v>18</v>
      </c>
      <c r="E4" s="132" t="s">
        <v>251</v>
      </c>
      <c r="F4" s="132" t="s">
        <v>252</v>
      </c>
      <c r="G4" s="132" t="s">
        <v>253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209</v>
      </c>
      <c r="C6" s="131" t="s">
        <v>209</v>
      </c>
      <c r="D6" s="131" t="s">
        <v>209</v>
      </c>
      <c r="E6" s="131" t="s">
        <v>209</v>
      </c>
      <c r="F6" s="131" t="s">
        <v>209</v>
      </c>
      <c r="G6" s="131" t="s">
        <v>209</v>
      </c>
    </row>
    <row r="7" customFormat="false" ht="12" hidden="false" customHeight="false" outlineLevel="0" collapsed="false">
      <c r="A7" s="106" t="s">
        <v>254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46174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0</v>
      </c>
      <c r="F8" s="108" t="n">
        <f aca="false">IF([1]Schedule!$E$55&gt;0,[1]Schedule!$E$55,0)</f>
        <v>0</v>
      </c>
      <c r="G8" s="108" t="n">
        <f aca="false">SUM(B8:F8)</f>
        <v>0</v>
      </c>
    </row>
    <row r="9" customFormat="false" ht="12" hidden="false" customHeight="false" outlineLevel="0" collapsed="false">
      <c r="A9" s="101" t="s">
        <v>255</v>
      </c>
      <c r="B9" s="108" t="n">
        <f aca="false">IF([1]Schedule!$E$64&gt;0,[1]Schedule!$E$64,0)</f>
        <v>0</v>
      </c>
      <c r="C9" s="108" t="n">
        <f aca="false">IF([1]Schedule!$E$75&gt;0,[1]Schedule!$E$75,0)</f>
        <v>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0</v>
      </c>
    </row>
    <row r="10" customFormat="false" ht="12" hidden="false" customHeight="false" outlineLevel="0" collapsed="false">
      <c r="A10" s="101" t="s">
        <v>256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0</v>
      </c>
      <c r="G10" s="108" t="n">
        <f aca="false">SUM(B10:F10)</f>
        <v>0</v>
      </c>
    </row>
    <row r="11" customFormat="false" ht="12" hidden="false" customHeight="false" outlineLevel="0" collapsed="false">
      <c r="A11" s="133" t="n">
        <f aca="false">'PubP&amp;L'!D3</f>
        <v>46538</v>
      </c>
      <c r="B11" s="108" t="n">
        <f aca="false">B8+B9-B10</f>
        <v>0</v>
      </c>
      <c r="C11" s="108" t="n">
        <f aca="false">C8+C9-C10</f>
        <v>0</v>
      </c>
      <c r="D11" s="108" t="n">
        <f aca="false">D8+D9-D10</f>
        <v>0</v>
      </c>
      <c r="E11" s="108" t="n">
        <f aca="false">E8+E9-E10</f>
        <v>0</v>
      </c>
      <c r="F11" s="108" t="n">
        <f aca="false">F8+F9-F10</f>
        <v>0</v>
      </c>
      <c r="G11" s="108" t="n">
        <f aca="false">G8+G9-G10</f>
        <v>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83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46174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0</v>
      </c>
      <c r="F14" s="108" t="n">
        <f aca="false">IF([1]Schedule!$F$55&gt;0,[1]Schedule!$F$55,0)</f>
        <v>0</v>
      </c>
      <c r="G14" s="108" t="n">
        <f aca="false">SUM(B14:F14)</f>
        <v>0</v>
      </c>
    </row>
    <row r="15" customFormat="false" ht="12" hidden="false" customHeight="false" outlineLevel="0" collapsed="false">
      <c r="A15" s="101" t="s">
        <v>257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0</v>
      </c>
      <c r="F15" s="108" t="n">
        <f aca="false">IF(([1]Schedule!$I$55+[1]Schedule!$I$108)&gt;0,[1]Schedule!$I$55+[1]Schedule!$I$108,0)</f>
        <v>0</v>
      </c>
      <c r="G15" s="108" t="n">
        <f aca="false">SUM(B15:F15)</f>
        <v>0</v>
      </c>
    </row>
    <row r="16" customFormat="false" ht="12" hidden="false" customHeight="false" outlineLevel="0" collapsed="false">
      <c r="A16" s="101" t="s">
        <v>258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0</v>
      </c>
      <c r="G16" s="108" t="n">
        <f aca="false">SUM(B16:F16)</f>
        <v>0</v>
      </c>
    </row>
    <row r="17" customFormat="false" ht="12" hidden="false" customHeight="false" outlineLevel="0" collapsed="false">
      <c r="A17" s="133" t="n">
        <f aca="false">A11</f>
        <v>46538</v>
      </c>
      <c r="B17" s="108" t="n">
        <f aca="false">B14-B16+B15</f>
        <v>0</v>
      </c>
      <c r="C17" s="108" t="n">
        <f aca="false">C14-C16+C15</f>
        <v>0</v>
      </c>
      <c r="D17" s="108" t="n">
        <f aca="false">D14-D16+D15</f>
        <v>0</v>
      </c>
      <c r="E17" s="108" t="n">
        <f aca="false">E14-E16+E15</f>
        <v>0</v>
      </c>
      <c r="F17" s="108" t="n">
        <f aca="false">F14-F16+F15</f>
        <v>0</v>
      </c>
      <c r="G17" s="108" t="n">
        <f aca="false">SUM(B17:F17)</f>
        <v>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259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46538</v>
      </c>
      <c r="B20" s="134" t="n">
        <f aca="false">B11-B17</f>
        <v>0</v>
      </c>
      <c r="C20" s="134" t="n">
        <f aca="false">C11-C17</f>
        <v>0</v>
      </c>
      <c r="D20" s="134" t="n">
        <f aca="false">D11-D17</f>
        <v>0</v>
      </c>
      <c r="E20" s="134" t="n">
        <f aca="false">E11-E17</f>
        <v>0</v>
      </c>
      <c r="F20" s="134" t="n">
        <f aca="false">F11-F17</f>
        <v>0</v>
      </c>
      <c r="G20" s="134" t="n">
        <f aca="false">G11-G17</f>
        <v>0</v>
      </c>
    </row>
    <row r="23" customFormat="false" ht="12" hidden="false" customHeight="false" outlineLevel="0" collapsed="false">
      <c r="A23" s="101" t="s">
        <v>260</v>
      </c>
    </row>
    <row r="24" customFormat="false" ht="12" hidden="false" customHeight="false" outlineLevel="0" collapsed="false">
      <c r="A24" s="101" t="s">
        <v>261</v>
      </c>
    </row>
    <row r="25" customFormat="false" ht="12" hidden="false" customHeight="false" outlineLevel="0" collapsed="false">
      <c r="A25" s="101" t="s">
        <v>262</v>
      </c>
    </row>
    <row r="27" customFormat="false" ht="12" hidden="false" customHeight="false" outlineLevel="0" collapsed="false">
      <c r="A27" s="101" t="s">
        <v>16</v>
      </c>
      <c r="B27" s="135" t="n">
        <f aca="false">[1]Schedule!$H$7</f>
        <v>0</v>
      </c>
      <c r="C27" s="89" t="s">
        <v>263</v>
      </c>
    </row>
    <row r="28" customFormat="false" ht="12" hidden="false" customHeight="false" outlineLevel="0" collapsed="false">
      <c r="A28" s="101" t="s">
        <v>264</v>
      </c>
      <c r="B28" s="135" t="n">
        <f aca="false">[1]Schedule!$H$13</f>
        <v>0.1</v>
      </c>
      <c r="C28" s="89" t="s">
        <v>263</v>
      </c>
    </row>
    <row r="29" customFormat="false" ht="12" hidden="false" customHeight="false" outlineLevel="0" collapsed="false">
      <c r="A29" s="101" t="s">
        <v>18</v>
      </c>
      <c r="B29" s="135" t="n">
        <f aca="false">[1]Schedule!$H$24</f>
        <v>0.2</v>
      </c>
      <c r="C29" s="89" t="s">
        <v>263</v>
      </c>
    </row>
    <row r="30" customFormat="false" ht="12" hidden="false" customHeight="false" outlineLevel="0" collapsed="false">
      <c r="A30" s="101" t="s">
        <v>265</v>
      </c>
      <c r="B30" s="135" t="n">
        <f aca="false">[1]Schedule!$H$32</f>
        <v>0.33</v>
      </c>
      <c r="C30" s="89" t="s">
        <v>263</v>
      </c>
      <c r="D30" s="120"/>
    </row>
    <row r="31" customFormat="false" ht="12" hidden="false" customHeight="false" outlineLevel="0" collapsed="false">
      <c r="A31" s="101" t="s">
        <v>20</v>
      </c>
      <c r="B31" s="135" t="n">
        <f aca="false">[1]Schedule!$H$43</f>
        <v>0.25</v>
      </c>
      <c r="C31" s="89" t="s">
        <v>263</v>
      </c>
    </row>
    <row r="34" customFormat="false" ht="12" hidden="false" customHeight="false" outlineLevel="0" collapsed="false">
      <c r="A34" s="106" t="s">
        <v>266</v>
      </c>
    </row>
    <row r="35" customFormat="false" ht="12" hidden="false" customHeight="false" outlineLevel="0" collapsed="false">
      <c r="A35" s="101" t="s">
        <v>267</v>
      </c>
      <c r="D35" s="136" t="n">
        <f aca="false">TrialBalance!EJ66</f>
        <v>5000</v>
      </c>
      <c r="E35" s="87"/>
    </row>
    <row r="37" customFormat="false" ht="12" hidden="false" customHeight="false" outlineLevel="0" collapsed="false">
      <c r="A37" s="106" t="s">
        <v>268</v>
      </c>
    </row>
    <row r="38" customFormat="false" ht="12" hidden="false" customHeight="false" outlineLevel="0" collapsed="false">
      <c r="A38" s="101" t="s">
        <v>269</v>
      </c>
      <c r="B38" s="87"/>
      <c r="D38" s="137" t="n">
        <f aca="false">'PubP&amp;L'!D3</f>
        <v>46538</v>
      </c>
      <c r="E38" s="137"/>
      <c r="F38" s="136" t="n">
        <f aca="false">[8]Boardmeeting!$E$4</f>
        <v>0</v>
      </c>
      <c r="G38" s="138"/>
    </row>
    <row r="40" customFormat="false" ht="12" hidden="false" customHeight="false" outlineLevel="0" collapsed="false">
      <c r="A40" s="106" t="s">
        <v>270</v>
      </c>
    </row>
    <row r="41" s="87" customFormat="true" ht="12" hidden="false" customHeight="false" outlineLevel="0" collapsed="false">
      <c r="A41" s="101" t="s">
        <v>271</v>
      </c>
      <c r="B41" s="137" t="n">
        <f aca="false">'PubP&amp;L'!D3</f>
        <v>46538</v>
      </c>
      <c r="C41" s="137"/>
      <c r="D41" s="136" t="n">
        <f aca="false">CorporationTax!K35</f>
        <v>7494.23333333333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n">
        <f aca="false">OpenAccounts!E2</f>
        <v>0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272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273</v>
      </c>
      <c r="B22" s="141"/>
      <c r="C22" s="141"/>
      <c r="D22" s="141"/>
      <c r="E22" s="141"/>
      <c r="F22" s="142" t="n">
        <f aca="false">PubBalSht!D2</f>
        <v>46538</v>
      </c>
      <c r="G22" s="142"/>
      <c r="H22" s="142"/>
      <c r="I22" s="142"/>
    </row>
    <row r="46" customFormat="false" ht="12.75" hidden="false" customHeight="false" outlineLevel="0" collapsed="false">
      <c r="B46" s="143" t="n">
        <f aca="false">OpenAccounts!J3</f>
        <v>0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n">
        <f aca="false">OpenAccounts!J4</f>
        <v>0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274</v>
      </c>
      <c r="C50" s="145" t="n">
        <f aca="false">OpenAccounts!E4</f>
        <v>0</v>
      </c>
      <c r="D50" s="145"/>
      <c r="E50" s="146"/>
      <c r="F50" s="147" t="s">
        <v>3</v>
      </c>
      <c r="G50" s="147"/>
      <c r="H50" s="147"/>
      <c r="I50" s="148" t="n">
        <f aca="false">OpenAccounts!E3</f>
        <v>0</v>
      </c>
    </row>
    <row r="56" customFormat="false" ht="22.05" hidden="false" customHeight="false" outlineLevel="0" collapsed="false">
      <c r="A56" s="139" t="n">
        <f aca="false">OpenAccounts!E2</f>
        <v>0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275</v>
      </c>
      <c r="E60" s="149"/>
    </row>
    <row r="62" customFormat="false" ht="12.75" hidden="false" customHeight="false" outlineLevel="0" collapsed="false">
      <c r="B62" s="0" t="s">
        <v>276</v>
      </c>
    </row>
    <row r="63" customFormat="false" ht="12.75" hidden="false" customHeight="false" outlineLevel="0" collapsed="false">
      <c r="B63" s="0" t="s">
        <v>277</v>
      </c>
    </row>
    <row r="64" customFormat="false" ht="12.75" hidden="false" customHeight="false" outlineLevel="0" collapsed="false">
      <c r="B64" s="0" t="s">
        <v>278</v>
      </c>
    </row>
    <row r="65" customFormat="false" ht="12.75" hidden="false" customHeight="false" outlineLevel="0" collapsed="false">
      <c r="B65" s="0" t="s">
        <v>279</v>
      </c>
      <c r="F65" s="150" t="n">
        <f aca="false">'PubP&amp;L'!E5</f>
        <v>46538</v>
      </c>
      <c r="G65" s="150"/>
    </row>
    <row r="66" customFormat="false" ht="12.75" hidden="false" customHeight="false" outlineLevel="0" collapsed="false">
      <c r="B66" s="0" t="s">
        <v>280</v>
      </c>
    </row>
    <row r="69" customFormat="false" ht="12.75" hidden="false" customHeight="false" outlineLevel="0" collapsed="false">
      <c r="B69" s="0" t="s">
        <v>281</v>
      </c>
    </row>
    <row r="71" customFormat="false" ht="12.75" hidden="false" customHeight="false" outlineLevel="0" collapsed="false">
      <c r="B71" s="0" t="s">
        <v>282</v>
      </c>
      <c r="D71" s="151" t="n">
        <f aca="false">OpenAccounts!E5</f>
        <v>0</v>
      </c>
      <c r="E71" s="151"/>
      <c r="F71" s="151"/>
    </row>
    <row r="74" customFormat="false" ht="12.75" hidden="false" customHeight="false" outlineLevel="0" collapsed="false">
      <c r="B74" s="0" t="s">
        <v>283</v>
      </c>
      <c r="D74" s="152" t="n">
        <f aca="true">TODAY()</f>
        <v>46116</v>
      </c>
      <c r="E74" s="152"/>
      <c r="F74" s="152"/>
    </row>
    <row r="78" s="149" customFormat="true" ht="13.5" hidden="false" customHeight="false" outlineLevel="0" collapsed="false">
      <c r="A78" s="153" t="n">
        <f aca="false">OpenAccounts!E2</f>
        <v>0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284</v>
      </c>
      <c r="C79" s="155"/>
      <c r="D79" s="155"/>
      <c r="E79" s="155"/>
      <c r="F79" s="155"/>
      <c r="G79" s="156" t="n">
        <f aca="false">'PubP&amp;L'!E5</f>
        <v>46538</v>
      </c>
      <c r="H79" s="156"/>
      <c r="I79" s="156"/>
    </row>
    <row r="81" s="144" customFormat="true" ht="12.75" hidden="false" customHeight="true" outlineLevel="0" collapsed="false">
      <c r="A81" s="157" t="s">
        <v>285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286</v>
      </c>
      <c r="B82" s="158"/>
      <c r="C82" s="159" t="n">
        <f aca="false">'PubP&amp;L'!E5</f>
        <v>46538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9</v>
      </c>
      <c r="B84" s="160"/>
      <c r="C84" s="160"/>
      <c r="D84" s="160"/>
      <c r="E84" s="161" t="n">
        <f aca="false">OpenAccounts!E8</f>
        <v>0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287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288</v>
      </c>
      <c r="B87" s="160"/>
      <c r="C87" s="160"/>
      <c r="D87" s="160"/>
      <c r="E87" s="165" t="n">
        <f aca="false">'PubP&amp;L'!F9</f>
        <v>88583.3333333333</v>
      </c>
      <c r="F87" s="166" t="s">
        <v>289</v>
      </c>
      <c r="G87" s="166"/>
      <c r="H87" s="165" t="n">
        <f aca="false">'PubP&amp;L'!B9</f>
        <v>0</v>
      </c>
      <c r="I87" s="144" t="s">
        <v>290</v>
      </c>
    </row>
    <row r="88" s="144" customFormat="true" ht="12.75" hidden="false" customHeight="true" outlineLevel="0" collapsed="false">
      <c r="A88" s="160" t="s">
        <v>291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292</v>
      </c>
      <c r="B89" s="167"/>
      <c r="C89" s="167"/>
      <c r="D89" s="168" t="n">
        <f aca="false">IF('PubP&amp;L'!F9&gt;0,'PubP&amp;L'!F18/'PubP&amp;L'!F9," ")</f>
        <v>0.897046095954845</v>
      </c>
      <c r="E89" s="169" t="s">
        <v>293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294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295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296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297</v>
      </c>
      <c r="B94" s="160"/>
      <c r="C94" s="160"/>
      <c r="D94" s="165" t="n">
        <f aca="false">[8]Boardmeeting!$E$4</f>
        <v>0</v>
      </c>
      <c r="E94" s="170" t="s">
        <v>298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299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0</v>
      </c>
    </row>
    <row r="96" s="144" customFormat="true" ht="12.75" hidden="false" customHeight="false" outlineLevel="0" collapsed="false">
      <c r="A96" s="167" t="s">
        <v>300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 </v>
      </c>
      <c r="B97" s="172"/>
      <c r="C97" s="172"/>
      <c r="D97" s="147" t="s">
        <v>301</v>
      </c>
      <c r="E97" s="147"/>
      <c r="F97" s="173" t="n">
        <f aca="false">[8]RegisterofMembers!$G$3</f>
        <v>0</v>
      </c>
      <c r="G97" s="174" t="s">
        <v>302</v>
      </c>
      <c r="H97" s="159" t="n">
        <f aca="false">'PubP&amp;L'!E5</f>
        <v>46538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 </v>
      </c>
      <c r="B98" s="172"/>
      <c r="C98" s="172"/>
      <c r="D98" s="147" t="s">
        <v>301</v>
      </c>
      <c r="E98" s="147"/>
      <c r="F98" s="173" t="n">
        <f aca="false">[8]RegisterofMembers!$G$4</f>
        <v>0</v>
      </c>
      <c r="G98" s="174" t="s">
        <v>302</v>
      </c>
      <c r="H98" s="159" t="n">
        <f aca="false">'PubP&amp;L'!E5</f>
        <v>46538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303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304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305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306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307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308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309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310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311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312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313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314</v>
      </c>
      <c r="B113" s="167"/>
      <c r="C113" s="167"/>
      <c r="D113" s="167"/>
      <c r="E113" s="167"/>
      <c r="F113" s="167"/>
      <c r="G113" s="167"/>
      <c r="H113" s="159" t="n">
        <f aca="false">'PubP&amp;L'!E5</f>
        <v>46538</v>
      </c>
      <c r="I113" s="159"/>
    </row>
    <row r="114" s="144" customFormat="true" ht="12.75" hidden="false" customHeight="true" outlineLevel="0" collapsed="false">
      <c r="A114" s="160" t="s">
        <v>315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316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317</v>
      </c>
    </row>
    <row r="119" s="144" customFormat="true" ht="12.75" hidden="false" customHeight="false" outlineLevel="0" collapsed="false">
      <c r="B119" s="170" t="n">
        <f aca="false">OpenAccounts!E5</f>
        <v>0</v>
      </c>
      <c r="C119" s="170"/>
      <c r="D119" s="144" t="s">
        <v>318</v>
      </c>
      <c r="F119" s="144" t="s">
        <v>319</v>
      </c>
      <c r="G119" s="159" t="n">
        <f aca="true">TODAY()</f>
        <v>46116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 </v>
      </c>
      <c r="C2" s="181"/>
      <c r="D2" s="181"/>
      <c r="E2" s="182" t="s">
        <v>320</v>
      </c>
      <c r="F2" s="182"/>
      <c r="G2" s="182"/>
      <c r="H2" s="182"/>
      <c r="I2" s="182"/>
      <c r="J2" s="183"/>
      <c r="K2" s="184" t="s">
        <v>321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209</v>
      </c>
      <c r="J3" s="186"/>
      <c r="K3" s="186" t="s">
        <v>209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322</v>
      </c>
      <c r="C5" s="188"/>
      <c r="D5" s="188"/>
      <c r="E5" s="189" t="n">
        <f aca="false">Admin!L6</f>
        <v>46174</v>
      </c>
      <c r="F5" s="189"/>
      <c r="G5" s="190" t="s">
        <v>323</v>
      </c>
      <c r="H5" s="189" t="n">
        <f aca="false">Admin!N7</f>
        <v>46904</v>
      </c>
      <c r="I5" s="189"/>
      <c r="J5" s="178"/>
      <c r="K5" s="191" t="n">
        <f aca="false">'PubP&amp;L'!F46</f>
        <v>37043.3333333333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324</v>
      </c>
      <c r="D7" s="193"/>
      <c r="E7" s="193"/>
      <c r="F7" s="193"/>
      <c r="G7" s="178"/>
      <c r="H7" s="179"/>
      <c r="I7" s="194" t="n">
        <f aca="false">IF(TrialBalance!EJ85&gt;0,TrialBalance!EJ85," ")</f>
        <v>2400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325</v>
      </c>
      <c r="D8" s="193"/>
      <c r="E8" s="193"/>
      <c r="F8" s="193"/>
      <c r="G8" s="178"/>
      <c r="H8" s="179"/>
      <c r="I8" s="194" t="str">
        <f aca="false">IF(TrialBalance!EJ87&gt;0,TrialBalance!EJ87," ")</f>
        <v> 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326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2400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327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39443.3333333333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328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329</v>
      </c>
      <c r="C15" s="197"/>
      <c r="D15" s="197"/>
      <c r="E15" s="198" t="n">
        <f aca="false">E5</f>
        <v>46174</v>
      </c>
      <c r="F15" s="198" t="n">
        <f aca="false">H5</f>
        <v>46904</v>
      </c>
      <c r="G15" s="199" t="n">
        <f aca="false">Admin!G5</f>
        <v>100</v>
      </c>
      <c r="H15" s="199"/>
      <c r="I15" s="200" t="n">
        <f aca="false">IF(K79&gt;0,K79,0)</f>
        <v>0</v>
      </c>
      <c r="J15" s="178"/>
      <c r="K15" s="201" t="s">
        <v>330</v>
      </c>
      <c r="L15" s="202"/>
    </row>
    <row r="16" s="120" customFormat="true" ht="12.65" hidden="false" customHeight="true" outlineLevel="0" collapsed="false">
      <c r="A16" s="187"/>
      <c r="B16" s="193" t="s">
        <v>331</v>
      </c>
      <c r="C16" s="193"/>
      <c r="D16" s="193"/>
      <c r="E16" s="198" t="n">
        <f aca="false">E5</f>
        <v>46174</v>
      </c>
      <c r="F16" s="198" t="n">
        <f aca="false">H5</f>
        <v>46904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332</v>
      </c>
      <c r="L16" s="202"/>
    </row>
    <row r="17" s="120" customFormat="true" ht="12.65" hidden="false" customHeight="true" outlineLevel="0" collapsed="false">
      <c r="A17" s="187"/>
      <c r="B17" s="193" t="s">
        <v>333</v>
      </c>
      <c r="C17" s="193"/>
      <c r="D17" s="193"/>
      <c r="E17" s="203" t="n">
        <f aca="false">E5</f>
        <v>46174</v>
      </c>
      <c r="F17" s="203"/>
      <c r="G17" s="199" t="n">
        <f aca="false">Admin!G6</f>
        <v>14</v>
      </c>
      <c r="H17" s="199"/>
      <c r="I17" s="200" t="n">
        <f aca="false">IF(K99&gt;0,K99,0)</f>
        <v>0</v>
      </c>
      <c r="J17" s="178"/>
      <c r="K17" s="201" t="s">
        <v>334</v>
      </c>
      <c r="L17" s="202"/>
    </row>
    <row r="18" s="120" customFormat="true" ht="12.65" hidden="false" customHeight="false" outlineLevel="0" collapsed="false">
      <c r="A18" s="187"/>
      <c r="B18" s="193" t="s">
        <v>335</v>
      </c>
      <c r="C18" s="193"/>
      <c r="D18" s="193"/>
      <c r="E18" s="198" t="n">
        <f aca="false">E5</f>
        <v>46174</v>
      </c>
      <c r="F18" s="198" t="n">
        <f aca="false">H5</f>
        <v>46904</v>
      </c>
      <c r="G18" s="204"/>
      <c r="H18" s="205"/>
      <c r="I18" s="206" t="n">
        <f aca="false">IF(K102&lt;&gt;0,-K102,0)</f>
        <v>0</v>
      </c>
      <c r="J18" s="178"/>
      <c r="K18" s="201" t="s">
        <v>336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328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337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39443.3333333333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338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-0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339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340</v>
      </c>
      <c r="C28" s="188"/>
      <c r="D28" s="188"/>
      <c r="E28" s="213" t="n">
        <f aca="false">H5</f>
        <v>46904</v>
      </c>
      <c r="F28" s="213"/>
      <c r="G28" s="178"/>
      <c r="H28" s="179"/>
      <c r="I28" s="178"/>
      <c r="J28" s="178"/>
      <c r="K28" s="209" t="n">
        <f aca="false">K22+K24-K26</f>
        <v>39443.3333333333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341</v>
      </c>
      <c r="B31" s="217" t="s">
        <v>321</v>
      </c>
      <c r="C31" s="218" t="s">
        <v>342</v>
      </c>
      <c r="D31" s="218" t="s">
        <v>343</v>
      </c>
      <c r="E31" s="218" t="s">
        <v>344</v>
      </c>
      <c r="F31" s="219" t="s">
        <v>345</v>
      </c>
      <c r="G31" s="219" t="s">
        <v>346</v>
      </c>
      <c r="H31" s="219"/>
      <c r="I31" s="219" t="s">
        <v>347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365</v>
      </c>
      <c r="B33" s="204" t="s">
        <v>37</v>
      </c>
      <c r="C33" s="222" t="n">
        <f aca="false">Admin!L6</f>
        <v>46174</v>
      </c>
      <c r="D33" s="222" t="n">
        <f aca="false">Admin!N6</f>
        <v>46538</v>
      </c>
      <c r="E33" s="223" t="n">
        <f aca="false">Admin!K6</f>
        <v>2026</v>
      </c>
      <c r="F33" s="186" t="n">
        <f aca="false">IF(K28&gt;0,K28*A33/A35,0)</f>
        <v>19694.6876424988</v>
      </c>
      <c r="G33" s="224" t="n">
        <f aca="false">Admin!P6</f>
        <v>19</v>
      </c>
      <c r="H33" s="224"/>
      <c r="I33" s="225" t="n">
        <f aca="false">F33*G33/100</f>
        <v>3741.99065207478</v>
      </c>
      <c r="J33" s="226"/>
      <c r="K33" s="178"/>
      <c r="L33" s="177"/>
    </row>
    <row r="34" customFormat="false" ht="15" hidden="false" customHeight="true" outlineLevel="0" collapsed="false">
      <c r="A34" s="221" t="n">
        <f aca="false">D34-C34+1</f>
        <v>366</v>
      </c>
      <c r="B34" s="204" t="s">
        <v>37</v>
      </c>
      <c r="C34" s="222" t="n">
        <f aca="false">Admin!L7</f>
        <v>46539</v>
      </c>
      <c r="D34" s="222" t="n">
        <f aca="false">Admin!N7</f>
        <v>46904</v>
      </c>
      <c r="E34" s="223" t="n">
        <f aca="false">Admin!K7</f>
        <v>2027</v>
      </c>
      <c r="F34" s="186" t="n">
        <f aca="false">IF(K28&gt;0,K28*A34/A35,0)</f>
        <v>19748.6456908345</v>
      </c>
      <c r="G34" s="224" t="n">
        <f aca="false">Admin!P7</f>
        <v>19</v>
      </c>
      <c r="H34" s="224"/>
      <c r="I34" s="225" t="n">
        <f aca="false">F34*G34/100</f>
        <v>3752.24268125855</v>
      </c>
      <c r="J34" s="226"/>
      <c r="K34" s="178"/>
      <c r="L34" s="177"/>
    </row>
    <row r="35" s="120" customFormat="true" ht="15" hidden="false" customHeight="true" outlineLevel="0" collapsed="false">
      <c r="A35" s="221" t="n">
        <f aca="false">D34-C33+1</f>
        <v>731</v>
      </c>
      <c r="B35" s="214"/>
      <c r="C35" s="196" t="s">
        <v>348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7494.23333333333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349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-0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350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7494.23333333333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351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352</v>
      </c>
      <c r="G45" s="178"/>
      <c r="H45" s="179"/>
      <c r="I45" s="233" t="s">
        <v>353</v>
      </c>
      <c r="J45" s="178"/>
      <c r="K45" s="178"/>
      <c r="L45" s="177"/>
    </row>
    <row r="46" customFormat="false" ht="25.5" hidden="false" customHeight="true" outlineLevel="0" collapsed="false">
      <c r="A46" s="234" t="s">
        <v>354</v>
      </c>
      <c r="B46" s="235" t="s">
        <v>353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209</v>
      </c>
      <c r="G47" s="178"/>
      <c r="H47" s="179"/>
      <c r="I47" s="238" t="s">
        <v>209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355</v>
      </c>
      <c r="C48" s="239"/>
      <c r="D48" s="240" t="n">
        <f aca="false">E5</f>
        <v>46174</v>
      </c>
      <c r="E48" s="240" t="n">
        <f aca="false">H5</f>
        <v>46904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str">
        <f aca="false">IF([1]Schedule!$E$67&gt;0,[1]Schedule!$B$67," ")</f>
        <v> </v>
      </c>
      <c r="B49" s="87" t="str">
        <f aca="false">IF([1]Schedule!$E$67&gt;0,[1]Schedule!$C$67," ")</f>
        <v> </v>
      </c>
      <c r="E49" s="242"/>
      <c r="F49" s="194" t="str">
        <f aca="false">IF([1]Schedule!$E$67&gt;0,[1]Schedule!$E$67," ")</f>
        <v> </v>
      </c>
      <c r="G49" s="178"/>
      <c r="H49" s="179"/>
      <c r="I49" s="89" t="str">
        <f aca="false">IF([1]Schedule!$E$67&gt;0,[1]Schedule!$Q$67," ")</f>
        <v> </v>
      </c>
      <c r="J49" s="178"/>
      <c r="K49" s="178"/>
      <c r="L49" s="185"/>
    </row>
    <row r="50" s="120" customFormat="true" ht="12" hidden="false" customHeight="false" outlineLevel="0" collapsed="false">
      <c r="A50" s="241" t="str">
        <f aca="false">IF([1]Schedule!$E$68&gt;0,[1]Schedule!$B$68," ")</f>
        <v> </v>
      </c>
      <c r="B50" s="87" t="str">
        <f aca="false">IF([1]Schedule!$E$68&gt;0,[1]Schedule!$C$68," ")</f>
        <v> </v>
      </c>
      <c r="E50" s="242"/>
      <c r="F50" s="194" t="str">
        <f aca="false">IF([1]Schedule!$E$68&gt;0,[1]Schedule!$E$68," ")</f>
        <v> </v>
      </c>
      <c r="G50" s="178"/>
      <c r="H50" s="179"/>
      <c r="I50" s="89" t="str">
        <f aca="false">IF([1]Schedule!$E$68&gt;0,[1]Schedule!$Q$68," ")</f>
        <v> </v>
      </c>
      <c r="J50" s="178"/>
      <c r="K50" s="178"/>
      <c r="L50" s="185"/>
    </row>
    <row r="51" s="120" customFormat="true" ht="12" hidden="false" customHeight="false" outlineLevel="0" collapsed="false">
      <c r="A51" s="241" t="str">
        <f aca="false">IF([1]Schedule!$E$69&gt;0,[1]Schedule!$B$69," ")</f>
        <v> </v>
      </c>
      <c r="B51" s="87" t="str">
        <f aca="false">IF([1]Schedule!$E$69&gt;0,[1]Schedule!$C$69," ")</f>
        <v> </v>
      </c>
      <c r="E51" s="242"/>
      <c r="F51" s="194" t="str">
        <f aca="false">IF([1]Schedule!$E$69&gt;0,[1]Schedule!$E$69," ")</f>
        <v> </v>
      </c>
      <c r="G51" s="178"/>
      <c r="H51" s="179"/>
      <c r="I51" s="89" t="str">
        <f aca="false">IF([1]Schedule!$E$69&gt;0,[1]Schedule!$Q$69," ")</f>
        <v> </v>
      </c>
      <c r="J51" s="178"/>
      <c r="K51" s="178"/>
      <c r="L51" s="185"/>
    </row>
    <row r="52" s="120" customFormat="true" ht="12" hidden="false" customHeight="false" outlineLevel="0" collapsed="false">
      <c r="A52" s="241" t="str">
        <f aca="false">IF([1]Schedule!$E$70&gt;0,[1]Schedule!$B$70," ")</f>
        <v> </v>
      </c>
      <c r="B52" s="87" t="str">
        <f aca="false">IF([1]Schedule!$E$70&gt;0,[1]Schedule!$C$70," ")</f>
        <v> </v>
      </c>
      <c r="E52" s="242"/>
      <c r="F52" s="194" t="str">
        <f aca="false">IF([1]Schedule!$E$70&gt;0,[1]Schedule!$E$70," ")</f>
        <v> </v>
      </c>
      <c r="G52" s="178"/>
      <c r="H52" s="179"/>
      <c r="I52" s="89" t="str">
        <f aca="false">IF([1]Schedule!$E$70&gt;0,[1]Schedule!$Q$70," ")</f>
        <v> </v>
      </c>
      <c r="J52" s="178"/>
      <c r="K52" s="178"/>
      <c r="L52" s="185"/>
    </row>
    <row r="53" s="120" customFormat="true" ht="12" hidden="false" customHeight="false" outlineLevel="0" collapsed="false">
      <c r="A53" s="241" t="str">
        <f aca="false">IF([1]Schedule!$E$71&gt;0,[1]Schedule!$B$71," ")</f>
        <v> </v>
      </c>
      <c r="B53" s="87" t="str">
        <f aca="false">IF([1]Schedule!$E$71&gt;0,[1]Schedule!$C$71," ")</f>
        <v> </v>
      </c>
      <c r="E53" s="242"/>
      <c r="F53" s="194" t="str">
        <f aca="false">IF([1]Schedule!$E$71&gt;0,[1]Schedule!$E$71," ")</f>
        <v> </v>
      </c>
      <c r="G53" s="178"/>
      <c r="H53" s="179"/>
      <c r="I53" s="89" t="str">
        <f aca="false">IF([1]Schedule!$E$71&gt;0,[1]Schedule!$Q$71," ")</f>
        <v> 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356</v>
      </c>
      <c r="C57" s="239"/>
      <c r="D57" s="240" t="n">
        <f aca="false">E5</f>
        <v>46174</v>
      </c>
      <c r="E57" s="240" t="n">
        <f aca="false">H5</f>
        <v>46904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357</v>
      </c>
      <c r="B63" s="243"/>
      <c r="C63" s="243"/>
      <c r="D63" s="240" t="n">
        <f aca="false">E5</f>
        <v>46174</v>
      </c>
      <c r="E63" s="240" t="n">
        <f aca="false">H5</f>
        <v>46904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358</v>
      </c>
      <c r="C72" s="193"/>
      <c r="D72" s="240" t="n">
        <f aca="false">E5</f>
        <v>46174</v>
      </c>
      <c r="E72" s="240" t="n">
        <f aca="false">H5</f>
        <v>46904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359</v>
      </c>
      <c r="C79" s="244"/>
      <c r="D79" s="222" t="n">
        <f aca="false">E5</f>
        <v>46174</v>
      </c>
      <c r="E79" s="245" t="n">
        <f aca="false">H5</f>
        <v>46904</v>
      </c>
      <c r="F79" s="246" t="n">
        <f aca="false">SUM(F48:F78)</f>
        <v>0</v>
      </c>
      <c r="G79" s="178"/>
      <c r="H79" s="179"/>
      <c r="I79" s="194" t="n">
        <f aca="false">SUM(I48:I78)</f>
        <v>0</v>
      </c>
      <c r="J79" s="178"/>
      <c r="K79" s="194" t="n">
        <f aca="false">I79</f>
        <v>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352</v>
      </c>
      <c r="G81" s="178"/>
      <c r="H81" s="179"/>
      <c r="I81" s="233" t="s">
        <v>360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361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209</v>
      </c>
      <c r="G83" s="178"/>
      <c r="H83" s="179"/>
      <c r="I83" s="238" t="s">
        <v>209</v>
      </c>
      <c r="J83" s="178"/>
      <c r="K83" s="178"/>
      <c r="L83" s="185"/>
    </row>
    <row r="84" customFormat="false" ht="12" hidden="false" customHeight="true" outlineLevel="0" collapsed="false">
      <c r="A84" s="247" t="s">
        <v>362</v>
      </c>
      <c r="B84" s="243" t="s">
        <v>363</v>
      </c>
      <c r="C84" s="243"/>
      <c r="D84" s="248" t="n">
        <f aca="false">E5</f>
        <v>46174</v>
      </c>
      <c r="E84" s="248" t="n">
        <f aca="false">H5</f>
        <v>46904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364</v>
      </c>
      <c r="C91" s="249"/>
      <c r="D91" s="250" t="n">
        <f aca="false">E5</f>
        <v>46174</v>
      </c>
      <c r="E91" s="250" t="n">
        <f aca="false">H5</f>
        <v>46904</v>
      </c>
      <c r="F91" s="251" t="s">
        <v>365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366</v>
      </c>
      <c r="B93" s="196" t="s">
        <v>367</v>
      </c>
      <c r="C93" s="196"/>
      <c r="D93" s="196"/>
      <c r="E93" s="253" t="n">
        <f aca="false">E5</f>
        <v>46174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368</v>
      </c>
      <c r="C94" s="255"/>
      <c r="D94" s="256" t="n">
        <f aca="false">E5</f>
        <v>46174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369</v>
      </c>
      <c r="C95" s="255"/>
      <c r="D95" s="256" t="n">
        <f aca="false">E5</f>
        <v>46174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370</v>
      </c>
      <c r="C96" s="255"/>
      <c r="D96" s="256" t="n">
        <f aca="false">E5</f>
        <v>46174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371</v>
      </c>
      <c r="C97" s="255"/>
      <c r="D97" s="256" t="n">
        <f aca="false">E5</f>
        <v>46174</v>
      </c>
      <c r="E97" s="177"/>
      <c r="F97" s="204"/>
      <c r="G97" s="178"/>
      <c r="H97" s="179"/>
      <c r="I97" s="89" t="str">
        <f aca="false">IF([1]Schedule!$R$55&gt;0,[1]Schedule!$R$55," ")</f>
        <v> 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367</v>
      </c>
      <c r="C99" s="196"/>
      <c r="D99" s="196"/>
      <c r="E99" s="253" t="n">
        <f aca="false">E5</f>
        <v>46174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str">
        <f aca="false">IF([1]Schedule!$W$1&gt;0,[1]Schedule!$Z$1-[1]Schedule!$Y$1," ")</f>
        <v> </v>
      </c>
      <c r="J101" s="178"/>
      <c r="K101" s="178"/>
      <c r="L101" s="177"/>
    </row>
    <row r="102" customFormat="false" ht="12" hidden="false" customHeight="true" outlineLevel="0" collapsed="false">
      <c r="A102" s="247" t="s">
        <v>372</v>
      </c>
      <c r="B102" s="196" t="s">
        <v>335</v>
      </c>
      <c r="C102" s="196"/>
      <c r="D102" s="196"/>
      <c r="E102" s="253" t="n">
        <f aca="false">E5</f>
        <v>46174</v>
      </c>
      <c r="F102" s="253" t="n">
        <f aca="false">H5</f>
        <v>46904</v>
      </c>
      <c r="G102" s="257"/>
      <c r="H102" s="257"/>
      <c r="I102" s="257"/>
      <c r="J102" s="178"/>
      <c r="K102" s="194" t="n">
        <f aca="false">SUM(I100:I101)</f>
        <v>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373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374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375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376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377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378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379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380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381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382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383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384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385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386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387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388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 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3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389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390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 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 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391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 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 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8</v>
      </c>
      <c r="AF26" s="283"/>
      <c r="AG26" s="283"/>
      <c r="AH26" s="283"/>
      <c r="AI26" s="283"/>
      <c r="AJ26" s="283"/>
      <c r="AK26" s="284" t="str">
        <f aca="false">IF(OpenAccounts!$N$6&gt;0,OpenAccounts!N6," ")</f>
        <v> 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392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393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394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395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396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397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46174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46904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398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204</v>
      </c>
      <c r="AR34" s="272"/>
    </row>
    <row r="35" s="87" customFormat="true" ht="12.75" hidden="false" customHeight="false" outlineLevel="0" collapsed="false">
      <c r="A35" s="272"/>
      <c r="B35" s="292" t="s">
        <v>399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400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401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402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403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404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405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406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407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408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409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410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411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412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413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414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415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416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417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418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419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420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421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422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423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424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425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426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209</v>
      </c>
      <c r="AK66" s="300" t="n">
        <f aca="false">'PubP&amp;L'!F9</f>
        <v>88583.3333333333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427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428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209</v>
      </c>
      <c r="Z70" s="302" t="n">
        <f aca="false">IF(CorporationTax!K22&gt;0,CorporationTax!K22," ")</f>
        <v>39443.3333333333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429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209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430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431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209</v>
      </c>
      <c r="AJ74" s="302" t="n">
        <f aca="false">SUM(Z69:AF70)-SUM(Z72:AF73)</f>
        <v>39443.3333333333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432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433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209</v>
      </c>
      <c r="AJ76" s="302" t="str">
        <f aca="false">IF(-TrialBalance!EJ58&gt;0,-TrialBalance!EJ58," ")</f>
        <v> 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434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209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435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209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436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437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209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438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209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439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440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209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441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442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209</v>
      </c>
      <c r="AJ92" s="302" t="n">
        <f aca="false">IF(AJ74&gt;0,AJ74+SUM(AJ76:AJ80)+AJ88,0)</f>
        <v>39443.3333333333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443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444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209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445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209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446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447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448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449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209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450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209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451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452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209</v>
      </c>
      <c r="AJ110" s="302" t="n">
        <f aca="false">AJ92-Z96-Z98-Z104-Z106</f>
        <v>39443.3333333333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453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454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209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455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456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457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458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459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204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460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461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462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463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464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465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209</v>
      </c>
      <c r="N126" s="328" t="n">
        <f aca="false">CorporationTax!F33</f>
        <v>19694.6876424988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19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209</v>
      </c>
      <c r="AJ126" s="330" t="n">
        <f aca="false">CorporationTax!I33</f>
        <v>3741.99065207478</v>
      </c>
      <c r="AK126" s="330"/>
      <c r="AL126" s="330"/>
      <c r="AM126" s="330"/>
      <c r="AN126" s="330"/>
      <c r="AO126" s="330"/>
      <c r="AP126" s="330"/>
      <c r="AQ126" s="331" t="s">
        <v>466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311"/>
      <c r="D128" s="311"/>
      <c r="E128" s="311"/>
      <c r="F128" s="311"/>
      <c r="G128" s="311"/>
      <c r="H128" s="311"/>
      <c r="I128" s="272"/>
      <c r="J128" s="272"/>
      <c r="K128" s="272"/>
      <c r="L128" s="298" t="n">
        <v>54</v>
      </c>
      <c r="M128" s="299" t="s">
        <v>209</v>
      </c>
      <c r="N128" s="311"/>
      <c r="O128" s="311"/>
      <c r="P128" s="311"/>
      <c r="Q128" s="311"/>
      <c r="R128" s="311"/>
      <c r="S128" s="311"/>
      <c r="T128" s="311"/>
      <c r="U128" s="272"/>
      <c r="V128" s="272"/>
      <c r="W128" s="272"/>
      <c r="X128" s="272"/>
      <c r="Y128" s="315" t="n">
        <v>55</v>
      </c>
      <c r="Z128" s="315"/>
      <c r="AA128" s="311"/>
      <c r="AB128" s="311"/>
      <c r="AC128" s="272"/>
      <c r="AD128" s="272"/>
      <c r="AE128" s="272"/>
      <c r="AF128" s="272"/>
      <c r="AG128" s="272"/>
      <c r="AH128" s="298" t="n">
        <v>56</v>
      </c>
      <c r="AI128" s="305" t="s">
        <v>209</v>
      </c>
      <c r="AJ128" s="330"/>
      <c r="AK128" s="330"/>
      <c r="AL128" s="330"/>
      <c r="AM128" s="330"/>
      <c r="AN128" s="330"/>
      <c r="AO128" s="330"/>
      <c r="AP128" s="330"/>
      <c r="AQ128" s="331" t="s">
        <v>466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467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87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209</v>
      </c>
      <c r="AJ131" s="330" t="n">
        <f aca="false">AJ126+AJ128</f>
        <v>3741.99065207478</v>
      </c>
      <c r="AK131" s="330"/>
      <c r="AL131" s="330"/>
      <c r="AM131" s="330"/>
      <c r="AN131" s="330"/>
      <c r="AO131" s="330"/>
      <c r="AP131" s="330"/>
      <c r="AQ131" s="331" t="s">
        <v>466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468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209</v>
      </c>
      <c r="X133" s="333"/>
      <c r="Y133" s="333"/>
      <c r="Z133" s="333"/>
      <c r="AA133" s="333"/>
      <c r="AB133" s="333"/>
      <c r="AC133" s="333"/>
      <c r="AD133" s="333"/>
      <c r="AE133" s="331" t="s">
        <v>466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469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209</v>
      </c>
      <c r="X135" s="333"/>
      <c r="Y135" s="333"/>
      <c r="Z135" s="333"/>
      <c r="AA135" s="333"/>
      <c r="AB135" s="333"/>
      <c r="AC135" s="333"/>
      <c r="AD135" s="333"/>
      <c r="AE135" s="331" t="s">
        <v>466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470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IF(AJ131&gt;0,AJ131*100/AJ110," ")</f>
        <v>9.48700410396717</v>
      </c>
      <c r="X137" s="334"/>
      <c r="Y137" s="334"/>
      <c r="Z137" s="334"/>
      <c r="AA137" s="331" t="s">
        <v>346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471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472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209</v>
      </c>
      <c r="X141" s="333"/>
      <c r="Y141" s="333"/>
      <c r="Z141" s="333"/>
      <c r="AA141" s="333"/>
      <c r="AB141" s="333"/>
      <c r="AC141" s="333"/>
      <c r="AD141" s="333"/>
      <c r="AE141" s="331" t="s">
        <v>466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473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209</v>
      </c>
      <c r="X143" s="333"/>
      <c r="Y143" s="333"/>
      <c r="Z143" s="333"/>
      <c r="AA143" s="333"/>
      <c r="AB143" s="333"/>
      <c r="AC143" s="333"/>
      <c r="AD143" s="333"/>
      <c r="AE143" s="331" t="s">
        <v>466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474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475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209</v>
      </c>
      <c r="AJ145" s="330" t="n">
        <f aca="false">AJ131</f>
        <v>3741.99065207478</v>
      </c>
      <c r="AK145" s="330"/>
      <c r="AL145" s="330"/>
      <c r="AM145" s="330"/>
      <c r="AN145" s="330"/>
      <c r="AO145" s="330"/>
      <c r="AP145" s="330"/>
      <c r="AQ145" s="331" t="s">
        <v>466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476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477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209</v>
      </c>
      <c r="AJ149" s="333"/>
      <c r="AK149" s="333"/>
      <c r="AL149" s="333"/>
      <c r="AM149" s="333"/>
      <c r="AN149" s="333"/>
      <c r="AO149" s="333"/>
      <c r="AP149" s="333"/>
      <c r="AQ149" s="331" t="s">
        <v>466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478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479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480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209</v>
      </c>
      <c r="AJ154" s="330" t="n">
        <f aca="false">IF(TrialBalance!EH35&gt;0,TrialBalance!EH35,0)</f>
        <v>0</v>
      </c>
      <c r="AK154" s="330"/>
      <c r="AL154" s="330"/>
      <c r="AM154" s="330"/>
      <c r="AN154" s="330"/>
      <c r="AO154" s="330"/>
      <c r="AP154" s="330"/>
      <c r="AQ154" s="331" t="s">
        <v>466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481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209</v>
      </c>
      <c r="AJ156" s="333"/>
      <c r="AK156" s="333"/>
      <c r="AL156" s="333"/>
      <c r="AM156" s="333"/>
      <c r="AN156" s="333"/>
      <c r="AO156" s="333"/>
      <c r="AP156" s="333"/>
      <c r="AQ156" s="331" t="s">
        <v>466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482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483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209</v>
      </c>
      <c r="AJ159" s="330" t="n">
        <f aca="false">IF(AJ145&gt;0,AJ145+AJ149-AJ154,0)</f>
        <v>3741.99065207478</v>
      </c>
      <c r="AK159" s="330"/>
      <c r="AL159" s="330"/>
      <c r="AM159" s="330"/>
      <c r="AN159" s="330"/>
      <c r="AO159" s="330"/>
      <c r="AP159" s="330"/>
      <c r="AQ159" s="331" t="s">
        <v>466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484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485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209</v>
      </c>
      <c r="AJ163" s="330"/>
      <c r="AK163" s="330"/>
      <c r="AL163" s="330"/>
      <c r="AM163" s="330"/>
      <c r="AN163" s="330"/>
      <c r="AO163" s="330"/>
      <c r="AP163" s="330"/>
      <c r="AQ163" s="331" t="s">
        <v>466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486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487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209</v>
      </c>
      <c r="AJ166" s="330" t="n">
        <f aca="false">IF(AJ159&gt;0,AJ159-AJ163,0)</f>
        <v>3741.99065207478</v>
      </c>
      <c r="AK166" s="330"/>
      <c r="AL166" s="330"/>
      <c r="AM166" s="330"/>
      <c r="AN166" s="330"/>
      <c r="AO166" s="330"/>
      <c r="AP166" s="330"/>
      <c r="AQ166" s="331" t="s">
        <v>466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488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489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209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466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490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491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492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493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494</v>
      </c>
      <c r="C175" s="274"/>
      <c r="D175" s="274"/>
      <c r="E175" s="274"/>
      <c r="F175" s="276"/>
      <c r="G175" s="276"/>
      <c r="H175" s="276" t="s">
        <v>495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209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209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496</v>
      </c>
      <c r="C177" s="274"/>
      <c r="D177" s="274"/>
      <c r="E177" s="274"/>
      <c r="F177" s="276"/>
      <c r="G177" s="276"/>
      <c r="H177" s="276" t="s">
        <v>497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209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209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498</v>
      </c>
      <c r="C179" s="274"/>
      <c r="D179" s="274"/>
      <c r="E179" s="274"/>
      <c r="F179" s="276"/>
      <c r="G179" s="276"/>
      <c r="H179" s="276" t="s">
        <v>499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209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209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500</v>
      </c>
      <c r="C181" s="274"/>
      <c r="D181" s="274"/>
      <c r="E181" s="274"/>
      <c r="F181" s="276"/>
      <c r="G181" s="276"/>
      <c r="H181" s="276" t="s">
        <v>501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209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209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502</v>
      </c>
      <c r="C183" s="274"/>
      <c r="D183" s="274"/>
      <c r="E183" s="274"/>
      <c r="F183" s="276"/>
      <c r="G183" s="276"/>
      <c r="H183" s="276" t="s">
        <v>503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209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209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504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492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493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505</v>
      </c>
      <c r="C187" s="274"/>
      <c r="D187" s="274"/>
      <c r="E187" s="274"/>
      <c r="F187" s="276"/>
      <c r="G187" s="276"/>
      <c r="H187" s="276" t="s">
        <v>506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209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209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507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508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509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510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209</v>
      </c>
      <c r="AL194" s="328" t="str">
        <f aca="false">IF(CorporationTax!F79&gt;0,CorporationTax!F79," ")</f>
        <v> 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511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512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513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209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514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209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515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516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517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518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519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209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520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209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521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522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523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524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525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209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209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526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527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528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529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530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531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209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209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532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533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534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535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209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536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209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537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538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539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540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541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542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543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209</v>
      </c>
      <c r="AD224" s="309"/>
      <c r="AE224" s="309"/>
      <c r="AF224" s="309"/>
      <c r="AG224" s="309"/>
      <c r="AH224" s="309"/>
      <c r="AI224" s="276" t="s">
        <v>544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545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546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547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548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549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550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551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552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553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554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555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556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557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558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8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559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560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281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561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562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563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564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562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565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566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281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561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567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n">
        <f aca="false">OpenAccounts!E5</f>
        <v>0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568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282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569</v>
      </c>
      <c r="C2" s="388" t="s">
        <v>570</v>
      </c>
      <c r="D2" s="388" t="s">
        <v>571</v>
      </c>
      <c r="E2" s="388" t="s">
        <v>572</v>
      </c>
      <c r="F2" s="388" t="s">
        <v>573</v>
      </c>
      <c r="G2" s="388" t="s">
        <v>574</v>
      </c>
      <c r="H2" s="388" t="s">
        <v>188</v>
      </c>
      <c r="I2" s="388" t="s">
        <v>575</v>
      </c>
      <c r="J2" s="47"/>
      <c r="K2" s="387" t="s">
        <v>576</v>
      </c>
      <c r="L2" s="389"/>
    </row>
    <row r="3" s="53" customFormat="true" ht="15" hidden="false" customHeight="true" outlineLevel="0" collapsed="false">
      <c r="A3" s="386"/>
      <c r="B3" s="390" t="s">
        <v>577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46203</v>
      </c>
      <c r="C4" s="36" t="n">
        <f aca="false">[9]Jun!$M$1-C17</f>
        <v>0</v>
      </c>
      <c r="D4" s="36" t="n">
        <f aca="false">[9]Jun!$N$1-D17</f>
        <v>0</v>
      </c>
      <c r="E4" s="36" t="n">
        <f aca="false">[9]Jun!$O$1-E17</f>
        <v>0</v>
      </c>
      <c r="F4" s="36" t="n">
        <f aca="false">[9]Jun!$P$1+[9]Jun!$Q$1-F17</f>
        <v>0</v>
      </c>
      <c r="G4" s="36" t="n">
        <f aca="false">C4-SUM(D4:F4)</f>
        <v>0</v>
      </c>
      <c r="H4" s="36" t="n">
        <f aca="false">[9]Jun!$T$1-H17</f>
        <v>0</v>
      </c>
      <c r="I4" s="36" t="n">
        <f aca="false">[9]Jun!$G$1</f>
        <v>0</v>
      </c>
      <c r="J4" s="54"/>
      <c r="K4" s="393" t="s">
        <v>578</v>
      </c>
      <c r="L4" s="68"/>
    </row>
    <row r="5" customFormat="false" ht="12" hidden="false" customHeight="true" outlineLevel="0" collapsed="false">
      <c r="A5" s="391"/>
      <c r="B5" s="392" t="n">
        <f aca="false">Admin!B12</f>
        <v>46234</v>
      </c>
      <c r="C5" s="36" t="n">
        <f aca="false">[9]Jul!$M$1-C18</f>
        <v>0</v>
      </c>
      <c r="D5" s="36" t="n">
        <f aca="false">[9]Jul!$N$1-D18</f>
        <v>0</v>
      </c>
      <c r="E5" s="36" t="n">
        <f aca="false">[9]Jul!$O$1-E18</f>
        <v>0</v>
      </c>
      <c r="F5" s="36" t="n">
        <f aca="false">[9]Jul!$P$1+[9]Jul!$Q$1-F18</f>
        <v>0</v>
      </c>
      <c r="G5" s="36" t="n">
        <f aca="false">C5-SUM(D5:F5)</f>
        <v>0</v>
      </c>
      <c r="H5" s="36" t="n">
        <f aca="false">[9]Jul!$T$1-H18</f>
        <v>0</v>
      </c>
      <c r="I5" s="36" t="n">
        <f aca="false">[9]Jul!$G$1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46265</v>
      </c>
      <c r="C6" s="36" t="n">
        <f aca="false">[9]Aug!$M$1-C19</f>
        <v>0</v>
      </c>
      <c r="D6" s="36" t="n">
        <f aca="false">[9]Aug!$N$1-D19</f>
        <v>0</v>
      </c>
      <c r="E6" s="36" t="n">
        <f aca="false">[9]Aug!$O$1-E19</f>
        <v>0</v>
      </c>
      <c r="F6" s="36" t="n">
        <f aca="false">[9]Aug!$P$1+[9]Aug!$Q$1-F19</f>
        <v>0</v>
      </c>
      <c r="G6" s="36" t="n">
        <f aca="false">C6-SUM(D6:F6)</f>
        <v>0</v>
      </c>
      <c r="H6" s="36" t="n">
        <f aca="false">[9]Aug!$T$1-H19</f>
        <v>0</v>
      </c>
      <c r="I6" s="36" t="n">
        <f aca="false">[9]Aug!$G$1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46295</v>
      </c>
      <c r="C7" s="36" t="n">
        <f aca="false">[9]Sep!$M$1-C20</f>
        <v>0</v>
      </c>
      <c r="D7" s="36" t="n">
        <f aca="false">[9]Sep!$N$1-D20</f>
        <v>0</v>
      </c>
      <c r="E7" s="36" t="n">
        <f aca="false">[9]Sep!$O$1-E20</f>
        <v>0</v>
      </c>
      <c r="F7" s="36" t="n">
        <f aca="false">[9]Sep!$P$1+[9]Sep!$Q$1-F20</f>
        <v>0</v>
      </c>
      <c r="G7" s="36" t="n">
        <f aca="false">C7-SUM(D7:F7)</f>
        <v>0</v>
      </c>
      <c r="H7" s="36" t="n">
        <f aca="false">[9]Sep!$T$1-H20</f>
        <v>0</v>
      </c>
      <c r="I7" s="36" t="n">
        <f aca="false">[9]Sep!$G$1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46326</v>
      </c>
      <c r="C8" s="36" t="n">
        <f aca="false">[9]Oct!$M$1-C21</f>
        <v>0</v>
      </c>
      <c r="D8" s="36" t="n">
        <f aca="false">[9]Oct!$N$1-D21</f>
        <v>0</v>
      </c>
      <c r="E8" s="36" t="n">
        <f aca="false">[9]Oct!$O$1-E21</f>
        <v>0</v>
      </c>
      <c r="F8" s="36" t="n">
        <f aca="false">[9]Oct!$P$1+[9]Oct!$Q$1-F21</f>
        <v>0</v>
      </c>
      <c r="G8" s="36" t="n">
        <f aca="false">C8-SUM(D8:F8)</f>
        <v>0</v>
      </c>
      <c r="H8" s="36" t="n">
        <f aca="false">[9]Oct!$T$1-H21</f>
        <v>0</v>
      </c>
      <c r="I8" s="36" t="n">
        <f aca="false">[9]Oct!$G$1</f>
        <v>0</v>
      </c>
      <c r="J8" s="54"/>
      <c r="K8" s="393" t="s">
        <v>579</v>
      </c>
      <c r="L8" s="68"/>
    </row>
    <row r="9" customFormat="false" ht="12" hidden="false" customHeight="true" outlineLevel="0" collapsed="false">
      <c r="A9" s="391"/>
      <c r="B9" s="392" t="n">
        <f aca="false">Admin!B20</f>
        <v>46356</v>
      </c>
      <c r="C9" s="36" t="n">
        <f aca="false">[9]Nov!$M$1-C22</f>
        <v>0</v>
      </c>
      <c r="D9" s="36" t="n">
        <f aca="false">[9]Nov!$N$1-D22</f>
        <v>0</v>
      </c>
      <c r="E9" s="36" t="n">
        <f aca="false">[9]Nov!$O$1-E22</f>
        <v>0</v>
      </c>
      <c r="F9" s="36" t="n">
        <f aca="false">[9]Nov!$P$1+[9]Nov!$Q$1-F22</f>
        <v>0</v>
      </c>
      <c r="G9" s="36" t="n">
        <f aca="false">C9-SUM(D9:F9)</f>
        <v>0</v>
      </c>
      <c r="H9" s="36" t="n">
        <f aca="false">[9]Nov!$T$1-H22</f>
        <v>0</v>
      </c>
      <c r="I9" s="36" t="n">
        <f aca="false">[9]Nov!$G$1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46387</v>
      </c>
      <c r="C10" s="36" t="n">
        <f aca="false">[9]Dec!$M$1-C23</f>
        <v>0</v>
      </c>
      <c r="D10" s="36" t="n">
        <f aca="false">[9]Dec!$N$1-D23</f>
        <v>0</v>
      </c>
      <c r="E10" s="36" t="n">
        <f aca="false">[9]Dec!$O$1-E23</f>
        <v>0</v>
      </c>
      <c r="F10" s="36" t="n">
        <f aca="false">[9]Dec!$P$1+[9]Dec!$Q$1-F23</f>
        <v>0</v>
      </c>
      <c r="G10" s="36" t="n">
        <f aca="false">C10-SUM(D10:F10)</f>
        <v>0</v>
      </c>
      <c r="H10" s="36" t="n">
        <f aca="false">[9]Dec!$T$1-H23</f>
        <v>0</v>
      </c>
      <c r="I10" s="36" t="n">
        <f aca="false">[9]Dec!$G$1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46418</v>
      </c>
      <c r="C11" s="36" t="n">
        <f aca="false">[9]Jan!$M$1-C24</f>
        <v>0</v>
      </c>
      <c r="D11" s="36" t="n">
        <f aca="false">[9]Jan!$N$1-D24</f>
        <v>0</v>
      </c>
      <c r="E11" s="36" t="n">
        <f aca="false">[9]Jan!$O$1-E24</f>
        <v>0</v>
      </c>
      <c r="F11" s="36" t="n">
        <f aca="false">[9]Jan!$P$1+[9]Jan!$Q$1-F24</f>
        <v>0</v>
      </c>
      <c r="G11" s="36" t="n">
        <f aca="false">C11-SUM(D11:F11)</f>
        <v>0</v>
      </c>
      <c r="H11" s="36" t="n">
        <f aca="false">[9]Jan!$T$1-H24</f>
        <v>0</v>
      </c>
      <c r="I11" s="36" t="n">
        <f aca="false">[9]Jan!$G$1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46446</v>
      </c>
      <c r="C12" s="36" t="n">
        <f aca="false">[9]Feb!$M$1-C25</f>
        <v>0</v>
      </c>
      <c r="D12" s="36" t="n">
        <f aca="false">[9]Feb!$N$1-D25</f>
        <v>0</v>
      </c>
      <c r="E12" s="36" t="n">
        <f aca="false">[9]Feb!$O$1-E25</f>
        <v>0</v>
      </c>
      <c r="F12" s="36" t="n">
        <f aca="false">[9]Feb!$P$1+[9]Feb!$Q$1-F25</f>
        <v>0</v>
      </c>
      <c r="G12" s="36" t="n">
        <f aca="false">C12-SUM(D12:F12)</f>
        <v>0</v>
      </c>
      <c r="H12" s="36" t="n">
        <f aca="false">[9]Feb!$T$1-H25</f>
        <v>0</v>
      </c>
      <c r="I12" s="36" t="n">
        <f aca="false">[9]Feb!$G$1</f>
        <v>0</v>
      </c>
      <c r="J12" s="54"/>
      <c r="K12" s="393" t="s">
        <v>580</v>
      </c>
      <c r="L12" s="68"/>
    </row>
    <row r="13" customFormat="false" ht="12" hidden="false" customHeight="false" outlineLevel="0" collapsed="false">
      <c r="A13" s="391"/>
      <c r="B13" s="392" t="n">
        <f aca="false">Admin!B28</f>
        <v>46477</v>
      </c>
      <c r="C13" s="36" t="n">
        <f aca="false">[9]Mar!$M$1-C26</f>
        <v>0</v>
      </c>
      <c r="D13" s="36" t="n">
        <f aca="false">[9]Mar!$N$1-D26</f>
        <v>0</v>
      </c>
      <c r="E13" s="36" t="n">
        <f aca="false">[9]Mar!$O$1-E26</f>
        <v>0</v>
      </c>
      <c r="F13" s="36" t="n">
        <f aca="false">[9]Mar!$P$1+[9]Mar!$Q$1-F26</f>
        <v>0</v>
      </c>
      <c r="G13" s="36" t="n">
        <f aca="false">C13-SUM(D13:F13)</f>
        <v>0</v>
      </c>
      <c r="H13" s="36" t="n">
        <f aca="false">[9]Mar!$T$1-H26</f>
        <v>0</v>
      </c>
      <c r="I13" s="36" t="n">
        <f aca="false">[9]Mar!$G$1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46507</v>
      </c>
      <c r="C14" s="36" t="n">
        <f aca="false">[9]Apr!$M$1-C27</f>
        <v>0</v>
      </c>
      <c r="D14" s="36" t="n">
        <f aca="false">[9]Apr!$N$1-D27</f>
        <v>0</v>
      </c>
      <c r="E14" s="36" t="n">
        <f aca="false">[9]Apr!$O$1-E27</f>
        <v>0</v>
      </c>
      <c r="F14" s="36" t="n">
        <f aca="false">[9]Apr!$P$1+[9]Apr!$Q$1-F27</f>
        <v>0</v>
      </c>
      <c r="G14" s="36" t="n">
        <f aca="false">C14-SUM(D14:F14)</f>
        <v>0</v>
      </c>
      <c r="H14" s="36" t="n">
        <f aca="false">[9]Apr!$T$1-H27</f>
        <v>0</v>
      </c>
      <c r="I14" s="36" t="n">
        <f aca="false">[9]Apr!$G$1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46538</v>
      </c>
      <c r="C15" s="36" t="n">
        <f aca="false">[9]May!$M$1-C28</f>
        <v>0</v>
      </c>
      <c r="D15" s="36" t="n">
        <f aca="false">[9]May!$N$1-D28</f>
        <v>0</v>
      </c>
      <c r="E15" s="36" t="n">
        <f aca="false">[9]May!$O$1-E28</f>
        <v>0</v>
      </c>
      <c r="F15" s="36" t="n">
        <f aca="false">[9]May!$P$1+[9]May!$Q$1-F28</f>
        <v>0</v>
      </c>
      <c r="G15" s="36" t="n">
        <f aca="false">C15-SUM(D15:F15)</f>
        <v>0</v>
      </c>
      <c r="H15" s="36" t="n">
        <f aca="false">[9]May!$T$1-H28</f>
        <v>0</v>
      </c>
      <c r="I15" s="36" t="n">
        <f aca="false">[9]May!$G$1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581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46203</v>
      </c>
      <c r="C17" s="36" t="n">
        <f aca="false">[9]Jun!$M$2</f>
        <v>0</v>
      </c>
      <c r="D17" s="36" t="n">
        <f aca="false">[9]Jun!$N$2</f>
        <v>0</v>
      </c>
      <c r="E17" s="36" t="n">
        <f aca="false">[9]Jun!$O$2</f>
        <v>0</v>
      </c>
      <c r="F17" s="36" t="n">
        <f aca="false">[9]Jun!$P$2+[9]Jun!$Q$2</f>
        <v>0</v>
      </c>
      <c r="G17" s="36" t="n">
        <f aca="false">C17-SUM(D17:F17)</f>
        <v>0</v>
      </c>
      <c r="H17" s="36" t="n">
        <f aca="false">[9]Jun!$T$2</f>
        <v>0</v>
      </c>
      <c r="J17" s="54"/>
      <c r="K17" s="393" t="s">
        <v>582</v>
      </c>
      <c r="L17" s="68"/>
    </row>
    <row r="18" customFormat="false" ht="12" hidden="false" customHeight="false" outlineLevel="0" collapsed="false">
      <c r="A18" s="391"/>
      <c r="B18" s="392" t="n">
        <f aca="false">B5</f>
        <v>46234</v>
      </c>
      <c r="C18" s="36" t="n">
        <f aca="false">[9]Jul!$M$2</f>
        <v>0</v>
      </c>
      <c r="D18" s="36" t="n">
        <f aca="false">[9]Jul!$N$2</f>
        <v>0</v>
      </c>
      <c r="E18" s="36" t="n">
        <f aca="false">[9]Jul!$O$2</f>
        <v>0</v>
      </c>
      <c r="F18" s="36" t="n">
        <f aca="false">[9]Jul!$P$2+[9]Jul!$Q$2</f>
        <v>0</v>
      </c>
      <c r="G18" s="36" t="n">
        <f aca="false">C18-SUM(D18:F18)</f>
        <v>0</v>
      </c>
      <c r="H18" s="36" t="n">
        <f aca="false">[9]Jul!$T$2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46265</v>
      </c>
      <c r="C19" s="36" t="n">
        <f aca="false">[9]Aug!$M$2</f>
        <v>0</v>
      </c>
      <c r="D19" s="36" t="n">
        <f aca="false">[9]Aug!$N$2</f>
        <v>0</v>
      </c>
      <c r="E19" s="36" t="n">
        <f aca="false">[9]Aug!$O$2</f>
        <v>0</v>
      </c>
      <c r="F19" s="36" t="n">
        <f aca="false">[9]Aug!$P$2+[9]Aug!$Q$2</f>
        <v>0</v>
      </c>
      <c r="G19" s="36" t="n">
        <f aca="false">C19-SUM(D19:F19)</f>
        <v>0</v>
      </c>
      <c r="H19" s="36" t="n">
        <f aca="false">[9]Aug!$T$2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46295</v>
      </c>
      <c r="C20" s="36" t="n">
        <f aca="false">[9]Sep!$M$2</f>
        <v>0</v>
      </c>
      <c r="D20" s="36" t="n">
        <f aca="false">[9]Sep!$N$2</f>
        <v>0</v>
      </c>
      <c r="E20" s="36" t="n">
        <f aca="false">[9]Sep!$O$2</f>
        <v>0</v>
      </c>
      <c r="F20" s="36" t="n">
        <f aca="false">[9]Sep!$P$2+[9]Sep!$Q$2</f>
        <v>0</v>
      </c>
      <c r="G20" s="36" t="n">
        <f aca="false">C20-SUM(D20:F20)</f>
        <v>0</v>
      </c>
      <c r="H20" s="36" t="n">
        <f aca="false">[9]Sep!$T$2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46326</v>
      </c>
      <c r="C21" s="36" t="n">
        <f aca="false">[9]Oct!$M$2</f>
        <v>0</v>
      </c>
      <c r="D21" s="36" t="n">
        <f aca="false">[9]Oct!$N$2</f>
        <v>0</v>
      </c>
      <c r="E21" s="36" t="n">
        <f aca="false">[9]Oct!$O$2</f>
        <v>0</v>
      </c>
      <c r="F21" s="36" t="n">
        <f aca="false">[9]Oct!$P$2+[9]Oct!$Q$2</f>
        <v>0</v>
      </c>
      <c r="G21" s="36" t="n">
        <f aca="false">C21-SUM(D21:F21)</f>
        <v>0</v>
      </c>
      <c r="H21" s="36" t="n">
        <f aca="false">[9]Oct!$T$2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46356</v>
      </c>
      <c r="C22" s="36" t="n">
        <f aca="false">[9]Nov!$M$2</f>
        <v>0</v>
      </c>
      <c r="D22" s="36" t="n">
        <f aca="false">[9]Nov!$N$2</f>
        <v>0</v>
      </c>
      <c r="E22" s="36" t="n">
        <f aca="false">[9]Nov!$O$2</f>
        <v>0</v>
      </c>
      <c r="F22" s="36" t="n">
        <f aca="false">[9]Nov!$P$2+[9]Nov!$Q$2</f>
        <v>0</v>
      </c>
      <c r="G22" s="36" t="n">
        <f aca="false">C22-SUM(D22:F22)</f>
        <v>0</v>
      </c>
      <c r="H22" s="36" t="n">
        <f aca="false">[9]Nov!$T$2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46387</v>
      </c>
      <c r="C23" s="36" t="n">
        <f aca="false">[9]Dec!$M$2</f>
        <v>0</v>
      </c>
      <c r="D23" s="36" t="n">
        <f aca="false">[9]Dec!$N$2</f>
        <v>0</v>
      </c>
      <c r="E23" s="36" t="n">
        <f aca="false">[9]Dec!$O$2</f>
        <v>0</v>
      </c>
      <c r="F23" s="36" t="n">
        <f aca="false">[9]Dec!$P$2+[9]Dec!$Q$2</f>
        <v>0</v>
      </c>
      <c r="G23" s="36" t="n">
        <f aca="false">C23-SUM(D23:F23)</f>
        <v>0</v>
      </c>
      <c r="H23" s="36" t="n">
        <f aca="false">[9]Dec!$T$2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46418</v>
      </c>
      <c r="C24" s="36" t="n">
        <f aca="false">[9]Jan!$M$2</f>
        <v>0</v>
      </c>
      <c r="D24" s="36" t="n">
        <f aca="false">[9]Jan!$N$2</f>
        <v>0</v>
      </c>
      <c r="E24" s="36" t="n">
        <f aca="false">[9]Jan!$O$2</f>
        <v>0</v>
      </c>
      <c r="F24" s="36" t="n">
        <f aca="false">[9]Jan!$P$2+[9]Jan!$Q$2</f>
        <v>0</v>
      </c>
      <c r="G24" s="36" t="n">
        <f aca="false">C24-SUM(D24:F24)</f>
        <v>0</v>
      </c>
      <c r="H24" s="36" t="n">
        <f aca="false">[9]Jan!$T$2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46446</v>
      </c>
      <c r="C25" s="36" t="n">
        <f aca="false">[9]Feb!$M$2</f>
        <v>0</v>
      </c>
      <c r="D25" s="36" t="n">
        <f aca="false">[9]Feb!$N$2</f>
        <v>0</v>
      </c>
      <c r="E25" s="36" t="n">
        <f aca="false">[9]Feb!$O$2</f>
        <v>0</v>
      </c>
      <c r="F25" s="36" t="n">
        <f aca="false">[9]Feb!$P$2+[9]Feb!$Q$2</f>
        <v>0</v>
      </c>
      <c r="G25" s="36" t="n">
        <f aca="false">C25-SUM(D25:F25)</f>
        <v>0</v>
      </c>
      <c r="H25" s="36" t="n">
        <f aca="false">[9]Feb!$T$2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46477</v>
      </c>
      <c r="C26" s="36" t="n">
        <f aca="false">[9]Mar!$M$2</f>
        <v>0</v>
      </c>
      <c r="D26" s="36" t="n">
        <f aca="false">[9]Mar!$N$2</f>
        <v>0</v>
      </c>
      <c r="E26" s="36" t="n">
        <f aca="false">[9]Mar!$O$2</f>
        <v>0</v>
      </c>
      <c r="F26" s="36" t="n">
        <f aca="false">[9]Mar!$P$2+[9]Mar!$Q$2</f>
        <v>0</v>
      </c>
      <c r="G26" s="36" t="n">
        <f aca="false">C26-SUM(D26:F26)</f>
        <v>0</v>
      </c>
      <c r="H26" s="36" t="n">
        <f aca="false">[9]Mar!$T$2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46507</v>
      </c>
      <c r="C27" s="36" t="n">
        <f aca="false">[9]Apr!$M$2</f>
        <v>0</v>
      </c>
      <c r="D27" s="36" t="n">
        <f aca="false">[9]Apr!$N$2</f>
        <v>0</v>
      </c>
      <c r="E27" s="36" t="n">
        <f aca="false">[9]Apr!$O$2</f>
        <v>0</v>
      </c>
      <c r="F27" s="36" t="n">
        <f aca="false">[9]Apr!$P$2+[9]Apr!$Q$2</f>
        <v>0</v>
      </c>
      <c r="G27" s="36" t="n">
        <f aca="false">C27-SUM(D27:F27)</f>
        <v>0</v>
      </c>
      <c r="H27" s="36" t="n">
        <f aca="false">[9]Apr!$T$2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46538</v>
      </c>
      <c r="C28" s="36" t="n">
        <f aca="false">[9]May!$M$2</f>
        <v>0</v>
      </c>
      <c r="D28" s="36" t="n">
        <f aca="false">[9]May!$N$2</f>
        <v>0</v>
      </c>
      <c r="E28" s="36" t="n">
        <f aca="false">[9]May!$O$2</f>
        <v>0</v>
      </c>
      <c r="F28" s="36" t="n">
        <f aca="false">[9]May!$P$2+[9]May!$Q$2</f>
        <v>0</v>
      </c>
      <c r="G28" s="36" t="n">
        <f aca="false">C28-SUM(D28:F28)</f>
        <v>0</v>
      </c>
      <c r="H28" s="36" t="n">
        <f aca="false">[9]May!$T$2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583</v>
      </c>
      <c r="I1" s="406"/>
      <c r="J1" s="406"/>
      <c r="K1" s="406"/>
      <c r="L1" s="406"/>
      <c r="M1" s="405"/>
      <c r="N1" s="406" t="s">
        <v>583</v>
      </c>
      <c r="O1" s="406"/>
      <c r="P1" s="406"/>
      <c r="Q1" s="406"/>
      <c r="R1" s="406"/>
      <c r="S1" s="405"/>
      <c r="T1" s="406" t="s">
        <v>583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584</v>
      </c>
      <c r="C2" s="412"/>
      <c r="D2" s="413" t="s">
        <v>585</v>
      </c>
      <c r="E2" s="414"/>
      <c r="F2" s="413" t="s">
        <v>586</v>
      </c>
      <c r="G2" s="414"/>
      <c r="H2" s="415" t="s">
        <v>587</v>
      </c>
      <c r="I2" s="414"/>
      <c r="J2" s="413" t="s">
        <v>588</v>
      </c>
      <c r="K2" s="414"/>
      <c r="L2" s="413" t="s">
        <v>589</v>
      </c>
      <c r="M2" s="414"/>
      <c r="N2" s="415" t="s">
        <v>590</v>
      </c>
      <c r="O2" s="414"/>
      <c r="P2" s="413" t="s">
        <v>591</v>
      </c>
      <c r="Q2" s="414"/>
      <c r="R2" s="413" t="s">
        <v>589</v>
      </c>
      <c r="S2" s="414"/>
      <c r="T2" s="415" t="s">
        <v>592</v>
      </c>
      <c r="U2" s="414"/>
      <c r="V2" s="413" t="s">
        <v>593</v>
      </c>
      <c r="W2" s="414"/>
      <c r="X2" s="416" t="s">
        <v>589</v>
      </c>
      <c r="Y2" s="417"/>
      <c r="Z2" s="413" t="s">
        <v>594</v>
      </c>
      <c r="AA2" s="414"/>
      <c r="AB2" s="413" t="s">
        <v>595</v>
      </c>
      <c r="AC2" s="418"/>
      <c r="AD2" s="419" t="s">
        <v>596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597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598</v>
      </c>
      <c r="C4" s="428"/>
      <c r="D4" s="428"/>
      <c r="E4" s="428"/>
      <c r="F4" s="428"/>
      <c r="G4" s="423"/>
      <c r="H4" s="429" t="n">
        <v>0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/>
      <c r="C5" s="430"/>
      <c r="D5" s="78"/>
      <c r="E5" s="78"/>
      <c r="F5" s="78"/>
      <c r="G5" s="78"/>
      <c r="H5" s="431"/>
      <c r="I5" s="78"/>
      <c r="J5" s="78"/>
      <c r="K5" s="78"/>
      <c r="L5" s="432"/>
      <c r="M5" s="78"/>
      <c r="N5" s="431"/>
      <c r="O5" s="78"/>
      <c r="P5" s="78"/>
      <c r="Q5" s="78"/>
      <c r="R5" s="432"/>
      <c r="S5" s="78"/>
      <c r="T5" s="431"/>
      <c r="U5" s="78"/>
      <c r="V5" s="78"/>
      <c r="W5" s="78"/>
      <c r="X5" s="78"/>
      <c r="Y5" s="433"/>
      <c r="Z5" s="78"/>
      <c r="AA5" s="78"/>
      <c r="AB5" s="78"/>
      <c r="AC5" s="68"/>
      <c r="AD5" s="427"/>
      <c r="AE5" s="427"/>
      <c r="AF5" s="427"/>
      <c r="AG5" s="427"/>
      <c r="AH5" s="68"/>
    </row>
    <row r="6" customFormat="false" ht="12" hidden="false" customHeight="false" outlineLevel="0" collapsed="false">
      <c r="A6" s="391"/>
      <c r="B6" s="434" t="n">
        <f aca="false">Admin!B9</f>
        <v>46174</v>
      </c>
      <c r="C6" s="435"/>
      <c r="D6" s="436" t="n">
        <f aca="false">OpenAccounts!$E$15</f>
        <v>0</v>
      </c>
      <c r="E6" s="78"/>
      <c r="F6" s="78"/>
      <c r="G6" s="78"/>
      <c r="H6" s="431"/>
      <c r="I6" s="78"/>
      <c r="J6" s="78"/>
      <c r="K6" s="78"/>
      <c r="L6" s="432"/>
      <c r="M6" s="78"/>
      <c r="N6" s="431"/>
      <c r="O6" s="78"/>
      <c r="P6" s="78"/>
      <c r="Q6" s="78"/>
      <c r="R6" s="432"/>
      <c r="S6" s="78"/>
      <c r="T6" s="431"/>
      <c r="U6" s="78"/>
      <c r="V6" s="78"/>
      <c r="W6" s="78"/>
      <c r="X6" s="78"/>
      <c r="Y6" s="433"/>
      <c r="Z6" s="78"/>
      <c r="AA6" s="78"/>
      <c r="AB6" s="436" t="n">
        <f aca="false">OpenAccounts!$E$15</f>
        <v>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5"/>
      <c r="C7" s="435"/>
      <c r="D7" s="78"/>
      <c r="E7" s="78"/>
      <c r="F7" s="78"/>
      <c r="G7" s="78"/>
      <c r="H7" s="431"/>
      <c r="I7" s="78"/>
      <c r="J7" s="78"/>
      <c r="K7" s="78"/>
      <c r="L7" s="432"/>
      <c r="M7" s="78"/>
      <c r="N7" s="431"/>
      <c r="O7" s="78"/>
      <c r="P7" s="78"/>
      <c r="Q7" s="78"/>
      <c r="R7" s="432"/>
      <c r="S7" s="78"/>
      <c r="T7" s="431"/>
      <c r="U7" s="78"/>
      <c r="V7" s="78"/>
      <c r="W7" s="78"/>
      <c r="X7" s="78"/>
      <c r="Y7" s="433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4" t="n">
        <f aca="false">Admin!B10</f>
        <v>46203</v>
      </c>
      <c r="C8" s="435"/>
      <c r="D8" s="436" t="n">
        <f aca="false">D6+F8-L8-R8-X8+Z6</f>
        <v>0</v>
      </c>
      <c r="E8" s="78"/>
      <c r="F8" s="78" t="n">
        <f aca="false">IF((H$4+N$4+T$4)=0,0,[2]Jun!O$1)</f>
        <v>0</v>
      </c>
      <c r="G8" s="78"/>
      <c r="H8" s="437" t="n">
        <f aca="false">H4</f>
        <v>0</v>
      </c>
      <c r="I8" s="78"/>
      <c r="J8" s="78" t="n">
        <f aca="false">[3]Jun!$O$1</f>
        <v>5833.33333333333</v>
      </c>
      <c r="K8" s="78"/>
      <c r="L8" s="432" t="n">
        <f aca="false">J8*H8</f>
        <v>0</v>
      </c>
      <c r="M8" s="78"/>
      <c r="N8" s="437" t="n">
        <f aca="false">N4</f>
        <v>0</v>
      </c>
      <c r="O8" s="78"/>
      <c r="P8" s="78" t="n">
        <f aca="false">[3]Jun!$P$1</f>
        <v>1000</v>
      </c>
      <c r="Q8" s="78"/>
      <c r="R8" s="432" t="n">
        <f aca="false">P8*N8</f>
        <v>0</v>
      </c>
      <c r="S8" s="78"/>
      <c r="T8" s="437" t="n">
        <f aca="false">T4</f>
        <v>0</v>
      </c>
      <c r="U8" s="78"/>
      <c r="V8" s="78" t="n">
        <f aca="false">[3]Jun!$Q$1</f>
        <v>0</v>
      </c>
      <c r="W8" s="78"/>
      <c r="X8" s="78" t="n">
        <f aca="false">V8*T8</f>
        <v>0</v>
      </c>
      <c r="Y8" s="433"/>
      <c r="Z8" s="78" t="n">
        <f aca="false">IF(AB8&lt;&gt;D8,AB8-D8,0)</f>
        <v>0</v>
      </c>
      <c r="AA8" s="78"/>
      <c r="AB8" s="71" t="n">
        <f aca="false">AB6+F8-L8-R8-X8</f>
        <v>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5"/>
      <c r="C9" s="435"/>
      <c r="D9" s="78"/>
      <c r="E9" s="78"/>
      <c r="F9" s="78"/>
      <c r="G9" s="78"/>
      <c r="H9" s="431"/>
      <c r="I9" s="78"/>
      <c r="J9" s="78"/>
      <c r="K9" s="78"/>
      <c r="L9" s="432"/>
      <c r="M9" s="78"/>
      <c r="N9" s="431"/>
      <c r="O9" s="78"/>
      <c r="P9" s="78"/>
      <c r="Q9" s="78"/>
      <c r="R9" s="432"/>
      <c r="S9" s="78"/>
      <c r="T9" s="431"/>
      <c r="U9" s="78"/>
      <c r="V9" s="78"/>
      <c r="W9" s="78"/>
      <c r="X9" s="78"/>
      <c r="Y9" s="433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4" t="n">
        <f aca="false">Admin!B12</f>
        <v>46234</v>
      </c>
      <c r="C10" s="435"/>
      <c r="D10" s="436" t="n">
        <f aca="false">D8+F10-L10-R10-X10+Z8</f>
        <v>0</v>
      </c>
      <c r="E10" s="78"/>
      <c r="F10" s="78" t="n">
        <f aca="false">IF((H$4+N$4+T$4)=0,0,[2]Jul!O$1)</f>
        <v>0</v>
      </c>
      <c r="G10" s="78"/>
      <c r="H10" s="437" t="n">
        <f aca="false">H8</f>
        <v>0</v>
      </c>
      <c r="I10" s="78"/>
      <c r="J10" s="78" t="n">
        <f aca="false">[3]Jul!$O$1</f>
        <v>5833.33333333333</v>
      </c>
      <c r="K10" s="78"/>
      <c r="L10" s="432" t="n">
        <f aca="false">J10*H10</f>
        <v>0</v>
      </c>
      <c r="M10" s="78"/>
      <c r="N10" s="437" t="n">
        <f aca="false">N8</f>
        <v>0</v>
      </c>
      <c r="O10" s="78"/>
      <c r="P10" s="78" t="n">
        <f aca="false">[3]Jul!$P$1</f>
        <v>0</v>
      </c>
      <c r="Q10" s="78"/>
      <c r="R10" s="432" t="n">
        <f aca="false">P10*N10</f>
        <v>0</v>
      </c>
      <c r="S10" s="78"/>
      <c r="T10" s="437" t="n">
        <f aca="false">T8</f>
        <v>0</v>
      </c>
      <c r="U10" s="78"/>
      <c r="V10" s="78" t="n">
        <f aca="false">[3]Jul!$Q$1</f>
        <v>0</v>
      </c>
      <c r="W10" s="78"/>
      <c r="X10" s="78" t="n">
        <f aca="false">V10*T10</f>
        <v>0</v>
      </c>
      <c r="Y10" s="433"/>
      <c r="Z10" s="78" t="n">
        <f aca="false">IF(AB10&lt;&gt;D10,AB10-D10,0)</f>
        <v>0</v>
      </c>
      <c r="AA10" s="78"/>
      <c r="AB10" s="71" t="n">
        <f aca="false">AB8+F10-L10-R10-X10</f>
        <v>0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5"/>
      <c r="C11" s="435"/>
      <c r="D11" s="78"/>
      <c r="E11" s="78"/>
      <c r="F11" s="78"/>
      <c r="G11" s="78"/>
      <c r="H11" s="431"/>
      <c r="I11" s="78"/>
      <c r="J11" s="78"/>
      <c r="K11" s="78"/>
      <c r="L11" s="432"/>
      <c r="M11" s="78"/>
      <c r="N11" s="431"/>
      <c r="O11" s="78"/>
      <c r="P11" s="78"/>
      <c r="Q11" s="78"/>
      <c r="R11" s="432"/>
      <c r="S11" s="78"/>
      <c r="T11" s="431"/>
      <c r="U11" s="78"/>
      <c r="V11" s="78"/>
      <c r="W11" s="78"/>
      <c r="X11" s="78"/>
      <c r="Y11" s="433"/>
      <c r="Z11" s="78"/>
      <c r="AA11" s="78"/>
      <c r="AB11" s="78"/>
      <c r="AC11" s="68"/>
      <c r="AD11" s="427" t="s">
        <v>599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4" t="n">
        <f aca="false">Admin!B14</f>
        <v>46265</v>
      </c>
      <c r="C12" s="435"/>
      <c r="D12" s="436" t="n">
        <f aca="false">D10+F12-L12-R12-X12+Z10</f>
        <v>0</v>
      </c>
      <c r="E12" s="78"/>
      <c r="F12" s="78" t="n">
        <f aca="false">IF((H$4+N$4+T$4)=0,0,[2]Aug!O$1)</f>
        <v>0</v>
      </c>
      <c r="G12" s="78"/>
      <c r="H12" s="437" t="n">
        <f aca="false">H10</f>
        <v>0</v>
      </c>
      <c r="I12" s="78"/>
      <c r="J12" s="78" t="n">
        <f aca="false">[3]Aug!$O$1</f>
        <v>5833.33333333333</v>
      </c>
      <c r="K12" s="78"/>
      <c r="L12" s="432" t="n">
        <f aca="false">J12*H12</f>
        <v>0</v>
      </c>
      <c r="M12" s="78"/>
      <c r="N12" s="437" t="n">
        <f aca="false">N10</f>
        <v>0</v>
      </c>
      <c r="O12" s="78"/>
      <c r="P12" s="78" t="n">
        <f aca="false">[3]Aug!$P$1</f>
        <v>0</v>
      </c>
      <c r="Q12" s="78"/>
      <c r="R12" s="432" t="n">
        <f aca="false">P12*N12</f>
        <v>0</v>
      </c>
      <c r="S12" s="78"/>
      <c r="T12" s="437" t="n">
        <f aca="false">T10</f>
        <v>0</v>
      </c>
      <c r="U12" s="78"/>
      <c r="V12" s="78" t="n">
        <f aca="false">[3]Aug!$Q$1</f>
        <v>2000</v>
      </c>
      <c r="W12" s="78"/>
      <c r="X12" s="78" t="n">
        <f aca="false">V12*T12</f>
        <v>0</v>
      </c>
      <c r="Y12" s="433"/>
      <c r="Z12" s="78" t="n">
        <f aca="false">IF(AB12&lt;&gt;D12,AB12-D12,0)</f>
        <v>0</v>
      </c>
      <c r="AA12" s="78"/>
      <c r="AB12" s="71" t="n">
        <f aca="false">AB10+F12-L12-R12-X12</f>
        <v>0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5"/>
      <c r="C13" s="435"/>
      <c r="D13" s="78"/>
      <c r="E13" s="78"/>
      <c r="F13" s="78"/>
      <c r="G13" s="78"/>
      <c r="H13" s="431"/>
      <c r="I13" s="78"/>
      <c r="J13" s="78"/>
      <c r="K13" s="78"/>
      <c r="L13" s="432"/>
      <c r="M13" s="78"/>
      <c r="N13" s="431"/>
      <c r="O13" s="78"/>
      <c r="P13" s="78"/>
      <c r="Q13" s="78"/>
      <c r="R13" s="432"/>
      <c r="S13" s="78"/>
      <c r="T13" s="431"/>
      <c r="U13" s="78"/>
      <c r="V13" s="78"/>
      <c r="W13" s="78"/>
      <c r="X13" s="78"/>
      <c r="Y13" s="433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4" t="n">
        <f aca="false">Admin!B16</f>
        <v>46295</v>
      </c>
      <c r="C14" s="435"/>
      <c r="D14" s="436" t="n">
        <f aca="false">D12+F14-L14-R14-X14+Z12</f>
        <v>0</v>
      </c>
      <c r="E14" s="78"/>
      <c r="F14" s="78" t="n">
        <f aca="false">IF((H$4+N$4+T$4)=0,0,[2]Sep!O$1)</f>
        <v>0</v>
      </c>
      <c r="G14" s="78"/>
      <c r="H14" s="437" t="n">
        <f aca="false">H12</f>
        <v>0</v>
      </c>
      <c r="I14" s="78"/>
      <c r="J14" s="78" t="n">
        <f aca="false">[3]Sep!$O$1</f>
        <v>5833.33333333333</v>
      </c>
      <c r="K14" s="78"/>
      <c r="L14" s="432" t="n">
        <f aca="false">J14*H14</f>
        <v>0</v>
      </c>
      <c r="M14" s="78"/>
      <c r="N14" s="437" t="n">
        <f aca="false">N12</f>
        <v>0</v>
      </c>
      <c r="O14" s="78"/>
      <c r="P14" s="78" t="n">
        <f aca="false">[3]Sep!$P$1</f>
        <v>1000</v>
      </c>
      <c r="Q14" s="78"/>
      <c r="R14" s="432" t="n">
        <f aca="false">P14*N14</f>
        <v>0</v>
      </c>
      <c r="S14" s="78"/>
      <c r="T14" s="437" t="n">
        <f aca="false">T12</f>
        <v>0</v>
      </c>
      <c r="U14" s="78"/>
      <c r="V14" s="78" t="n">
        <f aca="false">[3]Sep!$Q$1</f>
        <v>0</v>
      </c>
      <c r="W14" s="78"/>
      <c r="X14" s="78" t="n">
        <f aca="false">V14*T14</f>
        <v>0</v>
      </c>
      <c r="Y14" s="433"/>
      <c r="Z14" s="78" t="n">
        <f aca="false">IF(AB14&lt;&gt;D14,AB14-D14,0)</f>
        <v>0</v>
      </c>
      <c r="AA14" s="78"/>
      <c r="AB14" s="71" t="n">
        <f aca="false">AB12+F14-L14-R14-X14</f>
        <v>0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5"/>
      <c r="C15" s="435"/>
      <c r="D15" s="78"/>
      <c r="E15" s="78"/>
      <c r="F15" s="78"/>
      <c r="G15" s="78"/>
      <c r="H15" s="431"/>
      <c r="I15" s="78"/>
      <c r="J15" s="78"/>
      <c r="K15" s="78"/>
      <c r="L15" s="432"/>
      <c r="M15" s="78"/>
      <c r="N15" s="431"/>
      <c r="O15" s="78"/>
      <c r="P15" s="78"/>
      <c r="Q15" s="78"/>
      <c r="R15" s="432"/>
      <c r="S15" s="78"/>
      <c r="T15" s="431"/>
      <c r="U15" s="78"/>
      <c r="V15" s="78"/>
      <c r="W15" s="78"/>
      <c r="X15" s="78"/>
      <c r="Y15" s="433"/>
      <c r="Z15" s="78"/>
      <c r="AA15" s="78"/>
      <c r="AB15" s="78"/>
      <c r="AC15" s="68"/>
      <c r="AD15" s="427" t="s">
        <v>600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4" t="n">
        <f aca="false">Admin!B18</f>
        <v>46326</v>
      </c>
      <c r="C16" s="435"/>
      <c r="D16" s="436" t="n">
        <f aca="false">D14+F16-L16-R16-X16+Z14</f>
        <v>0</v>
      </c>
      <c r="E16" s="78"/>
      <c r="F16" s="78" t="n">
        <f aca="false">IF((H$4+N$4+T$4)=0,0,[2]Oct!O$1)</f>
        <v>0</v>
      </c>
      <c r="G16" s="78"/>
      <c r="H16" s="437" t="n">
        <f aca="false">H14</f>
        <v>0</v>
      </c>
      <c r="I16" s="78"/>
      <c r="J16" s="78" t="n">
        <f aca="false">[3]Oct!$O$1</f>
        <v>5833.33333333333</v>
      </c>
      <c r="K16" s="78"/>
      <c r="L16" s="432" t="n">
        <f aca="false">J16*H16</f>
        <v>0</v>
      </c>
      <c r="M16" s="78"/>
      <c r="N16" s="437" t="n">
        <f aca="false">N14</f>
        <v>0</v>
      </c>
      <c r="O16" s="78"/>
      <c r="P16" s="78" t="n">
        <f aca="false">[3]Oct!$P$1</f>
        <v>0</v>
      </c>
      <c r="Q16" s="78"/>
      <c r="R16" s="432" t="n">
        <f aca="false">P16*N16</f>
        <v>0</v>
      </c>
      <c r="S16" s="78"/>
      <c r="T16" s="437" t="n">
        <f aca="false">T14</f>
        <v>0</v>
      </c>
      <c r="U16" s="78"/>
      <c r="V16" s="78" t="n">
        <f aca="false">[3]Oct!$Q$1</f>
        <v>0</v>
      </c>
      <c r="W16" s="78"/>
      <c r="X16" s="78" t="n">
        <f aca="false">V16*T16</f>
        <v>0</v>
      </c>
      <c r="Y16" s="433"/>
      <c r="Z16" s="78" t="n">
        <f aca="false">IF(AB16&lt;&gt;D16,AB16-D16,0)</f>
        <v>0</v>
      </c>
      <c r="AA16" s="78"/>
      <c r="AB16" s="71" t="n">
        <f aca="false">AB14+F16-L16-R16-X16</f>
        <v>0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5"/>
      <c r="C17" s="435"/>
      <c r="D17" s="78"/>
      <c r="E17" s="78"/>
      <c r="F17" s="78"/>
      <c r="G17" s="78"/>
      <c r="H17" s="431"/>
      <c r="I17" s="78"/>
      <c r="J17" s="78"/>
      <c r="K17" s="78"/>
      <c r="L17" s="432"/>
      <c r="M17" s="78"/>
      <c r="N17" s="431"/>
      <c r="O17" s="78"/>
      <c r="P17" s="78"/>
      <c r="Q17" s="78"/>
      <c r="R17" s="432"/>
      <c r="S17" s="78"/>
      <c r="T17" s="431"/>
      <c r="U17" s="78"/>
      <c r="V17" s="78"/>
      <c r="W17" s="78"/>
      <c r="X17" s="78"/>
      <c r="Y17" s="433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4" t="n">
        <f aca="false">Admin!B20</f>
        <v>46356</v>
      </c>
      <c r="C18" s="435"/>
      <c r="D18" s="436" t="n">
        <f aca="false">D16+F18-L18-R18-X18+Z16</f>
        <v>0</v>
      </c>
      <c r="E18" s="78"/>
      <c r="F18" s="78" t="n">
        <f aca="false">IF((H$4+N$4+T$4)=0,0,[2]Nov!O$1)</f>
        <v>0</v>
      </c>
      <c r="G18" s="78"/>
      <c r="H18" s="437" t="n">
        <f aca="false">H16</f>
        <v>0</v>
      </c>
      <c r="I18" s="78"/>
      <c r="J18" s="78" t="n">
        <f aca="false">[3]Nov!$O$1</f>
        <v>5833.33333333333</v>
      </c>
      <c r="K18" s="78"/>
      <c r="L18" s="432" t="n">
        <f aca="false">J18*H18</f>
        <v>0</v>
      </c>
      <c r="M18" s="78"/>
      <c r="N18" s="437" t="n">
        <f aca="false">N16</f>
        <v>0</v>
      </c>
      <c r="O18" s="78"/>
      <c r="P18" s="78" t="n">
        <f aca="false">[3]Nov!$P$1</f>
        <v>0</v>
      </c>
      <c r="Q18" s="78"/>
      <c r="R18" s="432" t="n">
        <f aca="false">P18*N18</f>
        <v>0</v>
      </c>
      <c r="S18" s="78"/>
      <c r="T18" s="437" t="n">
        <f aca="false">T16</f>
        <v>0</v>
      </c>
      <c r="U18" s="78"/>
      <c r="V18" s="78" t="n">
        <f aca="false">[3]Nov!$Q$1</f>
        <v>0</v>
      </c>
      <c r="W18" s="78"/>
      <c r="X18" s="78" t="n">
        <f aca="false">V18*T18</f>
        <v>0</v>
      </c>
      <c r="Y18" s="433"/>
      <c r="Z18" s="78" t="n">
        <f aca="false">IF(AB18&lt;&gt;D18,AB18-D18,0)</f>
        <v>0</v>
      </c>
      <c r="AA18" s="78"/>
      <c r="AB18" s="71" t="n">
        <f aca="false">AB16+F18-L18-R18-X18</f>
        <v>0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5"/>
      <c r="C19" s="435"/>
      <c r="D19" s="78"/>
      <c r="E19" s="78"/>
      <c r="F19" s="78"/>
      <c r="G19" s="78"/>
      <c r="H19" s="431"/>
      <c r="I19" s="78"/>
      <c r="J19" s="78"/>
      <c r="K19" s="78"/>
      <c r="L19" s="432"/>
      <c r="M19" s="78"/>
      <c r="N19" s="431"/>
      <c r="O19" s="78"/>
      <c r="P19" s="78"/>
      <c r="Q19" s="78"/>
      <c r="R19" s="432"/>
      <c r="S19" s="78"/>
      <c r="T19" s="431"/>
      <c r="U19" s="78"/>
      <c r="V19" s="78"/>
      <c r="W19" s="78"/>
      <c r="X19" s="78"/>
      <c r="Y19" s="433"/>
      <c r="Z19" s="78"/>
      <c r="AA19" s="78"/>
      <c r="AB19" s="78"/>
      <c r="AC19" s="68"/>
      <c r="AD19" s="427" t="s">
        <v>601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4" t="n">
        <f aca="false">Admin!B22</f>
        <v>46387</v>
      </c>
      <c r="C20" s="435"/>
      <c r="D20" s="436" t="n">
        <f aca="false">D18+F20-L20-R20-X20+Z18</f>
        <v>0</v>
      </c>
      <c r="E20" s="78"/>
      <c r="F20" s="78" t="n">
        <f aca="false">IF((H$4+N$4+T$4)=0,0,[2]Dec!O$1)</f>
        <v>0</v>
      </c>
      <c r="G20" s="78"/>
      <c r="H20" s="437" t="n">
        <f aca="false">H18</f>
        <v>0</v>
      </c>
      <c r="I20" s="78"/>
      <c r="J20" s="78" t="n">
        <f aca="false">[3]Dec!$O$1</f>
        <v>7000</v>
      </c>
      <c r="K20" s="78"/>
      <c r="L20" s="432" t="n">
        <f aca="false">J20*H20</f>
        <v>0</v>
      </c>
      <c r="M20" s="78"/>
      <c r="N20" s="437" t="n">
        <f aca="false">N18</f>
        <v>0</v>
      </c>
      <c r="O20" s="78"/>
      <c r="P20" s="78" t="n">
        <f aca="false">[3]Dec!$P$1</f>
        <v>1000</v>
      </c>
      <c r="Q20" s="78"/>
      <c r="R20" s="432" t="n">
        <f aca="false">P20*N20</f>
        <v>0</v>
      </c>
      <c r="S20" s="78"/>
      <c r="T20" s="437" t="n">
        <f aca="false">T18</f>
        <v>0</v>
      </c>
      <c r="U20" s="78"/>
      <c r="V20" s="78" t="n">
        <f aca="false">[3]Dec!$Q$1</f>
        <v>0</v>
      </c>
      <c r="W20" s="78"/>
      <c r="X20" s="78" t="n">
        <f aca="false">V20*T20</f>
        <v>0</v>
      </c>
      <c r="Y20" s="433"/>
      <c r="Z20" s="78" t="n">
        <f aca="false">IF(AB20&lt;&gt;D20,AB20-D20,0)</f>
        <v>0</v>
      </c>
      <c r="AA20" s="78"/>
      <c r="AB20" s="71" t="n">
        <f aca="false">AB18+F20-L20-R20-X20</f>
        <v>0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5"/>
      <c r="C21" s="435"/>
      <c r="D21" s="78"/>
      <c r="E21" s="78"/>
      <c r="F21" s="78"/>
      <c r="G21" s="78"/>
      <c r="H21" s="431"/>
      <c r="I21" s="78"/>
      <c r="J21" s="78"/>
      <c r="K21" s="78"/>
      <c r="L21" s="432"/>
      <c r="M21" s="78"/>
      <c r="N21" s="431"/>
      <c r="O21" s="78"/>
      <c r="P21" s="78"/>
      <c r="Q21" s="78"/>
      <c r="R21" s="432"/>
      <c r="S21" s="78"/>
      <c r="T21" s="431"/>
      <c r="U21" s="78"/>
      <c r="V21" s="78"/>
      <c r="W21" s="78"/>
      <c r="X21" s="78"/>
      <c r="Y21" s="433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4" t="n">
        <f aca="false">Admin!B24</f>
        <v>46418</v>
      </c>
      <c r="C22" s="435"/>
      <c r="D22" s="436" t="n">
        <f aca="false">D20+F22-L22-R22-X22+Z20</f>
        <v>0</v>
      </c>
      <c r="E22" s="78"/>
      <c r="F22" s="78" t="n">
        <f aca="false">IF((H$4+N$4+T$4)=0,0,[2]Jan!O$1)</f>
        <v>0</v>
      </c>
      <c r="G22" s="78"/>
      <c r="H22" s="437" t="n">
        <f aca="false">H20</f>
        <v>0</v>
      </c>
      <c r="I22" s="78"/>
      <c r="J22" s="78" t="n">
        <f aca="false">[3]Jan!$O$1</f>
        <v>7000</v>
      </c>
      <c r="K22" s="78"/>
      <c r="L22" s="432" t="n">
        <f aca="false">J22*H22</f>
        <v>0</v>
      </c>
      <c r="M22" s="78"/>
      <c r="N22" s="437" t="n">
        <f aca="false">N20</f>
        <v>0</v>
      </c>
      <c r="O22" s="78"/>
      <c r="P22" s="78" t="n">
        <f aca="false">[3]Jan!$P$1</f>
        <v>0</v>
      </c>
      <c r="Q22" s="78"/>
      <c r="R22" s="432" t="n">
        <f aca="false">P22*N22</f>
        <v>0</v>
      </c>
      <c r="S22" s="78"/>
      <c r="T22" s="437" t="n">
        <f aca="false">T20</f>
        <v>0</v>
      </c>
      <c r="U22" s="78"/>
      <c r="V22" s="78" t="n">
        <f aca="false">[3]Jan!$Q$1</f>
        <v>3000</v>
      </c>
      <c r="W22" s="78"/>
      <c r="X22" s="78" t="n">
        <f aca="false">V22*T22</f>
        <v>0</v>
      </c>
      <c r="Y22" s="433"/>
      <c r="Z22" s="78" t="n">
        <f aca="false">IF(AB22&lt;&gt;D22,AB22-D22,0)</f>
        <v>0</v>
      </c>
      <c r="AA22" s="78"/>
      <c r="AB22" s="71" t="n">
        <f aca="false">AB20+F22-L22-R22-X22</f>
        <v>0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5"/>
      <c r="C23" s="435"/>
      <c r="D23" s="78"/>
      <c r="E23" s="78"/>
      <c r="F23" s="78"/>
      <c r="G23" s="78"/>
      <c r="H23" s="431"/>
      <c r="I23" s="78"/>
      <c r="J23" s="78"/>
      <c r="K23" s="78"/>
      <c r="L23" s="432"/>
      <c r="M23" s="78"/>
      <c r="N23" s="431"/>
      <c r="O23" s="78"/>
      <c r="P23" s="78"/>
      <c r="Q23" s="78"/>
      <c r="R23" s="432"/>
      <c r="S23" s="78"/>
      <c r="T23" s="431"/>
      <c r="U23" s="78"/>
      <c r="V23" s="78"/>
      <c r="W23" s="78"/>
      <c r="X23" s="78"/>
      <c r="Y23" s="433"/>
      <c r="Z23" s="78"/>
      <c r="AA23" s="78"/>
      <c r="AB23" s="78"/>
      <c r="AC23" s="68"/>
      <c r="AD23" s="427" t="s">
        <v>602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4" t="n">
        <f aca="false">Admin!B26</f>
        <v>46446</v>
      </c>
      <c r="C24" s="435"/>
      <c r="D24" s="436" t="n">
        <f aca="false">D22+F24-L24-R24-X24+Z22</f>
        <v>0</v>
      </c>
      <c r="E24" s="78"/>
      <c r="F24" s="78" t="n">
        <f aca="false">IF((H$4+N$4+T$4)=0,0,[2]Feb!O$1)</f>
        <v>0</v>
      </c>
      <c r="G24" s="78"/>
      <c r="H24" s="437" t="n">
        <f aca="false">H22</f>
        <v>0</v>
      </c>
      <c r="I24" s="78"/>
      <c r="J24" s="78" t="n">
        <f aca="false">[3]Feb!$O$1</f>
        <v>7000</v>
      </c>
      <c r="K24" s="78"/>
      <c r="L24" s="432" t="n">
        <f aca="false">J24*H24</f>
        <v>0</v>
      </c>
      <c r="M24" s="78"/>
      <c r="N24" s="437" t="n">
        <f aca="false">N22</f>
        <v>0</v>
      </c>
      <c r="O24" s="78"/>
      <c r="P24" s="78" t="n">
        <f aca="false">[3]Feb!$P$1</f>
        <v>0</v>
      </c>
      <c r="Q24" s="78"/>
      <c r="R24" s="432" t="n">
        <f aca="false">P24*N24</f>
        <v>0</v>
      </c>
      <c r="S24" s="78"/>
      <c r="T24" s="437" t="n">
        <f aca="false">T22</f>
        <v>0</v>
      </c>
      <c r="U24" s="78"/>
      <c r="V24" s="78" t="n">
        <f aca="false">[3]Feb!$Q$1</f>
        <v>0</v>
      </c>
      <c r="W24" s="78"/>
      <c r="X24" s="78" t="n">
        <f aca="false">V24*T24</f>
        <v>0</v>
      </c>
      <c r="Y24" s="433"/>
      <c r="Z24" s="78" t="n">
        <f aca="false">IF(AB24&lt;&gt;D24,AB24-D24,0)</f>
        <v>0</v>
      </c>
      <c r="AA24" s="78"/>
      <c r="AB24" s="71" t="n">
        <f aca="false">AB22+F24-L24-R24-X24</f>
        <v>0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5"/>
      <c r="C25" s="435"/>
      <c r="D25" s="78"/>
      <c r="E25" s="78"/>
      <c r="F25" s="78"/>
      <c r="G25" s="78"/>
      <c r="H25" s="431"/>
      <c r="I25" s="78"/>
      <c r="J25" s="78"/>
      <c r="K25" s="78"/>
      <c r="L25" s="432"/>
      <c r="M25" s="78"/>
      <c r="N25" s="431"/>
      <c r="O25" s="78"/>
      <c r="P25" s="78"/>
      <c r="Q25" s="78"/>
      <c r="R25" s="432"/>
      <c r="S25" s="78"/>
      <c r="T25" s="431"/>
      <c r="U25" s="78"/>
      <c r="V25" s="78"/>
      <c r="W25" s="78"/>
      <c r="X25" s="78"/>
      <c r="Y25" s="433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4" t="n">
        <f aca="false">Admin!B28</f>
        <v>46477</v>
      </c>
      <c r="C26" s="435"/>
      <c r="D26" s="436" t="n">
        <f aca="false">D24+F26-L26-R26-X26+Z24</f>
        <v>0</v>
      </c>
      <c r="E26" s="78"/>
      <c r="F26" s="78" t="n">
        <f aca="false">IF((H$4+N$4+T$4)=0,0,[2]Mar!O$1)</f>
        <v>0</v>
      </c>
      <c r="G26" s="78"/>
      <c r="H26" s="437" t="n">
        <f aca="false">H24</f>
        <v>0</v>
      </c>
      <c r="I26" s="78"/>
      <c r="J26" s="78" t="n">
        <f aca="false">[3]Mar!$O$1</f>
        <v>7000</v>
      </c>
      <c r="K26" s="78"/>
      <c r="L26" s="432" t="n">
        <f aca="false">J26*H26</f>
        <v>0</v>
      </c>
      <c r="M26" s="78"/>
      <c r="N26" s="437" t="n">
        <f aca="false">N24</f>
        <v>0</v>
      </c>
      <c r="O26" s="78"/>
      <c r="P26" s="78" t="n">
        <f aca="false">[3]Mar!$P$1</f>
        <v>1000</v>
      </c>
      <c r="Q26" s="78"/>
      <c r="R26" s="432" t="n">
        <f aca="false">P26*N26</f>
        <v>0</v>
      </c>
      <c r="S26" s="78"/>
      <c r="T26" s="437" t="n">
        <f aca="false">T24</f>
        <v>0</v>
      </c>
      <c r="U26" s="78"/>
      <c r="V26" s="78" t="n">
        <f aca="false">[3]Mar!$Q$1</f>
        <v>0</v>
      </c>
      <c r="W26" s="78"/>
      <c r="X26" s="78" t="n">
        <f aca="false">V26*T26</f>
        <v>0</v>
      </c>
      <c r="Y26" s="433"/>
      <c r="Z26" s="78" t="n">
        <f aca="false">IF(AB26&lt;&gt;D26,AB26-D26,0)</f>
        <v>0</v>
      </c>
      <c r="AA26" s="78"/>
      <c r="AB26" s="71" t="n">
        <f aca="false">AB24+F26-L26-R26-X26</f>
        <v>0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5"/>
      <c r="C27" s="435"/>
      <c r="D27" s="78"/>
      <c r="E27" s="78"/>
      <c r="F27" s="78"/>
      <c r="G27" s="78"/>
      <c r="H27" s="431"/>
      <c r="I27" s="78"/>
      <c r="J27" s="78"/>
      <c r="K27" s="78"/>
      <c r="L27" s="432"/>
      <c r="M27" s="78"/>
      <c r="N27" s="431"/>
      <c r="O27" s="78"/>
      <c r="P27" s="78"/>
      <c r="Q27" s="78"/>
      <c r="R27" s="432"/>
      <c r="S27" s="78"/>
      <c r="T27" s="431"/>
      <c r="U27" s="78"/>
      <c r="V27" s="78"/>
      <c r="W27" s="78"/>
      <c r="X27" s="78"/>
      <c r="Y27" s="433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4" t="n">
        <f aca="false">Admin!B30</f>
        <v>46507</v>
      </c>
      <c r="C28" s="435"/>
      <c r="D28" s="436" t="n">
        <f aca="false">D26+F28-L28-R28-X28+Z26</f>
        <v>0</v>
      </c>
      <c r="E28" s="78"/>
      <c r="F28" s="78" t="n">
        <f aca="false">IF((H$4+N$4+T$4)=0,0,[2]Apr!O$1)</f>
        <v>0</v>
      </c>
      <c r="G28" s="78"/>
      <c r="H28" s="437" t="n">
        <f aca="false">H26</f>
        <v>0</v>
      </c>
      <c r="I28" s="78"/>
      <c r="J28" s="78" t="n">
        <f aca="false">[3]Apr!$O$1</f>
        <v>7000</v>
      </c>
      <c r="K28" s="78"/>
      <c r="L28" s="432" t="n">
        <f aca="false">J28*H28</f>
        <v>0</v>
      </c>
      <c r="M28" s="78"/>
      <c r="N28" s="437" t="n">
        <f aca="false">N26</f>
        <v>0</v>
      </c>
      <c r="O28" s="78"/>
      <c r="P28" s="78" t="n">
        <f aca="false">[3]Apr!$P$1</f>
        <v>0</v>
      </c>
      <c r="Q28" s="78"/>
      <c r="R28" s="432" t="n">
        <f aca="false">P28*N28</f>
        <v>0</v>
      </c>
      <c r="S28" s="78"/>
      <c r="T28" s="437" t="n">
        <f aca="false">T26</f>
        <v>0</v>
      </c>
      <c r="U28" s="78"/>
      <c r="V28" s="78" t="n">
        <f aca="false">[3]Apr!$Q$1</f>
        <v>0</v>
      </c>
      <c r="W28" s="78"/>
      <c r="X28" s="78" t="n">
        <f aca="false">V28*T28</f>
        <v>0</v>
      </c>
      <c r="Y28" s="433"/>
      <c r="Z28" s="78" t="n">
        <f aca="false">IF(AB28&lt;&gt;D28,AB28-D28,0)</f>
        <v>0</v>
      </c>
      <c r="AA28" s="78"/>
      <c r="AB28" s="71" t="n">
        <f aca="false">AB26+F28-L28-R28-X28</f>
        <v>0</v>
      </c>
      <c r="AC28" s="68"/>
      <c r="AD28" s="427" t="s">
        <v>603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5"/>
      <c r="C29" s="435"/>
      <c r="D29" s="78"/>
      <c r="E29" s="78"/>
      <c r="F29" s="78"/>
      <c r="G29" s="78"/>
      <c r="H29" s="431"/>
      <c r="I29" s="78"/>
      <c r="J29" s="78"/>
      <c r="K29" s="78"/>
      <c r="L29" s="432"/>
      <c r="M29" s="78"/>
      <c r="N29" s="431"/>
      <c r="O29" s="78"/>
      <c r="P29" s="78"/>
      <c r="Q29" s="78"/>
      <c r="R29" s="432"/>
      <c r="S29" s="78"/>
      <c r="T29" s="431"/>
      <c r="U29" s="78"/>
      <c r="V29" s="78"/>
      <c r="W29" s="78"/>
      <c r="X29" s="78"/>
      <c r="Y29" s="433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4" t="n">
        <f aca="false">Admin!B32</f>
        <v>46538</v>
      </c>
      <c r="C30" s="435"/>
      <c r="D30" s="436" t="n">
        <f aca="false">D28+F30-L30-R30-X30+Z28</f>
        <v>0</v>
      </c>
      <c r="E30" s="78"/>
      <c r="F30" s="78" t="n">
        <f aca="false">IF((H$4+N$4+T$4)=0,0,[2]May!O$1)</f>
        <v>0</v>
      </c>
      <c r="G30" s="78"/>
      <c r="H30" s="437" t="n">
        <f aca="false">H28</f>
        <v>0</v>
      </c>
      <c r="I30" s="78"/>
      <c r="J30" s="78" t="n">
        <f aca="false">[3]May!$O$1</f>
        <v>7000</v>
      </c>
      <c r="K30" s="78"/>
      <c r="L30" s="432" t="n">
        <f aca="false">J30*H30</f>
        <v>0</v>
      </c>
      <c r="M30" s="78"/>
      <c r="N30" s="437" t="n">
        <f aca="false">N28</f>
        <v>0</v>
      </c>
      <c r="O30" s="78"/>
      <c r="P30" s="78" t="n">
        <f aca="false">[3]May!$P$1</f>
        <v>0</v>
      </c>
      <c r="Q30" s="78"/>
      <c r="R30" s="432" t="n">
        <f aca="false">P30*N30</f>
        <v>0</v>
      </c>
      <c r="S30" s="78"/>
      <c r="T30" s="437" t="n">
        <f aca="false">T28</f>
        <v>0</v>
      </c>
      <c r="U30" s="78"/>
      <c r="V30" s="78" t="n">
        <f aca="false">[3]May!$Q$1</f>
        <v>0</v>
      </c>
      <c r="W30" s="78"/>
      <c r="X30" s="78" t="n">
        <f aca="false">V30*T30</f>
        <v>0</v>
      </c>
      <c r="Y30" s="433"/>
      <c r="Z30" s="78" t="n">
        <f aca="false">IF(AB30&lt;&gt;D30,AB30-D30,0)</f>
        <v>0</v>
      </c>
      <c r="AA30" s="78"/>
      <c r="AB30" s="71" t="n">
        <f aca="false">AB28+F30-L30-R30-X30</f>
        <v>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604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46081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46082</v>
      </c>
      <c r="C3" s="451"/>
      <c r="D3" s="458" t="s">
        <v>605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606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46112</v>
      </c>
      <c r="C4" s="451"/>
      <c r="D4" s="451"/>
      <c r="E4" s="451"/>
      <c r="F4" s="453" t="s">
        <v>607</v>
      </c>
      <c r="G4" s="453" t="s">
        <v>346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46113</v>
      </c>
      <c r="C5" s="451"/>
      <c r="D5" s="451" t="s">
        <v>608</v>
      </c>
      <c r="E5" s="451"/>
      <c r="F5" s="463" t="n">
        <f aca="false">B8</f>
        <v>46173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609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46142</v>
      </c>
      <c r="C6" s="451"/>
      <c r="D6" s="451" t="s">
        <v>610</v>
      </c>
      <c r="E6" s="451"/>
      <c r="F6" s="463" t="n">
        <f aca="false">B8</f>
        <v>46173</v>
      </c>
      <c r="G6" s="464" t="n">
        <v>14</v>
      </c>
      <c r="H6" s="451"/>
      <c r="I6" s="465" t="s">
        <v>37</v>
      </c>
      <c r="J6" s="465"/>
      <c r="K6" s="465" t="n">
        <f aca="false">YEAR(L6)</f>
        <v>2026</v>
      </c>
      <c r="L6" s="466" t="n">
        <f aca="false">B9</f>
        <v>46174</v>
      </c>
      <c r="M6" s="466"/>
      <c r="N6" s="467" t="n">
        <f aca="false">B32</f>
        <v>46538</v>
      </c>
      <c r="O6" s="467"/>
      <c r="P6" s="464" t="n">
        <v>19</v>
      </c>
      <c r="Q6" s="453" t="s">
        <v>346</v>
      </c>
    </row>
    <row r="7" customFormat="false" ht="12" hidden="false" customHeight="true" outlineLevel="0" collapsed="false">
      <c r="A7" s="451"/>
      <c r="B7" s="457" t="n">
        <f aca="false">DATE(YEAR(B8),MONTH(B8),1)</f>
        <v>46143</v>
      </c>
      <c r="C7" s="451"/>
      <c r="D7" s="451" t="s">
        <v>608</v>
      </c>
      <c r="E7" s="451"/>
      <c r="F7" s="463" t="n">
        <f aca="false">B32</f>
        <v>46538</v>
      </c>
      <c r="G7" s="464" t="n">
        <v>100</v>
      </c>
      <c r="H7" s="451"/>
      <c r="I7" s="465" t="s">
        <v>37</v>
      </c>
      <c r="J7" s="465"/>
      <c r="K7" s="465" t="n">
        <f aca="false">YEAR(L7)</f>
        <v>2027</v>
      </c>
      <c r="L7" s="466" t="n">
        <f aca="false">B33</f>
        <v>46539</v>
      </c>
      <c r="M7" s="466"/>
      <c r="N7" s="467" t="n">
        <f aca="false">B56</f>
        <v>46904</v>
      </c>
      <c r="O7" s="467"/>
      <c r="P7" s="464" t="n">
        <v>19</v>
      </c>
      <c r="Q7" s="453" t="s">
        <v>346</v>
      </c>
    </row>
    <row r="8" customFormat="false" ht="12" hidden="false" customHeight="true" outlineLevel="0" collapsed="false">
      <c r="A8" s="451"/>
      <c r="B8" s="457" t="n">
        <f aca="false">DATE(YEAR(B10),MONTH(B10),1)-1</f>
        <v>46173</v>
      </c>
      <c r="C8" s="451"/>
      <c r="D8" s="451" t="s">
        <v>610</v>
      </c>
      <c r="E8" s="451"/>
      <c r="F8" s="463" t="n">
        <f aca="false">B32</f>
        <v>46538</v>
      </c>
      <c r="G8" s="464" t="n">
        <v>14</v>
      </c>
      <c r="H8" s="451"/>
      <c r="I8" s="451"/>
      <c r="J8" s="451"/>
      <c r="K8" s="451"/>
      <c r="L8" s="451"/>
      <c r="M8" s="451"/>
      <c r="N8" s="451"/>
      <c r="O8" s="451"/>
      <c r="P8" s="453"/>
      <c r="Q8" s="453"/>
    </row>
    <row r="9" customFormat="false" ht="12" hidden="false" customHeight="true" outlineLevel="0" collapsed="false">
      <c r="A9" s="451"/>
      <c r="B9" s="457" t="n">
        <f aca="false">DATE(YEAR(B10),MONTH(B10),1)</f>
        <v>46174</v>
      </c>
      <c r="C9" s="451"/>
      <c r="D9" s="451"/>
      <c r="E9" s="451"/>
      <c r="F9" s="451"/>
      <c r="G9" s="453"/>
      <c r="H9" s="451"/>
      <c r="I9" s="451"/>
      <c r="J9" s="451"/>
      <c r="K9" s="451"/>
      <c r="L9" s="468" t="s">
        <v>584</v>
      </c>
      <c r="M9" s="451"/>
      <c r="N9" s="469" t="s">
        <v>611</v>
      </c>
      <c r="O9" s="470"/>
      <c r="P9" s="471"/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46203</v>
      </c>
      <c r="C10" s="451"/>
      <c r="D10" s="472" t="s">
        <v>612</v>
      </c>
      <c r="E10" s="472"/>
      <c r="F10" s="472"/>
      <c r="G10" s="453"/>
      <c r="H10" s="451"/>
      <c r="I10" s="451"/>
      <c r="J10" s="451"/>
      <c r="K10" s="451"/>
      <c r="L10" s="463" t="n">
        <f aca="false">B8</f>
        <v>46173</v>
      </c>
      <c r="M10" s="453" t="s">
        <v>613</v>
      </c>
      <c r="N10" s="473" t="n">
        <f aca="false">B8</f>
        <v>46173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46204</v>
      </c>
      <c r="C11" s="451"/>
      <c r="D11" s="451" t="s">
        <v>614</v>
      </c>
      <c r="E11" s="468" t="n">
        <v>12000</v>
      </c>
      <c r="F11" s="451" t="s">
        <v>615</v>
      </c>
      <c r="G11" s="468" t="n">
        <v>3000</v>
      </c>
      <c r="H11" s="451"/>
      <c r="I11" s="451"/>
      <c r="J11" s="451"/>
      <c r="K11" s="451"/>
      <c r="L11" s="463" t="n">
        <f aca="false">B32</f>
        <v>46538</v>
      </c>
      <c r="M11" s="474" t="s">
        <v>613</v>
      </c>
      <c r="N11" s="473" t="n">
        <f aca="false">B32</f>
        <v>46538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46234</v>
      </c>
      <c r="C12" s="451"/>
      <c r="D12" s="451"/>
      <c r="E12" s="453"/>
      <c r="F12" s="451"/>
      <c r="G12" s="453"/>
      <c r="H12" s="451"/>
      <c r="I12" s="451"/>
      <c r="J12" s="451"/>
      <c r="K12" s="451"/>
      <c r="L12" s="451"/>
      <c r="M12" s="474"/>
      <c r="N12" s="453"/>
      <c r="O12" s="451"/>
      <c r="P12" s="453"/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46235</v>
      </c>
      <c r="C13" s="451"/>
      <c r="D13" s="458" t="s">
        <v>616</v>
      </c>
      <c r="E13" s="458"/>
      <c r="F13" s="458"/>
      <c r="G13" s="453" t="s">
        <v>346</v>
      </c>
      <c r="H13" s="451"/>
      <c r="I13" s="451"/>
      <c r="J13" s="451"/>
      <c r="K13" s="451"/>
      <c r="L13" s="451"/>
      <c r="M13" s="451"/>
      <c r="N13" s="451"/>
      <c r="O13" s="451"/>
      <c r="P13" s="451"/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46265</v>
      </c>
      <c r="C14" s="451"/>
      <c r="D14" s="451"/>
      <c r="E14" s="451"/>
      <c r="F14" s="451"/>
      <c r="G14" s="453"/>
      <c r="H14" s="451"/>
      <c r="I14" s="458" t="s">
        <v>617</v>
      </c>
      <c r="J14" s="458"/>
      <c r="K14" s="458"/>
      <c r="L14" s="456"/>
      <c r="M14" s="451"/>
      <c r="N14" s="453" t="s">
        <v>618</v>
      </c>
      <c r="O14" s="453" t="s">
        <v>619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46266</v>
      </c>
      <c r="C15" s="451"/>
      <c r="D15" s="472" t="s">
        <v>620</v>
      </c>
      <c r="E15" s="472"/>
      <c r="F15" s="472"/>
      <c r="G15" s="475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46295</v>
      </c>
      <c r="C16" s="451"/>
      <c r="D16" s="472" t="s">
        <v>17</v>
      </c>
      <c r="E16" s="472"/>
      <c r="F16" s="472"/>
      <c r="G16" s="475" t="n">
        <v>0.1</v>
      </c>
      <c r="H16" s="451"/>
      <c r="I16" s="476" t="s">
        <v>621</v>
      </c>
      <c r="J16" s="476"/>
      <c r="K16" s="476"/>
      <c r="L16" s="476"/>
      <c r="M16" s="476"/>
      <c r="N16" s="468" t="n">
        <v>10000</v>
      </c>
      <c r="O16" s="477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46296</v>
      </c>
      <c r="C17" s="451"/>
      <c r="D17" s="472" t="s">
        <v>18</v>
      </c>
      <c r="E17" s="472"/>
      <c r="F17" s="472"/>
      <c r="G17" s="475" t="n">
        <v>0.2</v>
      </c>
      <c r="H17" s="451"/>
      <c r="I17" s="476" t="s">
        <v>622</v>
      </c>
      <c r="J17" s="476"/>
      <c r="K17" s="476"/>
      <c r="L17" s="476"/>
      <c r="M17" s="476"/>
      <c r="N17" s="468" t="n">
        <v>10001</v>
      </c>
      <c r="O17" s="477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46326</v>
      </c>
      <c r="C18" s="451"/>
      <c r="D18" s="472" t="s">
        <v>251</v>
      </c>
      <c r="E18" s="472"/>
      <c r="F18" s="472"/>
      <c r="G18" s="475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46327</v>
      </c>
      <c r="C19" s="451"/>
      <c r="D19" s="472" t="s">
        <v>20</v>
      </c>
      <c r="E19" s="472"/>
      <c r="F19" s="472"/>
      <c r="G19" s="475" t="n">
        <v>0.25</v>
      </c>
      <c r="H19" s="451"/>
      <c r="I19" s="458" t="s">
        <v>623</v>
      </c>
      <c r="J19" s="458"/>
      <c r="K19" s="458"/>
      <c r="L19" s="451"/>
      <c r="M19" s="478" t="n">
        <v>20</v>
      </c>
      <c r="N19" s="452" t="n">
        <f aca="false">B9</f>
        <v>46174</v>
      </c>
      <c r="O19" s="479" t="n">
        <f aca="false">B26</f>
        <v>46446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46356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80"/>
      <c r="O20" s="481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46357</v>
      </c>
      <c r="C21" s="451"/>
      <c r="D21" s="22" t="s">
        <v>607</v>
      </c>
      <c r="E21" s="2"/>
      <c r="F21" s="482" t="n">
        <v>46538</v>
      </c>
      <c r="G21" s="453"/>
      <c r="H21" s="451"/>
      <c r="I21" s="458" t="s">
        <v>623</v>
      </c>
      <c r="J21" s="458"/>
      <c r="K21" s="458"/>
      <c r="L21" s="451"/>
      <c r="M21" s="461" t="n">
        <v>20</v>
      </c>
      <c r="N21" s="452" t="n">
        <f aca="false">B27</f>
        <v>46447</v>
      </c>
      <c r="O21" s="481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46387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4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46388</v>
      </c>
      <c r="C23" s="451"/>
      <c r="F23" s="483"/>
    </row>
    <row r="24" customFormat="false" ht="12" hidden="false" customHeight="true" outlineLevel="0" collapsed="false">
      <c r="A24" s="451"/>
      <c r="B24" s="457" t="n">
        <f aca="false">DATE(YEAR(B26),MONTH(B26),1)-1</f>
        <v>46418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46419</v>
      </c>
      <c r="C25" s="451"/>
      <c r="F25" s="450"/>
      <c r="G25" s="484"/>
    </row>
    <row r="26" s="448" customFormat="true" ht="12" hidden="false" customHeight="true" outlineLevel="0" collapsed="false">
      <c r="A26" s="451"/>
      <c r="B26" s="457" t="n">
        <f aca="false">DATE(YEAR(B28),MONTH(B28),1)-1</f>
        <v>46446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46447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46477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46478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46507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46508</v>
      </c>
      <c r="C31" s="451"/>
    </row>
    <row r="32" customFormat="false" ht="12" hidden="false" customHeight="false" outlineLevel="0" collapsed="false">
      <c r="A32" s="451"/>
      <c r="B32" s="485" t="n">
        <f aca="false">F21</f>
        <v>46538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46539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46568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46569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46599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46600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46630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46631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46660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46661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46691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46692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46721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46722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46752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46753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46783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46784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46812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46813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46843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46844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46873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46874</v>
      </c>
      <c r="C55" s="451"/>
    </row>
    <row r="56" customFormat="false" ht="12" hidden="false" customHeight="false" outlineLevel="0" collapsed="false">
      <c r="A56" s="451"/>
      <c r="B56" s="486" t="n">
        <f aca="false">DATE(IF(MONTH(B54)&lt;11,YEAR(B54),YEAR(B54)+1),IF(MONTH(B54)&lt;11,MONTH(B54)+2,IF(MONTH(B54)=11,1,2)),1)-1</f>
        <v>46904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