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<sst xmlns="http://schemas.openxmlformats.org/spreadsheetml/2006/main" count="1039" uniqueCount="635">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</sst>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45992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46037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46082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46137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20702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[2]Mar!$AI$1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-38520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[4]Nov!$F$1-[4]Nov!$X$1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[4]Dec!$F$1-[4]Dec!$X$1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[4]Jan!$F$1-[4]Jan!$X$1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[4]Feb!$F$1-[4]Feb!$X$1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[4]Mar!$F$1-[4]Mar!$X$1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[4]Apr!$F$1-[4]Apr!$X$1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[4]May!$F$1-[4]May!$X$1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[4]Jun!$F$1-[4]Jun!$X$1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[4]Jul!$F$1-[4]Jul!$X$1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[4]Aug!$F$1-[4]Aug!$X$1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[4]Sep!$F$1-[4]Sep!$X$1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-23657</v>
      </c>
      <c r="AD28" s="36" t="n">
        <f aca="false">[4]Dec!$AB$1</f>
        <v>17000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-[2]Mar!$F$1+[2]Mar!$AK$1</f>
        <v>-13375</v>
      </c>
      <c r="BK28" s="36" t="n">
        <f aca="false">[4]Mar!$AB$1</f>
        <v>10600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-[2]May!$F$1+[2]May!$AK$1</f>
        <v>-6318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-1000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1000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-600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600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1500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-[3]Dec!$G$1</f>
        <v>-5866.66666666667</v>
      </c>
      <c r="AC33" s="36" t="n">
        <f aca="false">[2]Dec!$G$1</f>
        <v>4109.5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13808.17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-[3]Mar!$G$1</f>
        <v>-5626.66666666667</v>
      </c>
      <c r="BJ33" s="36" t="n">
        <f aca="false">[2]Mar!$G$1</f>
        <v>2229.16666666667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14456.5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10917.5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1673.2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1673.2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1673.2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1673.2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1673.2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1673.2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1673.2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1673.2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1673.2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1673.2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1673.2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1673.2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4500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-20702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-20702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-20702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-20702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-20702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-20702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-20702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-20702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-20702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-20702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-20702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-20702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-20702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-148660.624912037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[4]Mar!$AD$1</f>
        <v>1308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3.2287061912939E-010</v>
      </c>
      <c r="EG91" s="54"/>
      <c r="EH91" s="36" t="n">
        <f aca="false">SUM(EH4:EH90)</f>
        <v>0</v>
      </c>
      <c r="EI91" s="54"/>
      <c r="EJ91" s="36" t="n">
        <f aca="false">SUM(EJ4:EJ90)</f>
        <v>3.24689608532935E-010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22.35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22.35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48990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20802</v>
      </c>
      <c r="C33" s="117" t="s">
        <v>234</v>
      </c>
      <c r="D33" s="117"/>
      <c r="E33" s="118" t="s">
        <v>218</v>
      </c>
      <c r="F33" s="116" t="n">
        <f aca="false">F26-F31</f>
        <v>148760.624912037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20702</v>
      </c>
      <c r="C37" s="88" t="s">
        <v>57</v>
      </c>
      <c r="D37" s="88"/>
      <c r="E37" s="115"/>
      <c r="F37" s="115" t="n">
        <f aca="false">-TrialBalance!EJ43</f>
        <v>148660.624912037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20802</v>
      </c>
      <c r="C39" s="117" t="s">
        <v>236</v>
      </c>
      <c r="D39" s="117"/>
      <c r="E39" s="118" t="s">
        <v>218</v>
      </c>
      <c r="F39" s="116" t="n">
        <f aca="false">SUM(F36:F38)</f>
        <v>148760.624912037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46264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48990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46264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46264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46660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46660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46660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46660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46660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182</v>
      </c>
      <c r="B33" s="204" t="s">
        <v>46</v>
      </c>
      <c r="C33" s="222" t="n">
        <f aca="false">Admin!L6</f>
        <v>46296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62039.5107035344</v>
      </c>
      <c r="G33" s="224" t="n">
        <f aca="false">IF(F33&lt;=Admin!$P$12*A33/A35,Admin!P6,Admin!$P$8)</f>
        <v>25</v>
      </c>
      <c r="H33" s="224"/>
      <c r="I33" s="225" t="n">
        <f aca="false">J33-L33</f>
        <v>14570.607322738</v>
      </c>
      <c r="J33" s="226" t="n">
        <f aca="false">F33*G33/100</f>
        <v>15509.8776758836</v>
      </c>
      <c r="K33" s="178"/>
      <c r="L33" s="177" t="n">
        <f aca="false">IF(AND(F33&gt;Admin!$P$12*A33/A35,F33&lt;Admin!$P$13*A33/A35),(Admin!$P$13*A33/A35-F33)*Admin!$P$9,0)</f>
        <v>939.270353145614</v>
      </c>
    </row>
    <row r="34" customFormat="false" ht="15" hidden="false" customHeight="true" outlineLevel="0" collapsed="false">
      <c r="A34" s="221" t="n">
        <f aca="false">MAX(0,D34-C34+1)</f>
        <v>183</v>
      </c>
      <c r="B34" s="204" t="s">
        <v>46</v>
      </c>
      <c r="C34" s="222" t="n">
        <f aca="false">Admin!L7</f>
        <v>46478</v>
      </c>
      <c r="D34" s="222" t="n">
        <f aca="false">Admin!N7</f>
        <v>46660</v>
      </c>
      <c r="E34" s="223" t="n">
        <f aca="false">Admin!K7</f>
        <v>2027</v>
      </c>
      <c r="F34" s="186" t="n">
        <f aca="false">IF(K28&gt;0,K28*A34/A35,0)</f>
        <v>62380.3871359714</v>
      </c>
      <c r="G34" s="224" t="n">
        <f aca="false">IF(F34&lt;=Admin!$P$12*A34/A35,Admin!P7,Admin!$P$8)</f>
        <v>25</v>
      </c>
      <c r="H34" s="224"/>
      <c r="I34" s="225" t="n">
        <f aca="false">J34-L34</f>
        <v>14650.6656047311</v>
      </c>
      <c r="J34" s="226" t="n">
        <f aca="false">F34*G34/100</f>
        <v>15595.0967839928</v>
      </c>
      <c r="K34" s="178"/>
      <c r="L34" s="177" t="n">
        <f aca="false">IF(AND(F34&gt;Admin!$P$12*A34/A35,F34&lt;Admin!$P$13*A34/A35),(Admin!$P$13*A34/A35-F34)*Admin!$P$9,0)</f>
        <v>944.431179261799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46660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45992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46037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46082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46137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46660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46660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46660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46660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46660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46660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46660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46660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62039.5107035344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15509.8776758836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62380.3871359714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15595.0967839928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9740</v>
      </c>
      <c r="E8" s="78"/>
      <c r="F8" s="78" t="n">
        <f aca="false">IF((H$4+N$4+T$4)=0,0,[2]Oct!O$1)</f>
        <v>500</v>
      </c>
      <c r="G8" s="78"/>
      <c r="H8" s="437" t="n">
        <f aca="false">H4</f>
        <v>0.03</v>
      </c>
      <c r="I8" s="78"/>
      <c r="J8" s="78" t="n">
        <f aca="false">[3]Oct!$O$1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9571</v>
      </c>
      <c r="E10" s="78"/>
      <c r="F10" s="78" t="n">
        <f aca="false">IF((H$4+N$4+T$4)=0,0,[2]Nov!O$1)</f>
        <v>600</v>
      </c>
      <c r="G10" s="78"/>
      <c r="H10" s="437" t="n">
        <f aca="false">H8</f>
        <v>0.03</v>
      </c>
      <c r="I10" s="78"/>
      <c r="J10" s="78" t="n">
        <f aca="false">[3]Nov!$O$1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9075.00000000001</v>
      </c>
      <c r="E12" s="78"/>
      <c r="F12" s="78" t="n">
        <f aca="false">IF((H$4+N$4+T$4)=0,0,[2]Dec!O$1)</f>
        <v>300</v>
      </c>
      <c r="G12" s="78"/>
      <c r="H12" s="437" t="n">
        <f aca="false">H10</f>
        <v>0.03</v>
      </c>
      <c r="I12" s="78"/>
      <c r="J12" s="78" t="n">
        <f aca="false">[3]Dec!$O$1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8906.00000000001</v>
      </c>
      <c r="E14" s="78"/>
      <c r="F14" s="78" t="n">
        <f aca="false">IF((H$4+N$4+T$4)=0,0,[2]Jan!O$1)</f>
        <v>600</v>
      </c>
      <c r="G14" s="78"/>
      <c r="H14" s="437" t="n">
        <f aca="false">H12</f>
        <v>0.03</v>
      </c>
      <c r="I14" s="78"/>
      <c r="J14" s="78" t="n">
        <f aca="false">[3]Jan!$O$1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8542.00000000001</v>
      </c>
      <c r="E16" s="78"/>
      <c r="F16" s="78" t="n">
        <f aca="false">IF((H$4+N$4+T$4)=0,0,[2]Feb!O$1)</f>
        <v>450</v>
      </c>
      <c r="G16" s="78"/>
      <c r="H16" s="437" t="n">
        <f aca="false">H14</f>
        <v>0.03</v>
      </c>
      <c r="I16" s="78"/>
      <c r="J16" s="78" t="n">
        <f aca="false">[3]Feb!$O$1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7991.00000000001</v>
      </c>
      <c r="E18" s="78"/>
      <c r="F18" s="78" t="n">
        <f aca="false">IF((H$4+N$4+T$4)=0,0,[2]Mar!O$1)</f>
        <v>200</v>
      </c>
      <c r="G18" s="78"/>
      <c r="H18" s="437" t="n">
        <f aca="false">H16</f>
        <v>0.03</v>
      </c>
      <c r="I18" s="78"/>
      <c r="J18" s="78" t="n">
        <f aca="false">[3]Mar!$O$1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7577.00000000001</v>
      </c>
      <c r="E20" s="78"/>
      <c r="F20" s="78" t="n">
        <f aca="false">IF((H$4+N$4+T$4)=0,0,[2]Apr!O$1)</f>
        <v>400</v>
      </c>
      <c r="G20" s="78"/>
      <c r="H20" s="437" t="n">
        <f aca="false">H18</f>
        <v>0.03</v>
      </c>
      <c r="I20" s="78"/>
      <c r="J20" s="78" t="n">
        <f aca="false">[3]Apr!$O$1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7508.00000000001</v>
      </c>
      <c r="E22" s="78"/>
      <c r="F22" s="78" t="n">
        <f aca="false">IF((H$4+N$4+T$4)=0,0,[2]May!O$1)</f>
        <v>700</v>
      </c>
      <c r="G22" s="78"/>
      <c r="H22" s="437" t="n">
        <f aca="false">H20</f>
        <v>0.03</v>
      </c>
      <c r="I22" s="78"/>
      <c r="J22" s="78" t="n">
        <f aca="false">[3]May!$O$1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7112.00000000001</v>
      </c>
      <c r="E24" s="78"/>
      <c r="F24" s="78" t="n">
        <f aca="false">IF((H$4+N$4+T$4)=0,0,[2]Jun!O$1)</f>
        <v>400</v>
      </c>
      <c r="G24" s="78"/>
      <c r="H24" s="437" t="n">
        <f aca="false">H22</f>
        <v>0.03</v>
      </c>
      <c r="I24" s="78"/>
      <c r="J24" s="78" t="n">
        <f aca="false">[3]Jun!$O$1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6843.00000000001</v>
      </c>
      <c r="E26" s="78"/>
      <c r="F26" s="78" t="n">
        <f aca="false">IF((H$4+N$4+T$4)=0,0,[2]Jul!O$1)</f>
        <v>500</v>
      </c>
      <c r="G26" s="78"/>
      <c r="H26" s="437" t="n">
        <f aca="false">H24</f>
        <v>0.03</v>
      </c>
      <c r="I26" s="78"/>
      <c r="J26" s="78" t="n">
        <f aca="false">[3]Jul!$O$1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6603.00000000002</v>
      </c>
      <c r="E28" s="78"/>
      <c r="F28" s="78" t="n">
        <f aca="false">IF((H$4+N$4+T$4)=0,0,[2]Aug!O$1)</f>
        <v>550</v>
      </c>
      <c r="G28" s="78"/>
      <c r="H28" s="437" t="n">
        <f aca="false">H26</f>
        <v>0.03</v>
      </c>
      <c r="I28" s="78"/>
      <c r="J28" s="78" t="n">
        <f aca="false">[3]Aug!$O$1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6102.00000000002</v>
      </c>
      <c r="E30" s="78"/>
      <c r="F30" s="78" t="n">
        <f aca="false">IF((H$4+N$4+T$4)=0,0,[2]Sep!O$1)</f>
        <v>250</v>
      </c>
      <c r="G30" s="78"/>
      <c r="H30" s="437" t="n">
        <f aca="false">H28</f>
        <v>0.03</v>
      </c>
      <c r="I30" s="78"/>
      <c r="J30" s="78" t="n">
        <f aca="false">[3]Sep!$O$1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46296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46660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46295</v>
      </c>
      <c r="M10" s="453" t="s">
        <v>624</v>
      </c>
      <c r="N10" s="472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46660</v>
      </c>
      <c r="M11" s="473" t="s">
        <v>624</v>
      </c>
      <c r="N11" s="472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46296</v>
      </c>
      <c r="O19" s="478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1" t="n">
        <v>46660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46569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4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