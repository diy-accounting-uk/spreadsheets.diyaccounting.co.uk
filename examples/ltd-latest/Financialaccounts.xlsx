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<sst xmlns="http://schemas.openxmlformats.org/spreadsheetml/2006/main" count="1027" uniqueCount="624">
  <si>
    <t xml:space="preserve">Company Name (including Limited)</t>
  </si>
  <si>
    <t xml:space="preserve">Registered Office Address</t>
  </si>
  <si>
    <t xml:space="preserve">Tax Reference per CT603 Notice</t>
  </si>
  <si>
    <t xml:space="preserve">Company registration number</t>
  </si>
  <si>
    <t xml:space="preserve">Telephone number (including STD Code)</t>
  </si>
  <si>
    <t xml:space="preserve">First Director's Name</t>
  </si>
  <si>
    <t xml:space="preserve">Loss brought forward</t>
  </si>
  <si>
    <t xml:space="preserve">Second Director's Name</t>
  </si>
  <si>
    <t xml:space="preserve">Postcode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</si>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</sst>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16400</v>
          </cell>
          <cell r="G1">
            <v>2733.33333333333</v>
          </cell>
        </row>
        <row r="1">
          <cell r="O1">
            <v>11166.6666666667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15920</v>
          </cell>
          <cell r="G1">
            <v>2653.33333333333</v>
          </cell>
        </row>
        <row r="1">
          <cell r="O1">
            <v>11466.6666666667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18200</v>
          </cell>
          <cell r="G1">
            <v>3033.33333333333</v>
          </cell>
        </row>
        <row r="1">
          <cell r="O1">
            <v>12366.6666666667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16760</v>
          </cell>
          <cell r="G1">
            <v>2793.33333333333</v>
          </cell>
        </row>
        <row r="1">
          <cell r="O1">
            <v>11466.6666666667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19020</v>
          </cell>
          <cell r="G1">
            <v>3170</v>
          </cell>
        </row>
        <row r="1">
          <cell r="O1">
            <v>12966.6666666667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16760</v>
          </cell>
          <cell r="G1">
            <v>2793.33333333333</v>
          </cell>
        </row>
        <row r="1">
          <cell r="O1">
            <v>10866.6666666667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33560</v>
          </cell>
          <cell r="G1">
            <v>5593.33333333333</v>
          </cell>
        </row>
        <row r="1">
          <cell r="O1">
            <v>12966.6666666667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18320</v>
          </cell>
          <cell r="G1">
            <v>3053.33333333333</v>
          </cell>
        </row>
        <row r="1">
          <cell r="O1">
            <v>11466.6666666667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15800</v>
          </cell>
          <cell r="G1">
            <v>2633.33333333333</v>
          </cell>
        </row>
        <row r="1">
          <cell r="O1">
            <v>12366.6666666667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18440</v>
          </cell>
          <cell r="G1">
            <v>3073.33333333333</v>
          </cell>
        </row>
        <row r="1">
          <cell r="O1">
            <v>11466.6666666667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17360</v>
          </cell>
          <cell r="G1">
            <v>2893.33333333333</v>
          </cell>
        </row>
        <row r="1">
          <cell r="O1">
            <v>12166.6666666667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14360</v>
          </cell>
          <cell r="G1">
            <v>2393.33333333333</v>
          </cell>
        </row>
        <row r="1">
          <cell r="O1">
            <v>10866.6666666667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/>
      <c r="F2" s="3"/>
      <c r="G2" s="3"/>
      <c r="H2" s="3"/>
      <c r="I2" s="2"/>
      <c r="J2" s="2" t="s">
        <v>1</v>
      </c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/>
      <c r="F3" s="5"/>
      <c r="G3" s="5"/>
      <c r="H3" s="5"/>
      <c r="I3" s="2"/>
      <c r="J3" s="3"/>
      <c r="K3" s="3"/>
      <c r="L3" s="3"/>
      <c r="M3" s="3"/>
      <c r="N3" s="3"/>
      <c r="O3" s="6"/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4</v>
      </c>
      <c r="D4" s="2"/>
      <c r="E4" s="3"/>
      <c r="F4" s="3"/>
      <c r="G4" s="3"/>
      <c r="H4" s="3"/>
      <c r="I4" s="2"/>
      <c r="J4" s="3"/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5</v>
      </c>
      <c r="D5" s="2"/>
      <c r="E5" s="3"/>
      <c r="F5" s="3"/>
      <c r="G5" s="3"/>
      <c r="H5" s="3"/>
      <c r="I5" s="2"/>
      <c r="J5" s="3"/>
      <c r="K5" s="3"/>
      <c r="L5" s="3"/>
      <c r="M5" s="3"/>
      <c r="N5" s="3"/>
      <c r="O5" s="7" t="s">
        <v>6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/>
      <c r="F6" s="3"/>
      <c r="G6" s="3"/>
      <c r="H6" s="3"/>
      <c r="I6" s="2"/>
      <c r="J6" s="8"/>
      <c r="K6" s="8"/>
      <c r="L6" s="9" t="s">
        <v>8</v>
      </c>
      <c r="M6" s="9"/>
      <c r="N6" s="10"/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3"/>
      <c r="F8" s="3"/>
      <c r="G8" s="3"/>
      <c r="H8" s="3"/>
      <c r="I8" s="3"/>
      <c r="J8" s="2"/>
      <c r="K8" s="13" t="s">
        <v>10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11</v>
      </c>
      <c r="D10" s="2"/>
      <c r="E10" s="16" t="s">
        <v>12</v>
      </c>
      <c r="F10" s="12"/>
      <c r="G10" s="17" t="s">
        <v>13</v>
      </c>
      <c r="H10" s="17"/>
      <c r="I10" s="17"/>
      <c r="J10" s="17"/>
      <c r="K10" s="17"/>
      <c r="L10" s="18"/>
      <c r="M10" s="17" t="s">
        <v>14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15</v>
      </c>
      <c r="C11" s="12"/>
      <c r="D11" s="12"/>
      <c r="E11" s="16"/>
      <c r="F11" s="19"/>
      <c r="G11" s="20" t="s">
        <v>16</v>
      </c>
      <c r="H11" s="12" t="s">
        <v>17</v>
      </c>
      <c r="I11" s="12" t="s">
        <v>18</v>
      </c>
      <c r="J11" s="12" t="s">
        <v>19</v>
      </c>
      <c r="K11" s="12" t="s">
        <v>20</v>
      </c>
      <c r="L11" s="12"/>
      <c r="M11" s="12" t="s">
        <v>16</v>
      </c>
      <c r="N11" s="12" t="s">
        <v>17</v>
      </c>
      <c r="O11" s="12" t="s">
        <v>18</v>
      </c>
      <c r="P11" s="12" t="s">
        <v>19</v>
      </c>
      <c r="Q11" s="12" t="s">
        <v>20</v>
      </c>
      <c r="R11" s="12"/>
    </row>
    <row r="12" customFormat="false" ht="12.65" hidden="false" customHeight="false" outlineLevel="0" collapsed="false">
      <c r="A12" s="2"/>
      <c r="B12" s="2"/>
      <c r="C12" s="22" t="s">
        <v>21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22</v>
      </c>
      <c r="D13" s="2"/>
      <c r="E13" s="8"/>
      <c r="F13" s="2"/>
      <c r="G13" s="8"/>
      <c r="H13" s="8"/>
      <c r="I13" s="8"/>
      <c r="J13" s="8"/>
      <c r="K13" s="8"/>
      <c r="L13" s="2"/>
      <c r="M13" s="8"/>
      <c r="N13" s="8"/>
      <c r="O13" s="8"/>
      <c r="P13" s="8"/>
      <c r="Q13" s="8"/>
      <c r="R13" s="2"/>
    </row>
    <row r="14" customFormat="false" ht="10.5" hidden="false" customHeight="false" outlineLevel="0" collapsed="false">
      <c r="A14" s="2"/>
      <c r="B14" s="2"/>
      <c r="C14" s="22" t="s">
        <v>23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24</v>
      </c>
      <c r="D15" s="2"/>
      <c r="E15" s="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25</v>
      </c>
      <c r="D16" s="2"/>
      <c r="E16" s="8"/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26</v>
      </c>
      <c r="H17" s="18" t="s">
        <v>27</v>
      </c>
      <c r="I17" s="18" t="s">
        <v>28</v>
      </c>
      <c r="J17" s="18" t="s">
        <v>29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30</v>
      </c>
      <c r="D18" s="2"/>
      <c r="E18" s="8"/>
      <c r="F18" s="2"/>
      <c r="G18" s="8"/>
      <c r="H18" s="8"/>
      <c r="I18" s="8"/>
      <c r="J18" s="8"/>
      <c r="K18" s="25" t="s">
        <v>31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32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33</v>
      </c>
      <c r="D20" s="2"/>
      <c r="E20" s="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34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35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36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37</v>
      </c>
      <c r="D24" s="2"/>
      <c r="E24" s="8"/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38</v>
      </c>
      <c r="H25" s="2" t="s">
        <v>39</v>
      </c>
      <c r="I25" s="2" t="s">
        <v>40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41</v>
      </c>
      <c r="D26" s="2"/>
      <c r="E26" s="8"/>
      <c r="F26" s="2"/>
      <c r="G26" s="8"/>
      <c r="H26" s="8"/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42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43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44</v>
      </c>
      <c r="D30" s="2"/>
      <c r="E30" s="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45</v>
      </c>
      <c r="D31" s="22"/>
      <c r="E31" s="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46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47</v>
      </c>
      <c r="D33" s="2"/>
      <c r="E33" s="8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48</v>
      </c>
      <c r="D34" s="2"/>
      <c r="E34" s="8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49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50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51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52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53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52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54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55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56</v>
      </c>
      <c r="D48" s="2"/>
      <c r="E48" s="8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57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58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59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60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61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62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63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64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65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66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67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68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69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70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71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72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73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74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75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76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77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78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79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80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81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82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83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60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84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85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86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87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88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89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90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91</v>
      </c>
      <c r="C1" s="39" t="s">
        <v>92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93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94</v>
      </c>
      <c r="C2" s="39"/>
      <c r="D2" s="45" t="s">
        <v>95</v>
      </c>
      <c r="E2" s="39"/>
      <c r="F2" s="39" t="s">
        <v>96</v>
      </c>
      <c r="G2" s="39" t="s">
        <v>55</v>
      </c>
      <c r="H2" s="39" t="s">
        <v>97</v>
      </c>
      <c r="I2" s="39" t="s">
        <v>98</v>
      </c>
      <c r="J2" s="39" t="s">
        <v>99</v>
      </c>
      <c r="K2" s="39" t="s">
        <v>29</v>
      </c>
      <c r="L2" s="39" t="s">
        <v>100</v>
      </c>
      <c r="M2" s="39" t="s">
        <v>101</v>
      </c>
      <c r="N2" s="39"/>
      <c r="O2" s="45" t="s">
        <v>102</v>
      </c>
      <c r="P2" s="39"/>
      <c r="Q2" s="39" t="s">
        <v>96</v>
      </c>
      <c r="R2" s="39" t="s">
        <v>55</v>
      </c>
      <c r="S2" s="39" t="s">
        <v>97</v>
      </c>
      <c r="T2" s="39" t="s">
        <v>98</v>
      </c>
      <c r="U2" s="39" t="s">
        <v>99</v>
      </c>
      <c r="V2" s="39" t="s">
        <v>29</v>
      </c>
      <c r="W2" s="39" t="s">
        <v>100</v>
      </c>
      <c r="X2" s="39" t="s">
        <v>101</v>
      </c>
      <c r="Y2" s="39"/>
      <c r="Z2" s="45" t="s">
        <v>102</v>
      </c>
      <c r="AA2" s="39"/>
      <c r="AB2" s="39" t="s">
        <v>96</v>
      </c>
      <c r="AC2" s="39" t="s">
        <v>55</v>
      </c>
      <c r="AD2" s="39" t="s">
        <v>97</v>
      </c>
      <c r="AE2" s="39" t="s">
        <v>98</v>
      </c>
      <c r="AF2" s="39" t="s">
        <v>99</v>
      </c>
      <c r="AG2" s="39" t="s">
        <v>29</v>
      </c>
      <c r="AH2" s="39" t="s">
        <v>100</v>
      </c>
      <c r="AI2" s="39" t="s">
        <v>101</v>
      </c>
      <c r="AJ2" s="39"/>
      <c r="AK2" s="45" t="s">
        <v>102</v>
      </c>
      <c r="AL2" s="39"/>
      <c r="AM2" s="39" t="s">
        <v>96</v>
      </c>
      <c r="AN2" s="39" t="s">
        <v>55</v>
      </c>
      <c r="AO2" s="39" t="s">
        <v>97</v>
      </c>
      <c r="AP2" s="39" t="s">
        <v>98</v>
      </c>
      <c r="AQ2" s="39" t="s">
        <v>99</v>
      </c>
      <c r="AR2" s="39" t="s">
        <v>29</v>
      </c>
      <c r="AS2" s="39" t="s">
        <v>100</v>
      </c>
      <c r="AT2" s="39" t="s">
        <v>101</v>
      </c>
      <c r="AU2" s="39"/>
      <c r="AV2" s="45" t="s">
        <v>102</v>
      </c>
      <c r="AW2" s="39"/>
      <c r="AX2" s="39" t="s">
        <v>96</v>
      </c>
      <c r="AY2" s="39" t="s">
        <v>55</v>
      </c>
      <c r="AZ2" s="39" t="s">
        <v>97</v>
      </c>
      <c r="BA2" s="39" t="s">
        <v>98</v>
      </c>
      <c r="BB2" s="39" t="s">
        <v>99</v>
      </c>
      <c r="BC2" s="39" t="s">
        <v>29</v>
      </c>
      <c r="BD2" s="39" t="s">
        <v>100</v>
      </c>
      <c r="BE2" s="39" t="s">
        <v>101</v>
      </c>
      <c r="BF2" s="39"/>
      <c r="BG2" s="45" t="s">
        <v>102</v>
      </c>
      <c r="BH2" s="39"/>
      <c r="BI2" s="39" t="s">
        <v>96</v>
      </c>
      <c r="BJ2" s="39" t="s">
        <v>55</v>
      </c>
      <c r="BK2" s="39" t="s">
        <v>97</v>
      </c>
      <c r="BL2" s="39" t="s">
        <v>98</v>
      </c>
      <c r="BM2" s="39" t="s">
        <v>99</v>
      </c>
      <c r="BN2" s="39" t="s">
        <v>29</v>
      </c>
      <c r="BO2" s="39" t="s">
        <v>100</v>
      </c>
      <c r="BP2" s="39" t="s">
        <v>101</v>
      </c>
      <c r="BQ2" s="39"/>
      <c r="BR2" s="45" t="s">
        <v>102</v>
      </c>
      <c r="BS2" s="39"/>
      <c r="BT2" s="39" t="s">
        <v>96</v>
      </c>
      <c r="BU2" s="39" t="s">
        <v>55</v>
      </c>
      <c r="BV2" s="39" t="s">
        <v>97</v>
      </c>
      <c r="BW2" s="39" t="s">
        <v>98</v>
      </c>
      <c r="BX2" s="39" t="s">
        <v>99</v>
      </c>
      <c r="BY2" s="39" t="s">
        <v>29</v>
      </c>
      <c r="BZ2" s="39" t="s">
        <v>100</v>
      </c>
      <c r="CA2" s="39" t="s">
        <v>101</v>
      </c>
      <c r="CB2" s="39"/>
      <c r="CC2" s="45" t="s">
        <v>102</v>
      </c>
      <c r="CD2" s="39"/>
      <c r="CE2" s="39" t="s">
        <v>96</v>
      </c>
      <c r="CF2" s="39" t="s">
        <v>55</v>
      </c>
      <c r="CG2" s="39" t="s">
        <v>97</v>
      </c>
      <c r="CH2" s="39" t="s">
        <v>98</v>
      </c>
      <c r="CI2" s="39" t="s">
        <v>99</v>
      </c>
      <c r="CJ2" s="39" t="s">
        <v>29</v>
      </c>
      <c r="CK2" s="39" t="s">
        <v>100</v>
      </c>
      <c r="CL2" s="39" t="s">
        <v>101</v>
      </c>
      <c r="CM2" s="39"/>
      <c r="CN2" s="45" t="s">
        <v>102</v>
      </c>
      <c r="CO2" s="39"/>
      <c r="CP2" s="39" t="s">
        <v>96</v>
      </c>
      <c r="CQ2" s="39" t="s">
        <v>55</v>
      </c>
      <c r="CR2" s="39" t="s">
        <v>97</v>
      </c>
      <c r="CS2" s="39" t="s">
        <v>98</v>
      </c>
      <c r="CT2" s="39" t="s">
        <v>99</v>
      </c>
      <c r="CU2" s="39" t="s">
        <v>29</v>
      </c>
      <c r="CV2" s="39" t="s">
        <v>100</v>
      </c>
      <c r="CW2" s="39" t="s">
        <v>101</v>
      </c>
      <c r="CX2" s="39"/>
      <c r="CY2" s="45" t="s">
        <v>102</v>
      </c>
      <c r="CZ2" s="39"/>
      <c r="DA2" s="39" t="s">
        <v>96</v>
      </c>
      <c r="DB2" s="39" t="s">
        <v>55</v>
      </c>
      <c r="DC2" s="39" t="s">
        <v>97</v>
      </c>
      <c r="DD2" s="39" t="s">
        <v>98</v>
      </c>
      <c r="DE2" s="39" t="s">
        <v>99</v>
      </c>
      <c r="DF2" s="39" t="s">
        <v>29</v>
      </c>
      <c r="DG2" s="39" t="s">
        <v>100</v>
      </c>
      <c r="DH2" s="39" t="s">
        <v>101</v>
      </c>
      <c r="DI2" s="39"/>
      <c r="DJ2" s="45" t="s">
        <v>102</v>
      </c>
      <c r="DK2" s="39"/>
      <c r="DL2" s="39" t="s">
        <v>96</v>
      </c>
      <c r="DM2" s="39" t="s">
        <v>55</v>
      </c>
      <c r="DN2" s="39" t="s">
        <v>97</v>
      </c>
      <c r="DO2" s="39" t="s">
        <v>98</v>
      </c>
      <c r="DP2" s="39" t="s">
        <v>99</v>
      </c>
      <c r="DQ2" s="39" t="s">
        <v>29</v>
      </c>
      <c r="DR2" s="39" t="s">
        <v>100</v>
      </c>
      <c r="DS2" s="39" t="s">
        <v>101</v>
      </c>
      <c r="DT2" s="39"/>
      <c r="DU2" s="45" t="s">
        <v>102</v>
      </c>
      <c r="DV2" s="39"/>
      <c r="DW2" s="39" t="s">
        <v>96</v>
      </c>
      <c r="DX2" s="39" t="s">
        <v>55</v>
      </c>
      <c r="DY2" s="39" t="s">
        <v>97</v>
      </c>
      <c r="DZ2" s="39" t="s">
        <v>98</v>
      </c>
      <c r="EA2" s="39" t="s">
        <v>99</v>
      </c>
      <c r="EB2" s="39" t="s">
        <v>29</v>
      </c>
      <c r="EC2" s="39" t="s">
        <v>100</v>
      </c>
      <c r="ED2" s="39" t="s">
        <v>101</v>
      </c>
      <c r="EE2" s="39"/>
      <c r="EF2" s="45" t="s">
        <v>102</v>
      </c>
      <c r="EG2" s="39"/>
      <c r="EH2" s="39"/>
      <c r="EI2" s="39"/>
      <c r="EJ2" s="45" t="s">
        <v>103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104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105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106</v>
      </c>
      <c r="C6" s="56" t="s">
        <v>107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108</v>
      </c>
      <c r="C7" s="56" t="s">
        <v>109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110</v>
      </c>
      <c r="C8" s="56" t="s">
        <v>111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112</v>
      </c>
      <c r="C9" s="56" t="s">
        <v>113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114</v>
      </c>
      <c r="C10" s="56" t="s">
        <v>115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116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117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118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119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120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121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122</v>
      </c>
      <c r="C17" s="56" t="s">
        <v>123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124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125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25</v>
      </c>
      <c r="C20" s="56" t="s">
        <v>126</v>
      </c>
      <c r="D20" s="36" t="n">
        <f aca="false">OpenAccounts!E16</f>
        <v>0</v>
      </c>
      <c r="E20" s="57"/>
      <c r="F20" s="36" t="n">
        <f aca="false">[3]Jun!$F$1-[3]Jun!$V$1</f>
        <v>16400</v>
      </c>
      <c r="G20" s="36"/>
      <c r="H20" s="36" t="n">
        <f aca="false">-[4]Jun!$J$1</f>
        <v>-0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16400</v>
      </c>
      <c r="P20" s="57"/>
      <c r="Q20" s="36" t="n">
        <f aca="false">[3]Jul!$F$1-[3]Jul!$V$1</f>
        <v>15920</v>
      </c>
      <c r="R20" s="36"/>
      <c r="S20" s="36" t="n">
        <f aca="false">-[4]Jul!$J$1</f>
        <v>-0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127</v>
      </c>
      <c r="Y20" s="54"/>
      <c r="Z20" s="36" t="n">
        <f aca="false">SUM(O20:Y20)</f>
        <v>32320</v>
      </c>
      <c r="AA20" s="57"/>
      <c r="AB20" s="36" t="n">
        <f aca="false">[3]Aug!$F$1-[3]Aug!$V$1</f>
        <v>18200</v>
      </c>
      <c r="AC20" s="36"/>
      <c r="AD20" s="36" t="n">
        <f aca="false">-[4]Aug!$J$1</f>
        <v>-0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50520</v>
      </c>
      <c r="AL20" s="57"/>
      <c r="AM20" s="36" t="n">
        <f aca="false">[3]Sep!$F$1-[3]Sep!$V$1</f>
        <v>16760</v>
      </c>
      <c r="AN20" s="36"/>
      <c r="AO20" s="36" t="n">
        <f aca="false">-[4]Sep!$J$1</f>
        <v>-0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67280</v>
      </c>
      <c r="AW20" s="57"/>
      <c r="AX20" s="36" t="n">
        <f aca="false">[3]Oct!$F$1-[3]Oct!$V$1</f>
        <v>19020</v>
      </c>
      <c r="AY20" s="36"/>
      <c r="AZ20" s="36" t="n">
        <f aca="false">-[4]Oct!$J$1</f>
        <v>-0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86300</v>
      </c>
      <c r="BH20" s="57"/>
      <c r="BI20" s="36" t="n">
        <f aca="false">[3]Nov!$F$1-[3]Nov!$V$1</f>
        <v>16760</v>
      </c>
      <c r="BJ20" s="36"/>
      <c r="BK20" s="36" t="n">
        <f aca="false">-[4]Nov!$J$1</f>
        <v>-0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103060</v>
      </c>
      <c r="BS20" s="57"/>
      <c r="BT20" s="36" t="n">
        <f aca="false">[3]Dec!$F$1-[3]Dec!$V$1</f>
        <v>33560</v>
      </c>
      <c r="BU20" s="36"/>
      <c r="BV20" s="36" t="n">
        <f aca="false">-[4]Dec!$J$1</f>
        <v>-0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136620</v>
      </c>
      <c r="CD20" s="57"/>
      <c r="CE20" s="36" t="n">
        <f aca="false">[3]Jan!$F$1-[3]Jan!$V$1</f>
        <v>18320</v>
      </c>
      <c r="CF20" s="36"/>
      <c r="CG20" s="36" t="n">
        <f aca="false">-[4]Jan!$J$1</f>
        <v>-0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154940</v>
      </c>
      <c r="CO20" s="57"/>
      <c r="CP20" s="36" t="n">
        <f aca="false">[3]Feb!$F$1-[3]Feb!$V$1</f>
        <v>15800</v>
      </c>
      <c r="CQ20" s="36"/>
      <c r="CR20" s="36" t="n">
        <f aca="false">-[4]Feb!$J$1</f>
        <v>-0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170740</v>
      </c>
      <c r="CZ20" s="57"/>
      <c r="DA20" s="36" t="n">
        <f aca="false">[3]Mar!$F$1-[3]Mar!$V$1</f>
        <v>18440</v>
      </c>
      <c r="DB20" s="36"/>
      <c r="DC20" s="36" t="n">
        <f aca="false">-[4]Mar!$J$1</f>
        <v>-0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189180</v>
      </c>
      <c r="DK20" s="57"/>
      <c r="DL20" s="36" t="n">
        <f aca="false">[3]Apr!$F$1-[3]Apr!$V$1</f>
        <v>17360</v>
      </c>
      <c r="DM20" s="36"/>
      <c r="DN20" s="36" t="n">
        <f aca="false">-[4]Apr!$J$1</f>
        <v>-0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206540</v>
      </c>
      <c r="DV20" s="57"/>
      <c r="DW20" s="36" t="n">
        <f aca="false">[3]May!$F$1-[3]May!$V$1</f>
        <v>14360</v>
      </c>
      <c r="DX20" s="36"/>
      <c r="DY20" s="36" t="n">
        <f aca="false">-[4]May!$J$1</f>
        <v>-0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220900</v>
      </c>
      <c r="EG20" s="54"/>
      <c r="EI20" s="54"/>
      <c r="EJ20" s="36" t="n">
        <f aca="false">SUM(EF20:EH20)</f>
        <v>220900</v>
      </c>
      <c r="EK20" s="54"/>
    </row>
    <row r="21" s="57" customFormat="true" ht="12" hidden="false" customHeight="false" outlineLevel="0" collapsed="false">
      <c r="A21" s="54"/>
      <c r="B21" s="58" t="s">
        <v>128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129</v>
      </c>
      <c r="C22" s="56" t="s">
        <v>130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0</v>
      </c>
      <c r="I22" s="36"/>
      <c r="J22" s="36"/>
      <c r="K22" s="36"/>
      <c r="L22" s="36"/>
      <c r="N22" s="57"/>
      <c r="O22" s="36" t="n">
        <f aca="false">SUM(D22:N22)</f>
        <v>0</v>
      </c>
      <c r="P22" s="57"/>
      <c r="Q22" s="36"/>
      <c r="R22" s="36"/>
      <c r="S22" s="36" t="n">
        <f aca="false">[4]Jul!$F$1-[4]Jul!$X$1</f>
        <v>0</v>
      </c>
      <c r="T22" s="36"/>
      <c r="U22" s="36"/>
      <c r="V22" s="36"/>
      <c r="W22" s="36"/>
      <c r="X22" s="36"/>
      <c r="Y22" s="54"/>
      <c r="Z22" s="36" t="n">
        <f aca="false">SUM(O22:Y22)</f>
        <v>0</v>
      </c>
      <c r="AA22" s="57"/>
      <c r="AB22" s="36"/>
      <c r="AC22" s="36"/>
      <c r="AD22" s="36" t="n">
        <f aca="false">[4]Aug!$F$1-[4]Aug!$X$1</f>
        <v>0</v>
      </c>
      <c r="AE22" s="36"/>
      <c r="AF22" s="36"/>
      <c r="AG22" s="36"/>
      <c r="AH22" s="36"/>
      <c r="AI22" s="36"/>
      <c r="AJ22" s="54"/>
      <c r="AK22" s="36" t="n">
        <f aca="false">SUM(Z22:AJ22)</f>
        <v>0</v>
      </c>
      <c r="AL22" s="57"/>
      <c r="AM22" s="36"/>
      <c r="AN22" s="36"/>
      <c r="AO22" s="36" t="n">
        <f aca="false">[4]Sep!$F$1-[4]Sep!$X$1</f>
        <v>0</v>
      </c>
      <c r="AP22" s="36"/>
      <c r="AQ22" s="36"/>
      <c r="AR22" s="36"/>
      <c r="AS22" s="36"/>
      <c r="AT22" s="36"/>
      <c r="AU22" s="54"/>
      <c r="AV22" s="36" t="n">
        <f aca="false">SUM(AK22:AU22)</f>
        <v>0</v>
      </c>
      <c r="AW22" s="57"/>
      <c r="AX22" s="36"/>
      <c r="AY22" s="36"/>
      <c r="AZ22" s="36" t="n">
        <f aca="false">[4]Oct!$F$1-[4]Oct!$X$1</f>
        <v>0</v>
      </c>
      <c r="BA22" s="36"/>
      <c r="BB22" s="36"/>
      <c r="BC22" s="36"/>
      <c r="BD22" s="36"/>
      <c r="BE22" s="36"/>
      <c r="BF22" s="54"/>
      <c r="BG22" s="36" t="n">
        <f aca="false">SUM(AV22:BF22)</f>
        <v>0</v>
      </c>
      <c r="BH22" s="57"/>
      <c r="BI22" s="36"/>
      <c r="BJ22" s="36"/>
      <c r="BK22" s="36" t="n">
        <f aca="false">[4]Nov!$F$1-[4]Nov!$X$1</f>
        <v>0</v>
      </c>
      <c r="BL22" s="36"/>
      <c r="BM22" s="36"/>
      <c r="BN22" s="36"/>
      <c r="BO22" s="36"/>
      <c r="BP22" s="36"/>
      <c r="BQ22" s="54"/>
      <c r="BR22" s="36" t="n">
        <f aca="false">SUM(BG22:BQ22)</f>
        <v>0</v>
      </c>
      <c r="BS22" s="57"/>
      <c r="BT22" s="36"/>
      <c r="BU22" s="36"/>
      <c r="BV22" s="36" t="n">
        <f aca="false">[4]Dec!$F$1-[4]Dec!$X$1</f>
        <v>0</v>
      </c>
      <c r="BW22" s="36"/>
      <c r="BX22" s="36"/>
      <c r="BY22" s="36"/>
      <c r="BZ22" s="36"/>
      <c r="CA22" s="36"/>
      <c r="CB22" s="54"/>
      <c r="CC22" s="36" t="n">
        <f aca="false">SUM(BR22:CB22)</f>
        <v>0</v>
      </c>
      <c r="CD22" s="57"/>
      <c r="CE22" s="36"/>
      <c r="CF22" s="36"/>
      <c r="CG22" s="36" t="n">
        <f aca="false">[4]Jan!$F$1-[4]Jan!$X$1</f>
        <v>0</v>
      </c>
      <c r="CH22" s="36"/>
      <c r="CI22" s="36"/>
      <c r="CJ22" s="36"/>
      <c r="CK22" s="36"/>
      <c r="CL22" s="36"/>
      <c r="CM22" s="54"/>
      <c r="CN22" s="36" t="n">
        <f aca="false">SUM(CC22:CM22)</f>
        <v>0</v>
      </c>
      <c r="CO22" s="57"/>
      <c r="CP22" s="36"/>
      <c r="CQ22" s="36"/>
      <c r="CR22" s="36" t="n">
        <f aca="false">[4]Feb!$F$1-[4]Feb!$X$1</f>
        <v>0</v>
      </c>
      <c r="CS22" s="36"/>
      <c r="CT22" s="36"/>
      <c r="CU22" s="36"/>
      <c r="CV22" s="36"/>
      <c r="CW22" s="36"/>
      <c r="CX22" s="54"/>
      <c r="CY22" s="36" t="n">
        <f aca="false">SUM(CN22:CX22)</f>
        <v>0</v>
      </c>
      <c r="CZ22" s="57"/>
      <c r="DA22" s="36"/>
      <c r="DB22" s="36"/>
      <c r="DC22" s="36" t="n">
        <f aca="false">[4]Mar!$F$1-[4]Mar!$X$1</f>
        <v>0</v>
      </c>
      <c r="DD22" s="36"/>
      <c r="DE22" s="36"/>
      <c r="DF22" s="36"/>
      <c r="DG22" s="36"/>
      <c r="DH22" s="36"/>
      <c r="DI22" s="54"/>
      <c r="DJ22" s="36" t="n">
        <f aca="false">SUM(CY22:DI22)</f>
        <v>0</v>
      </c>
      <c r="DK22" s="57"/>
      <c r="DL22" s="36"/>
      <c r="DM22" s="36"/>
      <c r="DN22" s="36" t="n">
        <f aca="false">[4]Apr!$F$1-[4]Apr!$X$1</f>
        <v>0</v>
      </c>
      <c r="DO22" s="36"/>
      <c r="DP22" s="36"/>
      <c r="DQ22" s="36"/>
      <c r="DR22" s="36"/>
      <c r="DS22" s="36"/>
      <c r="DT22" s="54"/>
      <c r="DU22" s="36" t="n">
        <f aca="false">SUM(DJ22:DT22)</f>
        <v>0</v>
      </c>
      <c r="DV22" s="57"/>
      <c r="DW22" s="36"/>
      <c r="DX22" s="36"/>
      <c r="DY22" s="36" t="n">
        <f aca="false">[4]May!$F$1-[4]May!$X$1</f>
        <v>0</v>
      </c>
      <c r="DZ22" s="36"/>
      <c r="EA22" s="36"/>
      <c r="EB22" s="36"/>
      <c r="EC22" s="36"/>
      <c r="ED22" s="36"/>
      <c r="EE22" s="54"/>
      <c r="EF22" s="36" t="n">
        <f aca="false">SUM(DU22:EE22)</f>
        <v>0</v>
      </c>
      <c r="EG22" s="54"/>
      <c r="EI22" s="54"/>
      <c r="EJ22" s="36" t="n">
        <f aca="false">SUM(EF22:EH22)</f>
        <v>0</v>
      </c>
      <c r="EK22" s="54"/>
    </row>
    <row r="23" customFormat="false" ht="12" hidden="false" customHeight="false" outlineLevel="0" collapsed="false">
      <c r="A23" s="54"/>
      <c r="B23" s="54" t="s">
        <v>131</v>
      </c>
      <c r="C23" s="56" t="s">
        <v>132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0</v>
      </c>
      <c r="BM23" s="36"/>
      <c r="BN23" s="36"/>
      <c r="BO23" s="36"/>
      <c r="BP23" s="36"/>
      <c r="BQ23" s="54"/>
      <c r="BR23" s="36" t="n">
        <f aca="false">SUM(BG23:BQ23)</f>
        <v>0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0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0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0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0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0</v>
      </c>
      <c r="DV23" s="57"/>
      <c r="DW23" s="36"/>
      <c r="DX23" s="36"/>
      <c r="DY23" s="36"/>
      <c r="DZ23" s="36" t="n">
        <f aca="false">[5]May!$F$1-[5]May!$X$1</f>
        <v>0</v>
      </c>
      <c r="EA23" s="36"/>
      <c r="EB23" s="36"/>
      <c r="EC23" s="36"/>
      <c r="ED23" s="36"/>
      <c r="EE23" s="54"/>
      <c r="EF23" s="36" t="n">
        <f aca="false">SUM(DU23:EE23)</f>
        <v>0</v>
      </c>
      <c r="EG23" s="54"/>
      <c r="EI23" s="54"/>
      <c r="EJ23" s="36" t="n">
        <f aca="false">SUM(EF23:EH23)</f>
        <v>0</v>
      </c>
      <c r="EK23" s="54"/>
    </row>
    <row r="24" customFormat="false" ht="12" hidden="false" customHeight="false" outlineLevel="0" collapsed="false">
      <c r="A24" s="54"/>
      <c r="B24" s="54" t="s">
        <v>28</v>
      </c>
      <c r="C24" s="56" t="s">
        <v>133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0</v>
      </c>
      <c r="K24" s="36"/>
      <c r="L24" s="36"/>
      <c r="N24" s="57"/>
      <c r="O24" s="36" t="n">
        <f aca="false">SUM(D24:N24)</f>
        <v>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0</v>
      </c>
      <c r="AA24" s="57"/>
      <c r="AB24" s="36"/>
      <c r="AC24" s="36"/>
      <c r="AD24" s="36"/>
      <c r="AE24" s="36"/>
      <c r="AF24" s="36" t="n">
        <f aca="false">[6]Aug!$F$1-[6]Aug!$X$1</f>
        <v>0</v>
      </c>
      <c r="AG24" s="36"/>
      <c r="AH24" s="36"/>
      <c r="AI24" s="36"/>
      <c r="AJ24" s="54"/>
      <c r="AK24" s="36" t="n">
        <f aca="false">SUM(Z24:AJ24)</f>
        <v>0</v>
      </c>
      <c r="AL24" s="57"/>
      <c r="AM24" s="36"/>
      <c r="AN24" s="36"/>
      <c r="AO24" s="36"/>
      <c r="AP24" s="36"/>
      <c r="AQ24" s="36" t="n">
        <f aca="false">[6]Sep!$F$1-[6]Sep!$X$1</f>
        <v>0</v>
      </c>
      <c r="AR24" s="36"/>
      <c r="AS24" s="36"/>
      <c r="AT24" s="36"/>
      <c r="AU24" s="54"/>
      <c r="AV24" s="36" t="n">
        <f aca="false">SUM(AK24:AU24)</f>
        <v>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0</v>
      </c>
      <c r="BS24" s="57"/>
      <c r="BT24" s="36"/>
      <c r="BU24" s="36"/>
      <c r="BV24" s="36"/>
      <c r="BW24" s="36"/>
      <c r="BX24" s="36" t="n">
        <f aca="false">[6]Dec!$F$1-[6]Dec!$X$1</f>
        <v>0</v>
      </c>
      <c r="BY24" s="36"/>
      <c r="BZ24" s="36"/>
      <c r="CA24" s="36"/>
      <c r="CB24" s="54"/>
      <c r="CC24" s="36" t="n">
        <f aca="false">SUM(BR24:CB24)</f>
        <v>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0</v>
      </c>
      <c r="CZ24" s="57"/>
      <c r="DA24" s="36"/>
      <c r="DB24" s="36"/>
      <c r="DC24" s="36"/>
      <c r="DD24" s="36"/>
      <c r="DE24" s="36" t="n">
        <f aca="false">[6]Mar!$F$1-[6]Mar!$X$1</f>
        <v>0</v>
      </c>
      <c r="DF24" s="36"/>
      <c r="DG24" s="36"/>
      <c r="DH24" s="36"/>
      <c r="DI24" s="54"/>
      <c r="DJ24" s="36" t="n">
        <f aca="false">SUM(CY24:DI24)</f>
        <v>0</v>
      </c>
      <c r="DK24" s="57"/>
      <c r="DL24" s="36"/>
      <c r="DM24" s="36"/>
      <c r="DN24" s="36"/>
      <c r="DO24" s="36"/>
      <c r="DP24" s="36" t="n">
        <f aca="false">[6]Apr!$F$1-[6]Apr!$X$1</f>
        <v>0</v>
      </c>
      <c r="DQ24" s="36"/>
      <c r="DR24" s="36"/>
      <c r="DS24" s="36"/>
      <c r="DT24" s="54"/>
      <c r="DU24" s="36" t="n">
        <f aca="false">SUM(DJ24:DT24)</f>
        <v>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0</v>
      </c>
      <c r="EG24" s="54"/>
      <c r="EI24" s="54"/>
      <c r="EJ24" s="36" t="n">
        <f aca="false">SUM(EF24:EH24)</f>
        <v>0</v>
      </c>
      <c r="EK24" s="54"/>
    </row>
    <row r="25" customFormat="false" ht="12" hidden="false" customHeight="false" outlineLevel="0" collapsed="false">
      <c r="A25" s="54"/>
      <c r="B25" s="54" t="s">
        <v>29</v>
      </c>
      <c r="C25" s="56" t="s">
        <v>134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0</v>
      </c>
      <c r="L25" s="36"/>
      <c r="N25" s="57"/>
      <c r="O25" s="36" t="n">
        <f aca="false">SUM(D25:N25)</f>
        <v>0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0</v>
      </c>
      <c r="AA25" s="57"/>
      <c r="AB25" s="36"/>
      <c r="AC25" s="36"/>
      <c r="AD25" s="36"/>
      <c r="AE25" s="36"/>
      <c r="AF25" s="36"/>
      <c r="AG25" s="36" t="n">
        <f aca="false">[7]Aug!$F$1-[7]Aug!$U$1</f>
        <v>0</v>
      </c>
      <c r="AH25" s="36"/>
      <c r="AI25" s="36"/>
      <c r="AJ25" s="54"/>
      <c r="AK25" s="36" t="n">
        <f aca="false">SUM(Z25:AJ25)</f>
        <v>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0</v>
      </c>
      <c r="BH25" s="57"/>
      <c r="BI25" s="36"/>
      <c r="BJ25" s="36"/>
      <c r="BK25" s="36"/>
      <c r="BL25" s="36"/>
      <c r="BM25" s="36"/>
      <c r="BN25" s="36" t="n">
        <f aca="false">[7]Nov!$F$1-[7]Nov!$U$1</f>
        <v>0</v>
      </c>
      <c r="BO25" s="36"/>
      <c r="BP25" s="36"/>
      <c r="BQ25" s="54"/>
      <c r="BR25" s="36" t="n">
        <f aca="false">SUM(BG25:BQ25)</f>
        <v>0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0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0</v>
      </c>
      <c r="CO25" s="57"/>
      <c r="CP25" s="36"/>
      <c r="CQ25" s="36"/>
      <c r="CR25" s="36"/>
      <c r="CS25" s="36"/>
      <c r="CT25" s="36"/>
      <c r="CU25" s="36" t="n">
        <f aca="false">[7]Feb!$F$1-[7]Feb!$U$1</f>
        <v>0</v>
      </c>
      <c r="CV25" s="36"/>
      <c r="CW25" s="36"/>
      <c r="CX25" s="54"/>
      <c r="CY25" s="36" t="n">
        <f aca="false">SUM(CN25:CX25)</f>
        <v>0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0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0</v>
      </c>
      <c r="DV25" s="57"/>
      <c r="DW25" s="36"/>
      <c r="DX25" s="36"/>
      <c r="DY25" s="36"/>
      <c r="DZ25" s="36"/>
      <c r="EA25" s="36"/>
      <c r="EB25" s="36" t="n">
        <f aca="false">[7]May!$F$1-[7]May!$U$1</f>
        <v>0</v>
      </c>
      <c r="EC25" s="36"/>
      <c r="ED25" s="36"/>
      <c r="EE25" s="54"/>
      <c r="EF25" s="36" t="n">
        <f aca="false">SUM(DU25:EE25)</f>
        <v>0</v>
      </c>
      <c r="EG25" s="54"/>
      <c r="EH25" s="36" t="n">
        <f aca="false">[8]Boardmeeting!$E$6</f>
        <v>0</v>
      </c>
      <c r="EI25" s="54"/>
      <c r="EJ25" s="36" t="n">
        <f aca="false">SUM(EF25:EH25)</f>
        <v>0</v>
      </c>
      <c r="EK25" s="54"/>
    </row>
    <row r="26" customFormat="false" ht="12" hidden="false" customHeight="false" outlineLevel="0" collapsed="false">
      <c r="A26" s="54"/>
      <c r="B26" s="54" t="s">
        <v>135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136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33</v>
      </c>
      <c r="C28" s="56" t="s">
        <v>137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138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139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140</v>
      </c>
      <c r="C31" s="56" t="s">
        <v>141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142</v>
      </c>
      <c r="C32" s="56" t="s">
        <v>143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144</v>
      </c>
      <c r="C33" s="56" t="s">
        <v>145</v>
      </c>
      <c r="D33" s="36" t="n">
        <f aca="false">-OpenAccounts!H26</f>
        <v>-0</v>
      </c>
      <c r="E33" s="57"/>
      <c r="F33" s="36" t="n">
        <f aca="false">-[3]Jun!$G$1</f>
        <v>-2733.33333333333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-2733.33333333333</v>
      </c>
      <c r="P33" s="57"/>
      <c r="Q33" s="36" t="n">
        <f aca="false">-[3]Jul!$G$1</f>
        <v>-2653.33333333333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-5386.66666666666</v>
      </c>
      <c r="AA33" s="57"/>
      <c r="AB33" s="36" t="n">
        <f aca="false">-[3]Aug!$G$1</f>
        <v>-3033.33333333333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-8419.99999999999</v>
      </c>
      <c r="AL33" s="57"/>
      <c r="AM33" s="36" t="n">
        <f aca="false">-[3]Sep!$G$1</f>
        <v>-2793.33333333333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-11213.3333333333</v>
      </c>
      <c r="AW33" s="57"/>
      <c r="AX33" s="36" t="n">
        <f aca="false">-[3]Oct!$G$1</f>
        <v>-3170</v>
      </c>
      <c r="AY33" s="36" t="n">
        <f aca="false">[2]Oct!$G$1</f>
        <v>0</v>
      </c>
      <c r="AZ33" s="36" t="n">
        <f aca="false">-[4]Oct!$N$1+[4]Oct!$AI$1</f>
        <v>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-14383.3333333333</v>
      </c>
      <c r="BH33" s="57"/>
      <c r="BI33" s="36" t="n">
        <f aca="false">-[3]Nov!$G$1</f>
        <v>-2793.33333333333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0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-17176.6666666667</v>
      </c>
      <c r="BS33" s="57"/>
      <c r="BT33" s="36" t="n">
        <f aca="false">-[3]Dec!$G$1</f>
        <v>-5593.33333333333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-22770</v>
      </c>
      <c r="CD33" s="57"/>
      <c r="CE33" s="36" t="n">
        <f aca="false">-[3]Jan!$G$1</f>
        <v>-3053.33333333333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-25823.3333333333</v>
      </c>
      <c r="CO33" s="57"/>
      <c r="CP33" s="36" t="n">
        <f aca="false">-[3]Feb!$G$1</f>
        <v>-2633.33333333333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-28456.6666666666</v>
      </c>
      <c r="CZ33" s="57"/>
      <c r="DA33" s="36" t="n">
        <f aca="false">-[3]Mar!$G$1</f>
        <v>-3073.33333333333</v>
      </c>
      <c r="DB33" s="36" t="n">
        <f aca="false">[2]Mar!$G$1</f>
        <v>0</v>
      </c>
      <c r="DC33" s="36" t="n">
        <f aca="false">-[4]Mar!$N$1+[4]Mar!$AI$1</f>
        <v>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-31530</v>
      </c>
      <c r="DK33" s="57"/>
      <c r="DL33" s="36" t="n">
        <f aca="false">-[3]Apr!$G$1</f>
        <v>-2893.33333333333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-34423.3333333333</v>
      </c>
      <c r="DV33" s="57"/>
      <c r="DW33" s="36" t="n">
        <f aca="false">-[3]May!$G$1</f>
        <v>-2393.33333333333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-36816.6666666666</v>
      </c>
      <c r="EG33" s="54"/>
      <c r="EI33" s="54"/>
      <c r="EJ33" s="36" t="n">
        <f aca="false">SUM(EF33:EH33)</f>
        <v>-36816.6666666666</v>
      </c>
      <c r="EK33" s="54"/>
    </row>
    <row r="34" customFormat="false" ht="12" hidden="false" customHeight="false" outlineLevel="0" collapsed="false">
      <c r="A34" s="54"/>
      <c r="B34" s="54" t="s">
        <v>146</v>
      </c>
      <c r="C34" s="56" t="s">
        <v>147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148</v>
      </c>
      <c r="C35" s="56" t="s">
        <v>149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-19492.3058333334</v>
      </c>
      <c r="EE35" s="54"/>
      <c r="EF35" s="36" t="n">
        <f aca="false">SUM(DU35:EE35)</f>
        <v>-19492.3058333334</v>
      </c>
      <c r="EG35" s="54"/>
      <c r="EH35" s="36" t="n">
        <f aca="false">-EH58</f>
        <v>-0</v>
      </c>
      <c r="EI35" s="54"/>
      <c r="EJ35" s="36" t="n">
        <f aca="false">SUM(EF35:EH35)</f>
        <v>-19492.3058333334</v>
      </c>
      <c r="EK35" s="54"/>
    </row>
    <row r="36" s="57" customFormat="true" ht="12" hidden="false" customHeight="false" outlineLevel="0" collapsed="false">
      <c r="A36" s="54"/>
      <c r="B36" s="55" t="s">
        <v>150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151</v>
      </c>
      <c r="C37" s="56" t="s">
        <v>152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153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44</v>
      </c>
      <c r="C39" s="56" t="s">
        <v>154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0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0</v>
      </c>
      <c r="P39" s="57"/>
      <c r="Q39" s="36"/>
      <c r="R39" s="36"/>
      <c r="S39" s="36" t="n">
        <f aca="false">-[4]Jul!$P$1+[4]Jul!$AM$1</f>
        <v>0</v>
      </c>
      <c r="T39" s="36" t="n">
        <f aca="false">-[5]Jul!$P$1+[5]Jul!$AM$1</f>
        <v>0</v>
      </c>
      <c r="U39" s="36" t="n">
        <f aca="false">-[6]Jul!$P$1+[6]Jul!$AM$1</f>
        <v>0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0</v>
      </c>
      <c r="AA39" s="57"/>
      <c r="AB39" s="36"/>
      <c r="AC39" s="36"/>
      <c r="AD39" s="36" t="n">
        <f aca="false">-[4]Aug!$P$1+[4]Aug!$AM$1</f>
        <v>0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0</v>
      </c>
      <c r="AL39" s="57"/>
      <c r="AM39" s="36"/>
      <c r="AN39" s="36"/>
      <c r="AO39" s="36" t="n">
        <f aca="false">-[4]Sep!$P$1+[4]Sep!$AM$1</f>
        <v>0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0</v>
      </c>
      <c r="AW39" s="57"/>
      <c r="AX39" s="36"/>
      <c r="AY39" s="36"/>
      <c r="AZ39" s="36" t="n">
        <f aca="false">-[4]Oct!$P$1+[4]Oct!$AM$1</f>
        <v>0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0</v>
      </c>
      <c r="BH39" s="57"/>
      <c r="BI39" s="36"/>
      <c r="BJ39" s="36"/>
      <c r="BK39" s="36" t="n">
        <f aca="false">-[4]Nov!$P$1+[4]Nov!$AM$1</f>
        <v>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0</v>
      </c>
      <c r="BS39" s="57"/>
      <c r="BT39" s="36"/>
      <c r="BU39" s="36"/>
      <c r="BV39" s="36" t="n">
        <f aca="false">-[4]Dec!$P$1+[4]Dec!$AM$1</f>
        <v>0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0</v>
      </c>
      <c r="CD39" s="57"/>
      <c r="CE39" s="36"/>
      <c r="CF39" s="36"/>
      <c r="CG39" s="36" t="n">
        <f aca="false">-[4]Jan!$P$1+[4]Jan!$AM$1</f>
        <v>0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0</v>
      </c>
      <c r="CO39" s="57"/>
      <c r="CP39" s="36"/>
      <c r="CQ39" s="36"/>
      <c r="CR39" s="36" t="n">
        <f aca="false">-[4]Feb!$P$1+[4]Feb!$AM$1</f>
        <v>0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0</v>
      </c>
      <c r="CZ39" s="57"/>
      <c r="DA39" s="36"/>
      <c r="DB39" s="36"/>
      <c r="DC39" s="36" t="n">
        <f aca="false">-[4]Mar!$P$1+[4]Mar!$AM$1</f>
        <v>0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0</v>
      </c>
      <c r="DK39" s="57"/>
      <c r="DL39" s="36"/>
      <c r="DM39" s="36"/>
      <c r="DN39" s="36" t="n">
        <f aca="false">-[4]Apr!$P$1+[4]Apr!$AM$1</f>
        <v>0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0</v>
      </c>
      <c r="DV39" s="57"/>
      <c r="DW39" s="36"/>
      <c r="DX39" s="36"/>
      <c r="DY39" s="36" t="n">
        <f aca="false">-[4]May!$P$1+[4]May!$AM$1</f>
        <v>0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0</v>
      </c>
      <c r="EG39" s="54"/>
      <c r="EI39" s="54"/>
      <c r="EJ39" s="36" t="n">
        <f aca="false">SUM(EF39:EH39)</f>
        <v>0</v>
      </c>
      <c r="EK39" s="54"/>
    </row>
    <row r="40" customFormat="false" ht="12" hidden="false" customHeight="false" outlineLevel="0" collapsed="false">
      <c r="A40" s="54"/>
      <c r="B40" s="54" t="s">
        <v>155</v>
      </c>
      <c r="C40" s="56" t="s">
        <v>156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157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158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159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-80098.7775000004</v>
      </c>
      <c r="EI43" s="54"/>
      <c r="EJ43" s="36" t="n">
        <f aca="false">SUM(EF43:EH43)</f>
        <v>-80098.7775000004</v>
      </c>
      <c r="EK43" s="54"/>
    </row>
    <row r="44" customFormat="false" ht="12" hidden="false" customHeight="false" outlineLevel="0" collapsed="false">
      <c r="A44" s="54"/>
      <c r="B44" s="54" t="s">
        <v>160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161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162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19492.3058333334</v>
      </c>
      <c r="EE47" s="54"/>
      <c r="EF47" s="36" t="n">
        <f aca="false">SUM(DU47:EE47)</f>
        <v>19492.3058333334</v>
      </c>
      <c r="EG47" s="54"/>
      <c r="EI47" s="54"/>
      <c r="EJ47" s="36" t="n">
        <f aca="false">SUM(EF47:EH47)</f>
        <v>19492.3058333334</v>
      </c>
      <c r="EK47" s="54"/>
    </row>
    <row r="48" customFormat="false" ht="12" hidden="false" customHeight="false" outlineLevel="0" collapsed="false">
      <c r="A48" s="54"/>
      <c r="B48" s="54" t="s">
        <v>89</v>
      </c>
      <c r="C48" s="56" t="s">
        <v>141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163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80098.7775000004</v>
      </c>
      <c r="EI49" s="54"/>
      <c r="EJ49" s="36" t="n">
        <f aca="false">SUM(EF49:EH49)</f>
        <v>80098.7775000004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164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165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166</v>
      </c>
      <c r="C53" s="56" t="s">
        <v>167</v>
      </c>
      <c r="D53" s="57"/>
      <c r="E53" s="57"/>
      <c r="F53" s="36" t="n">
        <f aca="false">-[3]Jun!$O$1</f>
        <v>-11166.6666666667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-11166.6666666667</v>
      </c>
      <c r="P53" s="57"/>
      <c r="Q53" s="36" t="n">
        <f aca="false">-[3]Jul!$O$1</f>
        <v>-11466.6666666667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-22633.3333333334</v>
      </c>
      <c r="AA53" s="57"/>
      <c r="AB53" s="36" t="n">
        <f aca="false">-[3]Aug!$O$1</f>
        <v>-12366.6666666667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-35000.0000000001</v>
      </c>
      <c r="AL53" s="57"/>
      <c r="AM53" s="36" t="n">
        <f aca="false">-[3]Sep!$O$1</f>
        <v>-11466.6666666667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-46466.6666666668</v>
      </c>
      <c r="AW53" s="57"/>
      <c r="AX53" s="36" t="n">
        <f aca="false">-[3]Oct!$O$1</f>
        <v>-12966.6666666667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-59433.3333333335</v>
      </c>
      <c r="BH53" s="57"/>
      <c r="BI53" s="36" t="n">
        <f aca="false">-[3]Nov!$O$1</f>
        <v>-10866.6666666667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-70300.0000000002</v>
      </c>
      <c r="BS53" s="57"/>
      <c r="BT53" s="36" t="n">
        <f aca="false">-[3]Dec!$O$1</f>
        <v>-12966.6666666667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-83266.6666666669</v>
      </c>
      <c r="CD53" s="57"/>
      <c r="CE53" s="36" t="n">
        <f aca="false">-[3]Jan!$O$1</f>
        <v>-11466.6666666667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-94733.3333333336</v>
      </c>
      <c r="CO53" s="57"/>
      <c r="CP53" s="36" t="n">
        <f aca="false">-[3]Feb!$O$1</f>
        <v>-12366.6666666667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-107100</v>
      </c>
      <c r="CZ53" s="57"/>
      <c r="DA53" s="36" t="n">
        <f aca="false">-[3]Mar!$O$1</f>
        <v>-11466.6666666667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-118566.666666667</v>
      </c>
      <c r="DK53" s="57"/>
      <c r="DL53" s="36" t="n">
        <f aca="false">-[3]Apr!$O$1</f>
        <v>-12166.6666666667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-130733.333333334</v>
      </c>
      <c r="DV53" s="57"/>
      <c r="DW53" s="36" t="n">
        <f aca="false">-[3]May!$O$1</f>
        <v>-10866.6666666667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-141600</v>
      </c>
      <c r="EG53" s="54"/>
      <c r="EI53" s="54"/>
      <c r="EJ53" s="36" t="n">
        <f aca="false">SUM(EF53:EH53)</f>
        <v>-141600</v>
      </c>
      <c r="EK53" s="54"/>
    </row>
    <row r="54" customFormat="false" ht="12" hidden="false" customHeight="false" outlineLevel="0" collapsed="false">
      <c r="A54" s="54"/>
      <c r="B54" s="54" t="s">
        <v>168</v>
      </c>
      <c r="C54" s="56" t="s">
        <v>169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170</v>
      </c>
      <c r="C55" s="56" t="s">
        <v>171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85</v>
      </c>
      <c r="C56" s="56" t="s">
        <v>172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173</v>
      </c>
      <c r="C57" s="56" t="s">
        <v>174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175</v>
      </c>
      <c r="C58" s="56" t="s">
        <v>176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177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178</v>
      </c>
      <c r="C60" s="56" t="s">
        <v>179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180</v>
      </c>
      <c r="C61" s="56" t="s">
        <v>171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181</v>
      </c>
      <c r="C62" s="56" t="s">
        <v>182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183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184</v>
      </c>
      <c r="C64" s="56" t="s">
        <v>185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186</v>
      </c>
      <c r="C65" s="56" t="s">
        <v>187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62</v>
      </c>
      <c r="C66" s="56" t="s">
        <v>172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188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64</v>
      </c>
      <c r="C68" s="56" t="s">
        <v>189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65</v>
      </c>
      <c r="C69" s="56" t="s">
        <v>190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66</v>
      </c>
      <c r="C70" s="56" t="s">
        <v>191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67</v>
      </c>
      <c r="C71" s="56" t="s">
        <v>192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68</v>
      </c>
      <c r="C72" s="56" t="s">
        <v>193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69</v>
      </c>
      <c r="C73" s="56" t="s">
        <v>194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70</v>
      </c>
      <c r="C74" s="56" t="s">
        <v>167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71</v>
      </c>
      <c r="C75" s="56" t="s">
        <v>174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72</v>
      </c>
      <c r="C76" s="56" t="s">
        <v>195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73</v>
      </c>
      <c r="C77" s="56" t="s">
        <v>196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74</v>
      </c>
      <c r="C78" s="56" t="s">
        <v>197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75</v>
      </c>
      <c r="C79" s="56" t="s">
        <v>198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76</v>
      </c>
      <c r="C80" s="56" t="s">
        <v>199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77</v>
      </c>
      <c r="C81" s="56" t="s">
        <v>182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78</v>
      </c>
      <c r="C82" s="56" t="s">
        <v>200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79</v>
      </c>
      <c r="C83" s="56" t="s">
        <v>169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80</v>
      </c>
      <c r="C84" s="56" t="s">
        <v>201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81</v>
      </c>
      <c r="C85" s="56" t="s">
        <v>202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82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83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203</v>
      </c>
      <c r="C88" s="56" t="s">
        <v>204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-0</v>
      </c>
      <c r="K88" s="36"/>
      <c r="L88" s="36"/>
      <c r="N88" s="57"/>
      <c r="O88" s="36" t="n">
        <f aca="false">SUM(D88:N88)</f>
        <v>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-0</v>
      </c>
      <c r="AR88" s="36"/>
      <c r="AS88" s="36"/>
      <c r="AT88" s="36"/>
      <c r="AU88" s="54"/>
      <c r="AV88" s="36" t="n">
        <f aca="false">SUM(AK88:AU88)</f>
        <v>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-0</v>
      </c>
      <c r="BY88" s="36"/>
      <c r="BZ88" s="36"/>
      <c r="CA88" s="36"/>
      <c r="CB88" s="54"/>
      <c r="CC88" s="36" t="n">
        <f aca="false">SUM(BR88:CB88)</f>
        <v>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-0</v>
      </c>
      <c r="DF88" s="36"/>
      <c r="DG88" s="36"/>
      <c r="DH88" s="36"/>
      <c r="DI88" s="54"/>
      <c r="DJ88" s="36" t="n">
        <f aca="false">SUM(CY88:DI88)</f>
        <v>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0</v>
      </c>
      <c r="EG88" s="54"/>
      <c r="EI88" s="54"/>
      <c r="EJ88" s="36" t="n">
        <f aca="false">SUM(EF88:EH88)</f>
        <v>0</v>
      </c>
      <c r="EK88" s="54"/>
    </row>
    <row r="89" customFormat="false" ht="12" hidden="false" customHeight="false" outlineLevel="0" collapsed="false">
      <c r="A89" s="54"/>
      <c r="B89" s="54" t="s">
        <v>205</v>
      </c>
      <c r="C89" s="56" t="s">
        <v>204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206</v>
      </c>
      <c r="C91" s="60"/>
      <c r="D91" s="36" t="n">
        <f aca="false">SUM(D4:D90)</f>
        <v>0</v>
      </c>
      <c r="E91" s="54"/>
      <c r="F91" s="36" t="n">
        <f aca="false">SUM(F4:F90)</f>
        <v>-3.04680725093931E-011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-3.04680725093931E-011</v>
      </c>
      <c r="P91" s="54"/>
      <c r="Q91" s="36" t="n">
        <f aca="false">SUM(Q4:Q90)</f>
        <v>-3.04680725093931E-011</v>
      </c>
      <c r="R91" s="36" t="n">
        <f aca="false">SUM(R4:R90)</f>
        <v>0</v>
      </c>
      <c r="S91" s="36" t="n">
        <f aca="false">SUM(S4:S90)</f>
        <v>0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-6.09361450187862E-011</v>
      </c>
      <c r="AA91" s="54"/>
      <c r="AB91" s="36" t="n">
        <f aca="false">SUM(AB4:AB90)</f>
        <v>-3.04680725093931E-011</v>
      </c>
      <c r="AC91" s="36" t="n">
        <f aca="false">SUM(AC4:AC90)</f>
        <v>0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-9.09494701772928E-011</v>
      </c>
      <c r="AL91" s="54"/>
      <c r="AM91" s="36" t="n">
        <f aca="false">SUM(AM4:AM90)</f>
        <v>-3.04680725093931E-011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-1.21872290037572E-010</v>
      </c>
      <c r="AW91" s="54"/>
      <c r="AX91" s="36" t="n">
        <f aca="false">SUM(AX4:AX90)</f>
        <v>-3.04680725093931E-011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-1.52340362546965E-010</v>
      </c>
      <c r="BH91" s="54"/>
      <c r="BI91" s="36" t="n">
        <f aca="false">SUM(BI4:BI90)</f>
        <v>-3.04680725093931E-011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-1.83263182407245E-010</v>
      </c>
      <c r="BS91" s="54"/>
      <c r="BT91" s="36" t="n">
        <f aca="false">SUM(BT4:BT90)</f>
        <v>-3.09228198602796E-011</v>
      </c>
      <c r="BU91" s="36" t="n">
        <f aca="false">SUM(BU4:BU90)</f>
        <v>0</v>
      </c>
      <c r="BV91" s="36" t="n">
        <f aca="false">SUM(BV4:BV90)</f>
        <v>0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-2.12367012863979E-010</v>
      </c>
      <c r="CD91" s="54"/>
      <c r="CE91" s="36" t="n">
        <f aca="false">SUM(CE4:CE90)</f>
        <v>-3.04680725093931E-011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-2.41470843320712E-010</v>
      </c>
      <c r="CO91" s="54"/>
      <c r="CP91" s="36" t="n">
        <f aca="false">SUM(CP4:CP90)</f>
        <v>-3.04680725093931E-011</v>
      </c>
      <c r="CQ91" s="36" t="n">
        <f aca="false">SUM(CQ4:CQ90)</f>
        <v>0</v>
      </c>
      <c r="CR91" s="36" t="n">
        <f aca="false">SUM(CR4:CR90)</f>
        <v>0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-2.70574673777446E-010</v>
      </c>
      <c r="CZ91" s="54"/>
      <c r="DA91" s="36" t="n">
        <f aca="false">SUM(DA4:DA90)</f>
        <v>-3.04680725093931E-011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-2.9967850423418E-010</v>
      </c>
      <c r="DK91" s="54"/>
      <c r="DL91" s="36" t="n">
        <f aca="false">SUM(DL4:DL90)</f>
        <v>-3.04680725093931E-011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-3.28782334690914E-010</v>
      </c>
      <c r="DV91" s="54"/>
      <c r="DW91" s="36" t="n">
        <f aca="false">SUM(DW4:DW90)</f>
        <v>-3.04680725093931E-011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-3.57886165147647E-010</v>
      </c>
      <c r="EG91" s="54"/>
      <c r="EH91" s="36" t="n">
        <f aca="false">SUM(EH4:EH90)</f>
        <v>0</v>
      </c>
      <c r="EI91" s="54"/>
      <c r="EJ91" s="36" t="n">
        <f aca="false">SUM(EJ4:EJ90)</f>
        <v>-3.57886165147647E-010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207</v>
      </c>
      <c r="B1" s="63" t="s">
        <v>208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209</v>
      </c>
      <c r="C3" s="69" t="s">
        <v>209</v>
      </c>
      <c r="D3" s="69" t="s">
        <v>209</v>
      </c>
      <c r="E3" s="69" t="s">
        <v>209</v>
      </c>
      <c r="F3" s="69" t="s">
        <v>209</v>
      </c>
      <c r="G3" s="69" t="s">
        <v>209</v>
      </c>
      <c r="H3" s="69" t="s">
        <v>209</v>
      </c>
      <c r="I3" s="69" t="s">
        <v>209</v>
      </c>
      <c r="J3" s="69" t="s">
        <v>209</v>
      </c>
      <c r="K3" s="69" t="s">
        <v>209</v>
      </c>
      <c r="L3" s="69" t="s">
        <v>209</v>
      </c>
      <c r="M3" s="69" t="s">
        <v>209</v>
      </c>
      <c r="N3" s="69" t="s">
        <v>209</v>
      </c>
      <c r="O3" s="68"/>
    </row>
    <row r="4" customFormat="false" ht="12" hidden="false" customHeight="false" outlineLevel="0" collapsed="false">
      <c r="A4" s="70" t="s">
        <v>166</v>
      </c>
      <c r="B4" s="71" t="n">
        <f aca="false">SUM(C4:N4)</f>
        <v>141600</v>
      </c>
      <c r="C4" s="72" t="n">
        <f aca="false">-TrialBalance!O53-0</f>
        <v>11166.6666666667</v>
      </c>
      <c r="D4" s="72" t="n">
        <f aca="false">-TrialBalance!Z53-C4</f>
        <v>11466.6666666667</v>
      </c>
      <c r="E4" s="72" t="n">
        <f aca="false">-TrialBalance!AK53-SUM(C4:D4)</f>
        <v>12366.6666666667</v>
      </c>
      <c r="F4" s="72" t="n">
        <f aca="false">-TrialBalance!AV53-SUM(C4:E4)</f>
        <v>11466.6666666667</v>
      </c>
      <c r="G4" s="72" t="n">
        <f aca="false">-TrialBalance!BG53-SUM(C4:F4)</f>
        <v>12966.6666666667</v>
      </c>
      <c r="H4" s="72" t="n">
        <f aca="false">-TrialBalance!BR53-SUM(C4:G4)</f>
        <v>10866.6666666667</v>
      </c>
      <c r="I4" s="72" t="n">
        <f aca="false">-TrialBalance!CC53-SUM(C4:H4)</f>
        <v>12966.6666666667</v>
      </c>
      <c r="J4" s="72" t="n">
        <f aca="false">-TrialBalance!CN53-SUM(C4:I4)</f>
        <v>11466.6666666667</v>
      </c>
      <c r="K4" s="72" t="n">
        <f aca="false">-TrialBalance!CY53-SUM(C4:J4)</f>
        <v>12366.6666666667</v>
      </c>
      <c r="L4" s="72" t="n">
        <f aca="false">-TrialBalance!DJ53-SUM(C4:K4)</f>
        <v>11466.6666666667</v>
      </c>
      <c r="M4" s="72" t="n">
        <f aca="false">-TrialBalance!DU53-SUM(C4:L4)</f>
        <v>12166.6666666667</v>
      </c>
      <c r="N4" s="72" t="n">
        <f aca="false">-TrialBalance!EF53-SUM(C4:M4)</f>
        <v>10866.6666666667</v>
      </c>
      <c r="O4" s="68"/>
    </row>
    <row r="5" customFormat="false" ht="12" hidden="false" customHeight="false" outlineLevel="0" collapsed="false">
      <c r="A5" s="70" t="s">
        <v>168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170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85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53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52</v>
      </c>
      <c r="B9" s="71" t="n">
        <f aca="false">SUM(B4:B8)</f>
        <v>171283.333333334</v>
      </c>
      <c r="C9" s="74" t="n">
        <f aca="false">SUM(C4:C8)</f>
        <v>13666.6666666667</v>
      </c>
      <c r="D9" s="71" t="n">
        <f aca="false">SUM(D4:D8)</f>
        <v>13266.6666666667</v>
      </c>
      <c r="E9" s="71" t="n">
        <f aca="false">SUM(E4:E8)</f>
        <v>15166.6666666667</v>
      </c>
      <c r="F9" s="71" t="n">
        <f aca="false">SUM(F4:F8)</f>
        <v>13966.6666666667</v>
      </c>
      <c r="G9" s="71" t="n">
        <f aca="false">SUM(G4:G8)</f>
        <v>15850</v>
      </c>
      <c r="H9" s="71" t="n">
        <f aca="false">SUM(H4:H8)</f>
        <v>13966.6666666667</v>
      </c>
      <c r="I9" s="71" t="n">
        <f aca="false">SUM(I4:I8)</f>
        <v>15466.6666666667</v>
      </c>
      <c r="J9" s="71" t="n">
        <f aca="false">SUM(J4:J8)</f>
        <v>15266.6666666667</v>
      </c>
      <c r="K9" s="71" t="n">
        <f aca="false">SUM(K4:K8)</f>
        <v>13166.6666666667</v>
      </c>
      <c r="L9" s="71" t="n">
        <f aca="false">SUM(L4:L8)</f>
        <v>15366.6666666667</v>
      </c>
      <c r="M9" s="71" t="n">
        <f aca="false">SUM(M4:M8)</f>
        <v>14466.6666666667</v>
      </c>
      <c r="N9" s="71" t="n">
        <f aca="false">SUM(N4:N8)</f>
        <v>11666.6666666667</v>
      </c>
      <c r="O9" s="75"/>
    </row>
    <row r="10" s="76" customFormat="true" ht="10.5" hidden="false" customHeight="true" outlineLevel="0" collapsed="false">
      <c r="A10" s="77" t="s">
        <v>58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55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57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210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58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59</v>
      </c>
      <c r="B16" s="71" t="n">
        <f aca="false">B9-B14</f>
        <v>153539.333333334</v>
      </c>
      <c r="C16" s="71" t="n">
        <f aca="false">C9-C14</f>
        <v>12781.6666666667</v>
      </c>
      <c r="D16" s="71" t="n">
        <f aca="false">D9-D14</f>
        <v>12297.6666666667</v>
      </c>
      <c r="E16" s="71" t="n">
        <f aca="false">E9-E14</f>
        <v>9521.6666666667</v>
      </c>
      <c r="F16" s="71" t="n">
        <f aca="false">F9-F14</f>
        <v>12997.6666666667</v>
      </c>
      <c r="G16" s="71" t="n">
        <f aca="false">G9-G14</f>
        <v>15025</v>
      </c>
      <c r="H16" s="71" t="n">
        <f aca="false">H9-H14</f>
        <v>13477.6666666667</v>
      </c>
      <c r="I16" s="71" t="n">
        <f aca="false">I9-I14</f>
        <v>14701.6666666667</v>
      </c>
      <c r="J16" s="71" t="n">
        <f aca="false">J9-J14</f>
        <v>11177.6666666667</v>
      </c>
      <c r="K16" s="71" t="n">
        <f aca="false">K9-K14</f>
        <v>12401.6666666667</v>
      </c>
      <c r="L16" s="71" t="n">
        <f aca="false">L9-L14</f>
        <v>14517.6666666667</v>
      </c>
      <c r="M16" s="71" t="n">
        <f aca="false">M9-M14</f>
        <v>13521.6666666667</v>
      </c>
      <c r="N16" s="71" t="n">
        <f aca="false">N9-N14</f>
        <v>11117.6666666667</v>
      </c>
      <c r="O16" s="75"/>
    </row>
    <row r="17" s="76" customFormat="true" ht="10.5" hidden="false" customHeight="true" outlineLevel="0" collapsed="false">
      <c r="A17" s="77" t="s">
        <v>60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61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62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188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64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65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66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67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68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69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70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71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72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73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74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75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76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77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78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79</v>
      </c>
      <c r="B36" s="71" t="n">
        <f aca="false">SUM(C36:N36)</f>
        <v>0</v>
      </c>
      <c r="C36" s="72" t="n">
        <f aca="false">TrialBalance!O83+TrialBalance!O88+TrialBalance!O89-0</f>
        <v>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0</v>
      </c>
      <c r="O36" s="68"/>
    </row>
    <row r="37" customFormat="false" ht="12" hidden="false" customHeight="false" outlineLevel="0" collapsed="false">
      <c r="A37" s="81" t="s">
        <v>80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81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82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83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60</v>
      </c>
      <c r="B41" s="71" t="n">
        <f aca="false">SUM(B18:B40)</f>
        <v>53948.25</v>
      </c>
      <c r="C41" s="74" t="n">
        <f aca="false">SUM(C18:C40)</f>
        <v>4226.25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6240.75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9129.25</v>
      </c>
      <c r="M41" s="71" t="n">
        <f aca="false">SUM(M18:M40)</f>
        <v>3451.5</v>
      </c>
      <c r="N41" s="71" t="n">
        <f aca="false">SUM(N18:N40)</f>
        <v>2877.5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84</v>
      </c>
      <c r="B43" s="71" t="n">
        <f aca="false">B16-B41</f>
        <v>99591.0833333338</v>
      </c>
      <c r="C43" s="71" t="n">
        <f aca="false">C16-C41</f>
        <v>8555.4166666667</v>
      </c>
      <c r="D43" s="71" t="n">
        <f aca="false">D16-D41</f>
        <v>8691.6666666667</v>
      </c>
      <c r="E43" s="71" t="n">
        <f aca="false">E16-E41</f>
        <v>6109.6666666667</v>
      </c>
      <c r="F43" s="71" t="n">
        <f aca="false">F16-F41</f>
        <v>6407.4166666667</v>
      </c>
      <c r="G43" s="71" t="n">
        <f aca="false">G16-G41</f>
        <v>11144.75</v>
      </c>
      <c r="H43" s="71" t="n">
        <f aca="false">H16-H41</f>
        <v>8991.6666666667</v>
      </c>
      <c r="I43" s="71" t="n">
        <f aca="false">I16-I41</f>
        <v>8460.9166666667</v>
      </c>
      <c r="J43" s="71" t="n">
        <f aca="false">J16-J41</f>
        <v>8348.6666666667</v>
      </c>
      <c r="K43" s="71" t="n">
        <f aca="false">K16-K41</f>
        <v>9182.1666666667</v>
      </c>
      <c r="L43" s="71" t="n">
        <f aca="false">L16-L41</f>
        <v>5388.4166666667</v>
      </c>
      <c r="M43" s="71" t="n">
        <f aca="false">M16-M41</f>
        <v>10070.1666666667</v>
      </c>
      <c r="N43" s="71" t="n">
        <f aca="false">N16-N41</f>
        <v>8240.1666666667</v>
      </c>
      <c r="O43" s="68"/>
    </row>
    <row r="44" customFormat="false" ht="12" hidden="false" customHeight="false" outlineLevel="0" collapsed="false">
      <c r="A44" s="70" t="s">
        <v>211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86</v>
      </c>
      <c r="B45" s="71" t="n">
        <f aca="false">B43+B44</f>
        <v>99591.0833333338</v>
      </c>
      <c r="C45" s="71" t="n">
        <f aca="false">C43+C44</f>
        <v>8555.4166666667</v>
      </c>
      <c r="D45" s="71" t="n">
        <f aca="false">D43+D44</f>
        <v>8691.6666666667</v>
      </c>
      <c r="E45" s="71" t="n">
        <f aca="false">E43+E44</f>
        <v>6109.6666666667</v>
      </c>
      <c r="F45" s="71" t="n">
        <f aca="false">F43+F44</f>
        <v>6407.4166666667</v>
      </c>
      <c r="G45" s="71" t="n">
        <f aca="false">G43+G44</f>
        <v>11144.75</v>
      </c>
      <c r="H45" s="71" t="n">
        <f aca="false">H43+H44</f>
        <v>8991.6666666667</v>
      </c>
      <c r="I45" s="71" t="n">
        <f aca="false">I43+I44</f>
        <v>8460.9166666667</v>
      </c>
      <c r="J45" s="71" t="n">
        <f aca="false">J43+J44</f>
        <v>8348.6666666667</v>
      </c>
      <c r="K45" s="71" t="n">
        <f aca="false">K43+K44</f>
        <v>9182.1666666667</v>
      </c>
      <c r="L45" s="71" t="n">
        <f aca="false">L43+L44</f>
        <v>5388.4166666667</v>
      </c>
      <c r="M45" s="71" t="n">
        <f aca="false">M43+M44</f>
        <v>10070.1666666667</v>
      </c>
      <c r="N45" s="71" t="n">
        <f aca="false">N43+N44</f>
        <v>8240.1666666667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212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213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209</v>
      </c>
      <c r="B6" s="99" t="s">
        <v>209</v>
      </c>
      <c r="C6" s="100"/>
      <c r="D6" s="100"/>
      <c r="E6" s="99" t="s">
        <v>209</v>
      </c>
      <c r="F6" s="99" t="s">
        <v>209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52</v>
      </c>
      <c r="D7" s="101"/>
      <c r="F7" s="86" t="n">
        <f aca="false">-(TrialBalance!EJ53+TrialBalance!EJ54+TrialBalance!EJ55+TrialBalance!EJ56)</f>
        <v>169200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53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52</v>
      </c>
      <c r="D9" s="105"/>
      <c r="E9" s="103"/>
      <c r="F9" s="104" t="n">
        <f aca="false">SUM(F7:F8)</f>
        <v>171283.333333334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58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214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55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215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57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58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59</v>
      </c>
      <c r="D18" s="105"/>
      <c r="E18" s="103"/>
      <c r="F18" s="104" t="n">
        <f aca="false">F9-F16</f>
        <v>153539.333333334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60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61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62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63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64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65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66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67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68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69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70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71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72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73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74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75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76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77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78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79</v>
      </c>
      <c r="D39" s="88"/>
      <c r="E39" s="86" t="n">
        <f aca="false">TrialBalance!EJ83+TrialBalance!EJ88+TrialBalance!EJ89</f>
        <v>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80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81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82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83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60</v>
      </c>
      <c r="D44" s="109"/>
      <c r="E44" s="103"/>
      <c r="F44" s="104" t="n">
        <f aca="false">SUM(E21:E43)</f>
        <v>53948.25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84</v>
      </c>
      <c r="D46" s="109"/>
      <c r="E46" s="103"/>
      <c r="F46" s="104" t="n">
        <f aca="false">F18-F44</f>
        <v>99591.0833333338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85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86</v>
      </c>
      <c r="D49" s="106"/>
      <c r="E49" s="103"/>
      <c r="F49" s="104" t="n">
        <f aca="false">F46+F48</f>
        <v>99591.0833333338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87</v>
      </c>
      <c r="D50" s="101"/>
      <c r="F50" s="86" t="n">
        <f aca="false">TrialBalance!EJ47</f>
        <v>19492.3058333334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88</v>
      </c>
      <c r="D51" s="106"/>
      <c r="E51" s="103"/>
      <c r="F51" s="104" t="n">
        <f aca="false">F49-F50</f>
        <v>80098.7775000004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89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209</v>
      </c>
      <c r="B54" s="104" t="n">
        <f aca="false">B51-B52</f>
        <v>0</v>
      </c>
      <c r="C54" s="106" t="s">
        <v>90</v>
      </c>
      <c r="D54" s="106"/>
      <c r="E54" s="110" t="s">
        <v>209</v>
      </c>
      <c r="F54" s="104" t="n">
        <f aca="false">F51-F52</f>
        <v>80098.7775000004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216</v>
      </c>
      <c r="D1" s="111"/>
      <c r="E1" s="90"/>
    </row>
    <row r="2" customFormat="false" ht="12" hidden="false" customHeight="false" outlineLevel="0" collapsed="false">
      <c r="C2" s="112" t="s">
        <v>217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209</v>
      </c>
      <c r="B4" s="99" t="s">
        <v>209</v>
      </c>
      <c r="C4" s="88"/>
      <c r="D4" s="88"/>
      <c r="E4" s="99" t="s">
        <v>209</v>
      </c>
      <c r="F4" s="99" t="s">
        <v>209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24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25</v>
      </c>
      <c r="E11" s="115" t="n">
        <f aca="false">TrialBalance!EJ20</f>
        <v>220900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218</v>
      </c>
      <c r="E12" s="119" t="n">
        <f aca="false">IF(SUM(TrialBalance!EJ22:EJ24)&gt;0,SUM(TrialBalance!EJ22:EJ24)+TrialBalance!EJ25+TrialBalance!EJ26,TrialBalance!EJ25)</f>
        <v>0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220900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219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33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37</v>
      </c>
      <c r="E17" s="115" t="n">
        <f aca="false">-TrialBalance!EJ35</f>
        <v>19492.3058333334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41</v>
      </c>
      <c r="E18" s="115" t="n">
        <f aca="false">-SUM(TrialBalance!EJ32:EJ34)</f>
        <v>36816.6666666666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220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32</v>
      </c>
      <c r="D20" s="117"/>
      <c r="E20" s="116" t="n">
        <f aca="false">SUM(E16:E19)</f>
        <v>167301.2225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221</v>
      </c>
      <c r="D22" s="117"/>
      <c r="E22" s="118"/>
      <c r="F22" s="116" t="n">
        <f aca="false">E13-E20</f>
        <v>53598.7775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222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223</v>
      </c>
      <c r="D26" s="117"/>
      <c r="E26" s="118"/>
      <c r="F26" s="116" t="n">
        <f aca="false">SUM(F6:F25)</f>
        <v>80098.7775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43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44</v>
      </c>
      <c r="D29" s="88"/>
      <c r="E29" s="115" t="n">
        <f aca="false">-TrialBalance!EJ39</f>
        <v>-0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224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209</v>
      </c>
      <c r="B33" s="116" t="n">
        <f aca="false">B26-B31</f>
        <v>0</v>
      </c>
      <c r="C33" s="117" t="s">
        <v>225</v>
      </c>
      <c r="D33" s="117"/>
      <c r="E33" s="118" t="s">
        <v>209</v>
      </c>
      <c r="F33" s="116" t="n">
        <f aca="false">F26-F31</f>
        <v>80098.7775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46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226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48</v>
      </c>
      <c r="D37" s="88"/>
      <c r="E37" s="115"/>
      <c r="F37" s="115" t="n">
        <f aca="false">-TrialBalance!EJ43</f>
        <v>80098.7775000004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49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209</v>
      </c>
      <c r="B39" s="116" t="n">
        <f aca="false">SUM(B36:B38)</f>
        <v>0</v>
      </c>
      <c r="C39" s="117" t="s">
        <v>227</v>
      </c>
      <c r="D39" s="117"/>
      <c r="E39" s="118" t="s">
        <v>209</v>
      </c>
      <c r="F39" s="116" t="n">
        <f aca="false">SUM(F36:F38)</f>
        <v>80098.7775000004</v>
      </c>
      <c r="G39" s="120"/>
    </row>
    <row r="41" s="87" customFormat="true" ht="12" hidden="false" customHeight="true" outlineLevel="0" collapsed="false">
      <c r="A41" s="121" t="s">
        <v>228</v>
      </c>
      <c r="B41" s="122" t="n">
        <f aca="false">D2</f>
        <v>46538</v>
      </c>
      <c r="C41" s="123" t="s">
        <v>229</v>
      </c>
      <c r="D41" s="123"/>
      <c r="E41" s="123"/>
    </row>
    <row r="42" s="87" customFormat="true" ht="12" hidden="false" customHeight="true" outlineLevel="0" collapsed="false">
      <c r="A42" s="124" t="s">
        <v>230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231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232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233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234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235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236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237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238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239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240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241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242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243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244</v>
      </c>
      <c r="B57" s="129"/>
      <c r="C57" s="130" t="n">
        <f aca="true">TODAY()</f>
        <v>46116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245</v>
      </c>
      <c r="B59" s="129"/>
      <c r="C59" s="88" t="n">
        <f aca="false">OpenAccounts!E3</f>
        <v>0</v>
      </c>
      <c r="E59" s="127"/>
    </row>
    <row r="60" customFormat="false" ht="12" hidden="false" customHeight="true" outlineLevel="0" collapsed="false">
      <c r="A60" s="129" t="s">
        <v>246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247</v>
      </c>
    </row>
    <row r="3" customFormat="false" ht="12" hidden="false" customHeight="false" outlineLevel="0" collapsed="false">
      <c r="A3" s="106" t="s">
        <v>248</v>
      </c>
    </row>
    <row r="4" s="114" customFormat="true" ht="17.25" hidden="false" customHeight="true" outlineLevel="0" collapsed="false">
      <c r="A4" s="131"/>
      <c r="B4" s="132" t="s">
        <v>249</v>
      </c>
      <c r="C4" s="132" t="s">
        <v>250</v>
      </c>
      <c r="D4" s="132" t="s">
        <v>18</v>
      </c>
      <c r="E4" s="132" t="s">
        <v>251</v>
      </c>
      <c r="F4" s="132" t="s">
        <v>252</v>
      </c>
      <c r="G4" s="132" t="s">
        <v>253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209</v>
      </c>
      <c r="C6" s="131" t="s">
        <v>209</v>
      </c>
      <c r="D6" s="131" t="s">
        <v>209</v>
      </c>
      <c r="E6" s="131" t="s">
        <v>209</v>
      </c>
      <c r="F6" s="131" t="s">
        <v>209</v>
      </c>
      <c r="G6" s="131" t="s">
        <v>209</v>
      </c>
    </row>
    <row r="7" customFormat="false" ht="12" hidden="false" customHeight="false" outlineLevel="0" collapsed="false">
      <c r="A7" s="106" t="s">
        <v>254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255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256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83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257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258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259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260</v>
      </c>
    </row>
    <row r="24" customFormat="false" ht="12" hidden="false" customHeight="false" outlineLevel="0" collapsed="false">
      <c r="A24" s="101" t="s">
        <v>261</v>
      </c>
    </row>
    <row r="25" customFormat="false" ht="12" hidden="false" customHeight="false" outlineLevel="0" collapsed="false">
      <c r="A25" s="101" t="s">
        <v>262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263</v>
      </c>
    </row>
    <row r="28" customFormat="false" ht="12" hidden="false" customHeight="false" outlineLevel="0" collapsed="false">
      <c r="A28" s="101" t="s">
        <v>264</v>
      </c>
      <c r="B28" s="135" t="n">
        <f aca="false">[1]Schedule!$H$13</f>
        <v>0.1</v>
      </c>
      <c r="C28" s="89" t="s">
        <v>263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263</v>
      </c>
    </row>
    <row r="30" customFormat="false" ht="12" hidden="false" customHeight="false" outlineLevel="0" collapsed="false">
      <c r="A30" s="101" t="s">
        <v>265</v>
      </c>
      <c r="B30" s="135" t="n">
        <f aca="false">[1]Schedule!$H$32</f>
        <v>0.33</v>
      </c>
      <c r="C30" s="89" t="s">
        <v>263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263</v>
      </c>
    </row>
    <row r="34" customFormat="false" ht="12" hidden="false" customHeight="false" outlineLevel="0" collapsed="false">
      <c r="A34" s="106" t="s">
        <v>266</v>
      </c>
    </row>
    <row r="35" customFormat="false" ht="12" hidden="false" customHeight="false" outlineLevel="0" collapsed="false">
      <c r="A35" s="101" t="s">
        <v>267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268</v>
      </c>
    </row>
    <row r="38" customFormat="false" ht="12" hidden="false" customHeight="false" outlineLevel="0" collapsed="false">
      <c r="A38" s="101" t="s">
        <v>269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270</v>
      </c>
    </row>
    <row r="41" s="87" customFormat="true" ht="12" hidden="false" customHeight="false" outlineLevel="0" collapsed="false">
      <c r="A41" s="101" t="s">
        <v>271</v>
      </c>
      <c r="B41" s="137" t="n">
        <f aca="false">'PubP&amp;L'!D3</f>
        <v>46538</v>
      </c>
      <c r="C41" s="137"/>
      <c r="D41" s="136" t="n">
        <f aca="false">CorporationTax!K35</f>
        <v>19492.3058333334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n">
        <f aca="false">OpenAccounts!E2</f>
        <v>0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272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273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274</v>
      </c>
      <c r="C50" s="145" t="n">
        <f aca="false">OpenAccounts!E4</f>
        <v>0</v>
      </c>
      <c r="D50" s="145"/>
      <c r="E50" s="146"/>
      <c r="F50" s="147" t="s">
        <v>3</v>
      </c>
      <c r="G50" s="147"/>
      <c r="H50" s="147"/>
      <c r="I50" s="148" t="n">
        <f aca="false">OpenAccounts!E3</f>
        <v>0</v>
      </c>
    </row>
    <row r="56" customFormat="false" ht="22.05" hidden="false" customHeight="false" outlineLevel="0" collapsed="false">
      <c r="A56" s="139" t="n">
        <f aca="false">OpenAccounts!E2</f>
        <v>0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275</v>
      </c>
      <c r="E60" s="149"/>
    </row>
    <row r="62" customFormat="false" ht="12.75" hidden="false" customHeight="false" outlineLevel="0" collapsed="false">
      <c r="B62" s="0" t="s">
        <v>276</v>
      </c>
    </row>
    <row r="63" customFormat="false" ht="12.75" hidden="false" customHeight="false" outlineLevel="0" collapsed="false">
      <c r="B63" s="0" t="s">
        <v>277</v>
      </c>
    </row>
    <row r="64" customFormat="false" ht="12.75" hidden="false" customHeight="false" outlineLevel="0" collapsed="false">
      <c r="B64" s="0" t="s">
        <v>278</v>
      </c>
    </row>
    <row r="65" customFormat="false" ht="12.75" hidden="false" customHeight="false" outlineLevel="0" collapsed="false">
      <c r="B65" s="0" t="s">
        <v>279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280</v>
      </c>
    </row>
    <row r="69" customFormat="false" ht="12.75" hidden="false" customHeight="false" outlineLevel="0" collapsed="false">
      <c r="B69" s="0" t="s">
        <v>281</v>
      </c>
    </row>
    <row r="71" customFormat="false" ht="12.75" hidden="false" customHeight="false" outlineLevel="0" collapsed="false">
      <c r="B71" s="0" t="s">
        <v>282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283</v>
      </c>
      <c r="D74" s="152" t="n">
        <f aca="true">TODAY()</f>
        <v>46116</v>
      </c>
      <c r="E74" s="152"/>
      <c r="F74" s="152"/>
    </row>
    <row r="78" s="149" customFormat="true" ht="13.5" hidden="false" customHeight="false" outlineLevel="0" collapsed="false">
      <c r="A78" s="153" t="n">
        <f aca="false">OpenAccounts!E2</f>
        <v>0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284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285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286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287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288</v>
      </c>
      <c r="B87" s="160"/>
      <c r="C87" s="160"/>
      <c r="D87" s="160"/>
      <c r="E87" s="165" t="n">
        <f aca="false">'PubP&amp;L'!F9</f>
        <v>171283.333333334</v>
      </c>
      <c r="F87" s="166" t="s">
        <v>289</v>
      </c>
      <c r="G87" s="166"/>
      <c r="H87" s="165" t="n">
        <f aca="false">'PubP&amp;L'!B9</f>
        <v>0</v>
      </c>
      <c r="I87" s="144" t="s">
        <v>290</v>
      </c>
    </row>
    <row r="88" s="144" customFormat="true" ht="12.75" hidden="false" customHeight="true" outlineLevel="0" collapsed="false">
      <c r="A88" s="160" t="s">
        <v>291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292</v>
      </c>
      <c r="B89" s="167"/>
      <c r="C89" s="167"/>
      <c r="D89" s="168" t="n">
        <f aca="false">IF('PubP&amp;L'!F9&gt;0,'PubP&amp;L'!F18/'PubP&amp;L'!F9," ")</f>
        <v>0.896405565826603</v>
      </c>
      <c r="E89" s="169" t="s">
        <v>293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294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295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296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297</v>
      </c>
      <c r="B94" s="160"/>
      <c r="C94" s="160"/>
      <c r="D94" s="165" t="n">
        <f aca="false">[8]Boardmeeting!$E$4</f>
        <v>0</v>
      </c>
      <c r="E94" s="170" t="s">
        <v>298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299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300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301</v>
      </c>
      <c r="E97" s="147"/>
      <c r="F97" s="173" t="n">
        <f aca="false">[8]RegisterofMembers!$G$3</f>
        <v>0</v>
      </c>
      <c r="G97" s="174" t="s">
        <v>302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301</v>
      </c>
      <c r="E98" s="147"/>
      <c r="F98" s="173" t="n">
        <f aca="false">[8]RegisterofMembers!$G$4</f>
        <v>0</v>
      </c>
      <c r="G98" s="174" t="s">
        <v>302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303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304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305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306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307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308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309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310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311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312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313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314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315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316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317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318</v>
      </c>
      <c r="F119" s="144" t="s">
        <v>319</v>
      </c>
      <c r="G119" s="159" t="n">
        <f aca="true">TODAY()</f>
        <v>46116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 </v>
      </c>
      <c r="C2" s="181"/>
      <c r="D2" s="181"/>
      <c r="E2" s="182" t="s">
        <v>320</v>
      </c>
      <c r="F2" s="182"/>
      <c r="G2" s="182"/>
      <c r="H2" s="182"/>
      <c r="I2" s="182"/>
      <c r="J2" s="183"/>
      <c r="K2" s="184" t="s">
        <v>321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209</v>
      </c>
      <c r="J3" s="186"/>
      <c r="K3" s="186" t="s">
        <v>209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322</v>
      </c>
      <c r="C5" s="188"/>
      <c r="D5" s="188"/>
      <c r="E5" s="189" t="n">
        <f aca="false">Admin!L6</f>
        <v>46174</v>
      </c>
      <c r="F5" s="189"/>
      <c r="G5" s="190" t="s">
        <v>323</v>
      </c>
      <c r="H5" s="189" t="n">
        <f aca="false">Admin!N7</f>
        <v>46904</v>
      </c>
      <c r="I5" s="189"/>
      <c r="J5" s="178"/>
      <c r="K5" s="191" t="n">
        <f aca="false">'PubP&amp;L'!F46</f>
        <v>99591.0833333338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324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325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326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327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102591.083333334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328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329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330</v>
      </c>
      <c r="L15" s="202"/>
    </row>
    <row r="16" s="120" customFormat="true" ht="12.65" hidden="false" customHeight="true" outlineLevel="0" collapsed="false">
      <c r="A16" s="187"/>
      <c r="B16" s="193" t="s">
        <v>331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332</v>
      </c>
      <c r="L16" s="202"/>
    </row>
    <row r="17" s="120" customFormat="true" ht="12.65" hidden="false" customHeight="true" outlineLevel="0" collapsed="false">
      <c r="A17" s="187"/>
      <c r="B17" s="193" t="s">
        <v>333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334</v>
      </c>
      <c r="L17" s="202"/>
    </row>
    <row r="18" s="120" customFormat="true" ht="12.65" hidden="false" customHeight="false" outlineLevel="0" collapsed="false">
      <c r="A18" s="187"/>
      <c r="B18" s="193" t="s">
        <v>335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336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328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337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102591.083333334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338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339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340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102591.083333334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341</v>
      </c>
      <c r="B31" s="217" t="s">
        <v>321</v>
      </c>
      <c r="C31" s="218" t="s">
        <v>342</v>
      </c>
      <c r="D31" s="218" t="s">
        <v>343</v>
      </c>
      <c r="E31" s="218" t="s">
        <v>344</v>
      </c>
      <c r="F31" s="219" t="s">
        <v>345</v>
      </c>
      <c r="G31" s="219" t="s">
        <v>346</v>
      </c>
      <c r="H31" s="219"/>
      <c r="I31" s="219" t="s">
        <v>347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37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51225.3699270408</v>
      </c>
      <c r="G33" s="224" t="n">
        <f aca="false">Admin!P6</f>
        <v>19</v>
      </c>
      <c r="H33" s="224"/>
      <c r="I33" s="225" t="n">
        <f aca="false">F33*G33/100</f>
        <v>9732.82028613775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37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51365.713406293</v>
      </c>
      <c r="G34" s="224" t="n">
        <f aca="false">Admin!P7</f>
        <v>19</v>
      </c>
      <c r="H34" s="224"/>
      <c r="I34" s="225" t="n">
        <f aca="false">F34*G34/100</f>
        <v>9759.48554719566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348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19492.3058333334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349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350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19492.3058333334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351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352</v>
      </c>
      <c r="G45" s="178"/>
      <c r="H45" s="179"/>
      <c r="I45" s="233" t="s">
        <v>353</v>
      </c>
      <c r="J45" s="178"/>
      <c r="K45" s="178"/>
      <c r="L45" s="177"/>
    </row>
    <row r="46" customFormat="false" ht="25.5" hidden="false" customHeight="true" outlineLevel="0" collapsed="false">
      <c r="A46" s="234" t="s">
        <v>354</v>
      </c>
      <c r="B46" s="235" t="s">
        <v>353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209</v>
      </c>
      <c r="G47" s="178"/>
      <c r="H47" s="179"/>
      <c r="I47" s="238" t="s">
        <v>209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355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356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357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358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359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352</v>
      </c>
      <c r="G81" s="178"/>
      <c r="H81" s="179"/>
      <c r="I81" s="233" t="s">
        <v>360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361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209</v>
      </c>
      <c r="G83" s="178"/>
      <c r="H83" s="179"/>
      <c r="I83" s="238" t="s">
        <v>209</v>
      </c>
      <c r="J83" s="178"/>
      <c r="K83" s="178"/>
      <c r="L83" s="185"/>
    </row>
    <row r="84" customFormat="false" ht="12" hidden="false" customHeight="true" outlineLevel="0" collapsed="false">
      <c r="A84" s="247" t="s">
        <v>362</v>
      </c>
      <c r="B84" s="243" t="s">
        <v>363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364</v>
      </c>
      <c r="C91" s="249"/>
      <c r="D91" s="250" t="n">
        <f aca="false">E5</f>
        <v>46174</v>
      </c>
      <c r="E91" s="250" t="n">
        <f aca="false">H5</f>
        <v>46904</v>
      </c>
      <c r="F91" s="251" t="s">
        <v>365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366</v>
      </c>
      <c r="B93" s="196" t="s">
        <v>367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368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369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370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371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367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372</v>
      </c>
      <c r="B102" s="196" t="s">
        <v>335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373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374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375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376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377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378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379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380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381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382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383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384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385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386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387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388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 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389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390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 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391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392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393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394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395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396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397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398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204</v>
      </c>
      <c r="AR34" s="272"/>
    </row>
    <row r="35" s="87" customFormat="true" ht="12.75" hidden="false" customHeight="false" outlineLevel="0" collapsed="false">
      <c r="A35" s="272"/>
      <c r="B35" s="292" t="s">
        <v>399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400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401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402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403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404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405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406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407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408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409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410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411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412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413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414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415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416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417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418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419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420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421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422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423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424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425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426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209</v>
      </c>
      <c r="AK66" s="300" t="n">
        <f aca="false">'PubP&amp;L'!F9</f>
        <v>171283.333333334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427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428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209</v>
      </c>
      <c r="Z70" s="302" t="n">
        <f aca="false">IF(CorporationTax!K22&gt;0,CorporationTax!K22," ")</f>
        <v>102591.083333334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429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209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430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431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209</v>
      </c>
      <c r="AJ74" s="302" t="n">
        <f aca="false">SUM(Z69:AF70)-SUM(Z72:AF73)</f>
        <v>102591.083333334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432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433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209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434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209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435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209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436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437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209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438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209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439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440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209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441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442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209</v>
      </c>
      <c r="AJ92" s="302" t="n">
        <f aca="false">IF(AJ74&gt;0,AJ74+SUM(AJ76:AJ80)+AJ88,0)</f>
        <v>102591.083333334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443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444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209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445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209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446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447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448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449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209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450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209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451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452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209</v>
      </c>
      <c r="AJ110" s="302" t="n">
        <f aca="false">AJ92-Z96-Z98-Z104-Z106</f>
        <v>102591.083333334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453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454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209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455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456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457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458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459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204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460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461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462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463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464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465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209</v>
      </c>
      <c r="N126" s="328" t="n">
        <f aca="false">CorporationTax!F33</f>
        <v>51225.3699270408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209</v>
      </c>
      <c r="AJ126" s="330" t="n">
        <f aca="false">CorporationTax!I33</f>
        <v>9732.82028613775</v>
      </c>
      <c r="AK126" s="330"/>
      <c r="AL126" s="330"/>
      <c r="AM126" s="330"/>
      <c r="AN126" s="330"/>
      <c r="AO126" s="330"/>
      <c r="AP126" s="330"/>
      <c r="AQ126" s="331" t="s">
        <v>466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209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209</v>
      </c>
      <c r="AJ128" s="330"/>
      <c r="AK128" s="330"/>
      <c r="AL128" s="330"/>
      <c r="AM128" s="330"/>
      <c r="AN128" s="330"/>
      <c r="AO128" s="330"/>
      <c r="AP128" s="330"/>
      <c r="AQ128" s="331" t="s">
        <v>466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467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87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209</v>
      </c>
      <c r="AJ131" s="330" t="n">
        <f aca="false">AJ126+AJ128</f>
        <v>9732.82028613775</v>
      </c>
      <c r="AK131" s="330"/>
      <c r="AL131" s="330"/>
      <c r="AM131" s="330"/>
      <c r="AN131" s="330"/>
      <c r="AO131" s="330"/>
      <c r="AP131" s="330"/>
      <c r="AQ131" s="331" t="s">
        <v>466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468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209</v>
      </c>
      <c r="X133" s="333"/>
      <c r="Y133" s="333"/>
      <c r="Z133" s="333"/>
      <c r="AA133" s="333"/>
      <c r="AB133" s="333"/>
      <c r="AC133" s="333"/>
      <c r="AD133" s="333"/>
      <c r="AE133" s="331" t="s">
        <v>466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469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209</v>
      </c>
      <c r="X135" s="333"/>
      <c r="Y135" s="333"/>
      <c r="Z135" s="333"/>
      <c r="AA135" s="333"/>
      <c r="AB135" s="333"/>
      <c r="AC135" s="333"/>
      <c r="AD135" s="333"/>
      <c r="AE135" s="331" t="s">
        <v>466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470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346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471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472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209</v>
      </c>
      <c r="X141" s="333"/>
      <c r="Y141" s="333"/>
      <c r="Z141" s="333"/>
      <c r="AA141" s="333"/>
      <c r="AB141" s="333"/>
      <c r="AC141" s="333"/>
      <c r="AD141" s="333"/>
      <c r="AE141" s="331" t="s">
        <v>466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473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209</v>
      </c>
      <c r="X143" s="333"/>
      <c r="Y143" s="333"/>
      <c r="Z143" s="333"/>
      <c r="AA143" s="333"/>
      <c r="AB143" s="333"/>
      <c r="AC143" s="333"/>
      <c r="AD143" s="333"/>
      <c r="AE143" s="331" t="s">
        <v>466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474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475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209</v>
      </c>
      <c r="AJ145" s="330" t="n">
        <f aca="false">AJ131</f>
        <v>9732.82028613775</v>
      </c>
      <c r="AK145" s="330"/>
      <c r="AL145" s="330"/>
      <c r="AM145" s="330"/>
      <c r="AN145" s="330"/>
      <c r="AO145" s="330"/>
      <c r="AP145" s="330"/>
      <c r="AQ145" s="331" t="s">
        <v>466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476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477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209</v>
      </c>
      <c r="AJ149" s="333"/>
      <c r="AK149" s="333"/>
      <c r="AL149" s="333"/>
      <c r="AM149" s="333"/>
      <c r="AN149" s="333"/>
      <c r="AO149" s="333"/>
      <c r="AP149" s="333"/>
      <c r="AQ149" s="331" t="s">
        <v>466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478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479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480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209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466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481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209</v>
      </c>
      <c r="AJ156" s="333"/>
      <c r="AK156" s="333"/>
      <c r="AL156" s="333"/>
      <c r="AM156" s="333"/>
      <c r="AN156" s="333"/>
      <c r="AO156" s="333"/>
      <c r="AP156" s="333"/>
      <c r="AQ156" s="331" t="s">
        <v>466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482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483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209</v>
      </c>
      <c r="AJ159" s="330" t="n">
        <f aca="false">IF(AJ145&gt;0,AJ145+AJ149-AJ154,0)</f>
        <v>9732.82028613775</v>
      </c>
      <c r="AK159" s="330"/>
      <c r="AL159" s="330"/>
      <c r="AM159" s="330"/>
      <c r="AN159" s="330"/>
      <c r="AO159" s="330"/>
      <c r="AP159" s="330"/>
      <c r="AQ159" s="331" t="s">
        <v>466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484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485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209</v>
      </c>
      <c r="AJ163" s="330"/>
      <c r="AK163" s="330"/>
      <c r="AL163" s="330"/>
      <c r="AM163" s="330"/>
      <c r="AN163" s="330"/>
      <c r="AO163" s="330"/>
      <c r="AP163" s="330"/>
      <c r="AQ163" s="331" t="s">
        <v>466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486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487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209</v>
      </c>
      <c r="AJ166" s="330" t="n">
        <f aca="false">IF(AJ159&gt;0,AJ159-AJ163,0)</f>
        <v>9732.82028613775</v>
      </c>
      <c r="AK166" s="330"/>
      <c r="AL166" s="330"/>
      <c r="AM166" s="330"/>
      <c r="AN166" s="330"/>
      <c r="AO166" s="330"/>
      <c r="AP166" s="330"/>
      <c r="AQ166" s="331" t="s">
        <v>466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488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489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209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466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490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491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492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493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494</v>
      </c>
      <c r="C175" s="274"/>
      <c r="D175" s="274"/>
      <c r="E175" s="274"/>
      <c r="F175" s="276"/>
      <c r="G175" s="276"/>
      <c r="H175" s="276" t="s">
        <v>495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209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209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496</v>
      </c>
      <c r="C177" s="274"/>
      <c r="D177" s="274"/>
      <c r="E177" s="274"/>
      <c r="F177" s="276"/>
      <c r="G177" s="276"/>
      <c r="H177" s="276" t="s">
        <v>497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209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209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498</v>
      </c>
      <c r="C179" s="274"/>
      <c r="D179" s="274"/>
      <c r="E179" s="274"/>
      <c r="F179" s="276"/>
      <c r="G179" s="276"/>
      <c r="H179" s="276" t="s">
        <v>499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209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209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500</v>
      </c>
      <c r="C181" s="274"/>
      <c r="D181" s="274"/>
      <c r="E181" s="274"/>
      <c r="F181" s="276"/>
      <c r="G181" s="276"/>
      <c r="H181" s="276" t="s">
        <v>501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209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209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502</v>
      </c>
      <c r="C183" s="274"/>
      <c r="D183" s="274"/>
      <c r="E183" s="274"/>
      <c r="F183" s="276"/>
      <c r="G183" s="276"/>
      <c r="H183" s="276" t="s">
        <v>503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209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209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504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492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493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505</v>
      </c>
      <c r="C187" s="274"/>
      <c r="D187" s="274"/>
      <c r="E187" s="274"/>
      <c r="F187" s="276"/>
      <c r="G187" s="276"/>
      <c r="H187" s="276" t="s">
        <v>506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209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209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507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508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509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510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209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511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512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513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209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514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209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515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516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517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518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519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209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520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209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521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522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523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524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525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209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209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526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527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528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529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530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531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209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209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532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533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534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535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209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536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209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537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538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539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540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541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542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543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209</v>
      </c>
      <c r="AD224" s="309"/>
      <c r="AE224" s="309"/>
      <c r="AF224" s="309"/>
      <c r="AG224" s="309"/>
      <c r="AH224" s="309"/>
      <c r="AI224" s="276" t="s">
        <v>544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545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546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547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548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549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550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551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552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553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554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555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556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557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558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559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560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281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561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562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563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564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562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565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566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281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561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567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568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282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569</v>
      </c>
      <c r="C2" s="388" t="s">
        <v>570</v>
      </c>
      <c r="D2" s="388" t="s">
        <v>571</v>
      </c>
      <c r="E2" s="388" t="s">
        <v>572</v>
      </c>
      <c r="F2" s="388" t="s">
        <v>573</v>
      </c>
      <c r="G2" s="388" t="s">
        <v>574</v>
      </c>
      <c r="H2" s="388" t="s">
        <v>188</v>
      </c>
      <c r="I2" s="388" t="s">
        <v>575</v>
      </c>
      <c r="J2" s="47"/>
      <c r="K2" s="387" t="s">
        <v>576</v>
      </c>
      <c r="L2" s="389"/>
    </row>
    <row r="3" s="53" customFormat="true" ht="15" hidden="false" customHeight="true" outlineLevel="0" collapsed="false">
      <c r="A3" s="386"/>
      <c r="B3" s="390" t="s">
        <v>577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578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579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580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581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582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583</v>
      </c>
      <c r="I1" s="406"/>
      <c r="J1" s="406"/>
      <c r="K1" s="406"/>
      <c r="L1" s="406"/>
      <c r="M1" s="405"/>
      <c r="N1" s="406" t="s">
        <v>583</v>
      </c>
      <c r="O1" s="406"/>
      <c r="P1" s="406"/>
      <c r="Q1" s="406"/>
      <c r="R1" s="406"/>
      <c r="S1" s="405"/>
      <c r="T1" s="406" t="s">
        <v>583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584</v>
      </c>
      <c r="C2" s="412"/>
      <c r="D2" s="413" t="s">
        <v>585</v>
      </c>
      <c r="E2" s="414"/>
      <c r="F2" s="413" t="s">
        <v>586</v>
      </c>
      <c r="G2" s="414"/>
      <c r="H2" s="415" t="s">
        <v>587</v>
      </c>
      <c r="I2" s="414"/>
      <c r="J2" s="413" t="s">
        <v>588</v>
      </c>
      <c r="K2" s="414"/>
      <c r="L2" s="413" t="s">
        <v>589</v>
      </c>
      <c r="M2" s="414"/>
      <c r="N2" s="415" t="s">
        <v>590</v>
      </c>
      <c r="O2" s="414"/>
      <c r="P2" s="413" t="s">
        <v>591</v>
      </c>
      <c r="Q2" s="414"/>
      <c r="R2" s="413" t="s">
        <v>589</v>
      </c>
      <c r="S2" s="414"/>
      <c r="T2" s="415" t="s">
        <v>592</v>
      </c>
      <c r="U2" s="414"/>
      <c r="V2" s="413" t="s">
        <v>593</v>
      </c>
      <c r="W2" s="414"/>
      <c r="X2" s="416" t="s">
        <v>589</v>
      </c>
      <c r="Y2" s="417"/>
      <c r="Z2" s="413" t="s">
        <v>594</v>
      </c>
      <c r="AA2" s="414"/>
      <c r="AB2" s="413" t="s">
        <v>595</v>
      </c>
      <c r="AC2" s="418"/>
      <c r="AD2" s="419" t="s">
        <v>596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597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598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46174</v>
      </c>
      <c r="C6" s="435"/>
      <c r="D6" s="436" t="n">
        <f aca="false">OpenAccounts!$E$15</f>
        <v>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46203</v>
      </c>
      <c r="C8" s="435"/>
      <c r="D8" s="436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11166.6666666667</v>
      </c>
      <c r="K8" s="78"/>
      <c r="L8" s="432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46234</v>
      </c>
      <c r="C10" s="435"/>
      <c r="D10" s="436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11466.6666666667</v>
      </c>
      <c r="K10" s="78"/>
      <c r="L10" s="432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599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46265</v>
      </c>
      <c r="C12" s="435"/>
      <c r="D12" s="436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12366.6666666667</v>
      </c>
      <c r="K12" s="78"/>
      <c r="L12" s="432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46295</v>
      </c>
      <c r="C14" s="435"/>
      <c r="D14" s="436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11466.6666666667</v>
      </c>
      <c r="K14" s="78"/>
      <c r="L14" s="432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600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46326</v>
      </c>
      <c r="C16" s="435"/>
      <c r="D16" s="436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12966.6666666667</v>
      </c>
      <c r="K16" s="78"/>
      <c r="L16" s="432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46356</v>
      </c>
      <c r="C18" s="435"/>
      <c r="D18" s="436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10866.6666666667</v>
      </c>
      <c r="K18" s="78"/>
      <c r="L18" s="432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601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46387</v>
      </c>
      <c r="C20" s="435"/>
      <c r="D20" s="436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12966.6666666667</v>
      </c>
      <c r="K20" s="78"/>
      <c r="L20" s="432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46418</v>
      </c>
      <c r="C22" s="435"/>
      <c r="D22" s="436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11466.6666666667</v>
      </c>
      <c r="K22" s="78"/>
      <c r="L22" s="432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602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46446</v>
      </c>
      <c r="C24" s="435"/>
      <c r="D24" s="436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12366.6666666667</v>
      </c>
      <c r="K24" s="78"/>
      <c r="L24" s="432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46477</v>
      </c>
      <c r="C26" s="435"/>
      <c r="D26" s="436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11466.6666666667</v>
      </c>
      <c r="K26" s="78"/>
      <c r="L26" s="432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46507</v>
      </c>
      <c r="C28" s="435"/>
      <c r="D28" s="436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12166.6666666667</v>
      </c>
      <c r="K28" s="78"/>
      <c r="L28" s="432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603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46538</v>
      </c>
      <c r="C30" s="435"/>
      <c r="D30" s="436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10866.6666666667</v>
      </c>
      <c r="K30" s="78"/>
      <c r="L30" s="432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604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605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606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607</v>
      </c>
      <c r="G4" s="453" t="s">
        <v>346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608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609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610</v>
      </c>
      <c r="E6" s="451"/>
      <c r="F6" s="463" t="n">
        <f aca="false">B8</f>
        <v>46173</v>
      </c>
      <c r="G6" s="464" t="n">
        <v>14</v>
      </c>
      <c r="H6" s="451"/>
      <c r="I6" s="465" t="s">
        <v>37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346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608</v>
      </c>
      <c r="E7" s="451"/>
      <c r="F7" s="463" t="n">
        <f aca="false">B32</f>
        <v>46538</v>
      </c>
      <c r="G7" s="464" t="n">
        <v>100</v>
      </c>
      <c r="H7" s="451"/>
      <c r="I7" s="465" t="s">
        <v>37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346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610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584</v>
      </c>
      <c r="M9" s="451"/>
      <c r="N9" s="469" t="s">
        <v>611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612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613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614</v>
      </c>
      <c r="E11" s="468" t="n">
        <v>12000</v>
      </c>
      <c r="F11" s="451" t="s">
        <v>615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613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616</v>
      </c>
      <c r="E13" s="458"/>
      <c r="F13" s="458"/>
      <c r="G13" s="453" t="s">
        <v>346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617</v>
      </c>
      <c r="J14" s="458"/>
      <c r="K14" s="458"/>
      <c r="L14" s="456"/>
      <c r="M14" s="451"/>
      <c r="N14" s="453" t="s">
        <v>618</v>
      </c>
      <c r="O14" s="453" t="s">
        <v>619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620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621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622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251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623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2" t="s">
        <v>607</v>
      </c>
      <c r="E21" s="2"/>
      <c r="F21" s="482" t="n">
        <v>46538</v>
      </c>
      <c r="G21" s="453"/>
      <c r="H21" s="451"/>
      <c r="I21" s="458" t="s">
        <v>623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