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<sst xmlns="http://schemas.openxmlformats.org/spreadsheetml/2006/main" count="1039" uniqueCount="635">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</sst>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7">
          <cell r="H7">
            <v>0</v>
          </cell>
        </row>
        <row r="11">
          <cell r="E11">
            <v>200000</v>
          </cell>
          <cell r="F11">
            <v>40000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3360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46006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46023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46068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46113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46167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27575.2</v>
          </cell>
          <cell r="Y1">
            <v>0</v>
          </cell>
          <cell r="Z1">
            <v>0</v>
          </cell>
          <cell r="AA1">
            <v>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182902</v>
      </c>
      <c r="F13" s="2"/>
      <c r="G13" s="8" t="n">
        <v>200000</v>
      </c>
      <c r="H13" s="8"/>
      <c r="I13" s="8"/>
      <c r="J13" s="8" t="n">
        <v>3000</v>
      </c>
      <c r="K13" s="8" t="n">
        <v>30000</v>
      </c>
      <c r="L13" s="2"/>
      <c r="M13" s="8" t="n">
        <v>40000</v>
      </c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180702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46327</v>
      </c>
      <c r="E1" s="39"/>
      <c r="F1" s="41" t="n">
        <f aca="false">Admin!B10</f>
        <v>46356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46356</v>
      </c>
      <c r="P1" s="39"/>
      <c r="Q1" s="39" t="n">
        <f aca="false">Admin!B12</f>
        <v>46387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46387</v>
      </c>
      <c r="AA1" s="39"/>
      <c r="AB1" s="39" t="n">
        <f aca="false">Admin!B14</f>
        <v>46418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46418</v>
      </c>
      <c r="AL1" s="39"/>
      <c r="AM1" s="39" t="n">
        <f aca="false">Admin!B16</f>
        <v>46446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46446</v>
      </c>
      <c r="AW1" s="39"/>
      <c r="AX1" s="39" t="n">
        <f aca="false">Admin!B18</f>
        <v>46477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46477</v>
      </c>
      <c r="BH1" s="39"/>
      <c r="BI1" s="39" t="n">
        <f aca="false">Admin!B20</f>
        <v>46507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46507</v>
      </c>
      <c r="BS1" s="39"/>
      <c r="BT1" s="39" t="n">
        <f aca="false">Admin!B22</f>
        <v>46538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46538</v>
      </c>
      <c r="CD1" s="39"/>
      <c r="CE1" s="39" t="n">
        <f aca="false">Admin!B24</f>
        <v>46568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46568</v>
      </c>
      <c r="CO1" s="39"/>
      <c r="CP1" s="39" t="n">
        <f aca="false">Admin!B26</f>
        <v>46599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46599</v>
      </c>
      <c r="CZ1" s="39"/>
      <c r="DA1" s="39" t="n">
        <f aca="false">Admin!B28</f>
        <v>46630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46630</v>
      </c>
      <c r="DK1" s="39"/>
      <c r="DL1" s="39" t="n">
        <f aca="false">Admin!B30</f>
        <v>46660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46660</v>
      </c>
      <c r="DV1" s="39"/>
      <c r="DW1" s="39" t="n">
        <f aca="false">Admin!B32</f>
        <v>46691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46691</v>
      </c>
      <c r="EG1" s="39"/>
      <c r="EH1" s="39" t="s">
        <v>102</v>
      </c>
      <c r="EI1" s="39"/>
      <c r="EJ1" s="40" t="n">
        <f aca="false">EF1</f>
        <v>46691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200000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200000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200000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200000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200000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200000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200000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200000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200000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200000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200000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200000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200000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200000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52500</v>
      </c>
      <c r="EI7" s="54"/>
      <c r="EJ7" s="36" t="n">
        <f aca="false">SUM(EF7:EH7)</f>
        <v>52500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-40000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-40000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-40000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-40000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-40000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-40000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-40000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-40000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-40000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-40000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-40000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-40000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-40000</v>
      </c>
      <c r="EG11" s="54"/>
      <c r="EH11" s="36" t="n">
        <f aca="false">[1]Schedule!$X$11+[1]Schedule!$X$64</f>
        <v>0</v>
      </c>
      <c r="EI11" s="54"/>
      <c r="EJ11" s="36" t="n">
        <f aca="false">SUM(EF11:EH11)</f>
        <v>-40000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-437.5</v>
      </c>
      <c r="N12" s="57"/>
      <c r="O12" s="36" t="n">
        <f aca="false">SUM(D12:N12)</f>
        <v>-437.5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-437.5</v>
      </c>
      <c r="Y12" s="54"/>
      <c r="Z12" s="36" t="n">
        <f aca="false">SUM(O12:Y12)</f>
        <v>-875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-437.5</v>
      </c>
      <c r="AJ12" s="54"/>
      <c r="AK12" s="36" t="n">
        <f aca="false">SUM(Z12:AJ12)</f>
        <v>-1312.5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-437.5</v>
      </c>
      <c r="AU12" s="54"/>
      <c r="AV12" s="36" t="n">
        <f aca="false">SUM(AK12:AU12)</f>
        <v>-1750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-437.5</v>
      </c>
      <c r="BF12" s="54"/>
      <c r="BG12" s="36" t="n">
        <f aca="false">SUM(AV12:BF12)</f>
        <v>-2187.5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-437.5</v>
      </c>
      <c r="BQ12" s="54"/>
      <c r="BR12" s="36" t="n">
        <f aca="false">SUM(BG12:BQ12)</f>
        <v>-2625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-437.5</v>
      </c>
      <c r="CB12" s="54"/>
      <c r="CC12" s="36" t="n">
        <f aca="false">SUM(BR12:CB12)</f>
        <v>-3062.5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-437.5</v>
      </c>
      <c r="CM12" s="54"/>
      <c r="CN12" s="36" t="n">
        <f aca="false">SUM(CC12:CM12)</f>
        <v>-3500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-437.5</v>
      </c>
      <c r="CX12" s="54"/>
      <c r="CY12" s="36" t="n">
        <f aca="false">SUM(CN12:CX12)</f>
        <v>-3937.5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-437.5</v>
      </c>
      <c r="DI12" s="54"/>
      <c r="DJ12" s="36" t="n">
        <f aca="false">SUM(CY12:DI12)</f>
        <v>-4375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-437.5</v>
      </c>
      <c r="DT12" s="54"/>
      <c r="DU12" s="36" t="n">
        <f aca="false">SUM(DJ12:DT12)</f>
        <v>-4812.5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-437.5</v>
      </c>
      <c r="EE12" s="54"/>
      <c r="EF12" s="36" t="n">
        <f aca="false">SUM(DU12:EE12)</f>
        <v>-5250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-5250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[2]Nov!$AI$1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[2]Dec!$AI$1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[2]Jan!$AI$1</f>
        <v>13000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14500</v>
      </c>
      <c r="AL16" s="57"/>
      <c r="AM16" s="36"/>
      <c r="AN16" s="36" t="n">
        <f aca="false">[2]Feb!$AI$1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15500</v>
      </c>
      <c r="AW16" s="57"/>
      <c r="AX16" s="36"/>
      <c r="AY16" s="36" t="n">
        <f aca="false">[2]Mar!$AI$1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15500</v>
      </c>
      <c r="BH16" s="57"/>
      <c r="BI16" s="36"/>
      <c r="BJ16" s="36" t="n">
        <f aca="false">[2]Apr!$AI$1</f>
        <v>7000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22500</v>
      </c>
      <c r="BS16" s="57"/>
      <c r="BT16" s="36"/>
      <c r="BU16" s="36" t="n">
        <f aca="false">[2]May!$AI$1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52500</v>
      </c>
      <c r="CD16" s="57"/>
      <c r="CE16" s="36"/>
      <c r="CF16" s="36" t="n">
        <f aca="false">[2]Jun!$AI$1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52500</v>
      </c>
      <c r="CO16" s="57"/>
      <c r="CP16" s="36"/>
      <c r="CQ16" s="36" t="n">
        <f aca="false">[2]Jul!$AI$1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52500</v>
      </c>
      <c r="CZ16" s="57"/>
      <c r="DA16" s="36"/>
      <c r="DB16" s="36" t="n">
        <f aca="false">[2]Aug!$AI$1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52500</v>
      </c>
      <c r="DK16" s="57"/>
      <c r="DL16" s="36"/>
      <c r="DM16" s="36" t="n">
        <f aca="false">[2]Sep!$AI$1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52500</v>
      </c>
      <c r="DV16" s="57"/>
      <c r="DW16" s="36"/>
      <c r="DX16" s="36" t="n">
        <f aca="false">[2]Oct!$AI$1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52500</v>
      </c>
      <c r="EG16" s="54"/>
      <c r="EH16" s="36" t="n">
        <f aca="false">-[1]Schedule!$E$110</f>
        <v>-52500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-[3]Nov!$U$1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-[3]Dec!$U$1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-[3]Jan!$U$1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-[3]Feb!$U$1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-[3]Mar!$U$1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-[3]Apr!$U$1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-[3]May!$U$1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-[3]Jun!$U$1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-[3]Jul!$U$1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-[3]Aug!$U$1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-[3]Sep!$U$1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-[3]Oct!$U$1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[3]Nov!$F$1-[3]Nov!$V$1</f>
        <v>33400</v>
      </c>
      <c r="G20" s="36"/>
      <c r="H20" s="36" t="n">
        <f aca="false">-[4]Nov!$J$1</f>
        <v>-44200</v>
      </c>
      <c r="I20" s="36" t="n">
        <f aca="false">-[5]Nov!$J$1</f>
        <v>-0</v>
      </c>
      <c r="J20" s="36" t="n">
        <f aca="false">-[6]Nov!$J$1</f>
        <v>-0</v>
      </c>
      <c r="K20" s="36" t="n">
        <f aca="false">-[7]Nov!$J$1</f>
        <v>-0</v>
      </c>
      <c r="L20" s="36"/>
      <c r="N20" s="57"/>
      <c r="O20" s="36" t="n">
        <f aca="false">SUM(D20:N20)</f>
        <v>0</v>
      </c>
      <c r="P20" s="57"/>
      <c r="Q20" s="36" t="n">
        <f aca="false">[3]Dec!$F$1-[3]Dec!$V$1</f>
        <v>32920</v>
      </c>
      <c r="R20" s="36"/>
      <c r="S20" s="36" t="n">
        <f aca="false">-[4]Dec!$J$1</f>
        <v>-32920</v>
      </c>
      <c r="T20" s="36" t="n">
        <f aca="false">-[5]Dec!$J$1</f>
        <v>-0</v>
      </c>
      <c r="U20" s="36" t="n">
        <f aca="false">-[6]Dec!$J$1</f>
        <v>-0</v>
      </c>
      <c r="V20" s="36" t="n">
        <f aca="false">-[7]Dec!$J$1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[3]Jan!$F$1-[3]Jan!$V$1</f>
        <v>35200</v>
      </c>
      <c r="AC20" s="36"/>
      <c r="AD20" s="36" t="n">
        <f aca="false">-[4]Jan!$J$1</f>
        <v>-35200</v>
      </c>
      <c r="AE20" s="36" t="n">
        <f aca="false">-[5]Jan!$J$1</f>
        <v>-0</v>
      </c>
      <c r="AF20" s="36" t="n">
        <f aca="false">-[6]Jan!$J$1</f>
        <v>-0</v>
      </c>
      <c r="AG20" s="36" t="n">
        <f aca="false">-[7]Jan!$J$1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[3]Feb!$F$1-[3]Feb!$V$1</f>
        <v>33760</v>
      </c>
      <c r="AN20" s="36"/>
      <c r="AO20" s="36" t="n">
        <f aca="false">-[4]Feb!$J$1</f>
        <v>-33760</v>
      </c>
      <c r="AP20" s="36" t="n">
        <f aca="false">-[5]Feb!$J$1</f>
        <v>-0</v>
      </c>
      <c r="AQ20" s="36" t="n">
        <f aca="false">-[6]Feb!$J$1</f>
        <v>-0</v>
      </c>
      <c r="AR20" s="36" t="n">
        <f aca="false">-[7]Feb!$J$1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[3]Mar!$F$1-[3]Mar!$V$1</f>
        <v>36020</v>
      </c>
      <c r="AY20" s="36"/>
      <c r="AZ20" s="36" t="n">
        <f aca="false">-[4]Mar!$J$1</f>
        <v>-38520</v>
      </c>
      <c r="BA20" s="36" t="n">
        <f aca="false">-[5]Mar!$J$1</f>
        <v>-0</v>
      </c>
      <c r="BB20" s="36" t="n">
        <f aca="false">-[6]Mar!$J$1</f>
        <v>-0</v>
      </c>
      <c r="BC20" s="36" t="n">
        <f aca="false">-[7]Mar!$J$1</f>
        <v>-0</v>
      </c>
      <c r="BD20" s="36"/>
      <c r="BE20" s="36"/>
      <c r="BF20" s="54"/>
      <c r="BG20" s="36" t="n">
        <f aca="false">SUM(AV20:BF20)</f>
        <v>-2500</v>
      </c>
      <c r="BH20" s="57"/>
      <c r="BI20" s="36" t="n">
        <f aca="false">[3]Apr!$F$1-[3]Apr!$V$1</f>
        <v>33760</v>
      </c>
      <c r="BJ20" s="36"/>
      <c r="BK20" s="36" t="n">
        <f aca="false">-[4]Apr!$J$1</f>
        <v>-33760</v>
      </c>
      <c r="BL20" s="36" t="n">
        <f aca="false">-[5]Apr!$J$1</f>
        <v>-0</v>
      </c>
      <c r="BM20" s="36" t="n">
        <f aca="false">-[6]Apr!$J$1</f>
        <v>-0</v>
      </c>
      <c r="BN20" s="36" t="n">
        <f aca="false">-[7]Apr!$J$1</f>
        <v>-0</v>
      </c>
      <c r="BO20" s="36"/>
      <c r="BP20" s="36"/>
      <c r="BQ20" s="54"/>
      <c r="BR20" s="36" t="n">
        <f aca="false">SUM(BG20:BQ20)</f>
        <v>-2500</v>
      </c>
      <c r="BS20" s="57"/>
      <c r="BT20" s="36" t="n">
        <f aca="false">[3]May!$F$1-[3]May!$V$1</f>
        <v>50560</v>
      </c>
      <c r="BU20" s="36"/>
      <c r="BV20" s="36" t="n">
        <f aca="false">-[4]May!$J$1</f>
        <v>-50560</v>
      </c>
      <c r="BW20" s="36" t="n">
        <f aca="false">-[5]May!$J$1</f>
        <v>-0</v>
      </c>
      <c r="BX20" s="36" t="n">
        <f aca="false">-[6]May!$J$1</f>
        <v>-0</v>
      </c>
      <c r="BY20" s="36" t="n">
        <f aca="false">-[7]May!$J$1</f>
        <v>-0</v>
      </c>
      <c r="BZ20" s="36"/>
      <c r="CA20" s="36"/>
      <c r="CB20" s="54"/>
      <c r="CC20" s="36" t="n">
        <f aca="false">SUM(BR20:CB20)</f>
        <v>-2500</v>
      </c>
      <c r="CD20" s="57"/>
      <c r="CE20" s="36" t="n">
        <f aca="false">[3]Jun!$F$1-[3]Jun!$V$1</f>
        <v>35320</v>
      </c>
      <c r="CF20" s="36"/>
      <c r="CG20" s="36" t="n">
        <f aca="false">-[4]Jun!$J$1</f>
        <v>-35320</v>
      </c>
      <c r="CH20" s="36" t="n">
        <f aca="false">-[5]Jun!$J$1</f>
        <v>-0</v>
      </c>
      <c r="CI20" s="36" t="n">
        <f aca="false">-[6]Jun!$J$1</f>
        <v>-0</v>
      </c>
      <c r="CJ20" s="36" t="n">
        <f aca="false">-[7]Jun!$J$1</f>
        <v>-0</v>
      </c>
      <c r="CK20" s="36"/>
      <c r="CL20" s="36"/>
      <c r="CM20" s="54"/>
      <c r="CN20" s="36" t="n">
        <f aca="false">SUM(CC20:CM20)</f>
        <v>-2500</v>
      </c>
      <c r="CO20" s="57"/>
      <c r="CP20" s="36" t="n">
        <f aca="false">[3]Jul!$F$1-[3]Jul!$V$1</f>
        <v>32800</v>
      </c>
      <c r="CQ20" s="36"/>
      <c r="CR20" s="36" t="n">
        <f aca="false">-[4]Jul!$J$1</f>
        <v>-32800</v>
      </c>
      <c r="CS20" s="36" t="n">
        <f aca="false">-[5]Jul!$J$1</f>
        <v>-0</v>
      </c>
      <c r="CT20" s="36" t="n">
        <f aca="false">-[6]Jul!$J$1</f>
        <v>-0</v>
      </c>
      <c r="CU20" s="36" t="n">
        <f aca="false">-[7]Jul!$J$1</f>
        <v>-0</v>
      </c>
      <c r="CV20" s="36"/>
      <c r="CW20" s="36"/>
      <c r="CX20" s="54"/>
      <c r="CY20" s="36" t="n">
        <f aca="false">SUM(CN20:CX20)</f>
        <v>-2500</v>
      </c>
      <c r="CZ20" s="57"/>
      <c r="DA20" s="36" t="n">
        <f aca="false">[3]Aug!$F$1-[3]Aug!$V$1</f>
        <v>35440</v>
      </c>
      <c r="DB20" s="36"/>
      <c r="DC20" s="36" t="n">
        <f aca="false">-[4]Aug!$J$1</f>
        <v>-35440</v>
      </c>
      <c r="DD20" s="36" t="n">
        <f aca="false">-[5]Aug!$J$1</f>
        <v>-0</v>
      </c>
      <c r="DE20" s="36" t="n">
        <f aca="false">-[6]Aug!$J$1</f>
        <v>-0</v>
      </c>
      <c r="DF20" s="36" t="n">
        <f aca="false">-[7]Aug!$J$1</f>
        <v>-0</v>
      </c>
      <c r="DG20" s="36"/>
      <c r="DH20" s="36"/>
      <c r="DI20" s="54"/>
      <c r="DJ20" s="36" t="n">
        <f aca="false">SUM(CY20:DI20)</f>
        <v>-2500</v>
      </c>
      <c r="DK20" s="57"/>
      <c r="DL20" s="36" t="n">
        <f aca="false">[3]Sep!$F$1-[3]Sep!$V$1</f>
        <v>34360</v>
      </c>
      <c r="DM20" s="36"/>
      <c r="DN20" s="36" t="n">
        <f aca="false">-[4]Sep!$J$1</f>
        <v>-34360</v>
      </c>
      <c r="DO20" s="36" t="n">
        <f aca="false">-[5]Sep!$J$1</f>
        <v>-0</v>
      </c>
      <c r="DP20" s="36" t="n">
        <f aca="false">-[6]Sep!$J$1</f>
        <v>-0</v>
      </c>
      <c r="DQ20" s="36" t="n">
        <f aca="false">-[7]Sep!$J$1</f>
        <v>-0</v>
      </c>
      <c r="DR20" s="36"/>
      <c r="DS20" s="36"/>
      <c r="DT20" s="54"/>
      <c r="DU20" s="36" t="n">
        <f aca="false">SUM(DJ20:DT20)</f>
        <v>-2500</v>
      </c>
      <c r="DV20" s="57"/>
      <c r="DW20" s="36" t="n">
        <f aca="false">[3]Oct!$F$1-[3]Oct!$V$1</f>
        <v>31360</v>
      </c>
      <c r="DX20" s="36"/>
      <c r="DY20" s="36" t="n">
        <f aca="false">-[4]Oct!$J$1</f>
        <v>-20960</v>
      </c>
      <c r="DZ20" s="36" t="n">
        <f aca="false">-[5]Oct!$J$1</f>
        <v>-0</v>
      </c>
      <c r="EA20" s="36" t="n">
        <f aca="false">-[6]Oct!$J$1</f>
        <v>-0</v>
      </c>
      <c r="EB20" s="36" t="n">
        <f aca="false">-[7]Oct!$J$1</f>
        <v>-0</v>
      </c>
      <c r="EC20" s="36"/>
      <c r="ED20" s="36"/>
      <c r="EE20" s="54"/>
      <c r="EF20" s="36" t="n">
        <f aca="false">SUM(DU20:EE20)</f>
        <v>7900</v>
      </c>
      <c r="EG20" s="54"/>
      <c r="EI20" s="54"/>
      <c r="EJ20" s="36" t="n">
        <f aca="false">SUM(EF20:EH20)</f>
        <v>7900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[4]Nov!$F$1-[4]Nov!$X$1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[4]Dec!$F$1-[4]Dec!$X$1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[4]Jan!$F$1-[4]Jan!$X$1</f>
        <v>7624.8</v>
      </c>
      <c r="AE22" s="36"/>
      <c r="AF22" s="36"/>
      <c r="AG22" s="36"/>
      <c r="AH22" s="36"/>
      <c r="AI22" s="36"/>
      <c r="AJ22" s="54"/>
      <c r="AK22" s="36" t="n">
        <f aca="false">SUM(Z22:AJ22)</f>
        <v>83069.4</v>
      </c>
      <c r="AL22" s="57"/>
      <c r="AM22" s="36"/>
      <c r="AN22" s="36"/>
      <c r="AO22" s="36" t="n">
        <f aca="false">[4]Feb!$F$1-[4]Feb!$X$1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100404.2</v>
      </c>
      <c r="AW22" s="57"/>
      <c r="AX22" s="36"/>
      <c r="AY22" s="36"/>
      <c r="AZ22" s="36" t="n">
        <f aca="false">[4]Mar!$F$1-[4]Mar!$X$1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112690.83</v>
      </c>
      <c r="BH22" s="57"/>
      <c r="BI22" s="36"/>
      <c r="BJ22" s="36"/>
      <c r="BK22" s="36" t="n">
        <f aca="false">[4]Apr!$F$1-[4]Apr!$X$1</f>
        <v>13526.8</v>
      </c>
      <c r="BL22" s="36"/>
      <c r="BM22" s="36"/>
      <c r="BN22" s="36"/>
      <c r="BO22" s="36"/>
      <c r="BP22" s="36"/>
      <c r="BQ22" s="54"/>
      <c r="BR22" s="36" t="n">
        <f aca="false">SUM(BG22:BQ22)</f>
        <v>126217.63</v>
      </c>
      <c r="BS22" s="57"/>
      <c r="BT22" s="36"/>
      <c r="BU22" s="36"/>
      <c r="BV22" s="36" t="n">
        <f aca="false">[4]May!$F$1-[4]May!$X$1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119952.43</v>
      </c>
      <c r="CD22" s="57"/>
      <c r="CE22" s="36"/>
      <c r="CF22" s="36"/>
      <c r="CG22" s="36" t="n">
        <f aca="false">[4]Jun!$F$1-[4]Jun!$X$1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128565.73</v>
      </c>
      <c r="CO22" s="57"/>
      <c r="CP22" s="36"/>
      <c r="CQ22" s="36"/>
      <c r="CR22" s="36" t="n">
        <f aca="false">[4]Jul!$F$1-[4]Jul!$X$1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148073.53</v>
      </c>
      <c r="CZ22" s="57"/>
      <c r="DA22" s="36"/>
      <c r="DB22" s="36"/>
      <c r="DC22" s="36" t="n">
        <f aca="false">[4]Aug!$F$1-[4]Aug!$X$1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172888.33</v>
      </c>
      <c r="DK22" s="57"/>
      <c r="DL22" s="36"/>
      <c r="DM22" s="36"/>
      <c r="DN22" s="36" t="n">
        <f aca="false">[4]Sep!$F$1-[4]Sep!$X$1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183605.63</v>
      </c>
      <c r="DV22" s="57"/>
      <c r="DW22" s="36"/>
      <c r="DX22" s="36"/>
      <c r="DY22" s="36" t="n">
        <f aca="false">[4]Oct!$F$1-[4]Oct!$X$1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181315.43</v>
      </c>
      <c r="EG22" s="54"/>
      <c r="EI22" s="54"/>
      <c r="EJ22" s="36" t="n">
        <f aca="false">SUM(EF22:EH22)</f>
        <v>181315.43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[5]Nov!$F$1-[5]Nov!$X$1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[5]Dec!$F$1-[5]Dec!$X$1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[5]Jan!$F$1-[5]Jan!$X$1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[5]Feb!$F$1-[5]Feb!$X$1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[5]Mar!$F$1-[5]Mar!$X$1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[5]Apr!$F$1-[5]Apr!$X$1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[5]May!$F$1-[5]May!$X$1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[5]Jun!$F$1-[5]Jun!$X$1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[5]Jul!$F$1-[5]Jul!$X$1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[5]Aug!$F$1-[5]Aug!$X$1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[5]Sep!$F$1-[5]Sep!$X$1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[5]Oct!$F$1-[5]Oct!$X$1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[6]Nov!$F$1-[6]Nov!$X$1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[6]Dec!$F$1-[6]Dec!$X$1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[6]Jan!$F$1-[6]Jan!$X$1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[6]Feb!$F$1-[6]Feb!$X$1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[6]Mar!$F$1-[6]Mar!$X$1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[6]Apr!$F$1-[6]Apr!$X$1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[6]May!$F$1-[6]May!$X$1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[6]Jun!$F$1-[6]Jun!$X$1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[6]Jul!$F$1-[6]Jul!$X$1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[6]Aug!$F$1-[6]Aug!$X$1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[6]Sep!$F$1-[6]Sep!$X$1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[6]Oct!$F$1-[6]Oct!$X$1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[7]Nov!$F$1-[7]Nov!$U$1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[7]Dec!$F$1-[7]Dec!$U$1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[7]Jan!$F$1-[7]Jan!$U$1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[7]Feb!$F$1-[7]Feb!$U$1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[7]Mar!$F$1-[7]Mar!$U$1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[7]Apr!$F$1-[7]Apr!$U$1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[7]May!$F$1-[7]May!$U$1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[7]Jun!$F$1-[7]Jun!$U$1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[7]Jul!$F$1-[7]Jul!$U$1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[7]Aug!$F$1-[7]Aug!$U$1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[7]Sep!$F$1-[7]Sep!$U$1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[7]Oct!$F$1-[7]Oct!$U$1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-[4]Nov!$G$1-[4]Nov!$H$1-[4]Nov!$I$1+[4]Nov!$Y$1+[4]Nov!$Z$1+[4]Nov!$AA$1</f>
        <v>0</v>
      </c>
      <c r="I26" s="36" t="n">
        <f aca="false">-[5]Nov!$G$1-[5]Nov!$H$1-[5]Nov!$I$1+[5]Nov!$Y$1+[5]Nov!$Z$1+[5]Nov!$AA$1</f>
        <v>0</v>
      </c>
      <c r="J26" s="36" t="n">
        <f aca="false">-[6]Nov!$G$1-[6]Nov!$H$1-[6]Nov!$I$1+[6]Nov!$Y$1+[6]Nov!$Z$1+[6]Nov!$AA$1</f>
        <v>0</v>
      </c>
      <c r="K26" s="36" t="n">
        <f aca="false">-[7]Nov!$G$1-[7]Nov!$H$1-[7]Nov!$I$1+[7]Nov!$V$1+[7]Nov!$W$1+[7]Nov!$X$1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-[4]Dec!$G$1-[4]Dec!$H$1-[4]Dec!$I$1+[4]Dec!$Y$1+[4]Dec!$Z$1+[4]Dec!$AA$1</f>
        <v>0</v>
      </c>
      <c r="T26" s="36" t="n">
        <f aca="false">-[5]Dec!$G$1-[5]Dec!$H$1-[5]Dec!$I$1+[5]Dec!$Y$1+[5]Dec!$Z$1+[5]Dec!$AA$1</f>
        <v>0</v>
      </c>
      <c r="U26" s="36" t="n">
        <f aca="false">-[6]Dec!$G$1-[6]Dec!$H$1-[6]Dec!$I$1+[6]Dec!$Y$1+[6]Dec!$Z$1+[6]Dec!$AA$1</f>
        <v>0</v>
      </c>
      <c r="V26" s="36" t="n">
        <f aca="false">-[7]Dec!$G$1-[7]Dec!$H$1-[7]Dec!$I$1+[7]Dec!$V$1+[7]Dec!$W$1+[7]Dec!$X$1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-[4]Jan!$G$1-[4]Jan!$H$1-[4]Jan!$I$1+[4]Jan!$Y$1+[4]Jan!$Z$1+[4]Jan!$AA$1</f>
        <v>0</v>
      </c>
      <c r="AE26" s="36" t="n">
        <f aca="false">-[5]Jan!$G$1-[5]Jan!$H$1-[5]Jan!$I$1+[5]Jan!$Y$1+[5]Jan!$Z$1+[5]Jan!$AA$1</f>
        <v>0</v>
      </c>
      <c r="AF26" s="36" t="n">
        <f aca="false">-[6]Jan!$G$1-[6]Jan!$H$1-[6]Jan!$I$1+[6]Jan!$Y$1+[6]Jan!$Z$1+[6]Jan!$AA$1</f>
        <v>0</v>
      </c>
      <c r="AG26" s="36" t="n">
        <f aca="false">-[7]Jan!$G$1-[7]Jan!$H$1-[7]Jan!$I$1+[7]Jan!$V$1+[7]Jan!$W$1+[7]Jan!$X$1</f>
        <v>-100</v>
      </c>
      <c r="AH26" s="36"/>
      <c r="AI26" s="36"/>
      <c r="AJ26" s="54"/>
      <c r="AK26" s="36" t="n">
        <f aca="false">SUM(Z26:AJ26)</f>
        <v>-100</v>
      </c>
      <c r="AL26" s="57"/>
      <c r="AM26" s="36"/>
      <c r="AN26" s="36"/>
      <c r="AO26" s="36" t="n">
        <f aca="false">-[4]Feb!$G$1-[4]Feb!$H$1-[4]Feb!$I$1+[4]Feb!$Y$1+[4]Feb!$Z$1+[4]Feb!$AA$1</f>
        <v>0</v>
      </c>
      <c r="AP26" s="36" t="n">
        <f aca="false">-[5]Feb!$G$1-[5]Feb!$H$1-[5]Feb!$I$1+[5]Feb!$Y$1+[5]Feb!$Z$1+[5]Feb!$AA$1</f>
        <v>0</v>
      </c>
      <c r="AQ26" s="36" t="n">
        <f aca="false">-[6]Feb!$G$1-[6]Feb!$H$1-[6]Feb!$I$1+[6]Feb!$Y$1+[6]Feb!$Z$1+[6]Feb!$AA$1</f>
        <v>0</v>
      </c>
      <c r="AR26" s="36" t="n">
        <f aca="false">-[7]Feb!$G$1-[7]Feb!$H$1-[7]Feb!$I$1+[7]Feb!$V$1+[7]Feb!$W$1+[7]Feb!$X$1</f>
        <v>0</v>
      </c>
      <c r="AS26" s="36"/>
      <c r="AT26" s="36"/>
      <c r="AU26" s="54"/>
      <c r="AV26" s="36" t="n">
        <f aca="false">SUM(AK26:AU26)</f>
        <v>-100</v>
      </c>
      <c r="AW26" s="57"/>
      <c r="AX26" s="36"/>
      <c r="AY26" s="36"/>
      <c r="AZ26" s="36" t="n">
        <f aca="false">-[4]Mar!$G$1-[4]Mar!$H$1-[4]Mar!$I$1+[4]Mar!$Y$1+[4]Mar!$Z$1+[4]Mar!$AA$1</f>
        <v>0</v>
      </c>
      <c r="BA26" s="36" t="n">
        <f aca="false">-[5]Mar!$G$1-[5]Mar!$H$1-[5]Mar!$I$1+[5]Mar!$Y$1+[5]Mar!$Z$1+[5]Mar!$AA$1</f>
        <v>0</v>
      </c>
      <c r="BB26" s="36" t="n">
        <f aca="false">-[6]Mar!$G$1-[6]Mar!$H$1-[6]Mar!$I$1+[6]Mar!$Y$1+[6]Mar!$Z$1+[6]Mar!$AA$1</f>
        <v>0</v>
      </c>
      <c r="BC26" s="36" t="n">
        <f aca="false">-[7]Mar!$G$1-[7]Mar!$H$1-[7]Mar!$I$1+[7]Mar!$V$1+[7]Mar!$W$1+[7]Mar!$X$1</f>
        <v>0</v>
      </c>
      <c r="BD26" s="36"/>
      <c r="BE26" s="36"/>
      <c r="BF26" s="54"/>
      <c r="BG26" s="36" t="n">
        <f aca="false">SUM(AV26:BF26)</f>
        <v>-100</v>
      </c>
      <c r="BH26" s="57"/>
      <c r="BI26" s="36"/>
      <c r="BJ26" s="36"/>
      <c r="BK26" s="36" t="n">
        <f aca="false">-[4]Apr!$G$1-[4]Apr!$H$1-[4]Apr!$I$1+[4]Apr!$Y$1+[4]Apr!$Z$1+[4]Apr!$AA$1</f>
        <v>0</v>
      </c>
      <c r="BL26" s="36" t="n">
        <f aca="false">-[5]Apr!$G$1-[5]Apr!$H$1-[5]Apr!$I$1+[5]Apr!$Y$1+[5]Apr!$Z$1+[5]Apr!$AA$1</f>
        <v>0</v>
      </c>
      <c r="BM26" s="36" t="n">
        <f aca="false">-[6]Apr!$G$1-[6]Apr!$H$1-[6]Apr!$I$1+[6]Apr!$Y$1+[6]Apr!$Z$1+[6]Apr!$AA$1</f>
        <v>0</v>
      </c>
      <c r="BN26" s="36" t="n">
        <f aca="false">-[7]Apr!$G$1-[7]Apr!$H$1-[7]Apr!$I$1+[7]Apr!$V$1+[7]Apr!$W$1+[7]Apr!$X$1</f>
        <v>0</v>
      </c>
      <c r="BO26" s="36"/>
      <c r="BP26" s="36"/>
      <c r="BQ26" s="54"/>
      <c r="BR26" s="36" t="n">
        <f aca="false">SUM(BG26:BQ26)</f>
        <v>-100</v>
      </c>
      <c r="BS26" s="57"/>
      <c r="BT26" s="36"/>
      <c r="BU26" s="36"/>
      <c r="BV26" s="36" t="n">
        <f aca="false">-[4]May!$G$1-[4]May!$H$1-[4]May!$I$1+[4]May!$Y$1+[4]May!$Z$1+[4]May!$AA$1</f>
        <v>0</v>
      </c>
      <c r="BW26" s="36" t="n">
        <f aca="false">-[5]May!$G$1-[5]May!$H$1-[5]May!$I$1+[5]May!$Y$1+[5]May!$Z$1+[5]May!$AA$1</f>
        <v>0</v>
      </c>
      <c r="BX26" s="36" t="n">
        <f aca="false">-[6]May!$G$1-[6]May!$H$1-[6]May!$I$1+[6]May!$Y$1+[6]May!$Z$1+[6]May!$AA$1</f>
        <v>0</v>
      </c>
      <c r="BY26" s="36" t="n">
        <f aca="false">-[7]May!$G$1-[7]May!$H$1-[7]May!$I$1+[7]May!$V$1+[7]May!$W$1+[7]May!$X$1</f>
        <v>0</v>
      </c>
      <c r="BZ26" s="36"/>
      <c r="CA26" s="36"/>
      <c r="CB26" s="54"/>
      <c r="CC26" s="36" t="n">
        <f aca="false">SUM(BR26:CB26)</f>
        <v>-100</v>
      </c>
      <c r="CD26" s="57"/>
      <c r="CE26" s="36"/>
      <c r="CF26" s="36"/>
      <c r="CG26" s="36" t="n">
        <f aca="false">-[4]Jun!$G$1-[4]Jun!$H$1-[4]Jun!$I$1+[4]Jun!$Y$1+[4]Jun!$Z$1+[4]Jun!$AA$1</f>
        <v>0</v>
      </c>
      <c r="CH26" s="36" t="n">
        <f aca="false">-[5]Jun!$G$1-[5]Jun!$H$1-[5]Jun!$I$1+[5]Jun!$Y$1+[5]Jun!$Z$1+[5]Jun!$AA$1</f>
        <v>0</v>
      </c>
      <c r="CI26" s="36" t="n">
        <f aca="false">-[6]Jun!$G$1-[6]Jun!$H$1-[6]Jun!$I$1+[6]Jun!$Y$1+[6]Jun!$Z$1+[6]Jun!$AA$1</f>
        <v>0</v>
      </c>
      <c r="CJ26" s="36" t="n">
        <f aca="false">-[7]Jun!$G$1-[7]Jun!$H$1-[7]Jun!$I$1+[7]Jun!$V$1+[7]Jun!$W$1+[7]Jun!$X$1</f>
        <v>0</v>
      </c>
      <c r="CK26" s="36"/>
      <c r="CL26" s="36"/>
      <c r="CM26" s="54"/>
      <c r="CN26" s="36" t="n">
        <f aca="false">SUM(CC26:CM26)</f>
        <v>-100</v>
      </c>
      <c r="CO26" s="57"/>
      <c r="CP26" s="36"/>
      <c r="CQ26" s="36"/>
      <c r="CR26" s="36" t="n">
        <f aca="false">-[4]Jul!$G$1-[4]Jul!$H$1-[4]Jul!$I$1+[4]Jul!$Y$1+[4]Jul!$Z$1+[4]Jul!$AA$1</f>
        <v>0</v>
      </c>
      <c r="CS26" s="36" t="n">
        <f aca="false">-[5]Jul!$G$1-[5]Jul!$H$1-[5]Jul!$I$1+[5]Jul!$Y$1+[5]Jul!$Z$1+[5]Jul!$AA$1</f>
        <v>0</v>
      </c>
      <c r="CT26" s="36" t="n">
        <f aca="false">-[6]Jul!$G$1-[6]Jul!$H$1-[6]Jul!$I$1+[6]Jul!$Y$1+[6]Jul!$Z$1+[6]Jul!$AA$1</f>
        <v>0</v>
      </c>
      <c r="CU26" s="36" t="n">
        <f aca="false">-[7]Jul!$G$1-[7]Jul!$H$1-[7]Jul!$I$1+[7]Jul!$V$1+[7]Jul!$W$1+[7]Jul!$X$1</f>
        <v>0</v>
      </c>
      <c r="CV26" s="36"/>
      <c r="CW26" s="36"/>
      <c r="CX26" s="54"/>
      <c r="CY26" s="36" t="n">
        <f aca="false">SUM(CN26:CX26)</f>
        <v>-100</v>
      </c>
      <c r="CZ26" s="57"/>
      <c r="DA26" s="36"/>
      <c r="DB26" s="36"/>
      <c r="DC26" s="36" t="n">
        <f aca="false">-[4]Aug!$G$1-[4]Aug!$H$1-[4]Aug!$I$1+[4]Aug!$Y$1+[4]Aug!$Z$1+[4]Aug!$AA$1</f>
        <v>0</v>
      </c>
      <c r="DD26" s="36" t="n">
        <f aca="false">-[5]Aug!$G$1-[5]Aug!$H$1-[5]Aug!$I$1+[5]Aug!$Y$1+[5]Aug!$Z$1+[5]Aug!$AA$1</f>
        <v>0</v>
      </c>
      <c r="DE26" s="36" t="n">
        <f aca="false">-[6]Aug!$G$1-[6]Aug!$H$1-[6]Aug!$I$1+[6]Aug!$Y$1+[6]Aug!$Z$1+[6]Aug!$AA$1</f>
        <v>0</v>
      </c>
      <c r="DF26" s="36" t="n">
        <f aca="false">-[7]Aug!$G$1-[7]Aug!$H$1-[7]Aug!$I$1+[7]Aug!$V$1+[7]Aug!$W$1+[7]Aug!$X$1</f>
        <v>0</v>
      </c>
      <c r="DG26" s="36"/>
      <c r="DH26" s="36"/>
      <c r="DI26" s="54"/>
      <c r="DJ26" s="36" t="n">
        <f aca="false">SUM(CY26:DI26)</f>
        <v>-100</v>
      </c>
      <c r="DK26" s="57"/>
      <c r="DL26" s="36"/>
      <c r="DM26" s="36"/>
      <c r="DN26" s="36" t="n">
        <f aca="false">-[4]Sep!$G$1-[4]Sep!$H$1-[4]Sep!$I$1+[4]Sep!$Y$1+[4]Sep!$Z$1+[4]Sep!$AA$1</f>
        <v>0</v>
      </c>
      <c r="DO26" s="36" t="n">
        <f aca="false">-[5]Sep!$G$1-[5]Sep!$H$1-[5]Sep!$I$1+[5]Sep!$Y$1+[5]Sep!$Z$1+[5]Sep!$AA$1</f>
        <v>0</v>
      </c>
      <c r="DP26" s="36" t="n">
        <f aca="false">-[6]Sep!$G$1-[6]Sep!$H$1-[6]Sep!$I$1+[6]Sep!$Y$1+[6]Sep!$Z$1+[6]Sep!$AA$1</f>
        <v>0</v>
      </c>
      <c r="DQ26" s="36" t="n">
        <f aca="false">-[7]Sep!$G$1-[7]Sep!$H$1-[7]Sep!$I$1+[7]Sep!$V$1+[7]Sep!$W$1+[7]Sep!$X$1</f>
        <v>0</v>
      </c>
      <c r="DR26" s="36"/>
      <c r="DS26" s="36"/>
      <c r="DT26" s="54"/>
      <c r="DU26" s="36" t="n">
        <f aca="false">SUM(DJ26:DT26)</f>
        <v>-100</v>
      </c>
      <c r="DV26" s="57"/>
      <c r="DW26" s="36"/>
      <c r="DX26" s="36"/>
      <c r="DY26" s="36" t="n">
        <f aca="false">-[4]Oct!$G$1-[4]Oct!$H$1-[4]Oct!$I$1+[4]Oct!$Y$1+[4]Oct!$Z$1+[4]Oct!$AA$1</f>
        <v>0</v>
      </c>
      <c r="DZ26" s="36" t="n">
        <f aca="false">-[5]Oct!$G$1-[5]Oct!$H$1-[5]Oct!$I$1+[5]Oct!$Y$1+[5]Oct!$Z$1+[5]Oct!$AA$1</f>
        <v>0</v>
      </c>
      <c r="EA26" s="36" t="n">
        <f aca="false">-[6]Oct!$G$1-[6]Oct!$H$1-[6]Oct!$I$1+[6]Oct!$Y$1+[6]Oct!$Z$1+[6]Oct!$AA$1</f>
        <v>0</v>
      </c>
      <c r="EB26" s="36" t="n">
        <f aca="false">-[7]Oct!$G$1-[7]Oct!$H$1-[7]Oct!$I$1+[7]Oct!$V$1+[7]Oct!$W$1+[7]Oct!$X$1</f>
        <v>0</v>
      </c>
      <c r="EC26" s="36"/>
      <c r="ED26" s="36"/>
      <c r="EE26" s="54"/>
      <c r="EF26" s="36" t="n">
        <f aca="false">SUM(DU26:EE26)</f>
        <v>-100</v>
      </c>
      <c r="EG26" s="54"/>
      <c r="EI26" s="54"/>
      <c r="EJ26" s="36" t="n">
        <f aca="false">SUM(EF26:EH26)</f>
        <v>-100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-[2]Nov!$F$1+[2]Nov!$AK$1</f>
        <v>-5111.25</v>
      </c>
      <c r="H28" s="36" t="n">
        <f aca="false">[4]Nov!$AB$1</f>
        <v>3700</v>
      </c>
      <c r="I28" s="36" t="n">
        <f aca="false">[5]Nov!$AB$1</f>
        <v>0</v>
      </c>
      <c r="J28" s="36" t="n">
        <f aca="false">[6]Nov!$AB$1</f>
        <v>0</v>
      </c>
      <c r="K28" s="36" t="n">
        <f aca="false">[7]Nov!$Y$1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-[2]Dec!$F$1+[2]Dec!$AK$1</f>
        <v>-6375</v>
      </c>
      <c r="S28" s="36" t="n">
        <f aca="false">[4]Dec!$AB$1</f>
        <v>4300</v>
      </c>
      <c r="T28" s="36" t="n">
        <f aca="false">[5]Dec!$AB$1</f>
        <v>0</v>
      </c>
      <c r="U28" s="36" t="n">
        <f aca="false">[6]Dec!$AB$1</f>
        <v>0</v>
      </c>
      <c r="V28" s="36" t="n">
        <f aca="false">[7]Dec!$Y$1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-[2]Jan!$F$1+[2]Jan!$AK$1</f>
        <v>-23657</v>
      </c>
      <c r="AD28" s="36" t="n">
        <f aca="false">[4]Jan!$AB$1</f>
        <v>17000</v>
      </c>
      <c r="AE28" s="36" t="n">
        <f aca="false">[5]Jan!$AB$1</f>
        <v>0</v>
      </c>
      <c r="AF28" s="36" t="n">
        <f aca="false">[6]Jan!$AB$1</f>
        <v>180</v>
      </c>
      <c r="AG28" s="36" t="n">
        <f aca="false">[7]Jan!$Y$1</f>
        <v>25</v>
      </c>
      <c r="AH28" s="36"/>
      <c r="AI28" s="36"/>
      <c r="AJ28" s="54"/>
      <c r="AK28" s="36" t="n">
        <f aca="false">SUM(Z28:AJ28)</f>
        <v>-12323.25</v>
      </c>
      <c r="AL28" s="57"/>
      <c r="AM28" s="36"/>
      <c r="AN28" s="36" t="n">
        <f aca="false">-[2]Feb!$F$1+[2]Feb!$AK$1</f>
        <v>-9059.25</v>
      </c>
      <c r="AO28" s="36" t="n">
        <f aca="false">[4]Feb!$AB$1</f>
        <v>3800</v>
      </c>
      <c r="AP28" s="36" t="n">
        <f aca="false">[5]Feb!$AB$1</f>
        <v>0</v>
      </c>
      <c r="AQ28" s="36" t="n">
        <f aca="false">[6]Feb!$AB$1</f>
        <v>0</v>
      </c>
      <c r="AR28" s="36" t="n">
        <f aca="false">[7]Feb!$Y$1</f>
        <v>0</v>
      </c>
      <c r="AS28" s="36"/>
      <c r="AT28" s="36"/>
      <c r="AU28" s="54"/>
      <c r="AV28" s="36" t="n">
        <f aca="false">SUM(AK28:AU28)</f>
        <v>-17582.5</v>
      </c>
      <c r="AW28" s="57"/>
      <c r="AX28" s="36"/>
      <c r="AY28" s="36" t="n">
        <f aca="false">-[2]Mar!$F$1+[2]Mar!$AK$1</f>
        <v>-4405.25</v>
      </c>
      <c r="AZ28" s="36" t="n">
        <f aca="false">[4]Mar!$AB$1</f>
        <v>4100</v>
      </c>
      <c r="BA28" s="36" t="n">
        <f aca="false">[5]Mar!$AB$1</f>
        <v>0</v>
      </c>
      <c r="BB28" s="36" t="n">
        <f aca="false">[6]Mar!$AB$1</f>
        <v>0</v>
      </c>
      <c r="BC28" s="36" t="n">
        <f aca="false">[7]Mar!$Y$1</f>
        <v>0</v>
      </c>
      <c r="BD28" s="36"/>
      <c r="BE28" s="36"/>
      <c r="BF28" s="54"/>
      <c r="BG28" s="36" t="n">
        <f aca="false">SUM(AV28:BF28)</f>
        <v>-17887.75</v>
      </c>
      <c r="BH28" s="57"/>
      <c r="BI28" s="36"/>
      <c r="BJ28" s="36" t="n">
        <f aca="false">-[2]Apr!$F$1+[2]Apr!$AK$1</f>
        <v>-13375</v>
      </c>
      <c r="BK28" s="36" t="n">
        <f aca="false">[4]Apr!$AB$1</f>
        <v>10600</v>
      </c>
      <c r="BL28" s="36" t="n">
        <f aca="false">[5]Apr!$AB$1</f>
        <v>0</v>
      </c>
      <c r="BM28" s="36" t="n">
        <f aca="false">[6]Apr!$AB$1</f>
        <v>0</v>
      </c>
      <c r="BN28" s="36" t="n">
        <f aca="false">[7]Apr!$Y$1</f>
        <v>18</v>
      </c>
      <c r="BO28" s="36"/>
      <c r="BP28" s="36"/>
      <c r="BQ28" s="54"/>
      <c r="BR28" s="36" t="n">
        <f aca="false">SUM(BG28:BQ28)</f>
        <v>-20644.75</v>
      </c>
      <c r="BS28" s="57"/>
      <c r="BT28" s="36"/>
      <c r="BU28" s="36" t="n">
        <f aca="false">-[2]May!$F$1+[2]May!$AK$1</f>
        <v>-43005.75</v>
      </c>
      <c r="BV28" s="36" t="n">
        <f aca="false">[4]May!$AB$1</f>
        <v>40500</v>
      </c>
      <c r="BW28" s="36" t="n">
        <f aca="false">[5]May!$AB$1</f>
        <v>0</v>
      </c>
      <c r="BX28" s="36" t="n">
        <f aca="false">[6]May!$AB$1</f>
        <v>120</v>
      </c>
      <c r="BY28" s="36" t="n">
        <f aca="false">[7]May!$Y$1</f>
        <v>0</v>
      </c>
      <c r="BZ28" s="36"/>
      <c r="CA28" s="36"/>
      <c r="CB28" s="54"/>
      <c r="CC28" s="36" t="n">
        <f aca="false">SUM(BR28:CB28)</f>
        <v>-23030.5</v>
      </c>
      <c r="CD28" s="57"/>
      <c r="CE28" s="36"/>
      <c r="CF28" s="36" t="n">
        <f aca="false">-[2]Jun!$F$1+[2]Jun!$AK$1</f>
        <v>-6318</v>
      </c>
      <c r="CG28" s="36" t="n">
        <f aca="false">[4]Jun!$AB$1</f>
        <v>3900</v>
      </c>
      <c r="CH28" s="36" t="n">
        <f aca="false">[5]Jun!$AB$1</f>
        <v>0</v>
      </c>
      <c r="CI28" s="36" t="n">
        <f aca="false">[6]Jun!$AB$1</f>
        <v>0</v>
      </c>
      <c r="CJ28" s="36" t="n">
        <f aca="false">[7]Jun!$Y$1</f>
        <v>0</v>
      </c>
      <c r="CK28" s="36"/>
      <c r="CL28" s="36"/>
      <c r="CM28" s="54"/>
      <c r="CN28" s="36" t="n">
        <f aca="false">SUM(CC28:CM28)</f>
        <v>-25448.5</v>
      </c>
      <c r="CO28" s="57"/>
      <c r="CP28" s="36"/>
      <c r="CQ28" s="36" t="n">
        <f aca="false">-[2]Jul!$F$1+[2]Jul!$AK$1</f>
        <v>-9451.5</v>
      </c>
      <c r="CR28" s="36" t="n">
        <f aca="false">[4]Jul!$AB$1</f>
        <v>4200</v>
      </c>
      <c r="CS28" s="36" t="n">
        <f aca="false">[5]Jul!$AB$1</f>
        <v>0</v>
      </c>
      <c r="CT28" s="36" t="n">
        <f aca="false">[6]Jul!$AB$1</f>
        <v>0</v>
      </c>
      <c r="CU28" s="36" t="n">
        <f aca="false">[7]Jul!$Y$1</f>
        <v>50</v>
      </c>
      <c r="CV28" s="36"/>
      <c r="CW28" s="36"/>
      <c r="CX28" s="54"/>
      <c r="CY28" s="36" t="n">
        <f aca="false">SUM(CN28:CX28)</f>
        <v>-30650</v>
      </c>
      <c r="CZ28" s="57"/>
      <c r="DA28" s="36"/>
      <c r="DB28" s="36" t="n">
        <f aca="false">-[2]Aug!$F$1+[2]Aug!$AK$1</f>
        <v>-4511.25</v>
      </c>
      <c r="DC28" s="36" t="n">
        <f aca="false">[4]Aug!$AB$1</f>
        <v>4000</v>
      </c>
      <c r="DD28" s="36" t="n">
        <f aca="false">[5]Aug!$AB$1</f>
        <v>0</v>
      </c>
      <c r="DE28" s="36" t="n">
        <f aca="false">[6]Aug!$AB$1</f>
        <v>0</v>
      </c>
      <c r="DF28" s="36" t="n">
        <f aca="false">[7]Aug!$Y$1</f>
        <v>0</v>
      </c>
      <c r="DG28" s="36"/>
      <c r="DH28" s="36"/>
      <c r="DI28" s="54"/>
      <c r="DJ28" s="36" t="n">
        <f aca="false">SUM(CY28:DI28)</f>
        <v>-31161.25</v>
      </c>
      <c r="DK28" s="57"/>
      <c r="DL28" s="36"/>
      <c r="DM28" s="36" t="n">
        <f aca="false">-[2]Sep!$F$1+[2]Sep!$AK$1</f>
        <v>-4396.5</v>
      </c>
      <c r="DN28" s="36" t="n">
        <f aca="false">[4]Sep!$AB$1</f>
        <v>4400</v>
      </c>
      <c r="DO28" s="36" t="n">
        <f aca="false">[5]Sep!$AB$1</f>
        <v>0</v>
      </c>
      <c r="DP28" s="36" t="n">
        <f aca="false">[6]Sep!$AB$1</f>
        <v>240</v>
      </c>
      <c r="DQ28" s="36" t="n">
        <f aca="false">[7]Sep!$Y$1</f>
        <v>0</v>
      </c>
      <c r="DR28" s="36"/>
      <c r="DS28" s="36"/>
      <c r="DT28" s="54"/>
      <c r="DU28" s="36" t="n">
        <f aca="false">SUM(DJ28:DT28)</f>
        <v>-30917.75</v>
      </c>
      <c r="DV28" s="57"/>
      <c r="DW28" s="36"/>
      <c r="DX28" s="36" t="n">
        <f aca="false">-[2]Oct!$F$1+[2]Oct!$AK$1</f>
        <v>-3726.5</v>
      </c>
      <c r="DY28" s="36" t="n">
        <f aca="false">[4]Oct!$AB$1</f>
        <v>3800</v>
      </c>
      <c r="DZ28" s="36" t="n">
        <f aca="false">[5]Oct!$AB$1</f>
        <v>0</v>
      </c>
      <c r="EA28" s="36" t="n">
        <f aca="false">[6]Oct!$AB$1</f>
        <v>0</v>
      </c>
      <c r="EB28" s="36" t="n">
        <f aca="false">[7]Oct!$Y$1</f>
        <v>12</v>
      </c>
      <c r="EC28" s="36"/>
      <c r="ED28" s="36"/>
      <c r="EE28" s="54"/>
      <c r="EF28" s="36" t="n">
        <f aca="false">SUM(DU28:EE28)</f>
        <v>-30832.25</v>
      </c>
      <c r="EG28" s="54"/>
      <c r="EH28" s="36" t="n">
        <f aca="false">[1]HPfinance!$E$2</f>
        <v>20000</v>
      </c>
      <c r="EI28" s="54"/>
      <c r="EJ28" s="36" t="n">
        <f aca="false">SUM(EF28:EH28)</f>
        <v>-10832.25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[4]Nov!$AC$1</f>
        <v>5652</v>
      </c>
      <c r="I29" s="36" t="n">
        <f aca="false">[5]Nov!$AC$1</f>
        <v>0</v>
      </c>
      <c r="J29" s="36" t="n">
        <f aca="false">[6]Nov!$AC$1</f>
        <v>0</v>
      </c>
      <c r="K29" s="36" t="n">
        <f aca="false">[7]Nov!$Z$1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[4]Dec!$AC$1</f>
        <v>5652</v>
      </c>
      <c r="T29" s="36" t="n">
        <f aca="false">[5]Dec!$AC$1</f>
        <v>0</v>
      </c>
      <c r="U29" s="36" t="n">
        <f aca="false">[6]Dec!$AC$1</f>
        <v>0</v>
      </c>
      <c r="V29" s="36" t="n">
        <f aca="false">[7]Dec!$Z$1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[4]Jan!$AC$1</f>
        <v>5652</v>
      </c>
      <c r="AE29" s="36" t="n">
        <f aca="false">[5]Jan!$AC$1</f>
        <v>0</v>
      </c>
      <c r="AF29" s="36" t="n">
        <f aca="false">[6]Jan!$AC$1</f>
        <v>0</v>
      </c>
      <c r="AG29" s="36" t="n">
        <f aca="false">[7]Jan!$Z$1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[4]Feb!$AC$1</f>
        <v>5652</v>
      </c>
      <c r="AP29" s="36" t="n">
        <f aca="false">[5]Feb!$AC$1</f>
        <v>0</v>
      </c>
      <c r="AQ29" s="36" t="n">
        <f aca="false">[6]Feb!$AC$1</f>
        <v>0</v>
      </c>
      <c r="AR29" s="36" t="n">
        <f aca="false">[7]Feb!$Z$1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[4]Mar!$AC$1</f>
        <v>5652</v>
      </c>
      <c r="BA29" s="36" t="n">
        <f aca="false">[5]Mar!$AC$1</f>
        <v>0</v>
      </c>
      <c r="BB29" s="36" t="n">
        <f aca="false">[6]Mar!$AC$1</f>
        <v>0</v>
      </c>
      <c r="BC29" s="36" t="n">
        <f aca="false">[7]Mar!$Z$1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[4]Apr!$AC$1</f>
        <v>5652</v>
      </c>
      <c r="BL29" s="36" t="n">
        <f aca="false">[5]Apr!$AC$1</f>
        <v>0</v>
      </c>
      <c r="BM29" s="36" t="n">
        <f aca="false">[6]Apr!$AC$1</f>
        <v>0</v>
      </c>
      <c r="BN29" s="36" t="n">
        <f aca="false">[7]Apr!$Z$1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[4]May!$AC$1</f>
        <v>5652</v>
      </c>
      <c r="BW29" s="36" t="n">
        <f aca="false">[5]May!$AC$1</f>
        <v>0</v>
      </c>
      <c r="BX29" s="36" t="n">
        <f aca="false">[6]May!$AC$1</f>
        <v>0</v>
      </c>
      <c r="BY29" s="36" t="n">
        <f aca="false">[7]May!$Z$1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[4]Jun!$AC$1</f>
        <v>5652</v>
      </c>
      <c r="CH29" s="36" t="n">
        <f aca="false">[5]Jun!$AC$1</f>
        <v>0</v>
      </c>
      <c r="CI29" s="36" t="n">
        <f aca="false">[6]Jun!$AC$1</f>
        <v>0</v>
      </c>
      <c r="CJ29" s="36" t="n">
        <f aca="false">[7]Jun!$Z$1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[4]Jul!$AC$1</f>
        <v>5652</v>
      </c>
      <c r="CS29" s="36" t="n">
        <f aca="false">[5]Jul!$AC$1</f>
        <v>0</v>
      </c>
      <c r="CT29" s="36" t="n">
        <f aca="false">[6]Jul!$AC$1</f>
        <v>0</v>
      </c>
      <c r="CU29" s="36" t="n">
        <f aca="false">[7]Jul!$Z$1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[4]Aug!$AC$1</f>
        <v>5652</v>
      </c>
      <c r="DD29" s="36" t="n">
        <f aca="false">[5]Aug!$AC$1</f>
        <v>0</v>
      </c>
      <c r="DE29" s="36" t="n">
        <f aca="false">[6]Aug!$AC$1</f>
        <v>0</v>
      </c>
      <c r="DF29" s="36" t="n">
        <f aca="false">[7]Aug!$Z$1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[4]Sep!$AC$1</f>
        <v>5652</v>
      </c>
      <c r="DO29" s="36" t="n">
        <f aca="false">[5]Sep!$AC$1</f>
        <v>0</v>
      </c>
      <c r="DP29" s="36" t="n">
        <f aca="false">[6]Sep!$AC$1</f>
        <v>0</v>
      </c>
      <c r="DQ29" s="36" t="n">
        <f aca="false">[7]Sep!$Z$1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[4]Oct!$AC$1</f>
        <v>5652</v>
      </c>
      <c r="DZ29" s="36" t="n">
        <f aca="false">[5]Oct!$AC$1</f>
        <v>0</v>
      </c>
      <c r="EA29" s="36" t="n">
        <f aca="false">[6]Oct!$AC$1</f>
        <v>0</v>
      </c>
      <c r="EB29" s="36" t="n">
        <f aca="false">[7]Oct!$Z$1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[4]Nov!$AL$1</f>
        <v>0</v>
      </c>
      <c r="I31" s="36" t="n">
        <f aca="false">[5]Nov!$AL$1</f>
        <v>0</v>
      </c>
      <c r="J31" s="36" t="n">
        <f aca="false">[6]Nov!$AL$1</f>
        <v>0</v>
      </c>
      <c r="K31" s="36" t="n">
        <f aca="false">[7]Nov!$AI$1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[4]Dec!$AL$1</f>
        <v>0</v>
      </c>
      <c r="T31" s="36" t="n">
        <f aca="false">[5]Dec!$AL$1</f>
        <v>0</v>
      </c>
      <c r="U31" s="36" t="n">
        <f aca="false">[6]Dec!$AL$1</f>
        <v>0</v>
      </c>
      <c r="V31" s="36" t="n">
        <f aca="false">[7]Dec!$AI$1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[4]Jan!$AL$1</f>
        <v>0</v>
      </c>
      <c r="AE31" s="36" t="n">
        <f aca="false">[5]Jan!$AL$1</f>
        <v>0</v>
      </c>
      <c r="AF31" s="36" t="n">
        <f aca="false">[6]Jan!$AL$1</f>
        <v>0</v>
      </c>
      <c r="AG31" s="36" t="n">
        <f aca="false">[7]Jan!$AI$1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[4]Feb!$AL$1</f>
        <v>3000</v>
      </c>
      <c r="AP31" s="36" t="n">
        <f aca="false">[5]Feb!$AL$1</f>
        <v>0</v>
      </c>
      <c r="AQ31" s="36" t="n">
        <f aca="false">[6]Feb!$AL$1</f>
        <v>0</v>
      </c>
      <c r="AR31" s="36" t="n">
        <f aca="false">[7]Feb!$AI$1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[4]Mar!$AL$1</f>
        <v>0</v>
      </c>
      <c r="BA31" s="36" t="n">
        <f aca="false">[5]Mar!$AL$1</f>
        <v>0</v>
      </c>
      <c r="BB31" s="36" t="n">
        <f aca="false">[6]Mar!$AL$1</f>
        <v>0</v>
      </c>
      <c r="BC31" s="36" t="n">
        <f aca="false">[7]Mar!$AI$1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[4]Apr!$AL$1</f>
        <v>0</v>
      </c>
      <c r="BL31" s="36" t="n">
        <f aca="false">[5]Apr!$AL$1</f>
        <v>0</v>
      </c>
      <c r="BM31" s="36" t="n">
        <f aca="false">[6]Apr!$AL$1</f>
        <v>0</v>
      </c>
      <c r="BN31" s="36" t="n">
        <f aca="false">[7]Apr!$AI$1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[4]May!$AL$1</f>
        <v>3000</v>
      </c>
      <c r="BW31" s="36" t="n">
        <f aca="false">[5]May!$AL$1</f>
        <v>0</v>
      </c>
      <c r="BX31" s="36" t="n">
        <f aca="false">[6]May!$AL$1</f>
        <v>0</v>
      </c>
      <c r="BY31" s="36" t="n">
        <f aca="false">[7]May!$AI$1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[4]Jun!$AL$1</f>
        <v>0</v>
      </c>
      <c r="CH31" s="36" t="n">
        <f aca="false">[5]Jun!$AL$1</f>
        <v>0</v>
      </c>
      <c r="CI31" s="36" t="n">
        <f aca="false">[6]Jun!$AL$1</f>
        <v>0</v>
      </c>
      <c r="CJ31" s="36" t="n">
        <f aca="false">[7]Jun!$AI$1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[4]Jul!$AL$1</f>
        <v>0</v>
      </c>
      <c r="CS31" s="36" t="n">
        <f aca="false">[5]Jul!$AL$1</f>
        <v>0</v>
      </c>
      <c r="CT31" s="36" t="n">
        <f aca="false">[6]Jul!$AL$1</f>
        <v>0</v>
      </c>
      <c r="CU31" s="36" t="n">
        <f aca="false">[7]Jul!$AI$1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[4]Aug!$AL$1</f>
        <v>3000</v>
      </c>
      <c r="DD31" s="36" t="n">
        <f aca="false">[5]Aug!$AL$1</f>
        <v>0</v>
      </c>
      <c r="DE31" s="36" t="n">
        <f aca="false">[6]Aug!$AL$1</f>
        <v>0</v>
      </c>
      <c r="DF31" s="36" t="n">
        <f aca="false">[7]Aug!$AI$1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[4]Sep!$AL$1</f>
        <v>0</v>
      </c>
      <c r="DO31" s="36" t="n">
        <f aca="false">[5]Sep!$AL$1</f>
        <v>0</v>
      </c>
      <c r="DP31" s="36" t="n">
        <f aca="false">[6]Sep!$AL$1</f>
        <v>0</v>
      </c>
      <c r="DQ31" s="36" t="n">
        <f aca="false">[7]Sep!$AI$1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[4]Oct!$AL$1</f>
        <v>6000</v>
      </c>
      <c r="DZ31" s="36" t="n">
        <f aca="false">[5]Oct!$AL$1</f>
        <v>0</v>
      </c>
      <c r="EA31" s="36" t="n">
        <f aca="false">[6]Oct!$AL$1</f>
        <v>0</v>
      </c>
      <c r="EB31" s="36" t="n">
        <f aca="false">[7]Oct!$AI$1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[3]Nov!$V$1</f>
        <v>0</v>
      </c>
      <c r="G32" s="36" t="n">
        <f aca="false">-[2]Nov!$AK$1</f>
        <v>-0</v>
      </c>
      <c r="H32" s="36" t="n">
        <f aca="false">-[4]Nov!$O$1+[4]Nov!$AJ$1</f>
        <v>0</v>
      </c>
      <c r="I32" s="36" t="n">
        <f aca="false">-[5]Nov!$O$1+[5]Nov!$AJ$1</f>
        <v>0</v>
      </c>
      <c r="J32" s="36" t="n">
        <f aca="false">-[6]Nov!$O$1+[6]Nov!$AJ$1</f>
        <v>0</v>
      </c>
      <c r="K32" s="36" t="n">
        <f aca="false">[7]Nov!$AG$1</f>
        <v>0</v>
      </c>
      <c r="L32" s="36"/>
      <c r="N32" s="57"/>
      <c r="O32" s="36" t="n">
        <f aca="false">SUM(D32:N32)</f>
        <v>0</v>
      </c>
      <c r="P32" s="57"/>
      <c r="Q32" s="36" t="n">
        <f aca="false">[3]Dec!$V$1</f>
        <v>0</v>
      </c>
      <c r="R32" s="36" t="n">
        <f aca="false">-[2]Dec!$AK$1</f>
        <v>-0</v>
      </c>
      <c r="S32" s="36" t="n">
        <f aca="false">-[4]Dec!$O$1+[4]Dec!$AJ$1</f>
        <v>0</v>
      </c>
      <c r="T32" s="36" t="n">
        <f aca="false">-[5]Dec!$O$1+[5]Dec!$AJ$1</f>
        <v>0</v>
      </c>
      <c r="U32" s="36" t="n">
        <f aca="false">-[6]Dec!$O$1+[6]Dec!$AJ$1</f>
        <v>0</v>
      </c>
      <c r="V32" s="36" t="n">
        <f aca="false">[7]Dec!$AG$1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[3]Jan!$V$1</f>
        <v>0</v>
      </c>
      <c r="AC32" s="36" t="n">
        <f aca="false">-[2]Jan!$AK$1</f>
        <v>-1000</v>
      </c>
      <c r="AD32" s="36" t="n">
        <f aca="false">-[4]Jan!$O$1+[4]Jan!$AJ$1</f>
        <v>0</v>
      </c>
      <c r="AE32" s="36" t="n">
        <f aca="false">-[5]Jan!$O$1+[5]Jan!$AJ$1</f>
        <v>0</v>
      </c>
      <c r="AF32" s="36" t="n">
        <f aca="false">-[6]Jan!$O$1+[6]Jan!$AJ$1</f>
        <v>0</v>
      </c>
      <c r="AG32" s="36" t="n">
        <f aca="false">[7]Jan!$AG$1</f>
        <v>0</v>
      </c>
      <c r="AH32" s="36"/>
      <c r="AI32" s="36"/>
      <c r="AJ32" s="54"/>
      <c r="AK32" s="36" t="n">
        <f aca="false">SUM(Z32:AJ32)</f>
        <v>-1000</v>
      </c>
      <c r="AL32" s="57"/>
      <c r="AM32" s="36" t="n">
        <f aca="false">[3]Feb!$V$1</f>
        <v>0</v>
      </c>
      <c r="AN32" s="36" t="n">
        <f aca="false">-[2]Feb!$AK$1</f>
        <v>-0</v>
      </c>
      <c r="AO32" s="36" t="n">
        <f aca="false">-[4]Feb!$O$1+[4]Feb!$AJ$1</f>
        <v>1000</v>
      </c>
      <c r="AP32" s="36" t="n">
        <f aca="false">-[5]Feb!$O$1+[5]Feb!$AJ$1</f>
        <v>0</v>
      </c>
      <c r="AQ32" s="36" t="n">
        <f aca="false">-[6]Feb!$O$1+[6]Feb!$AJ$1</f>
        <v>0</v>
      </c>
      <c r="AR32" s="36" t="n">
        <f aca="false">[7]Feb!$AG$1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[3]Mar!$V$1</f>
        <v>0</v>
      </c>
      <c r="AY32" s="36" t="n">
        <f aca="false">-[2]Mar!$AK$1</f>
        <v>-0</v>
      </c>
      <c r="AZ32" s="36" t="n">
        <f aca="false">-[4]Mar!$O$1+[4]Mar!$AJ$1</f>
        <v>0</v>
      </c>
      <c r="BA32" s="36" t="n">
        <f aca="false">-[5]Mar!$O$1+[5]Mar!$AJ$1</f>
        <v>0</v>
      </c>
      <c r="BB32" s="36" t="n">
        <f aca="false">-[6]Mar!$O$1+[6]Mar!$AJ$1</f>
        <v>0</v>
      </c>
      <c r="BC32" s="36" t="n">
        <f aca="false">[7]Mar!$AG$1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[3]Apr!$V$1</f>
        <v>0</v>
      </c>
      <c r="BJ32" s="36" t="n">
        <f aca="false">-[2]Apr!$AK$1</f>
        <v>-0</v>
      </c>
      <c r="BK32" s="36" t="n">
        <f aca="false">-[4]Apr!$O$1+[4]Apr!$AJ$1</f>
        <v>0</v>
      </c>
      <c r="BL32" s="36" t="n">
        <f aca="false">-[5]Apr!$O$1+[5]Apr!$AJ$1</f>
        <v>0</v>
      </c>
      <c r="BM32" s="36" t="n">
        <f aca="false">-[6]Apr!$O$1+[6]Apr!$AJ$1</f>
        <v>0</v>
      </c>
      <c r="BN32" s="36" t="n">
        <f aca="false">[7]Apr!$AG$1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[3]May!$V$1</f>
        <v>0</v>
      </c>
      <c r="BU32" s="36" t="n">
        <f aca="false">-[2]May!$AK$1</f>
        <v>-0</v>
      </c>
      <c r="BV32" s="36" t="n">
        <f aca="false">-[4]May!$O$1+[4]May!$AJ$1</f>
        <v>0</v>
      </c>
      <c r="BW32" s="36" t="n">
        <f aca="false">-[5]May!$O$1+[5]May!$AJ$1</f>
        <v>0</v>
      </c>
      <c r="BX32" s="36" t="n">
        <f aca="false">-[6]May!$O$1+[6]May!$AJ$1</f>
        <v>0</v>
      </c>
      <c r="BY32" s="36" t="n">
        <f aca="false">[7]May!$AG$1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[3]Jun!$V$1</f>
        <v>0</v>
      </c>
      <c r="CF32" s="36" t="n">
        <f aca="false">-[2]Jun!$AK$1</f>
        <v>-600</v>
      </c>
      <c r="CG32" s="36" t="n">
        <f aca="false">-[4]Jun!$O$1+[4]Jun!$AJ$1</f>
        <v>0</v>
      </c>
      <c r="CH32" s="36" t="n">
        <f aca="false">-[5]Jun!$O$1+[5]Jun!$AJ$1</f>
        <v>0</v>
      </c>
      <c r="CI32" s="36" t="n">
        <f aca="false">-[6]Jun!$O$1+[6]Jun!$AJ$1</f>
        <v>0</v>
      </c>
      <c r="CJ32" s="36" t="n">
        <f aca="false">[7]Jun!$AG$1</f>
        <v>0</v>
      </c>
      <c r="CK32" s="36"/>
      <c r="CL32" s="36"/>
      <c r="CM32" s="54"/>
      <c r="CN32" s="36" t="n">
        <f aca="false">SUM(CC32:CM32)</f>
        <v>-600</v>
      </c>
      <c r="CO32" s="57"/>
      <c r="CP32" s="36" t="n">
        <f aca="false">[3]Jul!$V$1</f>
        <v>0</v>
      </c>
      <c r="CQ32" s="36" t="n">
        <f aca="false">-[2]Jul!$AK$1</f>
        <v>-0</v>
      </c>
      <c r="CR32" s="36" t="n">
        <f aca="false">-[4]Jul!$O$1+[4]Jul!$AJ$1</f>
        <v>600</v>
      </c>
      <c r="CS32" s="36" t="n">
        <f aca="false">-[5]Jul!$O$1+[5]Jul!$AJ$1</f>
        <v>0</v>
      </c>
      <c r="CT32" s="36" t="n">
        <f aca="false">-[6]Jul!$O$1+[6]Jul!$AJ$1</f>
        <v>0</v>
      </c>
      <c r="CU32" s="36" t="n">
        <f aca="false">[7]Jul!$AG$1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[3]Aug!$V$1</f>
        <v>0</v>
      </c>
      <c r="DB32" s="36" t="n">
        <f aca="false">-[2]Aug!$AK$1</f>
        <v>-0</v>
      </c>
      <c r="DC32" s="36" t="n">
        <f aca="false">-[4]Aug!$O$1+[4]Aug!$AJ$1</f>
        <v>0</v>
      </c>
      <c r="DD32" s="36" t="n">
        <f aca="false">-[5]Aug!$O$1+[5]Aug!$AJ$1</f>
        <v>0</v>
      </c>
      <c r="DE32" s="36" t="n">
        <f aca="false">-[6]Aug!$O$1+[6]Aug!$AJ$1</f>
        <v>0</v>
      </c>
      <c r="DF32" s="36" t="n">
        <f aca="false">[7]Aug!$AG$1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[3]Sep!$V$1</f>
        <v>0</v>
      </c>
      <c r="DM32" s="36" t="n">
        <f aca="false">-[2]Sep!$AK$1</f>
        <v>-0</v>
      </c>
      <c r="DN32" s="36" t="n">
        <f aca="false">-[4]Sep!$O$1+[4]Sep!$AJ$1</f>
        <v>0</v>
      </c>
      <c r="DO32" s="36" t="n">
        <f aca="false">-[5]Sep!$O$1+[5]Sep!$AJ$1</f>
        <v>0</v>
      </c>
      <c r="DP32" s="36" t="n">
        <f aca="false">-[6]Sep!$O$1+[6]Sep!$AJ$1</f>
        <v>0</v>
      </c>
      <c r="DQ32" s="36" t="n">
        <f aca="false">[7]Sep!$AG$1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[3]Oct!$V$1</f>
        <v>0</v>
      </c>
      <c r="DX32" s="36" t="n">
        <f aca="false">-[2]Oct!$AK$1</f>
        <v>-0</v>
      </c>
      <c r="DY32" s="36" t="n">
        <f aca="false">-[4]Oct!$O$1+[4]Oct!$AJ$1</f>
        <v>0</v>
      </c>
      <c r="DZ32" s="36" t="n">
        <f aca="false">-[5]Oct!$O$1+[5]Oct!$AJ$1</f>
        <v>0</v>
      </c>
      <c r="EA32" s="36" t="n">
        <f aca="false">-[6]Oct!$O$1+[6]Oct!$AJ$1</f>
        <v>0</v>
      </c>
      <c r="EB32" s="36" t="n">
        <f aca="false">[7]Oct!$AG$1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-[3]Nov!$G$1</f>
        <v>-5566.66666666667</v>
      </c>
      <c r="G33" s="36" t="n">
        <f aca="false">[2]Nov!$G$1</f>
        <v>851.875</v>
      </c>
      <c r="H33" s="36" t="n">
        <f aca="false">-[4]Nov!$N$1+[4]Nov!$AI$1</f>
        <v>0</v>
      </c>
      <c r="I33" s="36" t="n">
        <f aca="false">-[5]Nov!$N$1+[5]Nov!$AI$1</f>
        <v>0</v>
      </c>
      <c r="J33" s="36" t="n">
        <f aca="false">-[6]Nov!$N$1+[6]Nov!$AI$1</f>
        <v>0</v>
      </c>
      <c r="K33" s="36" t="n">
        <f aca="false">[7]Nov!$AF$1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-[3]Dec!$G$1</f>
        <v>-5486.66666666667</v>
      </c>
      <c r="R33" s="36" t="n">
        <f aca="false">[2]Dec!$G$1</f>
        <v>1062.5</v>
      </c>
      <c r="S33" s="36" t="n">
        <f aca="false">-[4]Dec!$N$1+[4]Dec!$AI$1</f>
        <v>1500</v>
      </c>
      <c r="T33" s="36" t="n">
        <f aca="false">-[5]Dec!$N$1+[5]Dec!$AI$1</f>
        <v>0</v>
      </c>
      <c r="U33" s="36" t="n">
        <f aca="false">-[6]Dec!$N$1+[6]Dec!$AI$1</f>
        <v>0</v>
      </c>
      <c r="V33" s="36" t="n">
        <f aca="false">[7]Dec!$AF$1</f>
        <v>0</v>
      </c>
      <c r="W33" s="36"/>
      <c r="X33" s="36"/>
      <c r="Y33" s="54"/>
      <c r="Z33" s="36" t="n">
        <f aca="false">SUM(O33:Y33)</f>
        <v>-9138.95833333334</v>
      </c>
      <c r="AA33" s="57"/>
      <c r="AB33" s="36" t="n">
        <f aca="false">-[3]Jan!$G$1</f>
        <v>-5866.66666666667</v>
      </c>
      <c r="AC33" s="36" t="n">
        <f aca="false">[2]Jan!$G$1</f>
        <v>4109.5</v>
      </c>
      <c r="AD33" s="36" t="n">
        <f aca="false">-[4]Jan!$N$1+[4]Jan!$AI$1</f>
        <v>0</v>
      </c>
      <c r="AE33" s="36" t="n">
        <f aca="false">-[5]Jan!$N$1+[5]Jan!$AI$1</f>
        <v>0</v>
      </c>
      <c r="AF33" s="36" t="n">
        <f aca="false">-[6]Jan!$N$1+[6]Jan!$AI$1</f>
        <v>0</v>
      </c>
      <c r="AG33" s="36" t="n">
        <f aca="false">[7]Jan!$AF$1</f>
        <v>0</v>
      </c>
      <c r="AH33" s="36"/>
      <c r="AI33" s="36"/>
      <c r="AJ33" s="54"/>
      <c r="AK33" s="36" t="n">
        <f aca="false">SUM(Z33:AJ33)</f>
        <v>-10896.125</v>
      </c>
      <c r="AL33" s="57"/>
      <c r="AM33" s="36" t="n">
        <f aca="false">-[3]Feb!$G$1</f>
        <v>-5626.66666666667</v>
      </c>
      <c r="AN33" s="36" t="n">
        <f aca="false">[2]Feb!$G$1</f>
        <v>1509.875</v>
      </c>
      <c r="AO33" s="36" t="n">
        <f aca="false">-[4]Feb!$N$1+[4]Feb!$AI$1</f>
        <v>0</v>
      </c>
      <c r="AP33" s="36" t="n">
        <f aca="false">-[5]Feb!$N$1+[5]Feb!$AI$1</f>
        <v>0</v>
      </c>
      <c r="AQ33" s="36" t="n">
        <f aca="false">-[6]Feb!$N$1+[6]Feb!$AI$1</f>
        <v>0</v>
      </c>
      <c r="AR33" s="36" t="n">
        <f aca="false">[7]Feb!$AF$1</f>
        <v>0</v>
      </c>
      <c r="AS33" s="36"/>
      <c r="AT33" s="36"/>
      <c r="AU33" s="54"/>
      <c r="AV33" s="36" t="n">
        <f aca="false">SUM(AK33:AU33)</f>
        <v>-15012.9166666667</v>
      </c>
      <c r="AW33" s="57"/>
      <c r="AX33" s="36" t="n">
        <f aca="false">-[3]Mar!$G$1</f>
        <v>-6003.33333333333</v>
      </c>
      <c r="AY33" s="36" t="n">
        <f aca="false">[2]Mar!$G$1</f>
        <v>734.208333333333</v>
      </c>
      <c r="AZ33" s="36" t="n">
        <f aca="false">-[4]Mar!$N$1+[4]Mar!$AI$1</f>
        <v>13808.17</v>
      </c>
      <c r="BA33" s="36" t="n">
        <f aca="false">-[5]Mar!$N$1+[5]Mar!$AI$1</f>
        <v>0</v>
      </c>
      <c r="BB33" s="36" t="n">
        <f aca="false">-[6]Mar!$N$1+[6]Mar!$AI$1</f>
        <v>0</v>
      </c>
      <c r="BC33" s="36" t="n">
        <f aca="false">[7]Mar!$AF$1</f>
        <v>0</v>
      </c>
      <c r="BD33" s="36"/>
      <c r="BE33" s="36"/>
      <c r="BF33" s="54"/>
      <c r="BG33" s="36" t="n">
        <f aca="false">SUM(AV33:BF33)</f>
        <v>-6473.87166666668</v>
      </c>
      <c r="BH33" s="57"/>
      <c r="BI33" s="36" t="n">
        <f aca="false">-[3]Apr!$G$1</f>
        <v>-5626.66666666667</v>
      </c>
      <c r="BJ33" s="36" t="n">
        <f aca="false">[2]Apr!$G$1</f>
        <v>2229.16666666667</v>
      </c>
      <c r="BK33" s="36" t="n">
        <f aca="false">-[4]Apr!$N$1+[4]Apr!$AI$1</f>
        <v>0</v>
      </c>
      <c r="BL33" s="36" t="n">
        <f aca="false">-[5]Apr!$N$1+[5]Apr!$AI$1</f>
        <v>0</v>
      </c>
      <c r="BM33" s="36" t="n">
        <f aca="false">-[6]Apr!$N$1+[6]Apr!$AI$1</f>
        <v>0</v>
      </c>
      <c r="BN33" s="36" t="n">
        <f aca="false">[7]Apr!$AF$1</f>
        <v>0</v>
      </c>
      <c r="BO33" s="36"/>
      <c r="BP33" s="36"/>
      <c r="BQ33" s="54"/>
      <c r="BR33" s="36" t="n">
        <f aca="false">SUM(BG33:BQ33)</f>
        <v>-9871.37166666668</v>
      </c>
      <c r="BS33" s="57"/>
      <c r="BT33" s="36" t="n">
        <f aca="false">-[3]May!$G$1</f>
        <v>-8426.66666666667</v>
      </c>
      <c r="BU33" s="36" t="n">
        <f aca="false">[2]May!$G$1</f>
        <v>7167.625</v>
      </c>
      <c r="BV33" s="36" t="n">
        <f aca="false">-[4]May!$N$1+[4]May!$AI$1</f>
        <v>0</v>
      </c>
      <c r="BW33" s="36" t="n">
        <f aca="false">-[5]May!$N$1+[5]May!$AI$1</f>
        <v>0</v>
      </c>
      <c r="BX33" s="36" t="n">
        <f aca="false">-[6]May!$N$1+[6]May!$AI$1</f>
        <v>0</v>
      </c>
      <c r="BY33" s="36" t="n">
        <f aca="false">[7]May!$AF$1</f>
        <v>0</v>
      </c>
      <c r="BZ33" s="36"/>
      <c r="CA33" s="36"/>
      <c r="CB33" s="54"/>
      <c r="CC33" s="36" t="n">
        <f aca="false">SUM(BR33:CB33)</f>
        <v>-11130.4133333333</v>
      </c>
      <c r="CD33" s="57"/>
      <c r="CE33" s="36" t="n">
        <f aca="false">-[3]Jun!$G$1</f>
        <v>-5886.66666666667</v>
      </c>
      <c r="CF33" s="36" t="n">
        <f aca="false">[2]Jun!$G$1</f>
        <v>1153</v>
      </c>
      <c r="CG33" s="36" t="n">
        <f aca="false">-[4]Jun!$N$1+[4]Jun!$AI$1</f>
        <v>14456.5</v>
      </c>
      <c r="CH33" s="36" t="n">
        <f aca="false">-[5]Jun!$N$1+[5]Jun!$AI$1</f>
        <v>0</v>
      </c>
      <c r="CI33" s="36" t="n">
        <f aca="false">-[6]Jun!$N$1+[6]Jun!$AI$1</f>
        <v>0</v>
      </c>
      <c r="CJ33" s="36" t="n">
        <f aca="false">[7]Jun!$AF$1</f>
        <v>0</v>
      </c>
      <c r="CK33" s="36"/>
      <c r="CL33" s="36"/>
      <c r="CM33" s="54"/>
      <c r="CN33" s="36" t="n">
        <f aca="false">SUM(CC33:CM33)</f>
        <v>-1407.58000000001</v>
      </c>
      <c r="CO33" s="57"/>
      <c r="CP33" s="36" t="n">
        <f aca="false">-[3]Jul!$G$1</f>
        <v>-5466.66666666667</v>
      </c>
      <c r="CQ33" s="36" t="n">
        <f aca="false">[2]Jul!$G$1</f>
        <v>1575.25</v>
      </c>
      <c r="CR33" s="36" t="n">
        <f aca="false">-[4]Jul!$N$1+[4]Jul!$AI$1</f>
        <v>0</v>
      </c>
      <c r="CS33" s="36" t="n">
        <f aca="false">-[5]Jul!$N$1+[5]Jul!$AI$1</f>
        <v>0</v>
      </c>
      <c r="CT33" s="36" t="n">
        <f aca="false">-[6]Jul!$N$1+[6]Jul!$AI$1</f>
        <v>0</v>
      </c>
      <c r="CU33" s="36" t="n">
        <f aca="false">[7]Jul!$AF$1</f>
        <v>0</v>
      </c>
      <c r="CV33" s="36"/>
      <c r="CW33" s="36"/>
      <c r="CX33" s="54"/>
      <c r="CY33" s="36" t="n">
        <f aca="false">SUM(CN33:CX33)</f>
        <v>-5298.99666666668</v>
      </c>
      <c r="CZ33" s="57"/>
      <c r="DA33" s="36" t="n">
        <f aca="false">-[3]Aug!$G$1</f>
        <v>-5906.66666666667</v>
      </c>
      <c r="DB33" s="36" t="n">
        <f aca="false">[2]Aug!$G$1</f>
        <v>751.875</v>
      </c>
      <c r="DC33" s="36" t="n">
        <f aca="false">-[4]Aug!$N$1+[4]Aug!$AI$1</f>
        <v>0</v>
      </c>
      <c r="DD33" s="36" t="n">
        <f aca="false">-[5]Aug!$N$1+[5]Aug!$AI$1</f>
        <v>0</v>
      </c>
      <c r="DE33" s="36" t="n">
        <f aca="false">-[6]Aug!$N$1+[6]Aug!$AI$1</f>
        <v>0</v>
      </c>
      <c r="DF33" s="36" t="n">
        <f aca="false">[7]Aug!$AF$1</f>
        <v>0</v>
      </c>
      <c r="DG33" s="36"/>
      <c r="DH33" s="36"/>
      <c r="DI33" s="54"/>
      <c r="DJ33" s="36" t="n">
        <f aca="false">SUM(CY33:DI33)</f>
        <v>-10453.7883333334</v>
      </c>
      <c r="DK33" s="57"/>
      <c r="DL33" s="36" t="n">
        <f aca="false">-[3]Sep!$G$1</f>
        <v>-5726.66666666667</v>
      </c>
      <c r="DM33" s="36" t="n">
        <f aca="false">[2]Sep!$G$1</f>
        <v>732.75</v>
      </c>
      <c r="DN33" s="36" t="n">
        <f aca="false">-[4]Sep!$N$1+[4]Sep!$AI$1</f>
        <v>10917.5</v>
      </c>
      <c r="DO33" s="36" t="n">
        <f aca="false">-[5]Sep!$N$1+[5]Sep!$AI$1</f>
        <v>0</v>
      </c>
      <c r="DP33" s="36" t="n">
        <f aca="false">-[6]Sep!$N$1+[6]Sep!$AI$1</f>
        <v>0</v>
      </c>
      <c r="DQ33" s="36" t="n">
        <f aca="false">[7]Sep!$AF$1</f>
        <v>0</v>
      </c>
      <c r="DR33" s="36"/>
      <c r="DS33" s="36"/>
      <c r="DT33" s="54"/>
      <c r="DU33" s="36" t="n">
        <f aca="false">SUM(DJ33:DT33)</f>
        <v>-4530.20500000002</v>
      </c>
      <c r="DV33" s="57"/>
      <c r="DW33" s="36" t="n">
        <f aca="false">-[3]Oct!$G$1</f>
        <v>-5226.66666666667</v>
      </c>
      <c r="DX33" s="36" t="n">
        <f aca="false">[2]Oct!$G$1</f>
        <v>621.083333333333</v>
      </c>
      <c r="DY33" s="36" t="n">
        <f aca="false">-[4]Oct!$N$1+[4]Oct!$AI$1</f>
        <v>0</v>
      </c>
      <c r="DZ33" s="36" t="n">
        <f aca="false">-[5]Oct!$N$1+[5]Oct!$AI$1</f>
        <v>0</v>
      </c>
      <c r="EA33" s="36" t="n">
        <f aca="false">-[6]Oct!$N$1+[6]Oct!$AI$1</f>
        <v>0</v>
      </c>
      <c r="EB33" s="36" t="n">
        <f aca="false">[7]Oct!$AF$1</f>
        <v>0</v>
      </c>
      <c r="EC33" s="36"/>
      <c r="ED33" s="36"/>
      <c r="EE33" s="54"/>
      <c r="EF33" s="36" t="n">
        <f aca="false">SUM(DU33:EE33)</f>
        <v>-9135.78833333336</v>
      </c>
      <c r="EG33" s="54"/>
      <c r="EI33" s="54"/>
      <c r="EJ33" s="36" t="n">
        <f aca="false">SUM(EF33:EH33)</f>
        <v>-9135.78833333336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[4]Nov!$AH$1</f>
        <v>1673.2</v>
      </c>
      <c r="I34" s="36" t="n">
        <f aca="false">[5]Nov!$AH$1</f>
        <v>0</v>
      </c>
      <c r="J34" s="36" t="n">
        <f aca="false">[6]Nov!$AH$1</f>
        <v>0</v>
      </c>
      <c r="K34" s="36" t="n">
        <f aca="false">[7]Nov!$AE$1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[4]Dec!$AH$1</f>
        <v>1673.2</v>
      </c>
      <c r="T34" s="36" t="n">
        <f aca="false">[5]Dec!$AH$1</f>
        <v>0</v>
      </c>
      <c r="U34" s="36" t="n">
        <f aca="false">[6]Dec!$AH$1</f>
        <v>0</v>
      </c>
      <c r="V34" s="36" t="n">
        <f aca="false">[7]Dec!$AE$1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[4]Jan!$AH$1</f>
        <v>1673.2</v>
      </c>
      <c r="AE34" s="36" t="n">
        <f aca="false">[5]Jan!$AH$1</f>
        <v>0</v>
      </c>
      <c r="AF34" s="36" t="n">
        <f aca="false">[6]Jan!$AH$1</f>
        <v>0</v>
      </c>
      <c r="AG34" s="36" t="n">
        <f aca="false">[7]Jan!$AE$1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[4]Feb!$AH$1</f>
        <v>1673.2</v>
      </c>
      <c r="AP34" s="36" t="n">
        <f aca="false">[5]Feb!$AH$1</f>
        <v>0</v>
      </c>
      <c r="AQ34" s="36" t="n">
        <f aca="false">[6]Feb!$AH$1</f>
        <v>0</v>
      </c>
      <c r="AR34" s="36" t="n">
        <f aca="false">[7]Feb!$AE$1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[4]Mar!$AH$1</f>
        <v>1673.2</v>
      </c>
      <c r="BA34" s="36" t="n">
        <f aca="false">[5]Mar!$AH$1</f>
        <v>0</v>
      </c>
      <c r="BB34" s="36" t="n">
        <f aca="false">[6]Mar!$AH$1</f>
        <v>0</v>
      </c>
      <c r="BC34" s="36" t="n">
        <f aca="false">[7]Mar!$AE$1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[4]Apr!$AH$1</f>
        <v>1673.2</v>
      </c>
      <c r="BL34" s="36" t="n">
        <f aca="false">[5]Apr!$AH$1</f>
        <v>0</v>
      </c>
      <c r="BM34" s="36" t="n">
        <f aca="false">[6]Apr!$AH$1</f>
        <v>0</v>
      </c>
      <c r="BN34" s="36" t="n">
        <f aca="false">[7]Apr!$AE$1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[4]May!$AH$1</f>
        <v>1673.2</v>
      </c>
      <c r="BW34" s="36" t="n">
        <f aca="false">[5]May!$AH$1</f>
        <v>0</v>
      </c>
      <c r="BX34" s="36" t="n">
        <f aca="false">[6]May!$AH$1</f>
        <v>0</v>
      </c>
      <c r="BY34" s="36" t="n">
        <f aca="false">[7]May!$AE$1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[4]Jun!$AH$1</f>
        <v>1673.2</v>
      </c>
      <c r="CH34" s="36" t="n">
        <f aca="false">[5]Jun!$AH$1</f>
        <v>0</v>
      </c>
      <c r="CI34" s="36" t="n">
        <f aca="false">[6]Jun!$AH$1</f>
        <v>0</v>
      </c>
      <c r="CJ34" s="36" t="n">
        <f aca="false">[7]Jun!$AE$1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[4]Jul!$AH$1</f>
        <v>1673.2</v>
      </c>
      <c r="CS34" s="36" t="n">
        <f aca="false">[5]Jul!$AH$1</f>
        <v>0</v>
      </c>
      <c r="CT34" s="36" t="n">
        <f aca="false">[6]Jul!$AH$1</f>
        <v>0</v>
      </c>
      <c r="CU34" s="36" t="n">
        <f aca="false">[7]Jul!$AE$1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[4]Aug!$AH$1</f>
        <v>1673.2</v>
      </c>
      <c r="DD34" s="36" t="n">
        <f aca="false">[5]Aug!$AH$1</f>
        <v>0</v>
      </c>
      <c r="DE34" s="36" t="n">
        <f aca="false">[6]Aug!$AH$1</f>
        <v>0</v>
      </c>
      <c r="DF34" s="36" t="n">
        <f aca="false">[7]Aug!$AE$1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[4]Sep!$AH$1</f>
        <v>1673.2</v>
      </c>
      <c r="DO34" s="36" t="n">
        <f aca="false">[5]Sep!$AH$1</f>
        <v>0</v>
      </c>
      <c r="DP34" s="36" t="n">
        <f aca="false">[6]Sep!$AH$1</f>
        <v>0</v>
      </c>
      <c r="DQ34" s="36" t="n">
        <f aca="false">[7]Sep!$AE$1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[4]Oct!$AH$1</f>
        <v>1673.2</v>
      </c>
      <c r="DZ34" s="36" t="n">
        <f aca="false">[5]Oct!$AH$1</f>
        <v>0</v>
      </c>
      <c r="EA34" s="36" t="n">
        <f aca="false">[6]Oct!$AH$1</f>
        <v>0</v>
      </c>
      <c r="EB34" s="36" t="n">
        <f aca="false">[7]Oct!$AE$1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[4]Nov!$AK$1</f>
        <v>0</v>
      </c>
      <c r="I35" s="36" t="n">
        <f aca="false">[5]Nov!$AK$1</f>
        <v>0</v>
      </c>
      <c r="J35" s="36" t="n">
        <f aca="false">[6]Nov!$AK$1</f>
        <v>0</v>
      </c>
      <c r="K35" s="36" t="n">
        <f aca="false">[7]Nov!$AH$1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[4]Dec!$AK$1</f>
        <v>0</v>
      </c>
      <c r="T35" s="36" t="n">
        <f aca="false">[5]Dec!$AK$1</f>
        <v>0</v>
      </c>
      <c r="U35" s="36" t="n">
        <f aca="false">[6]Dec!$AK$1</f>
        <v>0</v>
      </c>
      <c r="V35" s="36" t="n">
        <f aca="false">[7]Dec!$AH$1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[4]Jan!$AK$1</f>
        <v>0</v>
      </c>
      <c r="AE35" s="36" t="n">
        <f aca="false">[5]Jan!$AK$1</f>
        <v>0</v>
      </c>
      <c r="AF35" s="36" t="n">
        <f aca="false">[6]Jan!$AK$1</f>
        <v>0</v>
      </c>
      <c r="AG35" s="36" t="n">
        <f aca="false">[7]Jan!$AH$1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[4]Feb!$AK$1</f>
        <v>0</v>
      </c>
      <c r="AP35" s="36" t="n">
        <f aca="false">[5]Feb!$AK$1</f>
        <v>0</v>
      </c>
      <c r="AQ35" s="36" t="n">
        <f aca="false">[6]Feb!$AK$1</f>
        <v>0</v>
      </c>
      <c r="AR35" s="36" t="n">
        <f aca="false">[7]Feb!$AH$1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[4]Mar!$AK$1</f>
        <v>0</v>
      </c>
      <c r="BA35" s="36" t="n">
        <f aca="false">[5]Mar!$AK$1</f>
        <v>0</v>
      </c>
      <c r="BB35" s="36" t="n">
        <f aca="false">[6]Mar!$AK$1</f>
        <v>0</v>
      </c>
      <c r="BC35" s="36" t="n">
        <f aca="false">[7]Mar!$AH$1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[4]Apr!$AK$1</f>
        <v>0</v>
      </c>
      <c r="BL35" s="36" t="n">
        <f aca="false">[5]Apr!$AK$1</f>
        <v>0</v>
      </c>
      <c r="BM35" s="36" t="n">
        <f aca="false">[6]Apr!$AK$1</f>
        <v>0</v>
      </c>
      <c r="BN35" s="36" t="n">
        <f aca="false">[7]Apr!$AH$1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[4]May!$AK$1</f>
        <v>4500</v>
      </c>
      <c r="BW35" s="36" t="n">
        <f aca="false">[5]May!$AK$1</f>
        <v>0</v>
      </c>
      <c r="BX35" s="36" t="n">
        <f aca="false">[6]May!$AK$1</f>
        <v>0</v>
      </c>
      <c r="BY35" s="36" t="n">
        <f aca="false">[7]May!$AH$1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[4]Jun!$AK$1</f>
        <v>0</v>
      </c>
      <c r="CH35" s="36" t="n">
        <f aca="false">[5]Jun!$AK$1</f>
        <v>0</v>
      </c>
      <c r="CI35" s="36" t="n">
        <f aca="false">[6]Jun!$AK$1</f>
        <v>0</v>
      </c>
      <c r="CJ35" s="36" t="n">
        <f aca="false">[7]Jun!$AH$1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[4]Jul!$AK$1</f>
        <v>0</v>
      </c>
      <c r="CS35" s="36" t="n">
        <f aca="false">[5]Jul!$AK$1</f>
        <v>0</v>
      </c>
      <c r="CT35" s="36" t="n">
        <f aca="false">[6]Jul!$AK$1</f>
        <v>0</v>
      </c>
      <c r="CU35" s="36" t="n">
        <f aca="false">[7]Jul!$AH$1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[4]Aug!$AK$1</f>
        <v>0</v>
      </c>
      <c r="DD35" s="36" t="n">
        <f aca="false">[5]Aug!$AK$1</f>
        <v>0</v>
      </c>
      <c r="DE35" s="36" t="n">
        <f aca="false">[6]Aug!$AK$1</f>
        <v>0</v>
      </c>
      <c r="DF35" s="36" t="n">
        <f aca="false">[7]Aug!$AH$1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[4]Sep!$AK$1</f>
        <v>0</v>
      </c>
      <c r="DO35" s="36" t="n">
        <f aca="false">[5]Sep!$AK$1</f>
        <v>0</v>
      </c>
      <c r="DP35" s="36" t="n">
        <f aca="false">[6]Sep!$AK$1</f>
        <v>0</v>
      </c>
      <c r="DQ35" s="36" t="n">
        <f aca="false">[7]Sep!$AH$1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[4]Oct!$AK$1</f>
        <v>0</v>
      </c>
      <c r="DZ35" s="36" t="n">
        <f aca="false">[5]Oct!$AK$1</f>
        <v>0</v>
      </c>
      <c r="EA35" s="36" t="n">
        <f aca="false">[6]Oct!$AK$1</f>
        <v>0</v>
      </c>
      <c r="EB35" s="36" t="n">
        <f aca="false">[7]Oct!$AH$1</f>
        <v>0</v>
      </c>
      <c r="EC35" s="36"/>
      <c r="ED35" s="36" t="n">
        <f aca="false">-CorporationTax!K35</f>
        <v>-29221.272927469</v>
      </c>
      <c r="EE35" s="54"/>
      <c r="EF35" s="36" t="n">
        <f aca="false">SUM(DU35:EE35)</f>
        <v>-29221.272927469</v>
      </c>
      <c r="EG35" s="54"/>
      <c r="EH35" s="36" t="n">
        <f aca="false">-EH58</f>
        <v>64.5061728395062</v>
      </c>
      <c r="EI35" s="54"/>
      <c r="EJ35" s="36" t="n">
        <f aca="false">SUM(EF35:EH35)</f>
        <v>-29156.7667546295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-[4]Nov!$L$1+[4]Nov!$AF$1</f>
        <v>0</v>
      </c>
      <c r="I37" s="36" t="n">
        <f aca="false">-[5]Nov!$L$1+[5]Nov!$AF$1</f>
        <v>0</v>
      </c>
      <c r="J37" s="36" t="n">
        <f aca="false">-[6]Nov!$L$1+[6]Nov!$AF$1</f>
        <v>0</v>
      </c>
      <c r="K37" s="36" t="n">
        <f aca="false">-[7]Nov!$L$1+[7]Nov!$AC$1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-[4]Dec!$L$1+[4]Dec!$AF$1</f>
        <v>0</v>
      </c>
      <c r="T37" s="36" t="n">
        <f aca="false">-[5]Dec!$L$1+[5]Dec!$AF$1</f>
        <v>0</v>
      </c>
      <c r="U37" s="36" t="n">
        <f aca="false">-[6]Dec!$L$1+[6]Dec!$AF$1</f>
        <v>0</v>
      </c>
      <c r="V37" s="36" t="n">
        <f aca="false">-[7]Dec!$L$1+[7]Dec!$AC$1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-[4]Jan!$L$1+[4]Jan!$AF$1</f>
        <v>0</v>
      </c>
      <c r="AE37" s="36" t="n">
        <f aca="false">-[5]Jan!$L$1+[5]Jan!$AF$1</f>
        <v>0</v>
      </c>
      <c r="AF37" s="36" t="n">
        <f aca="false">-[6]Jan!$L$1+[6]Jan!$AF$1</f>
        <v>0</v>
      </c>
      <c r="AG37" s="36" t="n">
        <f aca="false">-[7]Jan!$L$1+[7]Jan!$AC$1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-[4]Feb!$L$1+[4]Feb!$AF$1</f>
        <v>0</v>
      </c>
      <c r="AP37" s="36" t="n">
        <f aca="false">-[5]Feb!$L$1+[5]Feb!$AF$1</f>
        <v>0</v>
      </c>
      <c r="AQ37" s="36" t="n">
        <f aca="false">-[6]Feb!$L$1+[6]Feb!$AF$1</f>
        <v>0</v>
      </c>
      <c r="AR37" s="36" t="n">
        <f aca="false">-[7]Feb!$L$1+[7]Feb!$AC$1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-[4]Mar!$L$1+[4]Mar!$AF$1</f>
        <v>0</v>
      </c>
      <c r="BA37" s="36" t="n">
        <f aca="false">-[5]Mar!$L$1+[5]Mar!$AF$1</f>
        <v>0</v>
      </c>
      <c r="BB37" s="36" t="n">
        <f aca="false">-[6]Mar!$L$1+[6]Mar!$AF$1</f>
        <v>0</v>
      </c>
      <c r="BC37" s="36" t="n">
        <f aca="false">-[7]Mar!$L$1+[7]Mar!$AC$1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-[4]Apr!$L$1+[4]Apr!$AF$1</f>
        <v>0</v>
      </c>
      <c r="BL37" s="36" t="n">
        <f aca="false">-[5]Apr!$L$1+[5]Apr!$AF$1</f>
        <v>0</v>
      </c>
      <c r="BM37" s="36" t="n">
        <f aca="false">-[6]Apr!$L$1+[6]Apr!$AF$1</f>
        <v>0</v>
      </c>
      <c r="BN37" s="36" t="n">
        <f aca="false">-[7]Apr!$L$1+[7]Apr!$AC$1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-[4]May!$L$1+[4]May!$AF$1</f>
        <v>0</v>
      </c>
      <c r="BW37" s="36" t="n">
        <f aca="false">-[5]May!$L$1+[5]May!$AF$1</f>
        <v>0</v>
      </c>
      <c r="BX37" s="36" t="n">
        <f aca="false">-[6]May!$L$1+[6]May!$AF$1</f>
        <v>0</v>
      </c>
      <c r="BY37" s="36" t="n">
        <f aca="false">-[7]May!$L$1+[7]May!$AC$1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-[4]Jun!$L$1+[4]Jun!$AF$1</f>
        <v>0</v>
      </c>
      <c r="CH37" s="36" t="n">
        <f aca="false">-[5]Jun!$L$1+[5]Jun!$AF$1</f>
        <v>0</v>
      </c>
      <c r="CI37" s="36" t="n">
        <f aca="false">-[6]Jun!$L$1+[6]Jun!$AF$1</f>
        <v>0</v>
      </c>
      <c r="CJ37" s="36" t="n">
        <f aca="false">-[7]Jun!$L$1+[7]Jun!$AC$1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-[4]Jul!$L$1+[4]Jul!$AF$1</f>
        <v>0</v>
      </c>
      <c r="CS37" s="36" t="n">
        <f aca="false">-[5]Jul!$L$1+[5]Jul!$AF$1</f>
        <v>0</v>
      </c>
      <c r="CT37" s="36" t="n">
        <f aca="false">-[6]Jul!$L$1+[6]Jul!$AF$1</f>
        <v>0</v>
      </c>
      <c r="CU37" s="36" t="n">
        <f aca="false">-[7]Jul!$L$1+[7]Jul!$AC$1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-[4]Aug!$L$1+[4]Aug!$AF$1</f>
        <v>0</v>
      </c>
      <c r="DD37" s="36" t="n">
        <f aca="false">-[5]Aug!$L$1+[5]Aug!$AF$1</f>
        <v>0</v>
      </c>
      <c r="DE37" s="36" t="n">
        <f aca="false">-[6]Aug!$L$1+[6]Aug!$AF$1</f>
        <v>0</v>
      </c>
      <c r="DF37" s="36" t="n">
        <f aca="false">-[7]Aug!$L$1+[7]Aug!$AC$1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-[4]Sep!$L$1+[4]Sep!$AF$1</f>
        <v>0</v>
      </c>
      <c r="DO37" s="36" t="n">
        <f aca="false">-[5]Sep!$L$1+[5]Sep!$AF$1</f>
        <v>0</v>
      </c>
      <c r="DP37" s="36" t="n">
        <f aca="false">-[6]Sep!$L$1+[6]Sep!$AF$1</f>
        <v>0</v>
      </c>
      <c r="DQ37" s="36" t="n">
        <f aca="false">-[7]Sep!$L$1+[7]Sep!$AC$1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-[4]Oct!$L$1+[4]Oct!$AF$1</f>
        <v>0</v>
      </c>
      <c r="DZ37" s="36" t="n">
        <f aca="false">-[5]Oct!$L$1+[5]Oct!$AF$1</f>
        <v>0</v>
      </c>
      <c r="EA37" s="36" t="n">
        <f aca="false">-[6]Oct!$L$1+[6]Oct!$AF$1</f>
        <v>0</v>
      </c>
      <c r="EB37" s="36" t="n">
        <f aca="false">-[7]Oct!$L$1+[7]Oct!$AC$1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-[4]Nov!$P$1+[4]Nov!$AM$1</f>
        <v>1000</v>
      </c>
      <c r="I39" s="36" t="n">
        <f aca="false">-[5]Nov!$P$1+[5]Nov!$AM$1</f>
        <v>0</v>
      </c>
      <c r="J39" s="36" t="n">
        <f aca="false">-[6]Nov!$P$1+[6]Nov!$AM$1</f>
        <v>0</v>
      </c>
      <c r="K39" s="36" t="n">
        <f aca="false">-[7]Nov!$N$1+[7]Nov!$AJ$1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-[4]Dec!$P$1+[4]Dec!$AM$1</f>
        <v>1000</v>
      </c>
      <c r="T39" s="36" t="n">
        <f aca="false">-[5]Dec!$P$1+[5]Dec!$AM$1</f>
        <v>0</v>
      </c>
      <c r="U39" s="36" t="n">
        <f aca="false">-[6]Dec!$P$1+[6]Dec!$AM$1</f>
        <v>0</v>
      </c>
      <c r="V39" s="36" t="n">
        <f aca="false">-[7]Dec!$N$1+[7]Dec!$AJ$1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-[4]Jan!$P$1+[4]Jan!$AM$1</f>
        <v>1000</v>
      </c>
      <c r="AE39" s="36" t="n">
        <f aca="false">-[5]Jan!$P$1+[5]Jan!$AM$1</f>
        <v>0</v>
      </c>
      <c r="AF39" s="36" t="n">
        <f aca="false">-[6]Jan!$P$1+[6]Jan!$AM$1</f>
        <v>0</v>
      </c>
      <c r="AG39" s="36" t="n">
        <f aca="false">-[7]Jan!$N$1+[7]Jan!$AJ$1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-[4]Feb!$P$1+[4]Feb!$AM$1</f>
        <v>1000</v>
      </c>
      <c r="AP39" s="36" t="n">
        <f aca="false">-[5]Feb!$P$1+[5]Feb!$AM$1</f>
        <v>0</v>
      </c>
      <c r="AQ39" s="36" t="n">
        <f aca="false">-[6]Feb!$P$1+[6]Feb!$AM$1</f>
        <v>0</v>
      </c>
      <c r="AR39" s="36" t="n">
        <f aca="false">-[7]Feb!$N$1+[7]Feb!$AJ$1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-[4]Mar!$P$1+[4]Mar!$AM$1</f>
        <v>1000</v>
      </c>
      <c r="BA39" s="36" t="n">
        <f aca="false">-[5]Mar!$P$1+[5]Mar!$AM$1</f>
        <v>0</v>
      </c>
      <c r="BB39" s="36" t="n">
        <f aca="false">-[6]Mar!$P$1+[6]Mar!$AM$1</f>
        <v>0</v>
      </c>
      <c r="BC39" s="36" t="n">
        <f aca="false">-[7]Mar!$N$1+[7]Mar!$AJ$1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-[4]Apr!$P$1+[4]Apr!$AM$1</f>
        <v>1000</v>
      </c>
      <c r="BL39" s="36" t="n">
        <f aca="false">-[5]Apr!$P$1+[5]Apr!$AM$1</f>
        <v>0</v>
      </c>
      <c r="BM39" s="36" t="n">
        <f aca="false">-[6]Apr!$P$1+[6]Apr!$AM$1</f>
        <v>0</v>
      </c>
      <c r="BN39" s="36" t="n">
        <f aca="false">-[7]Apr!$N$1+[7]Apr!$AJ$1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-[4]May!$P$1+[4]May!$AM$1</f>
        <v>1000</v>
      </c>
      <c r="BW39" s="36" t="n">
        <f aca="false">-[5]May!$P$1+[5]May!$AM$1</f>
        <v>0</v>
      </c>
      <c r="BX39" s="36" t="n">
        <f aca="false">-[6]May!$P$1+[6]May!$AM$1</f>
        <v>0</v>
      </c>
      <c r="BY39" s="36" t="n">
        <f aca="false">-[7]May!$N$1+[7]May!$AJ$1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-[4]Jun!$P$1+[4]Jun!$AM$1</f>
        <v>1000</v>
      </c>
      <c r="CH39" s="36" t="n">
        <f aca="false">-[5]Jun!$P$1+[5]Jun!$AM$1</f>
        <v>0</v>
      </c>
      <c r="CI39" s="36" t="n">
        <f aca="false">-[6]Jun!$P$1+[6]Jun!$AM$1</f>
        <v>0</v>
      </c>
      <c r="CJ39" s="36" t="n">
        <f aca="false">-[7]Jun!$N$1+[7]Jun!$AJ$1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-[4]Jul!$P$1+[4]Jul!$AM$1</f>
        <v>1000</v>
      </c>
      <c r="CS39" s="36" t="n">
        <f aca="false">-[5]Jul!$P$1+[5]Jul!$AM$1</f>
        <v>0</v>
      </c>
      <c r="CT39" s="36" t="n">
        <f aca="false">-[6]Jul!$P$1+[6]Jul!$AM$1</f>
        <v>0</v>
      </c>
      <c r="CU39" s="36" t="n">
        <f aca="false">-[7]Jul!$N$1+[7]Jul!$AJ$1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-[4]Aug!$P$1+[4]Aug!$AM$1</f>
        <v>-4000</v>
      </c>
      <c r="DD39" s="36" t="n">
        <f aca="false">-[5]Aug!$P$1+[5]Aug!$AM$1</f>
        <v>0</v>
      </c>
      <c r="DE39" s="36" t="n">
        <f aca="false">-[6]Aug!$P$1+[6]Aug!$AM$1</f>
        <v>0</v>
      </c>
      <c r="DF39" s="36" t="n">
        <f aca="false">-[7]Aug!$N$1+[7]Aug!$AJ$1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-[4]Sep!$P$1+[4]Sep!$AM$1</f>
        <v>1000</v>
      </c>
      <c r="DO39" s="36" t="n">
        <f aca="false">-[5]Sep!$P$1+[5]Sep!$AM$1</f>
        <v>0</v>
      </c>
      <c r="DP39" s="36" t="n">
        <f aca="false">-[6]Sep!$P$1+[6]Sep!$AM$1</f>
        <v>0</v>
      </c>
      <c r="DQ39" s="36" t="n">
        <f aca="false">-[7]Sep!$N$1+[7]Sep!$AJ$1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-[4]Oct!$P$1+[4]Oct!$AM$1</f>
        <v>1000</v>
      </c>
      <c r="DZ39" s="36" t="n">
        <f aca="false">-[5]Oct!$P$1+[5]Oct!$AM$1</f>
        <v>0</v>
      </c>
      <c r="EA39" s="36" t="n">
        <f aca="false">-[6]Oct!$P$1+[6]Oct!$AM$1</f>
        <v>0</v>
      </c>
      <c r="EB39" s="36" t="n">
        <f aca="false">-[7]Oct!$N$1+[7]Oct!$AJ$1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-25000</v>
      </c>
      <c r="E40" s="57"/>
      <c r="F40" s="36"/>
      <c r="G40" s="36"/>
      <c r="H40" s="36" t="n">
        <f aca="false">-[4]Nov!$M$1+[4]Nov!$AG$1</f>
        <v>0</v>
      </c>
      <c r="I40" s="36" t="n">
        <f aca="false">-[5]Nov!$M$1+[5]Nov!$AG$1</f>
        <v>0</v>
      </c>
      <c r="J40" s="36" t="n">
        <f aca="false">-[6]Nov!$M$1+[6]Nov!$AG$1</f>
        <v>0</v>
      </c>
      <c r="K40" s="36" t="n">
        <f aca="false">-[7]Nov!$M$1+[7]Nov!$AD$1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-[4]Dec!$M$1+[4]Dec!$AG$1</f>
        <v>0</v>
      </c>
      <c r="T40" s="36" t="n">
        <f aca="false">-[5]Dec!$M$1+[5]Dec!$AG$1</f>
        <v>0</v>
      </c>
      <c r="U40" s="36" t="n">
        <f aca="false">-[6]Dec!$M$1+[6]Dec!$AG$1</f>
        <v>0</v>
      </c>
      <c r="V40" s="36" t="n">
        <f aca="false">-[7]Dec!$M$1+[7]Dec!$AD$1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-[4]Jan!$M$1+[4]Jan!$AG$1</f>
        <v>0</v>
      </c>
      <c r="AE40" s="36" t="n">
        <f aca="false">-[5]Jan!$M$1+[5]Jan!$AG$1</f>
        <v>0</v>
      </c>
      <c r="AF40" s="36" t="n">
        <f aca="false">-[6]Jan!$M$1+[6]Jan!$AG$1</f>
        <v>0</v>
      </c>
      <c r="AG40" s="36" t="n">
        <f aca="false">-[7]Jan!$M$1+[7]Jan!$AD$1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-[4]Feb!$M$1+[4]Feb!$AG$1</f>
        <v>0</v>
      </c>
      <c r="AP40" s="36" t="n">
        <f aca="false">-[5]Feb!$M$1+[5]Feb!$AG$1</f>
        <v>0</v>
      </c>
      <c r="AQ40" s="36" t="n">
        <f aca="false">-[6]Feb!$M$1+[6]Feb!$AG$1</f>
        <v>0</v>
      </c>
      <c r="AR40" s="36" t="n">
        <f aca="false">-[7]Feb!$M$1+[7]Feb!$AD$1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-[4]Mar!$M$1+[4]Mar!$AG$1</f>
        <v>0</v>
      </c>
      <c r="BA40" s="36" t="n">
        <f aca="false">-[5]Mar!$M$1+[5]Mar!$AG$1</f>
        <v>0</v>
      </c>
      <c r="BB40" s="36" t="n">
        <f aca="false">-[6]Mar!$M$1+[6]Mar!$AG$1</f>
        <v>0</v>
      </c>
      <c r="BC40" s="36" t="n">
        <f aca="false">-[7]Mar!$M$1+[7]Mar!$AD$1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-[4]Apr!$M$1+[4]Apr!$AG$1</f>
        <v>0</v>
      </c>
      <c r="BL40" s="36" t="n">
        <f aca="false">-[5]Apr!$M$1+[5]Apr!$AG$1</f>
        <v>0</v>
      </c>
      <c r="BM40" s="36" t="n">
        <f aca="false">-[6]Apr!$M$1+[6]Apr!$AG$1</f>
        <v>0</v>
      </c>
      <c r="BN40" s="36" t="n">
        <f aca="false">-[7]Apr!$M$1+[7]Apr!$AD$1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-[4]May!$M$1+[4]May!$AG$1</f>
        <v>0</v>
      </c>
      <c r="BW40" s="36" t="n">
        <f aca="false">-[5]May!$M$1+[5]May!$AG$1</f>
        <v>0</v>
      </c>
      <c r="BX40" s="36" t="n">
        <f aca="false">-[6]May!$M$1+[6]May!$AG$1</f>
        <v>0</v>
      </c>
      <c r="BY40" s="36" t="n">
        <f aca="false">-[7]May!$M$1+[7]May!$AD$1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-[4]Jun!$M$1+[4]Jun!$AG$1</f>
        <v>0</v>
      </c>
      <c r="CH40" s="36" t="n">
        <f aca="false">-[5]Jun!$M$1+[5]Jun!$AG$1</f>
        <v>0</v>
      </c>
      <c r="CI40" s="36" t="n">
        <f aca="false">-[6]Jun!$M$1+[6]Jun!$AG$1</f>
        <v>0</v>
      </c>
      <c r="CJ40" s="36" t="n">
        <f aca="false">-[7]Jun!$M$1+[7]Jun!$AD$1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-[4]Jul!$M$1+[4]Jul!$AG$1</f>
        <v>0</v>
      </c>
      <c r="CS40" s="36" t="n">
        <f aca="false">-[5]Jul!$M$1+[5]Jul!$AG$1</f>
        <v>0</v>
      </c>
      <c r="CT40" s="36" t="n">
        <f aca="false">-[6]Jul!$M$1+[6]Jul!$AG$1</f>
        <v>0</v>
      </c>
      <c r="CU40" s="36" t="n">
        <f aca="false">-[7]Jul!$M$1+[7]Jul!$AD$1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-[4]Aug!$M$1+[4]Aug!$AG$1</f>
        <v>0</v>
      </c>
      <c r="DD40" s="36" t="n">
        <f aca="false">-[5]Aug!$M$1+[5]Aug!$AG$1</f>
        <v>0</v>
      </c>
      <c r="DE40" s="36" t="n">
        <f aca="false">-[6]Aug!$M$1+[6]Aug!$AG$1</f>
        <v>0</v>
      </c>
      <c r="DF40" s="36" t="n">
        <f aca="false">-[7]Aug!$M$1+[7]Aug!$AD$1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-[4]Sep!$M$1+[4]Sep!$AG$1</f>
        <v>0</v>
      </c>
      <c r="DO40" s="36" t="n">
        <f aca="false">-[5]Sep!$M$1+[5]Sep!$AG$1</f>
        <v>0</v>
      </c>
      <c r="DP40" s="36" t="n">
        <f aca="false">-[6]Sep!$M$1+[6]Sep!$AG$1</f>
        <v>0</v>
      </c>
      <c r="DQ40" s="36" t="n">
        <f aca="false">-[7]Sep!$M$1+[7]Sep!$AD$1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-[4]Oct!$M$1+[4]Oct!$AG$1</f>
        <v>0</v>
      </c>
      <c r="DZ40" s="36" t="n">
        <f aca="false">-[5]Oct!$M$1+[5]Oct!$AG$1</f>
        <v>0</v>
      </c>
      <c r="EA40" s="36" t="n">
        <f aca="false">-[6]Oct!$M$1+[6]Oct!$AG$1</f>
        <v>0</v>
      </c>
      <c r="EB40" s="36" t="n">
        <f aca="false">-[7]Oct!$M$1+[7]Oct!$AD$1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-180702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-180702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-180702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-180702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-180702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-180702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-180702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-180702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-180702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-180702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-180702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-180702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-180702</v>
      </c>
      <c r="EG43" s="54"/>
      <c r="EH43" s="36" t="n">
        <f aca="false">-'PubP&amp;L'!F54</f>
        <v>-127958.624912037</v>
      </c>
      <c r="EI43" s="54"/>
      <c r="EJ43" s="36" t="n">
        <f aca="false">SUM(EF43:EH43)</f>
        <v>-308660.624912037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29221.272927469</v>
      </c>
      <c r="EE47" s="54"/>
      <c r="EF47" s="36" t="n">
        <f aca="false">SUM(DU47:EE47)</f>
        <v>29221.272927469</v>
      </c>
      <c r="EG47" s="54"/>
      <c r="EI47" s="54"/>
      <c r="EJ47" s="36" t="n">
        <f aca="false">SUM(EF47:EH47)</f>
        <v>29221.272927469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127958.624912037</v>
      </c>
      <c r="EI49" s="54"/>
      <c r="EJ49" s="36" t="n">
        <f aca="false">SUM(EF49:EH49)</f>
        <v>127958.624912037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-[3]Nov!$O$1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-[3]Dec!$O$1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-[3]Jan!$O$1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-[3]Feb!$O$1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-[3]Mar!$O$1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-[3]Apr!$O$1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-[3]May!$O$1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-[3]Jun!$O$1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-[3]Jul!$O$1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-[3]Aug!$O$1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-[3]Sep!$O$1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-[3]Oct!$O$1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-[3]Nov!$P$1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-[3]Dec!$P$1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-[3]Jan!$P$1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-[3]Feb!$P$1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-[3]Mar!$P$1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-[3]Apr!$P$1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-[3]May!$P$1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-[3]Jun!$P$1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-[3]Jul!$P$1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-[3]Aug!$P$1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-[3]Sep!$P$1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-[3]Oct!$P$1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-[3]Nov!$Q$1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-[3]Dec!$Q$1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-[3]Jan!$Q$1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-[3]Feb!$Q$1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-[3]Mar!$Q$1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-[3]Apr!$Q$1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-[3]May!$Q$1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-[3]Jun!$Q$1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-[3]Jul!$Q$1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-[3]Aug!$Q$1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-[3]Sep!$Q$1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-[3]Oct!$Q$1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-[3]Nov!$R$1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-[3]Dec!$R$1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-[3]Jan!$R$1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-[3]Feb!$R$1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-[3]Mar!$R$1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-[3]Apr!$R$1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-[3]May!$R$1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-[3]Jun!$R$1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-[3]Jul!$R$1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-[3]Aug!$R$1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-[3]Sep!$R$1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-[3]Oct!$R$1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-[3]Nov!$S$1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-[3]Dec!$S$1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-[3]Jan!$S$1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-[3]Feb!$S$1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-[3]Mar!$S$1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-[3]Apr!$S$1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-[3]May!$S$1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-[3]Jun!$S$1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-[3]Jul!$S$1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-[3]Aug!$S$1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-[3]Sep!$S$1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-[3]Oct!$S$1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-[4]Nov!$K$1</f>
        <v>-0</v>
      </c>
      <c r="I58" s="36" t="n">
        <f aca="false">-[5]Nov!$K$1</f>
        <v>-0</v>
      </c>
      <c r="J58" s="36" t="n">
        <f aca="false">-[6]Nov!$K$1</f>
        <v>-0</v>
      </c>
      <c r="K58" s="36" t="n">
        <f aca="false">-[7]Nov!$K$1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-[4]Dec!$K$1</f>
        <v>-0</v>
      </c>
      <c r="T58" s="36" t="n">
        <f aca="false">-[5]Dec!$K$1</f>
        <v>-0</v>
      </c>
      <c r="U58" s="36" t="n">
        <f aca="false">-[6]Dec!$K$1</f>
        <v>-0</v>
      </c>
      <c r="V58" s="36" t="n">
        <f aca="false">-[7]Dec!$K$1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-[4]Jan!$K$1</f>
        <v>-0</v>
      </c>
      <c r="AE58" s="36" t="n">
        <f aca="false">-[5]Jan!$K$1</f>
        <v>-0</v>
      </c>
      <c r="AF58" s="36" t="n">
        <f aca="false">-[6]Jan!$K$1</f>
        <v>-0</v>
      </c>
      <c r="AG58" s="36" t="n">
        <f aca="false">-[7]Jan!$K$1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-[4]Feb!$K$1</f>
        <v>-0</v>
      </c>
      <c r="AP58" s="36" t="n">
        <f aca="false">-[5]Feb!$K$1</f>
        <v>-0</v>
      </c>
      <c r="AQ58" s="36" t="n">
        <f aca="false">-[6]Feb!$K$1</f>
        <v>-0</v>
      </c>
      <c r="AR58" s="36" t="n">
        <f aca="false">-[7]Feb!$K$1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-[4]Mar!$K$1</f>
        <v>-0</v>
      </c>
      <c r="BA58" s="36" t="n">
        <f aca="false">-[5]Mar!$K$1</f>
        <v>-0</v>
      </c>
      <c r="BB58" s="36" t="n">
        <f aca="false">-[6]Mar!$K$1</f>
        <v>-0</v>
      </c>
      <c r="BC58" s="36" t="n">
        <f aca="false">-[7]Mar!$K$1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-[4]Apr!$K$1</f>
        <v>-0</v>
      </c>
      <c r="BL58" s="36" t="n">
        <f aca="false">-[5]Apr!$K$1</f>
        <v>-125</v>
      </c>
      <c r="BM58" s="36" t="n">
        <f aca="false">-[6]Apr!$K$1</f>
        <v>-0</v>
      </c>
      <c r="BN58" s="36" t="n">
        <f aca="false">-[7]Apr!$K$1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-[4]May!$K$1</f>
        <v>-0</v>
      </c>
      <c r="BW58" s="36" t="n">
        <f aca="false">-[5]May!$K$1</f>
        <v>-0</v>
      </c>
      <c r="BX58" s="36" t="n">
        <f aca="false">-[6]May!$K$1</f>
        <v>-0</v>
      </c>
      <c r="BY58" s="36" t="n">
        <f aca="false">-[7]May!$K$1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-[4]Jun!$K$1</f>
        <v>-0</v>
      </c>
      <c r="CH58" s="36" t="n">
        <f aca="false">-[5]Jun!$K$1</f>
        <v>-0</v>
      </c>
      <c r="CI58" s="36" t="n">
        <f aca="false">-[6]Jun!$K$1</f>
        <v>-0</v>
      </c>
      <c r="CJ58" s="36" t="n">
        <f aca="false">-[7]Jun!$K$1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-[4]Jul!$K$1</f>
        <v>-0</v>
      </c>
      <c r="CS58" s="36" t="n">
        <f aca="false">-[5]Jul!$K$1</f>
        <v>-0</v>
      </c>
      <c r="CT58" s="36" t="n">
        <f aca="false">-[6]Jul!$K$1</f>
        <v>-0</v>
      </c>
      <c r="CU58" s="36" t="n">
        <f aca="false">-[7]Jul!$K$1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-[4]Aug!$K$1</f>
        <v>-0</v>
      </c>
      <c r="DD58" s="36" t="n">
        <f aca="false">-[5]Aug!$K$1</f>
        <v>-0</v>
      </c>
      <c r="DE58" s="36" t="n">
        <f aca="false">-[6]Aug!$K$1</f>
        <v>-0</v>
      </c>
      <c r="DF58" s="36" t="n">
        <f aca="false">-[7]Aug!$K$1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-[4]Sep!$K$1</f>
        <v>-0</v>
      </c>
      <c r="DO58" s="36" t="n">
        <f aca="false">-[5]Sep!$K$1</f>
        <v>-0</v>
      </c>
      <c r="DP58" s="36" t="n">
        <f aca="false">-[6]Sep!$K$1</f>
        <v>-0</v>
      </c>
      <c r="DQ58" s="36" t="n">
        <f aca="false">-[7]Sep!$K$1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-[4]Oct!$K$1</f>
        <v>-0</v>
      </c>
      <c r="DZ58" s="36" t="n">
        <f aca="false">-[5]Oct!$K$1</f>
        <v>-150</v>
      </c>
      <c r="EA58" s="36" t="n">
        <f aca="false">-[6]Oct!$K$1</f>
        <v>-0</v>
      </c>
      <c r="EB58" s="36" t="n">
        <f aca="false">-[7]Oct!$K$1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[2]Nov!$O$1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[2]Dec!$O$1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[2]Jan!$O$1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[2]Feb!$O$1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[2]Mar!$O$1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[2]Apr!$O$1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[2]May!$O$1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[2]Jun!$O$1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[2]Jul!$O$1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[2]Aug!$O$1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[2]Sep!$O$1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[2]Oct!$O$1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[2]Nov!$P$1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[2]Dec!$P$1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[2]Jan!$P$1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[2]Feb!$P$1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[2]Mar!$P$1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[2]Apr!$P$1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[2]May!$P$1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[2]Jun!$P$1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[2]Jul!$P$1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[2]Aug!$P$1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[2]Sep!$P$1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[2]Oct!$P$1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[2]Nov!$Q$1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[2]Dec!$Q$1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[2]Jan!$Q$1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[2]Feb!$Q$1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[2]Mar!$Q$1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[2]Apr!$Q$1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[2]May!$Q$1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[2]Jun!$Q$1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[2]Jul!$Q$1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[2]Aug!$Q$1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[2]Sep!$Q$1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[2]Oct!$Q$1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5700</v>
      </c>
      <c r="N64" s="57"/>
      <c r="O64" s="36" t="n">
        <f aca="false">SUM(D64:N64)</f>
        <v>5700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5700</v>
      </c>
      <c r="X64" s="36"/>
      <c r="Y64" s="54"/>
      <c r="Z64" s="36" t="n">
        <f aca="false">SUM(O64:Y64)</f>
        <v>11400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5700</v>
      </c>
      <c r="AI64" s="36"/>
      <c r="AJ64" s="54"/>
      <c r="AK64" s="36" t="n">
        <f aca="false">SUM(Z64:AJ64)</f>
        <v>17100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5700</v>
      </c>
      <c r="AT64" s="36"/>
      <c r="AU64" s="54"/>
      <c r="AV64" s="36" t="n">
        <f aca="false">SUM(AK64:AU64)</f>
        <v>22800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5700</v>
      </c>
      <c r="BE64" s="36"/>
      <c r="BF64" s="54"/>
      <c r="BG64" s="36" t="n">
        <f aca="false">SUM(AV64:BF64)</f>
        <v>28500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5700</v>
      </c>
      <c r="BP64" s="36"/>
      <c r="BQ64" s="54"/>
      <c r="BR64" s="36" t="n">
        <f aca="false">SUM(BG64:BQ64)</f>
        <v>34200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5700</v>
      </c>
      <c r="CA64" s="36"/>
      <c r="CB64" s="54"/>
      <c r="CC64" s="36" t="n">
        <f aca="false">SUM(BR64:CB64)</f>
        <v>39900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5700</v>
      </c>
      <c r="CL64" s="36"/>
      <c r="CM64" s="54"/>
      <c r="CN64" s="36" t="n">
        <f aca="false">SUM(CC64:CM64)</f>
        <v>45600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5700</v>
      </c>
      <c r="CW64" s="36"/>
      <c r="CX64" s="54"/>
      <c r="CY64" s="36" t="n">
        <f aca="false">SUM(CN64:CX64)</f>
        <v>51300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5700</v>
      </c>
      <c r="DH64" s="36"/>
      <c r="DI64" s="54"/>
      <c r="DJ64" s="36" t="n">
        <f aca="false">SUM(CY64:DI64)</f>
        <v>57000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5700</v>
      </c>
      <c r="DS64" s="36"/>
      <c r="DT64" s="54"/>
      <c r="DU64" s="36" t="n">
        <f aca="false">SUM(DJ64:DT64)</f>
        <v>62700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5700</v>
      </c>
      <c r="ED64" s="36"/>
      <c r="EE64" s="54"/>
      <c r="EF64" s="36" t="n">
        <f aca="false">SUM(DU64:EE64)</f>
        <v>68400</v>
      </c>
      <c r="EG64" s="54"/>
      <c r="EI64" s="54"/>
      <c r="EJ64" s="36" t="n">
        <f aca="false">SUM(EF64:EH64)</f>
        <v>68400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[2]Nov!$S$1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[2]Dec!$S$1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[2]Jan!$S$1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[2]Feb!$S$1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[2]Mar!$S$1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[2]Apr!$S$1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[2]May!$S$1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[2]Jun!$S$1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[2]Jul!$S$1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[2]Aug!$S$1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[2]Sep!$S$1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[2]Oct!$S$1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[2]Nov!$R$1</f>
        <v>0</v>
      </c>
      <c r="H66" s="36"/>
      <c r="I66" s="36"/>
      <c r="J66" s="36"/>
      <c r="K66" s="36"/>
      <c r="L66" s="36" t="n">
        <f aca="false">WagesInterface!C17-WagesInterface!I17</f>
        <v>1048</v>
      </c>
      <c r="N66" s="57"/>
      <c r="O66" s="36" t="n">
        <f aca="false">SUM(D66:N66)</f>
        <v>1048</v>
      </c>
      <c r="P66" s="57"/>
      <c r="Q66" s="36"/>
      <c r="R66" s="36" t="n">
        <f aca="false">[2]Dec!$R$1</f>
        <v>0</v>
      </c>
      <c r="S66" s="36"/>
      <c r="T66" s="36"/>
      <c r="U66" s="36"/>
      <c r="V66" s="36"/>
      <c r="W66" s="36" t="n">
        <f aca="false">WagesInterface!C18-WagesInterface!I18</f>
        <v>1048</v>
      </c>
      <c r="X66" s="36"/>
      <c r="Y66" s="54"/>
      <c r="Z66" s="36" t="n">
        <f aca="false">SUM(O66:Y66)</f>
        <v>2096</v>
      </c>
      <c r="AA66" s="57"/>
      <c r="AB66" s="36"/>
      <c r="AC66" s="36" t="n">
        <f aca="false">[2]Jan!$R$1</f>
        <v>0</v>
      </c>
      <c r="AD66" s="36"/>
      <c r="AE66" s="36"/>
      <c r="AF66" s="36"/>
      <c r="AG66" s="36"/>
      <c r="AH66" s="36" t="n">
        <f aca="false">WagesInterface!C19-WagesInterface!I19</f>
        <v>1048</v>
      </c>
      <c r="AI66" s="36"/>
      <c r="AJ66" s="54"/>
      <c r="AK66" s="36" t="n">
        <f aca="false">SUM(Z66:AJ66)</f>
        <v>3144</v>
      </c>
      <c r="AL66" s="57"/>
      <c r="AM66" s="36"/>
      <c r="AN66" s="36" t="n">
        <f aca="false">[2]Feb!$R$1</f>
        <v>0</v>
      </c>
      <c r="AO66" s="36"/>
      <c r="AP66" s="36"/>
      <c r="AQ66" s="36"/>
      <c r="AR66" s="36"/>
      <c r="AS66" s="36" t="n">
        <f aca="false">WagesInterface!C20-WagesInterface!I20</f>
        <v>1048</v>
      </c>
      <c r="AT66" s="36"/>
      <c r="AU66" s="54"/>
      <c r="AV66" s="36" t="n">
        <f aca="false">SUM(AK66:AU66)</f>
        <v>4192</v>
      </c>
      <c r="AW66" s="57"/>
      <c r="AX66" s="36"/>
      <c r="AY66" s="36" t="n">
        <f aca="false">[2]Mar!$R$1</f>
        <v>0</v>
      </c>
      <c r="AZ66" s="36"/>
      <c r="BA66" s="36"/>
      <c r="BB66" s="36"/>
      <c r="BC66" s="36"/>
      <c r="BD66" s="36" t="n">
        <f aca="false">WagesInterface!C21-WagesInterface!I21</f>
        <v>1048</v>
      </c>
      <c r="BE66" s="36"/>
      <c r="BF66" s="54"/>
      <c r="BG66" s="36" t="n">
        <f aca="false">SUM(AV66:BF66)</f>
        <v>5240</v>
      </c>
      <c r="BH66" s="57"/>
      <c r="BI66" s="36"/>
      <c r="BJ66" s="36" t="n">
        <f aca="false">[2]Apr!$R$1</f>
        <v>0</v>
      </c>
      <c r="BK66" s="36"/>
      <c r="BL66" s="36"/>
      <c r="BM66" s="36"/>
      <c r="BN66" s="36"/>
      <c r="BO66" s="36" t="n">
        <f aca="false">WagesInterface!C22-WagesInterface!I22</f>
        <v>1048</v>
      </c>
      <c r="BP66" s="36"/>
      <c r="BQ66" s="54"/>
      <c r="BR66" s="36" t="n">
        <f aca="false">SUM(BG66:BQ66)</f>
        <v>6288</v>
      </c>
      <c r="BS66" s="57"/>
      <c r="BT66" s="36"/>
      <c r="BU66" s="36" t="n">
        <f aca="false">[2]May!$R$1</f>
        <v>0</v>
      </c>
      <c r="BV66" s="36"/>
      <c r="BW66" s="36"/>
      <c r="BX66" s="36"/>
      <c r="BY66" s="36"/>
      <c r="BZ66" s="36" t="n">
        <f aca="false">WagesInterface!C23-WagesInterface!I23</f>
        <v>1048</v>
      </c>
      <c r="CA66" s="36"/>
      <c r="CB66" s="54"/>
      <c r="CC66" s="36" t="n">
        <f aca="false">SUM(BR66:CB66)</f>
        <v>7336</v>
      </c>
      <c r="CD66" s="57"/>
      <c r="CE66" s="36"/>
      <c r="CF66" s="36" t="n">
        <f aca="false">[2]Jun!$R$1</f>
        <v>0</v>
      </c>
      <c r="CG66" s="36"/>
      <c r="CH66" s="36"/>
      <c r="CI66" s="36"/>
      <c r="CJ66" s="36"/>
      <c r="CK66" s="36" t="n">
        <f aca="false">WagesInterface!C24-WagesInterface!I24</f>
        <v>1048</v>
      </c>
      <c r="CL66" s="36"/>
      <c r="CM66" s="54"/>
      <c r="CN66" s="36" t="n">
        <f aca="false">SUM(CC66:CM66)</f>
        <v>8384</v>
      </c>
      <c r="CO66" s="57"/>
      <c r="CP66" s="36"/>
      <c r="CQ66" s="36" t="n">
        <f aca="false">[2]Jul!$R$1</f>
        <v>4166.66666666667</v>
      </c>
      <c r="CR66" s="36"/>
      <c r="CS66" s="36"/>
      <c r="CT66" s="36"/>
      <c r="CU66" s="36"/>
      <c r="CV66" s="36" t="n">
        <f aca="false">WagesInterface!C25-WagesInterface!I25</f>
        <v>1048</v>
      </c>
      <c r="CW66" s="36"/>
      <c r="CX66" s="54"/>
      <c r="CY66" s="36" t="n">
        <f aca="false">SUM(CN66:CX66)</f>
        <v>13598.6666666667</v>
      </c>
      <c r="CZ66" s="57"/>
      <c r="DA66" s="36"/>
      <c r="DB66" s="36" t="n">
        <f aca="false">[2]Aug!$R$1</f>
        <v>0</v>
      </c>
      <c r="DC66" s="36"/>
      <c r="DD66" s="36"/>
      <c r="DE66" s="36"/>
      <c r="DF66" s="36"/>
      <c r="DG66" s="36" t="n">
        <f aca="false">WagesInterface!C26-WagesInterface!I26</f>
        <v>1048</v>
      </c>
      <c r="DH66" s="36"/>
      <c r="DI66" s="54"/>
      <c r="DJ66" s="36" t="n">
        <f aca="false">SUM(CY66:DI66)</f>
        <v>14646.6666666667</v>
      </c>
      <c r="DK66" s="57"/>
      <c r="DL66" s="36"/>
      <c r="DM66" s="36" t="n">
        <f aca="false">[2]Sep!$R$1</f>
        <v>0</v>
      </c>
      <c r="DN66" s="36"/>
      <c r="DO66" s="36"/>
      <c r="DP66" s="36"/>
      <c r="DQ66" s="36"/>
      <c r="DR66" s="36" t="n">
        <f aca="false">WagesInterface!C27-WagesInterface!I27</f>
        <v>1048</v>
      </c>
      <c r="DS66" s="36"/>
      <c r="DT66" s="54"/>
      <c r="DU66" s="36" t="n">
        <f aca="false">SUM(DJ66:DT66)</f>
        <v>15694.6666666667</v>
      </c>
      <c r="DV66" s="57"/>
      <c r="DW66" s="36"/>
      <c r="DX66" s="36" t="n">
        <f aca="false">[2]Oct!$R$1</f>
        <v>0</v>
      </c>
      <c r="DY66" s="36"/>
      <c r="DZ66" s="36"/>
      <c r="EA66" s="36"/>
      <c r="EB66" s="36"/>
      <c r="EC66" s="36" t="n">
        <f aca="false">WagesInterface!C28-WagesInterface!I28</f>
        <v>1048</v>
      </c>
      <c r="ED66" s="36"/>
      <c r="EE66" s="54"/>
      <c r="EF66" s="36" t="n">
        <f aca="false">SUM(DU66:EE66)</f>
        <v>16742.6666666667</v>
      </c>
      <c r="EG66" s="54"/>
      <c r="EI66" s="54"/>
      <c r="EJ66" s="36" t="n">
        <f aca="false">SUM(EF66:EH66)</f>
        <v>16742.6666666667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[2]Nov!$T$1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[2]Dec!$T$1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[2]Jan!$T$1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[2]Feb!$T$1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[2]Mar!$T$1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[2]Apr!$T$1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[2]May!$T$1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[2]Jun!$T$1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[2]Jul!$T$1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[2]Aug!$T$1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[2]Sep!$T$1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[2]Oct!$T$1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[2]Nov!$U$1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[2]Dec!$U$1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[2]Jan!$U$1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[2]Feb!$U$1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[2]Mar!$U$1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[2]Apr!$U$1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[2]May!$U$1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[2]Jun!$U$1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[2]Jul!$U$1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[2]Aug!$U$1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[2]Sep!$U$1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[2]Oct!$U$1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[2]Nov!$V$1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[2]Dec!$V$1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[2]Jan!$V$1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[2]Feb!$V$1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[2]Mar!$V$1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[2]Apr!$V$1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[2]May!$V$1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[2]Jun!$V$1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[2]Jul!$V$1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[2]Aug!$V$1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[2]Sep!$V$1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[2]Oct!$V$1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[2]Nov!$W$1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[2]Dec!$W$1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[2]Jan!$W$1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[2]Feb!$W$1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[2]Mar!$W$1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[2]Apr!$W$1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[2]May!$W$1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[2]Jun!$W$1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[2]Jul!$W$1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[2]Aug!$W$1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[2]Sep!$W$1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[2]Oct!$W$1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[2]Nov!$X$1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[2]Dec!$X$1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[2]Jan!$X$1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[2]Feb!$X$1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[2]Mar!$X$1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[2]Apr!$X$1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[2]May!$X$1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[2]Jun!$X$1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[2]Jul!$X$1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[2]Aug!$X$1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[2]Sep!$X$1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[2]Oct!$X$1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[2]Nov!$Y$1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[2]Dec!$Y$1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[2]Jan!$Y$1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[2]Feb!$Y$1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[2]Mar!$Y$1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[2]Apr!$Y$1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[2]May!$Y$1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[2]Jun!$Y$1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[2]Jul!$Y$1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[2]Aug!$Y$1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[2]Sep!$Y$1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[2]Oct!$Y$1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[2]Nov!$Z$1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[2]Dec!$Z$1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[2]Jan!$Z$1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[2]Feb!$Z$1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[2]Mar!$Z$1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[2]Apr!$Z$1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[2]May!$Z$1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[2]Jun!$Z$1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[2]Jul!$Z$1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[2]Aug!$Z$1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[2]Sep!$Z$1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[2]Oct!$Z$1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[2]Nov!$AA$1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[2]Dec!$AA$1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[2]Jan!$AA$1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[2]Feb!$AA$1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[2]Mar!$AA$1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[2]Apr!$AA$1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[2]May!$AA$1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[2]Jun!$AA$1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[2]Jul!$AA$1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[2]Aug!$AA$1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[2]Sep!$AA$1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[2]Oct!$AA$1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[2]Nov!$AB$1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[2]Dec!$AB$1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[2]Jan!$AB$1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[2]Feb!$AB$1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[2]Mar!$AB$1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[2]Apr!$AB$1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[2]May!$AB$1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[2]Jun!$AB$1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[2]Jul!$AB$1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[2]Aug!$AB$1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[2]Sep!$AB$1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[2]Oct!$AB$1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[2]Nov!$AC$1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[2]Dec!$AC$1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[2]Jan!$AC$1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[2]Feb!$AC$1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[2]Mar!$AC$1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[2]Apr!$AC$1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[2]May!$AC$1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[2]Jun!$AC$1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[2]Jul!$AC$1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[2]Aug!$AC$1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[2]Sep!$AC$1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[2]Oct!$AC$1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[2]Nov!$AD$1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[2]Dec!$AD$1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[2]Jan!$AD$1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[2]Feb!$AD$1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[2]Mar!$AD$1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[2]Apr!$AD$1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[2]May!$AD$1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[2]Jun!$AD$1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[2]Jul!$AD$1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[2]Aug!$AD$1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[2]Sep!$AD$1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[2]Oct!$AD$1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[2]Nov!$AE$1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[2]Dec!$AE$1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[2]Jan!$AE$1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[2]Feb!$AE$1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[2]Mar!$AE$1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[2]Apr!$AE$1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[2]May!$AE$1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[2]Jun!$AE$1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[2]Jul!$AE$1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[2]Aug!$AE$1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[2]Sep!$AE$1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[2]Oct!$AE$1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[2]Nov!$AF$1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[2]Dec!$AF$1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[2]Jan!$AF$1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[2]Feb!$AF$1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[2]Mar!$AF$1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[2]Apr!$AF$1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[2]May!$AF$1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[2]Jun!$AF$1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[2]Jul!$AF$1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[2]Aug!$AF$1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[2]Sep!$AF$1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[2]Oct!$AF$1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-[3]Nov!$T$1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-[3]Dec!$T$1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-[3]Jan!$T$1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-[3]Feb!$T$1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-[3]Mar!$T$1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-[3]Apr!$T$1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-[3]May!$T$1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-[3]Jun!$T$1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-[3]Jul!$T$1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-[3]Aug!$T$1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-[3]Sep!$T$1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-[3]Oct!$T$1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[4]Nov!$AE$1</f>
        <v>0</v>
      </c>
      <c r="I82" s="36" t="n">
        <f aca="false">[5]Nov!$AE$1</f>
        <v>0</v>
      </c>
      <c r="J82" s="36" t="n">
        <f aca="false">[6]Nov!$AE$1</f>
        <v>0</v>
      </c>
      <c r="K82" s="36" t="n">
        <f aca="false">[7]Nov!$AB$1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[4]Dec!$AE$1</f>
        <v>0</v>
      </c>
      <c r="T82" s="36" t="n">
        <f aca="false">[5]Dec!$AE$1</f>
        <v>0</v>
      </c>
      <c r="U82" s="36" t="n">
        <f aca="false">[6]Dec!$AE$1</f>
        <v>0</v>
      </c>
      <c r="V82" s="36" t="n">
        <f aca="false">[7]Dec!$AB$1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[4]Jan!$AE$1</f>
        <v>0</v>
      </c>
      <c r="AE82" s="36" t="n">
        <f aca="false">[5]Jan!$AE$1</f>
        <v>0</v>
      </c>
      <c r="AF82" s="36" t="n">
        <f aca="false">[6]Jan!$AE$1</f>
        <v>0</v>
      </c>
      <c r="AG82" s="36" t="n">
        <f aca="false">[7]Jan!$AB$1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[4]Feb!$AE$1</f>
        <v>0</v>
      </c>
      <c r="AP82" s="36" t="n">
        <f aca="false">[5]Feb!$AE$1</f>
        <v>0</v>
      </c>
      <c r="AQ82" s="36" t="n">
        <f aca="false">[6]Feb!$AE$1</f>
        <v>0</v>
      </c>
      <c r="AR82" s="36" t="n">
        <f aca="false">[7]Feb!$AB$1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[4]Mar!$AE$1</f>
        <v>0</v>
      </c>
      <c r="BA82" s="36" t="n">
        <f aca="false">[5]Mar!$AE$1</f>
        <v>0</v>
      </c>
      <c r="BB82" s="36" t="n">
        <f aca="false">[6]Mar!$AE$1</f>
        <v>0</v>
      </c>
      <c r="BC82" s="36" t="n">
        <f aca="false">[7]Mar!$AB$1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[4]Apr!$AE$1</f>
        <v>0</v>
      </c>
      <c r="BL82" s="36" t="n">
        <f aca="false">[5]Apr!$AE$1</f>
        <v>0</v>
      </c>
      <c r="BM82" s="36" t="n">
        <f aca="false">[6]Apr!$AE$1</f>
        <v>0</v>
      </c>
      <c r="BN82" s="36" t="n">
        <f aca="false">[7]Apr!$AB$1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[4]May!$AE$1</f>
        <v>0</v>
      </c>
      <c r="BW82" s="36" t="n">
        <f aca="false">[5]May!$AE$1</f>
        <v>0</v>
      </c>
      <c r="BX82" s="36" t="n">
        <f aca="false">[6]May!$AE$1</f>
        <v>0</v>
      </c>
      <c r="BY82" s="36" t="n">
        <f aca="false">[7]May!$AB$1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[4]Jun!$AE$1</f>
        <v>0</v>
      </c>
      <c r="CH82" s="36" t="n">
        <f aca="false">[5]Jun!$AE$1</f>
        <v>0</v>
      </c>
      <c r="CI82" s="36" t="n">
        <f aca="false">[6]Jun!$AE$1</f>
        <v>0</v>
      </c>
      <c r="CJ82" s="36" t="n">
        <f aca="false">[7]Jun!$AB$1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[4]Jul!$AE$1</f>
        <v>0</v>
      </c>
      <c r="CS82" s="36" t="n">
        <f aca="false">[5]Jul!$AE$1</f>
        <v>0</v>
      </c>
      <c r="CT82" s="36" t="n">
        <f aca="false">[6]Jul!$AE$1</f>
        <v>0</v>
      </c>
      <c r="CU82" s="36" t="n">
        <f aca="false">[7]Jul!$AB$1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[4]Aug!$AE$1</f>
        <v>0</v>
      </c>
      <c r="DD82" s="36" t="n">
        <f aca="false">[5]Aug!$AE$1</f>
        <v>0</v>
      </c>
      <c r="DE82" s="36" t="n">
        <f aca="false">[6]Aug!$AE$1</f>
        <v>0</v>
      </c>
      <c r="DF82" s="36" t="n">
        <f aca="false">[7]Aug!$AB$1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[4]Sep!$AE$1</f>
        <v>0</v>
      </c>
      <c r="DO82" s="36" t="n">
        <f aca="false">[5]Sep!$AE$1</f>
        <v>0</v>
      </c>
      <c r="DP82" s="36" t="n">
        <f aca="false">[6]Sep!$AE$1</f>
        <v>0</v>
      </c>
      <c r="DQ82" s="36" t="n">
        <f aca="false">[7]Sep!$AB$1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[4]Oct!$AE$1</f>
        <v>0</v>
      </c>
      <c r="DZ82" s="36" t="n">
        <f aca="false">[5]Oct!$AE$1</f>
        <v>0</v>
      </c>
      <c r="EA82" s="36" t="n">
        <f aca="false">[6]Oct!$AE$1</f>
        <v>0</v>
      </c>
      <c r="EB82" s="36" t="n">
        <f aca="false">[7]Oct!$AB$1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[4]Nov!$AD$1</f>
        <v>0</v>
      </c>
      <c r="I83" s="36" t="n">
        <f aca="false">[5]Nov!$AD$1</f>
        <v>0</v>
      </c>
      <c r="J83" s="36" t="n">
        <f aca="false">[6]Nov!$AD$1</f>
        <v>0</v>
      </c>
      <c r="K83" s="36" t="n">
        <f aca="false">[7]Nov!$AA$1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[4]Dec!$AD$1</f>
        <v>25</v>
      </c>
      <c r="T83" s="36" t="n">
        <f aca="false">[5]Dec!$AD$1</f>
        <v>0</v>
      </c>
      <c r="U83" s="36" t="n">
        <f aca="false">[6]Dec!$AD$1</f>
        <v>35</v>
      </c>
      <c r="V83" s="36" t="n">
        <f aca="false">[7]Dec!$AA$1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[4]Jan!$AD$1</f>
        <v>2250</v>
      </c>
      <c r="AE83" s="36" t="n">
        <f aca="false">[5]Jan!$AD$1</f>
        <v>0</v>
      </c>
      <c r="AF83" s="36" t="n">
        <f aca="false">[6]Jan!$AD$1</f>
        <v>0</v>
      </c>
      <c r="AG83" s="36" t="n">
        <f aca="false">[7]Jan!$AA$1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[4]Feb!$AD$1</f>
        <v>0</v>
      </c>
      <c r="AP83" s="36" t="n">
        <f aca="false">[5]Feb!$AD$1</f>
        <v>0</v>
      </c>
      <c r="AQ83" s="36" t="n">
        <f aca="false">[6]Feb!$AD$1</f>
        <v>0</v>
      </c>
      <c r="AR83" s="36" t="n">
        <f aca="false">[7]Feb!$AA$1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[4]Mar!$AD$1</f>
        <v>0</v>
      </c>
      <c r="BA83" s="36" t="n">
        <f aca="false">[5]Mar!$AD$1</f>
        <v>0</v>
      </c>
      <c r="BB83" s="36" t="n">
        <f aca="false">[6]Mar!$AD$1</f>
        <v>0</v>
      </c>
      <c r="BC83" s="36" t="n">
        <f aca="false">[7]Mar!$AA$1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[4]Apr!$AD$1</f>
        <v>1308</v>
      </c>
      <c r="BL83" s="36" t="n">
        <f aca="false">[5]Apr!$AD$1</f>
        <v>0</v>
      </c>
      <c r="BM83" s="36" t="n">
        <f aca="false">[6]Apr!$AD$1</f>
        <v>0</v>
      </c>
      <c r="BN83" s="36" t="n">
        <f aca="false">[7]Apr!$AA$1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[4]May!$AD$1</f>
        <v>0</v>
      </c>
      <c r="BW83" s="36" t="n">
        <f aca="false">[5]May!$AD$1</f>
        <v>0</v>
      </c>
      <c r="BX83" s="36" t="n">
        <f aca="false">[6]May!$AD$1</f>
        <v>0</v>
      </c>
      <c r="BY83" s="36" t="n">
        <f aca="false">[7]May!$AA$1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[4]Jun!$AD$1</f>
        <v>25</v>
      </c>
      <c r="CH83" s="36" t="n">
        <f aca="false">[5]Jun!$AD$1</f>
        <v>0</v>
      </c>
      <c r="CI83" s="36" t="n">
        <f aca="false">[6]Jun!$AD$1</f>
        <v>0</v>
      </c>
      <c r="CJ83" s="36" t="n">
        <f aca="false">[7]Jun!$AA$1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[4]Jul!$AD$1</f>
        <v>167</v>
      </c>
      <c r="CS83" s="36" t="n">
        <f aca="false">[5]Jul!$AD$1</f>
        <v>0</v>
      </c>
      <c r="CT83" s="36" t="n">
        <f aca="false">[6]Jul!$AD$1</f>
        <v>0</v>
      </c>
      <c r="CU83" s="36" t="n">
        <f aca="false">[7]Jul!$AA$1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[4]Aug!$AD$1</f>
        <v>0</v>
      </c>
      <c r="DD83" s="36" t="n">
        <f aca="false">[5]Aug!$AD$1</f>
        <v>0</v>
      </c>
      <c r="DE83" s="36" t="n">
        <f aca="false">[6]Aug!$AD$1</f>
        <v>0</v>
      </c>
      <c r="DF83" s="36" t="n">
        <f aca="false">[7]Aug!$AA$1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[4]Sep!$AD$1</f>
        <v>0</v>
      </c>
      <c r="DO83" s="36" t="n">
        <f aca="false">[5]Sep!$AD$1</f>
        <v>0</v>
      </c>
      <c r="DP83" s="36" t="n">
        <f aca="false">[6]Sep!$AD$1</f>
        <v>0</v>
      </c>
      <c r="DQ83" s="36" t="n">
        <f aca="false">[7]Sep!$AA$1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[4]Oct!$AD$1</f>
        <v>125</v>
      </c>
      <c r="DZ83" s="36" t="n">
        <f aca="false">[5]Oct!$AD$1</f>
        <v>0</v>
      </c>
      <c r="EA83" s="36" t="n">
        <f aca="false">[6]Oct!$AD$1</f>
        <v>0</v>
      </c>
      <c r="EB83" s="36" t="n">
        <f aca="false">[7]Oct!$AA$1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[2]Nov!$AG$1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[2]Dec!$AG$1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[2]Jan!$AG$1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[2]Feb!$AG$1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[2]Mar!$AG$1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[2]Apr!$AG$1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[2]May!$AG$1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[2]Jun!$AG$1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[2]Jul!$AG$1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[2]Aug!$AG$1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[2]Sep!$AG$1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[2]Oct!$AG$1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[2]Nov!$AH$1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[2]Dec!$AH$1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[2]Jan!$AH$1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[2]Feb!$AH$1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[2]Mar!$AH$1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[2]Apr!$AH$1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[2]May!$AH$1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[2]Jun!$AH$1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[2]Jul!$AH$1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[2]Aug!$AH$1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[2]Sep!$AH$1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[2]Oct!$AH$1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1145</v>
      </c>
      <c r="N87" s="57"/>
      <c r="O87" s="36" t="n">
        <f aca="false">SUM(D87:N87)</f>
        <v>1145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1145</v>
      </c>
      <c r="Y87" s="54"/>
      <c r="Z87" s="36" t="n">
        <f aca="false">SUM(O87:Y87)</f>
        <v>2290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1145</v>
      </c>
      <c r="AJ87" s="54"/>
      <c r="AK87" s="36" t="n">
        <f aca="false">SUM(Z87:AJ87)</f>
        <v>3435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1145</v>
      </c>
      <c r="AU87" s="54"/>
      <c r="AV87" s="36" t="n">
        <f aca="false">SUM(AK87:AU87)</f>
        <v>4580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1145</v>
      </c>
      <c r="BF87" s="54"/>
      <c r="BG87" s="36" t="n">
        <f aca="false">SUM(AV87:BF87)</f>
        <v>5725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1145</v>
      </c>
      <c r="BQ87" s="54"/>
      <c r="BR87" s="36" t="n">
        <f aca="false">SUM(BG87:BQ87)</f>
        <v>6870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1145</v>
      </c>
      <c r="CB87" s="54"/>
      <c r="CC87" s="36" t="n">
        <f aca="false">SUM(BR87:CB87)</f>
        <v>8015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1145</v>
      </c>
      <c r="CM87" s="54"/>
      <c r="CN87" s="36" t="n">
        <f aca="false">SUM(CC87:CM87)</f>
        <v>9160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1145</v>
      </c>
      <c r="CX87" s="54"/>
      <c r="CY87" s="36" t="n">
        <f aca="false">SUM(CN87:CX87)</f>
        <v>10305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1145</v>
      </c>
      <c r="DI87" s="54"/>
      <c r="DJ87" s="36" t="n">
        <f aca="false">SUM(CY87:DI87)</f>
        <v>11450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1145</v>
      </c>
      <c r="DT87" s="54"/>
      <c r="DU87" s="36" t="n">
        <f aca="false">SUM(DJ87:DT87)</f>
        <v>12595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1145</v>
      </c>
      <c r="EE87" s="54"/>
      <c r="EF87" s="36" t="n">
        <f aca="false">SUM(DU87:EE87)</f>
        <v>13740</v>
      </c>
      <c r="EG87" s="54"/>
      <c r="EI87" s="54"/>
      <c r="EJ87" s="36" t="n">
        <f aca="false">SUM(EF87:EH87)</f>
        <v>13740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-[4]Nov!$Q$1</f>
        <v>-0</v>
      </c>
      <c r="I88" s="36" t="n">
        <f aca="false">-[5]Nov!$Q$1</f>
        <v>-0</v>
      </c>
      <c r="J88" s="36" t="n">
        <f aca="false">-[6]Nov!$Q$1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-[4]Dec!$Q$1</f>
        <v>-0</v>
      </c>
      <c r="T88" s="36" t="n">
        <f aca="false">-[5]Dec!$Q$1</f>
        <v>-0</v>
      </c>
      <c r="U88" s="36" t="n">
        <f aca="false">-[6]Dec!$Q$1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-[4]Jan!$Q$1</f>
        <v>-0</v>
      </c>
      <c r="AE88" s="36" t="n">
        <f aca="false">-[5]Jan!$Q$1</f>
        <v>-0</v>
      </c>
      <c r="AF88" s="36" t="n">
        <f aca="false">-[6]Jan!$Q$1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-[4]Feb!$Q$1</f>
        <v>-0</v>
      </c>
      <c r="AP88" s="36" t="n">
        <f aca="false">-[5]Feb!$Q$1</f>
        <v>-0</v>
      </c>
      <c r="AQ88" s="36" t="n">
        <f aca="false">-[6]Feb!$Q$1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-[4]Mar!$Q$1</f>
        <v>-0</v>
      </c>
      <c r="BA88" s="36" t="n">
        <f aca="false">-[5]Mar!$Q$1</f>
        <v>-0</v>
      </c>
      <c r="BB88" s="36" t="n">
        <f aca="false">-[6]Mar!$Q$1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-[4]Apr!$Q$1</f>
        <v>-0</v>
      </c>
      <c r="BL88" s="36" t="n">
        <f aca="false">-[5]Apr!$Q$1</f>
        <v>-0</v>
      </c>
      <c r="BM88" s="36" t="n">
        <f aca="false">-[6]Apr!$Q$1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-[4]May!$Q$1</f>
        <v>-0</v>
      </c>
      <c r="BW88" s="36" t="n">
        <f aca="false">-[5]May!$Q$1</f>
        <v>-0</v>
      </c>
      <c r="BX88" s="36" t="n">
        <f aca="false">-[6]May!$Q$1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-[4]Jun!$Q$1</f>
        <v>-0</v>
      </c>
      <c r="CH88" s="36" t="n">
        <f aca="false">-[5]Jun!$Q$1</f>
        <v>-0</v>
      </c>
      <c r="CI88" s="36" t="n">
        <f aca="false">-[6]Jun!$Q$1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-[4]Jul!$Q$1</f>
        <v>-0</v>
      </c>
      <c r="CS88" s="36" t="n">
        <f aca="false">-[5]Jul!$Q$1</f>
        <v>-0</v>
      </c>
      <c r="CT88" s="36" t="n">
        <f aca="false">-[6]Jul!$Q$1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-[4]Aug!$Q$1</f>
        <v>-0</v>
      </c>
      <c r="DD88" s="36" t="n">
        <f aca="false">-[5]Aug!$Q$1</f>
        <v>-0</v>
      </c>
      <c r="DE88" s="36" t="n">
        <f aca="false">-[6]Aug!$Q$1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-[4]Sep!$Q$1</f>
        <v>-0</v>
      </c>
      <c r="DO88" s="36" t="n">
        <f aca="false">-[5]Sep!$Q$1</f>
        <v>-0</v>
      </c>
      <c r="DP88" s="36" t="n">
        <f aca="false">-[6]Sep!$Q$1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-[4]Oct!$Q$1</f>
        <v>-0</v>
      </c>
      <c r="DZ88" s="36" t="n">
        <f aca="false">-[5]Oct!$Q$1</f>
        <v>-5000</v>
      </c>
      <c r="EA88" s="36" t="n">
        <f aca="false">-[6]Oct!$Q$1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[4]Nov!$AN$1</f>
        <v>500</v>
      </c>
      <c r="I89" s="36" t="n">
        <f aca="false">[5]Nov!$AN$1</f>
        <v>0</v>
      </c>
      <c r="J89" s="36" t="n">
        <f aca="false">[6]Nov!$AN$1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[4]Dec!$AN$1</f>
        <v>0</v>
      </c>
      <c r="T89" s="36" t="n">
        <f aca="false">[5]Dec!$AN$1</f>
        <v>0</v>
      </c>
      <c r="U89" s="36" t="n">
        <f aca="false">[6]Dec!$AN$1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[4]Jan!$AN$1</f>
        <v>0</v>
      </c>
      <c r="AE89" s="36" t="n">
        <f aca="false">[5]Jan!$AN$1</f>
        <v>0</v>
      </c>
      <c r="AF89" s="36" t="n">
        <f aca="false">[6]Jan!$AN$1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[4]Feb!$AN$1</f>
        <v>300</v>
      </c>
      <c r="AP89" s="36" t="n">
        <f aca="false">[5]Feb!$AN$1</f>
        <v>0</v>
      </c>
      <c r="AQ89" s="36" t="n">
        <f aca="false">[6]Feb!$AN$1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[4]Mar!$AN$1</f>
        <v>0</v>
      </c>
      <c r="BA89" s="36" t="n">
        <f aca="false">[5]Mar!$AN$1</f>
        <v>0</v>
      </c>
      <c r="BB89" s="36" t="n">
        <f aca="false">[6]Mar!$AN$1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[4]Apr!$AN$1</f>
        <v>0</v>
      </c>
      <c r="BL89" s="36" t="n">
        <f aca="false">[5]Apr!$AN$1</f>
        <v>0</v>
      </c>
      <c r="BM89" s="36" t="n">
        <f aca="false">[6]Apr!$AN$1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[4]May!$AN$1</f>
        <v>500</v>
      </c>
      <c r="BW89" s="36" t="n">
        <f aca="false">[5]May!$AN$1</f>
        <v>0</v>
      </c>
      <c r="BX89" s="36" t="n">
        <f aca="false">[6]May!$AN$1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[4]Jun!$AN$1</f>
        <v>0</v>
      </c>
      <c r="CH89" s="36" t="n">
        <f aca="false">[5]Jun!$AN$1</f>
        <v>0</v>
      </c>
      <c r="CI89" s="36" t="n">
        <f aca="false">[6]Jun!$AN$1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[4]Jul!$AN$1</f>
        <v>0</v>
      </c>
      <c r="CS89" s="36" t="n">
        <f aca="false">[5]Jul!$AN$1</f>
        <v>0</v>
      </c>
      <c r="CT89" s="36" t="n">
        <f aca="false">[6]Jul!$AN$1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[4]Aug!$AN$1</f>
        <v>300</v>
      </c>
      <c r="DD89" s="36" t="n">
        <f aca="false">[5]Aug!$AN$1</f>
        <v>0</v>
      </c>
      <c r="DE89" s="36" t="n">
        <f aca="false">[6]Aug!$AN$1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[4]Sep!$AN$1</f>
        <v>0</v>
      </c>
      <c r="DO89" s="36" t="n">
        <f aca="false">[5]Sep!$AN$1</f>
        <v>0</v>
      </c>
      <c r="DP89" s="36" t="n">
        <f aca="false">[6]Sep!$AN$1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[4]Oct!$AN$1</f>
        <v>5000</v>
      </c>
      <c r="DZ89" s="36" t="n">
        <f aca="false">[5]Oct!$AN$1</f>
        <v>0</v>
      </c>
      <c r="EA89" s="36" t="n">
        <f aca="false">[6]Oct!$AN$1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3.43902684107889E-011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-6.82121026329696E-013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6.9576344685629E-011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1.07093001133762E-010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1.41881173476577E-010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1.88720150617883E-010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2.22371454583481E-010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2.95585778076202E-012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2.69892552751116E-010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-6.82121026329696E-013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2.88764567812905E-010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-6.82121026329696E-013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3.10592440655455E-010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3.14685166813433E-010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3.17641024594195E-010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3.24689608532935E-010</v>
      </c>
      <c r="EG91" s="54"/>
      <c r="EH91" s="36" t="n">
        <f aca="false">SUM(EH4:EH90)</f>
        <v>0</v>
      </c>
      <c r="EI91" s="54"/>
      <c r="EJ91" s="36" t="n">
        <f aca="false">SUM(EJ4:EJ90)</f>
        <v>3.26508597936481E-010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46356</v>
      </c>
      <c r="D1" s="65" t="n">
        <f aca="false">Admin!B12</f>
        <v>46387</v>
      </c>
      <c r="E1" s="65" t="n">
        <f aca="false">Admin!B14</f>
        <v>46418</v>
      </c>
      <c r="F1" s="65" t="n">
        <f aca="false">Admin!B16</f>
        <v>46446</v>
      </c>
      <c r="G1" s="65" t="n">
        <f aca="false">Admin!B18</f>
        <v>46477</v>
      </c>
      <c r="H1" s="65" t="n">
        <f aca="false">Admin!B20</f>
        <v>46507</v>
      </c>
      <c r="I1" s="65" t="n">
        <f aca="false">Admin!B22</f>
        <v>46538</v>
      </c>
      <c r="J1" s="65" t="n">
        <f aca="false">Admin!B24</f>
        <v>46568</v>
      </c>
      <c r="K1" s="65" t="n">
        <f aca="false">Admin!B26</f>
        <v>46599</v>
      </c>
      <c r="L1" s="65" t="n">
        <f aca="false">Admin!B28</f>
        <v>46630</v>
      </c>
      <c r="M1" s="65" t="n">
        <f aca="false">Admin!B30</f>
        <v>46660</v>
      </c>
      <c r="N1" s="65" t="n">
        <f aca="false">Admin!B32</f>
        <v>46691</v>
      </c>
      <c r="O1" s="66"/>
    </row>
    <row r="2" customFormat="false" ht="12" hidden="false" customHeight="true" outlineLevel="0" collapsed="false">
      <c r="A2" s="62"/>
      <c r="B2" s="67" t="n">
        <f aca="false">Admin!B32</f>
        <v>46691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69066.6666666667</v>
      </c>
      <c r="C18" s="72" t="n">
        <f aca="false">TrialBalance!O64+TrialBalance!O65-0</f>
        <v>5700</v>
      </c>
      <c r="D18" s="72" t="n">
        <f aca="false">TrialBalance!Z64+TrialBalance!Z65-C18</f>
        <v>5700</v>
      </c>
      <c r="E18" s="72" t="n">
        <f aca="false">TrialBalance!AK64+TrialBalance!AK65-SUM(C18:D18)</f>
        <v>5700</v>
      </c>
      <c r="F18" s="72" t="n">
        <f aca="false">TrialBalance!AV64+TrialBalance!AV65-SUM(C18:E18)</f>
        <v>5700</v>
      </c>
      <c r="G18" s="72" t="n">
        <f aca="false">TrialBalance!BG64+TrialBalance!BG65-SUM(C18:F18)</f>
        <v>6366.66666666667</v>
      </c>
      <c r="H18" s="72" t="n">
        <f aca="false">TrialBalance!BR64+TrialBalance!BR65-SUM(C18:G18)</f>
        <v>5700</v>
      </c>
      <c r="I18" s="72" t="n">
        <f aca="false">TrialBalance!CC64+TrialBalance!CC65-SUM(C18:H18)</f>
        <v>5700</v>
      </c>
      <c r="J18" s="72" t="n">
        <f aca="false">TrialBalance!CN64+TrialBalance!CN65-SUM(C18:I18)</f>
        <v>5700</v>
      </c>
      <c r="K18" s="72" t="n">
        <f aca="false">TrialBalance!CY64+TrialBalance!CY65-SUM(C18:J18)</f>
        <v>5700</v>
      </c>
      <c r="L18" s="72" t="n">
        <f aca="false">TrialBalance!DJ64+TrialBalance!DJ65-SUM(C18:K18)</f>
        <v>5700</v>
      </c>
      <c r="M18" s="72" t="n">
        <f aca="false">TrialBalance!DU64+TrialBalance!DU65-SUM(C18:L18)</f>
        <v>5700</v>
      </c>
      <c r="N18" s="72" t="n">
        <f aca="false">TrialBalance!EF64+TrialBalance!EF65-SUM(C18:M18)</f>
        <v>5700.00000000001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16742.6666666667</v>
      </c>
      <c r="C19" s="72" t="n">
        <f aca="false">TrialBalance!O66-0</f>
        <v>1048</v>
      </c>
      <c r="D19" s="72" t="n">
        <f aca="false">TrialBalance!Z66-C19</f>
        <v>1048</v>
      </c>
      <c r="E19" s="72" t="n">
        <f aca="false">TrialBalance!AK66-SUM(C19:D19)</f>
        <v>1048</v>
      </c>
      <c r="F19" s="72" t="n">
        <f aca="false">TrialBalance!AV66-SUM(C19:E19)</f>
        <v>1048</v>
      </c>
      <c r="G19" s="72" t="n">
        <f aca="false">TrialBalance!BG66-SUM(C19:F19)</f>
        <v>1048</v>
      </c>
      <c r="H19" s="72" t="n">
        <f aca="false">TrialBalance!BR66-SUM(C19:G19)</f>
        <v>1048</v>
      </c>
      <c r="I19" s="72" t="n">
        <f aca="false">TrialBalance!CC66-SUM(C19:H19)</f>
        <v>1048</v>
      </c>
      <c r="J19" s="72" t="n">
        <f aca="false">TrialBalance!CN66-SUM(C19:I19)</f>
        <v>1048</v>
      </c>
      <c r="K19" s="72" t="n">
        <f aca="false">TrialBalance!CY66-SUM(C19:J19)</f>
        <v>5214.66666666667</v>
      </c>
      <c r="L19" s="72" t="n">
        <f aca="false">TrialBalance!DJ66-SUM(C19:K19)</f>
        <v>1048</v>
      </c>
      <c r="M19" s="72" t="n">
        <f aca="false">TrialBalance!DU66-SUM(C19:L19)</f>
        <v>1048</v>
      </c>
      <c r="N19" s="72" t="n">
        <f aca="false">TrialBalance!EF66-SUM(C19:M19)</f>
        <v>1048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13740</v>
      </c>
      <c r="C40" s="79" t="n">
        <f aca="false">TrialBalance!O87-0</f>
        <v>1145</v>
      </c>
      <c r="D40" s="72" t="n">
        <f aca="false">TrialBalance!Z87-C40</f>
        <v>1145</v>
      </c>
      <c r="E40" s="72" t="n">
        <f aca="false">TrialBalance!AK87-SUM(C40:D40)</f>
        <v>1145</v>
      </c>
      <c r="F40" s="72" t="n">
        <f aca="false">TrialBalance!AV87-SUM(C40:E40)</f>
        <v>1145</v>
      </c>
      <c r="G40" s="72" t="n">
        <f aca="false">TrialBalance!BG87-SUM(C40:F40)</f>
        <v>1145</v>
      </c>
      <c r="H40" s="72" t="n">
        <f aca="false">TrialBalance!BR87-SUM(C40:G40)</f>
        <v>1145</v>
      </c>
      <c r="I40" s="72" t="n">
        <f aca="false">TrialBalance!CC87-SUM(C40:H40)</f>
        <v>1145</v>
      </c>
      <c r="J40" s="72" t="n">
        <f aca="false">TrialBalance!CN87-SUM(C40:I40)</f>
        <v>1145</v>
      </c>
      <c r="K40" s="72" t="n">
        <f aca="false">TrialBalance!CY87-SUM(C40:J40)</f>
        <v>1145</v>
      </c>
      <c r="L40" s="72" t="n">
        <f aca="false">TrialBalance!DJ87-SUM(C40:K40)</f>
        <v>1145</v>
      </c>
      <c r="M40" s="72" t="n">
        <f aca="false">TrialBalance!DU87-SUM(C40:L40)</f>
        <v>1145</v>
      </c>
      <c r="N40" s="72" t="n">
        <f aca="false">TrialBalance!EF87-SUM(C40:M40)</f>
        <v>1145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150656.275</v>
      </c>
      <c r="C41" s="74" t="n">
        <f aca="false">SUM(C18:C40)</f>
        <v>12006.4083333333</v>
      </c>
      <c r="D41" s="71" t="n">
        <f aca="false">SUM(D18:D40)</f>
        <v>11549.5333333333</v>
      </c>
      <c r="E41" s="71" t="n">
        <f aca="false">SUM(E18:E40)</f>
        <v>13577.8666666667</v>
      </c>
      <c r="F41" s="71" t="n">
        <f aca="false">SUM(F18:F40)</f>
        <v>14226.4083333333</v>
      </c>
      <c r="G41" s="71" t="n">
        <f aca="false">SUM(G18:G40)</f>
        <v>11468.075</v>
      </c>
      <c r="H41" s="71" t="n">
        <f aca="false">SUM(H18:H40)</f>
        <v>13530.8666666667</v>
      </c>
      <c r="I41" s="71" t="n">
        <f aca="false">SUM(I18:I40)</f>
        <v>13685.1583333333</v>
      </c>
      <c r="J41" s="71" t="n">
        <f aca="false">SUM(J18:J40)</f>
        <v>10867.0333333333</v>
      </c>
      <c r="K41" s="71" t="n">
        <f aca="false">SUM(K18:K40)</f>
        <v>15890.2833333333</v>
      </c>
      <c r="L41" s="71" t="n">
        <f aca="false">SUM(L18:L40)</f>
        <v>11536.4083333333</v>
      </c>
      <c r="M41" s="71" t="n">
        <f aca="false">SUM(M18:M40)</f>
        <v>11360.7833333333</v>
      </c>
      <c r="N41" s="71" t="n">
        <f aca="false">SUM(N18:N40)</f>
        <v>10957.45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171840.391666666</v>
      </c>
      <c r="C43" s="71" t="n">
        <f aca="false">C16-C41</f>
        <v>14829.425</v>
      </c>
      <c r="D43" s="71" t="n">
        <f aca="false">D16-D41</f>
        <v>14907.3</v>
      </c>
      <c r="E43" s="71" t="n">
        <f aca="false">E16-E41</f>
        <v>10555.3</v>
      </c>
      <c r="F43" s="71" t="n">
        <f aca="false">F16-F41</f>
        <v>12930.425</v>
      </c>
      <c r="G43" s="71" t="n">
        <f aca="false">G16-G41</f>
        <v>17497.0916666666</v>
      </c>
      <c r="H43" s="71" t="n">
        <f aca="false">H16-H41</f>
        <v>13643.9666666666</v>
      </c>
      <c r="I43" s="71" t="n">
        <f aca="false">I16-I41</f>
        <v>14896.675</v>
      </c>
      <c r="J43" s="71" t="n">
        <f aca="false">J16-J41</f>
        <v>15089.8</v>
      </c>
      <c r="K43" s="71" t="n">
        <f aca="false">K16-K41</f>
        <v>10409.55</v>
      </c>
      <c r="L43" s="71" t="n">
        <f aca="false">L16-L41</f>
        <v>17020.425</v>
      </c>
      <c r="M43" s="71" t="n">
        <f aca="false">M16-M41</f>
        <v>16245.05</v>
      </c>
      <c r="N43" s="71" t="n">
        <f aca="false">N16-N41</f>
        <v>13815.3833333333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172115.391666666</v>
      </c>
      <c r="C45" s="71" t="n">
        <f aca="false">C43+C44</f>
        <v>14829.425</v>
      </c>
      <c r="D45" s="71" t="n">
        <f aca="false">D43+D44</f>
        <v>14907.3</v>
      </c>
      <c r="E45" s="71" t="n">
        <f aca="false">E43+E44</f>
        <v>10555.3</v>
      </c>
      <c r="F45" s="71" t="n">
        <f aca="false">F43+F44</f>
        <v>12930.425</v>
      </c>
      <c r="G45" s="71" t="n">
        <f aca="false">G43+G44</f>
        <v>17497.0916666666</v>
      </c>
      <c r="H45" s="71" t="n">
        <f aca="false">H43+H44</f>
        <v>13768.9666666666</v>
      </c>
      <c r="I45" s="71" t="n">
        <f aca="false">I43+I44</f>
        <v>14896.675</v>
      </c>
      <c r="J45" s="71" t="n">
        <f aca="false">J43+J44</f>
        <v>15089.8</v>
      </c>
      <c r="K45" s="71" t="n">
        <f aca="false">K43+K44</f>
        <v>10409.55</v>
      </c>
      <c r="L45" s="71" t="n">
        <f aca="false">L43+L44</f>
        <v>17020.425</v>
      </c>
      <c r="M45" s="71" t="n">
        <f aca="false">M43+M44</f>
        <v>16245.05</v>
      </c>
      <c r="N45" s="71" t="n">
        <f aca="false">N43+N44</f>
        <v>13965.3833333333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222</v>
      </c>
      <c r="D3" s="93" t="n">
        <f aca="false">Admin!B32</f>
        <v>46691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46326</v>
      </c>
      <c r="B5" s="97"/>
      <c r="C5" s="98"/>
      <c r="D5" s="98"/>
      <c r="E5" s="97" t="n">
        <f aca="false">D3</f>
        <v>46691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46327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224</v>
      </c>
      <c r="D14" s="107" t="n">
        <f aca="false">D3</f>
        <v>46691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69066.6666666667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16742.6666666667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13740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150656.275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171840.391666666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172179.897839506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29221.272927469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142958.624912037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0</v>
      </c>
      <c r="C54" s="106" t="s">
        <v>99</v>
      </c>
      <c r="D54" s="106"/>
      <c r="E54" s="110" t="s">
        <v>218</v>
      </c>
      <c r="F54" s="104" t="n">
        <f aca="false">F51-F52</f>
        <v>127958.624912037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46691</v>
      </c>
    </row>
    <row r="3" customFormat="false" ht="12" hidden="false" customHeight="true" outlineLevel="0" collapsed="false">
      <c r="A3" s="97" t="n">
        <f aca="false">'PubP&amp;L'!A5</f>
        <v>46326</v>
      </c>
      <c r="B3" s="97"/>
      <c r="E3" s="97" t="n">
        <f aca="false">'PubP&amp;L'!E5</f>
        <v>46691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182902</v>
      </c>
      <c r="C6" s="117" t="s">
        <v>30</v>
      </c>
      <c r="D6" s="117"/>
      <c r="E6" s="115"/>
      <c r="F6" s="116" t="n">
        <f aca="false">SUM(TrialBalance!EJ6:EJ17)</f>
        <v>208990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7900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206895.43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10832.25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29156.7667546295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9135.78833333336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49124.8050879629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157770.624912037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225802</v>
      </c>
      <c r="C26" s="117" t="s">
        <v>232</v>
      </c>
      <c r="D26" s="117"/>
      <c r="E26" s="118"/>
      <c r="F26" s="116" t="n">
        <f aca="false">SUM(F6:F25)</f>
        <v>366760.624912037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233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180802</v>
      </c>
      <c r="C33" s="117" t="s">
        <v>234</v>
      </c>
      <c r="D33" s="117"/>
      <c r="E33" s="118" t="s">
        <v>218</v>
      </c>
      <c r="F33" s="116" t="n">
        <f aca="false">F26-F31</f>
        <v>308760.624912037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180702</v>
      </c>
      <c r="C37" s="88" t="s">
        <v>57</v>
      </c>
      <c r="D37" s="88"/>
      <c r="E37" s="115"/>
      <c r="F37" s="115" t="n">
        <f aca="false">-TrialBalance!EJ43</f>
        <v>308660.624912037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180802</v>
      </c>
      <c r="C39" s="117" t="s">
        <v>236</v>
      </c>
      <c r="D39" s="117"/>
      <c r="E39" s="118" t="s">
        <v>218</v>
      </c>
      <c r="F39" s="116" t="n">
        <f aca="false">SUM(F36:F38)</f>
        <v>308760.624912037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46691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46267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46327</v>
      </c>
      <c r="B8" s="108" t="n">
        <f aca="false">IF([1]Schedule!$E$11&gt;0,[1]Schedule!$E$11,0)</f>
        <v>200000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233000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52500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52500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46691</v>
      </c>
      <c r="B11" s="108" t="n">
        <f aca="false">B8+B9-B10</f>
        <v>200000</v>
      </c>
      <c r="C11" s="108" t="n">
        <f aca="false">C8+C9-C10</f>
        <v>52500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255500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46327</v>
      </c>
      <c r="B14" s="108" t="n">
        <f aca="false">IF([1]Schedule!$F$11&gt;0,[1]Schedule!$F$11,0)</f>
        <v>40000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50098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5250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13740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46691</v>
      </c>
      <c r="B17" s="108" t="n">
        <f aca="false">B14-B16+B15</f>
        <v>40000</v>
      </c>
      <c r="C17" s="108" t="n">
        <f aca="false">C14-C16+C15</f>
        <v>5250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46510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46691</v>
      </c>
      <c r="B20" s="134" t="n">
        <f aca="false">B11-B17</f>
        <v>160000</v>
      </c>
      <c r="C20" s="134" t="n">
        <f aca="false">C11-C17</f>
        <v>47250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208990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16742.6666666667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46691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46691</v>
      </c>
      <c r="C41" s="137"/>
      <c r="D41" s="136" t="n">
        <f aca="false">CorporationTax!K35</f>
        <v>29221.272927469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46691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46691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46267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46691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46691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15000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310</v>
      </c>
      <c r="E97" s="147"/>
      <c r="F97" s="173" t="n">
        <f aca="false">[8]RegisterofMembers!$G$3</f>
        <v>60</v>
      </c>
      <c r="G97" s="174" t="s">
        <v>311</v>
      </c>
      <c r="H97" s="159" t="n">
        <f aca="false">'PubP&amp;L'!E5</f>
        <v>46691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310</v>
      </c>
      <c r="E98" s="147"/>
      <c r="F98" s="173" t="n">
        <f aca="false">[8]RegisterofMembers!$G$4</f>
        <v>25</v>
      </c>
      <c r="G98" s="174" t="s">
        <v>311</v>
      </c>
      <c r="H98" s="159" t="n">
        <f aca="false">'PubP&amp;L'!E5</f>
        <v>46691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46691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46267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46327</v>
      </c>
      <c r="F5" s="189"/>
      <c r="G5" s="190" t="s">
        <v>332</v>
      </c>
      <c r="H5" s="189" t="n">
        <f aca="false">Admin!N7</f>
        <v>46691</v>
      </c>
      <c r="I5" s="189"/>
      <c r="J5" s="178"/>
      <c r="K5" s="191" t="n">
        <f aca="false">'PubP&amp;L'!F46</f>
        <v>171840.391666666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13740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16240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46327</v>
      </c>
      <c r="F15" s="198" t="n">
        <f aca="false">H5</f>
        <v>46691</v>
      </c>
      <c r="G15" s="199" t="n">
        <f aca="false">Admin!G5</f>
        <v>100</v>
      </c>
      <c r="H15" s="199"/>
      <c r="I15" s="200" t="n">
        <f aca="false">IF(K79&gt;0,K79,0)</f>
        <v>52500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46327</v>
      </c>
      <c r="F16" s="198" t="n">
        <f aca="false">H5</f>
        <v>46691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46327</v>
      </c>
      <c r="F17" s="203"/>
      <c r="G17" s="199" t="n">
        <f aca="false">Admin!G6</f>
        <v>14</v>
      </c>
      <c r="H17" s="199"/>
      <c r="I17" s="200" t="n">
        <f aca="false">IF(K99&gt;0,K99,0)</f>
        <v>3360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46327</v>
      </c>
      <c r="F18" s="198" t="n">
        <f aca="false">H5</f>
        <v>46691</v>
      </c>
      <c r="G18" s="204"/>
      <c r="H18" s="205"/>
      <c r="I18" s="206" t="n">
        <f aca="false">IF(K102&lt;&gt;0,-K102,0)</f>
        <v>8140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64000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124080.391666666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46691</v>
      </c>
      <c r="F28" s="213"/>
      <c r="G28" s="178"/>
      <c r="H28" s="179"/>
      <c r="I28" s="178"/>
      <c r="J28" s="178"/>
      <c r="K28" s="209" t="n">
        <f aca="false">K22+K24-K26</f>
        <v>124419.897839506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151</v>
      </c>
      <c r="B33" s="204" t="s">
        <v>46</v>
      </c>
      <c r="C33" s="222" t="n">
        <f aca="false">Admin!L6</f>
        <v>46327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51472.3412979873</v>
      </c>
      <c r="G33" s="224" t="n">
        <f aca="false">IF(F33&lt;=Admin!$P$12*A33/A35,Admin!P6,Admin!$P$8)</f>
        <v>25</v>
      </c>
      <c r="H33" s="224"/>
      <c r="I33" s="225" t="n">
        <f aca="false">J33-L33</f>
        <v>12088.8005809529</v>
      </c>
      <c r="J33" s="226" t="n">
        <f aca="false">F33*G33/100</f>
        <v>12868.0853244968</v>
      </c>
      <c r="K33" s="178"/>
      <c r="L33" s="177" t="n">
        <f aca="false">IF(AND(F33&gt;Admin!$P$12*A33/A35,F33&lt;Admin!$P$13*A33/A35),(Admin!$P$13*A33/A35-F33)*Admin!$P$9,0)</f>
        <v>779.284743543889</v>
      </c>
    </row>
    <row r="34" customFormat="false" ht="15" hidden="false" customHeight="true" outlineLevel="0" collapsed="false">
      <c r="A34" s="221" t="n">
        <f aca="false">MAX(0,D34-C34+1)</f>
        <v>214</v>
      </c>
      <c r="B34" s="204" t="s">
        <v>46</v>
      </c>
      <c r="C34" s="222" t="n">
        <f aca="false">Admin!L7</f>
        <v>46478</v>
      </c>
      <c r="D34" s="222" t="n">
        <f aca="false">Admin!N7</f>
        <v>46691</v>
      </c>
      <c r="E34" s="223" t="n">
        <f aca="false">Admin!K7</f>
        <v>2027</v>
      </c>
      <c r="F34" s="186" t="n">
        <f aca="false">IF(K28&gt;0,K28*A34/A35,0)</f>
        <v>72947.5565415185</v>
      </c>
      <c r="G34" s="224" t="n">
        <f aca="false">IF(F34&lt;=Admin!$P$12*A34/A35,Admin!P7,Admin!$P$8)</f>
        <v>25</v>
      </c>
      <c r="H34" s="224"/>
      <c r="I34" s="225" t="n">
        <f aca="false">J34-L34</f>
        <v>17132.4723465161</v>
      </c>
      <c r="J34" s="226" t="n">
        <f aca="false">F34*G34/100</f>
        <v>18236.8891353796</v>
      </c>
      <c r="K34" s="178"/>
      <c r="L34" s="177" t="n">
        <f aca="false">IF(AND(F34&gt;Admin!$P$12*A34/A35,F34&lt;Admin!$P$13*A34/A35),(Admin!$P$13*A34/A35-F34)*Admin!$P$9,0)</f>
        <v>1104.41678886352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29221.272927469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29156.7667546295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46327</v>
      </c>
      <c r="E48" s="240" t="n">
        <f aca="false">H5</f>
        <v>46691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46006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46023</v>
      </c>
      <c r="B50" s="87" t="str">
        <f aca="false">IF([1]Schedule!$E$68&gt;0,[1]Schedule!$C$68," ")</f>
        <v>Precision Tooling Supplies</v>
      </c>
      <c r="E50" s="242"/>
      <c r="F50" s="194" t="n">
        <f aca="false">IF([1]Schedule!$E$68&gt;0,[1]Schedule!$E$68," ")</f>
        <v>13000</v>
      </c>
      <c r="G50" s="178"/>
      <c r="H50" s="179"/>
      <c r="I50" s="89" t="n">
        <f aca="false">IF([1]Schedule!$E$68&gt;0,[1]Schedule!$Q$68," ")</f>
        <v>13000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46068</v>
      </c>
      <c r="B51" s="87" t="str">
        <f aca="false">IF([1]Schedule!$E$69&gt;0,[1]Schedule!$C$69," ")</f>
        <v>IKEA</v>
      </c>
      <c r="E51" s="242"/>
      <c r="F51" s="194" t="n">
        <f aca="false">IF([1]Schedule!$E$69&gt;0,[1]Schedule!$E$69," ")</f>
        <v>1000</v>
      </c>
      <c r="G51" s="178"/>
      <c r="H51" s="179"/>
      <c r="I51" s="89" t="n">
        <f aca="false">IF([1]Schedule!$E$69&gt;0,[1]Schedule!$Q$69," ")</f>
        <v>1000</v>
      </c>
      <c r="J51" s="178"/>
      <c r="K51" s="178"/>
      <c r="L51" s="185"/>
    </row>
    <row r="52" s="120" customFormat="true" ht="12" hidden="false" customHeight="false" outlineLevel="0" collapsed="false">
      <c r="A52" s="241" t="n">
        <f aca="false">IF([1]Schedule!$E$70&gt;0,[1]Schedule!$B$70," ")</f>
        <v>46113</v>
      </c>
      <c r="B52" s="87" t="str">
        <f aca="false">IF([1]Schedule!$E$70&gt;0,[1]Schedule!$C$70," ")</f>
        <v>Precision Tooling Supplies</v>
      </c>
      <c r="E52" s="242"/>
      <c r="F52" s="194" t="n">
        <f aca="false">IF([1]Schedule!$E$70&gt;0,[1]Schedule!$E$70," ")</f>
        <v>7000</v>
      </c>
      <c r="G52" s="178"/>
      <c r="H52" s="179"/>
      <c r="I52" s="89" t="n">
        <f aca="false">IF([1]Schedule!$E$70&gt;0,[1]Schedule!$Q$70," ")</f>
        <v>7000</v>
      </c>
      <c r="J52" s="178"/>
      <c r="K52" s="178"/>
      <c r="L52" s="185"/>
    </row>
    <row r="53" s="120" customFormat="true" ht="12" hidden="false" customHeight="false" outlineLevel="0" collapsed="false">
      <c r="A53" s="241" t="n">
        <f aca="false">IF([1]Schedule!$E$71&gt;0,[1]Schedule!$B$71," ")</f>
        <v>46167</v>
      </c>
      <c r="B53" s="87" t="str">
        <f aca="false">IF([1]Schedule!$E$71&gt;0,[1]Schedule!$C$71," ")</f>
        <v>Ford</v>
      </c>
      <c r="E53" s="242"/>
      <c r="F53" s="194" t="n">
        <f aca="false">IF([1]Schedule!$E$71&gt;0,[1]Schedule!$E$71," ")</f>
        <v>30000</v>
      </c>
      <c r="G53" s="178"/>
      <c r="H53" s="179"/>
      <c r="I53" s="89" t="n">
        <f aca="false">IF([1]Schedule!$E$71&gt;0,[1]Schedule!$Q$71," ")</f>
        <v>30000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46327</v>
      </c>
      <c r="E57" s="240" t="n">
        <f aca="false">H5</f>
        <v>46691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46327</v>
      </c>
      <c r="E63" s="240" t="n">
        <f aca="false">H5</f>
        <v>46691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46327</v>
      </c>
      <c r="E72" s="240" t="n">
        <f aca="false">H5</f>
        <v>46691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46327</v>
      </c>
      <c r="E79" s="245" t="n">
        <f aca="false">H5</f>
        <v>46691</v>
      </c>
      <c r="F79" s="246" t="n">
        <f aca="false">SUM(F48:F78)</f>
        <v>52500</v>
      </c>
      <c r="G79" s="178"/>
      <c r="H79" s="179"/>
      <c r="I79" s="194" t="n">
        <f aca="false">SUM(I48:I78)</f>
        <v>52500</v>
      </c>
      <c r="J79" s="178"/>
      <c r="K79" s="194" t="n">
        <f aca="false">I79</f>
        <v>52500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46327</v>
      </c>
      <c r="E84" s="248" t="n">
        <f aca="false">H5</f>
        <v>46691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46327</v>
      </c>
      <c r="E91" s="250" t="n">
        <f aca="false">H5</f>
        <v>46691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46327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46327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46327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46327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46327</v>
      </c>
      <c r="E97" s="177"/>
      <c r="F97" s="204"/>
      <c r="G97" s="178"/>
      <c r="H97" s="179"/>
      <c r="I97" s="89" t="n">
        <f aca="false">IF([1]Schedule!$R$55&gt;0,[1]Schedule!$R$55," ")</f>
        <v>3360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46327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3360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-8140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46327</v>
      </c>
      <c r="F102" s="253" t="n">
        <f aca="false">H5</f>
        <v>46691</v>
      </c>
      <c r="G102" s="257"/>
      <c r="H102" s="257"/>
      <c r="I102" s="257"/>
      <c r="J102" s="178"/>
      <c r="K102" s="194" t="n">
        <f aca="false">SUM(I100:I101)</f>
        <v>-8140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64000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46327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46691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124080.391666666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124080.391666666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124419.897839506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124419.897839506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51472.3412979873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CorporationTax!J33</f>
        <v>12868.0853244968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218</v>
      </c>
      <c r="N128" s="328" t="n">
        <f aca="false">IF(CorporationTax!A34&gt;0,CorporationTax!F34," ")</f>
        <v>72947.5565415185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 t="n">
        <f aca="false">CorporationTax!J34</f>
        <v>18236.8891353796</v>
      </c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31104.9744598765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0" t="n">
        <f aca="false">CorporationTax!L33+CorporationTax!L34</f>
        <v>1883.70153240741</v>
      </c>
      <c r="Z133" s="330"/>
      <c r="AA133" s="330"/>
      <c r="AB133" s="330"/>
      <c r="AC133" s="330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0" t="n">
        <f aca="false">AJ131-Y133</f>
        <v>29221.272927469</v>
      </c>
      <c r="Z135" s="330"/>
      <c r="AA135" s="330"/>
      <c r="AB135" s="330"/>
      <c r="AC135" s="330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23.4860126353445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Y135</f>
        <v>29221.272927469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29156.7667546295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29156.7667546295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46356</v>
      </c>
      <c r="C4" s="36" t="n">
        <f aca="false">[9]Nov!$M$1-C17</f>
        <v>5700</v>
      </c>
      <c r="D4" s="36" t="n">
        <f aca="false">[9]Nov!$N$1-D17</f>
        <v>800</v>
      </c>
      <c r="E4" s="36" t="n">
        <f aca="false">[9]Nov!$O$1-E17</f>
        <v>296</v>
      </c>
      <c r="F4" s="36" t="n">
        <f aca="false">[9]Nov!$P$1+[9]Nov!$Q$1-F17</f>
        <v>0</v>
      </c>
      <c r="G4" s="36" t="n">
        <f aca="false">C4-SUM(D4:F4)</f>
        <v>4604</v>
      </c>
      <c r="H4" s="36" t="n">
        <f aca="false">[9]Nov!$T$1-H17</f>
        <v>570</v>
      </c>
      <c r="I4" s="36" t="n">
        <f aca="false">[9]Nov!$G$1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46387</v>
      </c>
      <c r="C5" s="36" t="n">
        <f aca="false">[9]Dec!$M$1-C18</f>
        <v>5700</v>
      </c>
      <c r="D5" s="36" t="n">
        <f aca="false">[9]Dec!$N$1-D18</f>
        <v>800</v>
      </c>
      <c r="E5" s="36" t="n">
        <f aca="false">[9]Dec!$O$1-E18</f>
        <v>296</v>
      </c>
      <c r="F5" s="36" t="n">
        <f aca="false">[9]Dec!$P$1+[9]Dec!$Q$1-F18</f>
        <v>0</v>
      </c>
      <c r="G5" s="36" t="n">
        <f aca="false">C5-SUM(D5:F5)</f>
        <v>4604</v>
      </c>
      <c r="H5" s="36" t="n">
        <f aca="false">[9]Dec!$T$1-H18</f>
        <v>570</v>
      </c>
      <c r="I5" s="36" t="n">
        <f aca="false">[9]Dec!$G$1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46418</v>
      </c>
      <c r="C6" s="36" t="n">
        <f aca="false">[9]Jan!$M$1-C19</f>
        <v>5700</v>
      </c>
      <c r="D6" s="36" t="n">
        <f aca="false">[9]Jan!$N$1-D19</f>
        <v>800</v>
      </c>
      <c r="E6" s="36" t="n">
        <f aca="false">[9]Jan!$O$1-E19</f>
        <v>296</v>
      </c>
      <c r="F6" s="36" t="n">
        <f aca="false">[9]Jan!$P$1+[9]Jan!$Q$1-F19</f>
        <v>0</v>
      </c>
      <c r="G6" s="36" t="n">
        <f aca="false">C6-SUM(D6:F6)</f>
        <v>4604</v>
      </c>
      <c r="H6" s="36" t="n">
        <f aca="false">[9]Jan!$T$1-H19</f>
        <v>570</v>
      </c>
      <c r="I6" s="36" t="n">
        <f aca="false">[9]Jan!$G$1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46446</v>
      </c>
      <c r="C7" s="36" t="n">
        <f aca="false">[9]Feb!$M$1-C20</f>
        <v>5700</v>
      </c>
      <c r="D7" s="36" t="n">
        <f aca="false">[9]Feb!$N$1-D20</f>
        <v>800</v>
      </c>
      <c r="E7" s="36" t="n">
        <f aca="false">[9]Feb!$O$1-E20</f>
        <v>296</v>
      </c>
      <c r="F7" s="36" t="n">
        <f aca="false">[9]Feb!$P$1+[9]Feb!$Q$1-F20</f>
        <v>0</v>
      </c>
      <c r="G7" s="36" t="n">
        <f aca="false">C7-SUM(D7:F7)</f>
        <v>4604</v>
      </c>
      <c r="H7" s="36" t="n">
        <f aca="false">[9]Feb!$T$1-H20</f>
        <v>570</v>
      </c>
      <c r="I7" s="36" t="n">
        <f aca="false">[9]Feb!$G$1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46477</v>
      </c>
      <c r="C8" s="36" t="n">
        <f aca="false">[9]Mar!$M$1-C21</f>
        <v>5700</v>
      </c>
      <c r="D8" s="36" t="n">
        <f aca="false">[9]Mar!$N$1-D21</f>
        <v>800</v>
      </c>
      <c r="E8" s="36" t="n">
        <f aca="false">[9]Mar!$O$1-E21</f>
        <v>296</v>
      </c>
      <c r="F8" s="36" t="n">
        <f aca="false">[9]Mar!$P$1+[9]Mar!$Q$1-F21</f>
        <v>0</v>
      </c>
      <c r="G8" s="36" t="n">
        <f aca="false">C8-SUM(D8:F8)</f>
        <v>4604</v>
      </c>
      <c r="H8" s="36" t="n">
        <f aca="false">[9]Mar!$T$1-H21</f>
        <v>570</v>
      </c>
      <c r="I8" s="36" t="n">
        <f aca="false">[9]Mar!$G$1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46507</v>
      </c>
      <c r="C9" s="36" t="n">
        <f aca="false">[9]Apr!$M$1-C22</f>
        <v>5700</v>
      </c>
      <c r="D9" s="36" t="n">
        <f aca="false">[9]Apr!$N$1-D22</f>
        <v>800</v>
      </c>
      <c r="E9" s="36" t="n">
        <f aca="false">[9]Apr!$O$1-E22</f>
        <v>296</v>
      </c>
      <c r="F9" s="36" t="n">
        <f aca="false">[9]Apr!$P$1+[9]Apr!$Q$1-F22</f>
        <v>0</v>
      </c>
      <c r="G9" s="36" t="n">
        <f aca="false">C9-SUM(D9:F9)</f>
        <v>4604</v>
      </c>
      <c r="H9" s="36" t="n">
        <f aca="false">[9]Apr!$T$1-H22</f>
        <v>570</v>
      </c>
      <c r="I9" s="36" t="n">
        <f aca="false">[9]Apr!$G$1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46538</v>
      </c>
      <c r="C10" s="36" t="n">
        <f aca="false">[9]May!$M$1-C23</f>
        <v>5700</v>
      </c>
      <c r="D10" s="36" t="n">
        <f aca="false">[9]May!$N$1-D23</f>
        <v>800</v>
      </c>
      <c r="E10" s="36" t="n">
        <f aca="false">[9]May!$O$1-E23</f>
        <v>296</v>
      </c>
      <c r="F10" s="36" t="n">
        <f aca="false">[9]May!$P$1+[9]May!$Q$1-F23</f>
        <v>0</v>
      </c>
      <c r="G10" s="36" t="n">
        <f aca="false">C10-SUM(D10:F10)</f>
        <v>4604</v>
      </c>
      <c r="H10" s="36" t="n">
        <f aca="false">[9]May!$T$1-H23</f>
        <v>570</v>
      </c>
      <c r="I10" s="36" t="n">
        <f aca="false">[9]May!$G$1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46568</v>
      </c>
      <c r="C11" s="36" t="n">
        <f aca="false">[9]Jun!$M$1-C24</f>
        <v>5700</v>
      </c>
      <c r="D11" s="36" t="n">
        <f aca="false">[9]Jun!$N$1-D24</f>
        <v>800</v>
      </c>
      <c r="E11" s="36" t="n">
        <f aca="false">[9]Jun!$O$1-E24</f>
        <v>296</v>
      </c>
      <c r="F11" s="36" t="n">
        <f aca="false">[9]Jun!$P$1+[9]Jun!$Q$1-F24</f>
        <v>0</v>
      </c>
      <c r="G11" s="36" t="n">
        <f aca="false">C11-SUM(D11:F11)</f>
        <v>4604</v>
      </c>
      <c r="H11" s="36" t="n">
        <f aca="false">[9]Jun!$T$1-H24</f>
        <v>570</v>
      </c>
      <c r="I11" s="36" t="n">
        <f aca="false">[9]Jun!$G$1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46599</v>
      </c>
      <c r="C12" s="36" t="n">
        <f aca="false">[9]Jul!$M$1-C25</f>
        <v>5700</v>
      </c>
      <c r="D12" s="36" t="n">
        <f aca="false">[9]Jul!$N$1-D25</f>
        <v>800</v>
      </c>
      <c r="E12" s="36" t="n">
        <f aca="false">[9]Jul!$O$1-E25</f>
        <v>296</v>
      </c>
      <c r="F12" s="36" t="n">
        <f aca="false">[9]Jul!$P$1+[9]Jul!$Q$1-F25</f>
        <v>0</v>
      </c>
      <c r="G12" s="36" t="n">
        <f aca="false">C12-SUM(D12:F12)</f>
        <v>4604</v>
      </c>
      <c r="H12" s="36" t="n">
        <f aca="false">[9]Jul!$T$1-H25</f>
        <v>570</v>
      </c>
      <c r="I12" s="36" t="n">
        <f aca="false">[9]Jul!$G$1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46630</v>
      </c>
      <c r="C13" s="36" t="n">
        <f aca="false">[9]Aug!$M$1-C26</f>
        <v>5700</v>
      </c>
      <c r="D13" s="36" t="n">
        <f aca="false">[9]Aug!$N$1-D26</f>
        <v>800</v>
      </c>
      <c r="E13" s="36" t="n">
        <f aca="false">[9]Aug!$O$1-E26</f>
        <v>296</v>
      </c>
      <c r="F13" s="36" t="n">
        <f aca="false">[9]Aug!$P$1+[9]Aug!$Q$1-F26</f>
        <v>0</v>
      </c>
      <c r="G13" s="36" t="n">
        <f aca="false">C13-SUM(D13:F13)</f>
        <v>4604</v>
      </c>
      <c r="H13" s="36" t="n">
        <f aca="false">[9]Aug!$T$1-H26</f>
        <v>570</v>
      </c>
      <c r="I13" s="36" t="n">
        <f aca="false">[9]Aug!$G$1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46660</v>
      </c>
      <c r="C14" s="36" t="n">
        <f aca="false">[9]Sep!$M$1-C27</f>
        <v>5700</v>
      </c>
      <c r="D14" s="36" t="n">
        <f aca="false">[9]Sep!$N$1-D27</f>
        <v>800</v>
      </c>
      <c r="E14" s="36" t="n">
        <f aca="false">[9]Sep!$O$1-E27</f>
        <v>296</v>
      </c>
      <c r="F14" s="36" t="n">
        <f aca="false">[9]Sep!$P$1+[9]Sep!$Q$1-F27</f>
        <v>0</v>
      </c>
      <c r="G14" s="36" t="n">
        <f aca="false">C14-SUM(D14:F14)</f>
        <v>4604</v>
      </c>
      <c r="H14" s="36" t="n">
        <f aca="false">[9]Sep!$T$1-H27</f>
        <v>570</v>
      </c>
      <c r="I14" s="36" t="n">
        <f aca="false">[9]Sep!$G$1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46691</v>
      </c>
      <c r="C15" s="36" t="n">
        <f aca="false">[9]Oct!$M$1-C28</f>
        <v>5700</v>
      </c>
      <c r="D15" s="36" t="n">
        <f aca="false">[9]Oct!$N$1-D28</f>
        <v>800</v>
      </c>
      <c r="E15" s="36" t="n">
        <f aca="false">[9]Oct!$O$1-E28</f>
        <v>296</v>
      </c>
      <c r="F15" s="36" t="n">
        <f aca="false">[9]Oct!$P$1+[9]Oct!$Q$1-F28</f>
        <v>0</v>
      </c>
      <c r="G15" s="36" t="n">
        <f aca="false">C15-SUM(D15:F15)</f>
        <v>4604</v>
      </c>
      <c r="H15" s="36" t="n">
        <f aca="false">[9]Oct!$T$1-H28</f>
        <v>570</v>
      </c>
      <c r="I15" s="36" t="n">
        <f aca="false">[9]Oct!$G$1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46356</v>
      </c>
      <c r="C17" s="36" t="n">
        <f aca="false">[9]Nov!$M$2</f>
        <v>1048</v>
      </c>
      <c r="D17" s="36" t="n">
        <f aca="false">[9]Nov!$N$2</f>
        <v>0</v>
      </c>
      <c r="E17" s="36" t="n">
        <f aca="false">[9]Nov!$O$2</f>
        <v>0</v>
      </c>
      <c r="F17" s="36" t="n">
        <f aca="false">[9]Nov!$P$2+[9]Nov!$Q$2</f>
        <v>0</v>
      </c>
      <c r="G17" s="36" t="n">
        <f aca="false">C17-SUM(D17:F17)</f>
        <v>1048</v>
      </c>
      <c r="H17" s="36" t="n">
        <f aca="false">[9]Nov!$T$2</f>
        <v>7.2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46387</v>
      </c>
      <c r="C18" s="36" t="n">
        <f aca="false">[9]Dec!$M$2</f>
        <v>1048</v>
      </c>
      <c r="D18" s="36" t="n">
        <f aca="false">[9]Dec!$N$2</f>
        <v>0</v>
      </c>
      <c r="E18" s="36" t="n">
        <f aca="false">[9]Dec!$O$2</f>
        <v>0</v>
      </c>
      <c r="F18" s="36" t="n">
        <f aca="false">[9]Dec!$P$2+[9]Dec!$Q$2</f>
        <v>0</v>
      </c>
      <c r="G18" s="36" t="n">
        <f aca="false">C18-SUM(D18:F18)</f>
        <v>1048</v>
      </c>
      <c r="H18" s="36" t="n">
        <f aca="false">[9]Dec!$T$2</f>
        <v>7.2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46418</v>
      </c>
      <c r="C19" s="36" t="n">
        <f aca="false">[9]Jan!$M$2</f>
        <v>1048</v>
      </c>
      <c r="D19" s="36" t="n">
        <f aca="false">[9]Jan!$N$2</f>
        <v>0</v>
      </c>
      <c r="E19" s="36" t="n">
        <f aca="false">[9]Jan!$O$2</f>
        <v>0</v>
      </c>
      <c r="F19" s="36" t="n">
        <f aca="false">[9]Jan!$P$2+[9]Jan!$Q$2</f>
        <v>0</v>
      </c>
      <c r="G19" s="36" t="n">
        <f aca="false">C19-SUM(D19:F19)</f>
        <v>1048</v>
      </c>
      <c r="H19" s="36" t="n">
        <f aca="false">[9]Jan!$T$2</f>
        <v>7.2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46446</v>
      </c>
      <c r="C20" s="36" t="n">
        <f aca="false">[9]Feb!$M$2</f>
        <v>1048</v>
      </c>
      <c r="D20" s="36" t="n">
        <f aca="false">[9]Feb!$N$2</f>
        <v>0</v>
      </c>
      <c r="E20" s="36" t="n">
        <f aca="false">[9]Feb!$O$2</f>
        <v>0</v>
      </c>
      <c r="F20" s="36" t="n">
        <f aca="false">[9]Feb!$P$2+[9]Feb!$Q$2</f>
        <v>0</v>
      </c>
      <c r="G20" s="36" t="n">
        <f aca="false">C20-SUM(D20:F20)</f>
        <v>1048</v>
      </c>
      <c r="H20" s="36" t="n">
        <f aca="false">[9]Feb!$T$2</f>
        <v>7.2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46477</v>
      </c>
      <c r="C21" s="36" t="n">
        <f aca="false">[9]Mar!$M$2</f>
        <v>1048</v>
      </c>
      <c r="D21" s="36" t="n">
        <f aca="false">[9]Mar!$N$2</f>
        <v>0</v>
      </c>
      <c r="E21" s="36" t="n">
        <f aca="false">[9]Mar!$O$2</f>
        <v>0</v>
      </c>
      <c r="F21" s="36" t="n">
        <f aca="false">[9]Mar!$P$2+[9]Mar!$Q$2</f>
        <v>0</v>
      </c>
      <c r="G21" s="36" t="n">
        <f aca="false">C21-SUM(D21:F21)</f>
        <v>1048</v>
      </c>
      <c r="H21" s="36" t="n">
        <f aca="false">[9]Mar!$T$2</f>
        <v>7.2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46507</v>
      </c>
      <c r="C22" s="36" t="n">
        <f aca="false">[9]Apr!$M$2</f>
        <v>1048</v>
      </c>
      <c r="D22" s="36" t="n">
        <f aca="false">[9]Apr!$N$2</f>
        <v>0</v>
      </c>
      <c r="E22" s="36" t="n">
        <f aca="false">[9]Apr!$O$2</f>
        <v>0</v>
      </c>
      <c r="F22" s="36" t="n">
        <f aca="false">[9]Apr!$P$2+[9]Apr!$Q$2</f>
        <v>0</v>
      </c>
      <c r="G22" s="36" t="n">
        <f aca="false">C22-SUM(D22:F22)</f>
        <v>1048</v>
      </c>
      <c r="H22" s="36" t="n">
        <f aca="false">[9]Apr!$T$2</f>
        <v>7.2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46538</v>
      </c>
      <c r="C23" s="36" t="n">
        <f aca="false">[9]May!$M$2</f>
        <v>1048</v>
      </c>
      <c r="D23" s="36" t="n">
        <f aca="false">[9]May!$N$2</f>
        <v>0</v>
      </c>
      <c r="E23" s="36" t="n">
        <f aca="false">[9]May!$O$2</f>
        <v>0</v>
      </c>
      <c r="F23" s="36" t="n">
        <f aca="false">[9]May!$P$2+[9]May!$Q$2</f>
        <v>0</v>
      </c>
      <c r="G23" s="36" t="n">
        <f aca="false">C23-SUM(D23:F23)</f>
        <v>1048</v>
      </c>
      <c r="H23" s="36" t="n">
        <f aca="false">[9]May!$T$2</f>
        <v>7.2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46568</v>
      </c>
      <c r="C24" s="36" t="n">
        <f aca="false">[9]Jun!$M$2</f>
        <v>1048</v>
      </c>
      <c r="D24" s="36" t="n">
        <f aca="false">[9]Jun!$N$2</f>
        <v>0</v>
      </c>
      <c r="E24" s="36" t="n">
        <f aca="false">[9]Jun!$O$2</f>
        <v>0</v>
      </c>
      <c r="F24" s="36" t="n">
        <f aca="false">[9]Jun!$P$2+[9]Jun!$Q$2</f>
        <v>0</v>
      </c>
      <c r="G24" s="36" t="n">
        <f aca="false">C24-SUM(D24:F24)</f>
        <v>1048</v>
      </c>
      <c r="H24" s="36" t="n">
        <f aca="false">[9]Jun!$T$2</f>
        <v>7.2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46599</v>
      </c>
      <c r="C25" s="36" t="n">
        <f aca="false">[9]Jul!$M$2</f>
        <v>1048</v>
      </c>
      <c r="D25" s="36" t="n">
        <f aca="false">[9]Jul!$N$2</f>
        <v>0</v>
      </c>
      <c r="E25" s="36" t="n">
        <f aca="false">[9]Jul!$O$2</f>
        <v>0</v>
      </c>
      <c r="F25" s="36" t="n">
        <f aca="false">[9]Jul!$P$2+[9]Jul!$Q$2</f>
        <v>0</v>
      </c>
      <c r="G25" s="36" t="n">
        <f aca="false">C25-SUM(D25:F25)</f>
        <v>1048</v>
      </c>
      <c r="H25" s="36" t="n">
        <f aca="false">[9]Jul!$T$2</f>
        <v>7.2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46630</v>
      </c>
      <c r="C26" s="36" t="n">
        <f aca="false">[9]Aug!$M$2</f>
        <v>1048</v>
      </c>
      <c r="D26" s="36" t="n">
        <f aca="false">[9]Aug!$N$2</f>
        <v>0</v>
      </c>
      <c r="E26" s="36" t="n">
        <f aca="false">[9]Aug!$O$2</f>
        <v>0</v>
      </c>
      <c r="F26" s="36" t="n">
        <f aca="false">[9]Aug!$P$2+[9]Aug!$Q$2</f>
        <v>0</v>
      </c>
      <c r="G26" s="36" t="n">
        <f aca="false">C26-SUM(D26:F26)</f>
        <v>1048</v>
      </c>
      <c r="H26" s="36" t="n">
        <f aca="false">[9]Aug!$T$2</f>
        <v>7.2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46660</v>
      </c>
      <c r="C27" s="36" t="n">
        <f aca="false">[9]Sep!$M$2</f>
        <v>1048</v>
      </c>
      <c r="D27" s="36" t="n">
        <f aca="false">[9]Sep!$N$2</f>
        <v>0</v>
      </c>
      <c r="E27" s="36" t="n">
        <f aca="false">[9]Sep!$O$2</f>
        <v>0</v>
      </c>
      <c r="F27" s="36" t="n">
        <f aca="false">[9]Sep!$P$2+[9]Sep!$Q$2</f>
        <v>0</v>
      </c>
      <c r="G27" s="36" t="n">
        <f aca="false">C27-SUM(D27:F27)</f>
        <v>1048</v>
      </c>
      <c r="H27" s="36" t="n">
        <f aca="false">[9]Sep!$T$2</f>
        <v>7.2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46691</v>
      </c>
      <c r="C28" s="36" t="n">
        <f aca="false">[9]Oct!$M$2</f>
        <v>1048</v>
      </c>
      <c r="D28" s="36" t="n">
        <f aca="false">[9]Oct!$N$2</f>
        <v>0</v>
      </c>
      <c r="E28" s="36" t="n">
        <f aca="false">[9]Oct!$O$2</f>
        <v>0</v>
      </c>
      <c r="F28" s="36" t="n">
        <f aca="false">[9]Oct!$P$2+[9]Oct!$Q$2</f>
        <v>0</v>
      </c>
      <c r="G28" s="36" t="n">
        <f aca="false">C28-SUM(D28:F28)</f>
        <v>1048</v>
      </c>
      <c r="H28" s="36" t="n">
        <f aca="false">[9]Oct!$T$2</f>
        <v>7.2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46327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46356</v>
      </c>
      <c r="C8" s="435"/>
      <c r="D8" s="436" t="n">
        <f aca="false">D6+F8-L8-R8-X8+Z6</f>
        <v>9740</v>
      </c>
      <c r="E8" s="78"/>
      <c r="F8" s="78" t="n">
        <f aca="false">IF((H$4+N$4+T$4)=0,0,[2]Nov!O$1)</f>
        <v>500</v>
      </c>
      <c r="G8" s="78"/>
      <c r="H8" s="437" t="n">
        <f aca="false">H4</f>
        <v>0.03</v>
      </c>
      <c r="I8" s="78"/>
      <c r="J8" s="78" t="n">
        <f aca="false">[3]Nov!$O$1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[3]Nov!$P$1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[3]Nov!$Q$1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46387</v>
      </c>
      <c r="C10" s="435"/>
      <c r="D10" s="436" t="n">
        <f aca="false">D8+F10-L10-R10-X10+Z8</f>
        <v>9571</v>
      </c>
      <c r="E10" s="78"/>
      <c r="F10" s="78" t="n">
        <f aca="false">IF((H$4+N$4+T$4)=0,0,[2]Dec!O$1)</f>
        <v>600</v>
      </c>
      <c r="G10" s="78"/>
      <c r="H10" s="437" t="n">
        <f aca="false">H8</f>
        <v>0.03</v>
      </c>
      <c r="I10" s="78"/>
      <c r="J10" s="78" t="n">
        <f aca="false">[3]Dec!$O$1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[3]Dec!$P$1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[3]Dec!$Q$1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46418</v>
      </c>
      <c r="C12" s="435"/>
      <c r="D12" s="436" t="n">
        <f aca="false">D10+F12-L12-R12-X12+Z10</f>
        <v>9075.00000000001</v>
      </c>
      <c r="E12" s="78"/>
      <c r="F12" s="78" t="n">
        <f aca="false">IF((H$4+N$4+T$4)=0,0,[2]Jan!O$1)</f>
        <v>300</v>
      </c>
      <c r="G12" s="78"/>
      <c r="H12" s="437" t="n">
        <f aca="false">H10</f>
        <v>0.03</v>
      </c>
      <c r="I12" s="78"/>
      <c r="J12" s="78" t="n">
        <f aca="false">[3]Jan!$O$1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[3]Jan!$P$1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[3]Jan!$Q$1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46446</v>
      </c>
      <c r="C14" s="435"/>
      <c r="D14" s="436" t="n">
        <f aca="false">D12+F14-L14-R14-X14+Z12</f>
        <v>8906.00000000001</v>
      </c>
      <c r="E14" s="78"/>
      <c r="F14" s="78" t="n">
        <f aca="false">IF((H$4+N$4+T$4)=0,0,[2]Feb!O$1)</f>
        <v>600</v>
      </c>
      <c r="G14" s="78"/>
      <c r="H14" s="437" t="n">
        <f aca="false">H12</f>
        <v>0.03</v>
      </c>
      <c r="I14" s="78"/>
      <c r="J14" s="78" t="n">
        <f aca="false">[3]Feb!$O$1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[3]Feb!$P$1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[3]Feb!$Q$1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46477</v>
      </c>
      <c r="C16" s="435"/>
      <c r="D16" s="436" t="n">
        <f aca="false">D14+F16-L16-R16-X16+Z14</f>
        <v>8542.00000000001</v>
      </c>
      <c r="E16" s="78"/>
      <c r="F16" s="78" t="n">
        <f aca="false">IF((H$4+N$4+T$4)=0,0,[2]Mar!O$1)</f>
        <v>450</v>
      </c>
      <c r="G16" s="78"/>
      <c r="H16" s="437" t="n">
        <f aca="false">H14</f>
        <v>0.03</v>
      </c>
      <c r="I16" s="78"/>
      <c r="J16" s="78" t="n">
        <f aca="false">[3]Mar!$O$1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[3]Mar!$P$1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[3]Mar!$Q$1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46507</v>
      </c>
      <c r="C18" s="435"/>
      <c r="D18" s="436" t="n">
        <f aca="false">D16+F18-L18-R18-X18+Z16</f>
        <v>7991.00000000001</v>
      </c>
      <c r="E18" s="78"/>
      <c r="F18" s="78" t="n">
        <f aca="false">IF((H$4+N$4+T$4)=0,0,[2]Apr!O$1)</f>
        <v>200</v>
      </c>
      <c r="G18" s="78"/>
      <c r="H18" s="437" t="n">
        <f aca="false">H16</f>
        <v>0.03</v>
      </c>
      <c r="I18" s="78"/>
      <c r="J18" s="78" t="n">
        <f aca="false">[3]Apr!$O$1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[3]Apr!$P$1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[3]Apr!$Q$1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46538</v>
      </c>
      <c r="C20" s="435"/>
      <c r="D20" s="436" t="n">
        <f aca="false">D18+F20-L20-R20-X20+Z18</f>
        <v>7577.00000000001</v>
      </c>
      <c r="E20" s="78"/>
      <c r="F20" s="78" t="n">
        <f aca="false">IF((H$4+N$4+T$4)=0,0,[2]May!O$1)</f>
        <v>400</v>
      </c>
      <c r="G20" s="78"/>
      <c r="H20" s="437" t="n">
        <f aca="false">H18</f>
        <v>0.03</v>
      </c>
      <c r="I20" s="78"/>
      <c r="J20" s="78" t="n">
        <f aca="false">[3]May!$O$1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[3]May!$P$1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[3]May!$Q$1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46568</v>
      </c>
      <c r="C22" s="435"/>
      <c r="D22" s="436" t="n">
        <f aca="false">D20+F22-L22-R22-X22+Z20</f>
        <v>7508.00000000001</v>
      </c>
      <c r="E22" s="78"/>
      <c r="F22" s="78" t="n">
        <f aca="false">IF((H$4+N$4+T$4)=0,0,[2]Jun!O$1)</f>
        <v>700</v>
      </c>
      <c r="G22" s="78"/>
      <c r="H22" s="437" t="n">
        <f aca="false">H20</f>
        <v>0.03</v>
      </c>
      <c r="I22" s="78"/>
      <c r="J22" s="78" t="n">
        <f aca="false">[3]Jun!$O$1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[3]Jun!$P$1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[3]Jun!$Q$1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46599</v>
      </c>
      <c r="C24" s="435"/>
      <c r="D24" s="436" t="n">
        <f aca="false">D22+F24-L24-R24-X24+Z22</f>
        <v>7112.00000000001</v>
      </c>
      <c r="E24" s="78"/>
      <c r="F24" s="78" t="n">
        <f aca="false">IF((H$4+N$4+T$4)=0,0,[2]Jul!O$1)</f>
        <v>400</v>
      </c>
      <c r="G24" s="78"/>
      <c r="H24" s="437" t="n">
        <f aca="false">H22</f>
        <v>0.03</v>
      </c>
      <c r="I24" s="78"/>
      <c r="J24" s="78" t="n">
        <f aca="false">[3]Jul!$O$1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[3]Jul!$P$1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[3]Jul!$Q$1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46630</v>
      </c>
      <c r="C26" s="435"/>
      <c r="D26" s="436" t="n">
        <f aca="false">D24+F26-L26-R26-X26+Z24</f>
        <v>6843.00000000001</v>
      </c>
      <c r="E26" s="78"/>
      <c r="F26" s="78" t="n">
        <f aca="false">IF((H$4+N$4+T$4)=0,0,[2]Aug!O$1)</f>
        <v>500</v>
      </c>
      <c r="G26" s="78"/>
      <c r="H26" s="437" t="n">
        <f aca="false">H24</f>
        <v>0.03</v>
      </c>
      <c r="I26" s="78"/>
      <c r="J26" s="78" t="n">
        <f aca="false">[3]Aug!$O$1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[3]Aug!$P$1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[3]Aug!$Q$1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46660</v>
      </c>
      <c r="C28" s="435"/>
      <c r="D28" s="436" t="n">
        <f aca="false">D26+F28-L28-R28-X28+Z26</f>
        <v>6603.00000000002</v>
      </c>
      <c r="E28" s="78"/>
      <c r="F28" s="78" t="n">
        <f aca="false">IF((H$4+N$4+T$4)=0,0,[2]Sep!O$1)</f>
        <v>550</v>
      </c>
      <c r="G28" s="78"/>
      <c r="H28" s="437" t="n">
        <f aca="false">H26</f>
        <v>0.03</v>
      </c>
      <c r="I28" s="78"/>
      <c r="J28" s="78" t="n">
        <f aca="false">[3]Sep!$O$1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[3]Sep!$P$1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[3]Sep!$Q$1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46691</v>
      </c>
      <c r="C30" s="435"/>
      <c r="D30" s="436" t="n">
        <f aca="false">D28+F30-L30-R30-X30+Z28</f>
        <v>6102.00000000002</v>
      </c>
      <c r="E30" s="78"/>
      <c r="F30" s="78" t="n">
        <f aca="false">IF((H$4+N$4+T$4)=0,0,[2]Oct!O$1)</f>
        <v>250</v>
      </c>
      <c r="G30" s="78"/>
      <c r="H30" s="437" t="n">
        <f aca="false">H28</f>
        <v>0.03</v>
      </c>
      <c r="I30" s="78"/>
      <c r="J30" s="78" t="n">
        <f aca="false">[3]Oct!$O$1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[3]Oct!$P$1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[3]Oct!$Q$1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46234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46235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46265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46266</v>
      </c>
      <c r="C5" s="451"/>
      <c r="D5" s="451" t="s">
        <v>617</v>
      </c>
      <c r="E5" s="451"/>
      <c r="F5" s="463" t="n">
        <f aca="false">B8</f>
        <v>46326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46295</v>
      </c>
      <c r="C6" s="451"/>
      <c r="D6" s="451" t="s">
        <v>619</v>
      </c>
      <c r="E6" s="451"/>
      <c r="F6" s="463" t="n">
        <f aca="false">B8</f>
        <v>46326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46327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46296</v>
      </c>
      <c r="C7" s="451"/>
      <c r="D7" s="451" t="s">
        <v>617</v>
      </c>
      <c r="E7" s="451"/>
      <c r="F7" s="463" t="n">
        <f aca="false">B32</f>
        <v>46691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46691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46326</v>
      </c>
      <c r="C8" s="451"/>
      <c r="D8" s="451" t="s">
        <v>619</v>
      </c>
      <c r="E8" s="451"/>
      <c r="F8" s="463" t="n">
        <f aca="false">B32</f>
        <v>46691</v>
      </c>
      <c r="G8" s="464" t="n">
        <v>14</v>
      </c>
      <c r="H8" s="451"/>
      <c r="I8" s="465" t="s">
        <v>620</v>
      </c>
      <c r="J8" s="451"/>
      <c r="K8" s="451"/>
      <c r="L8" s="451"/>
      <c r="M8" s="451"/>
      <c r="N8" s="451"/>
      <c r="O8" s="451"/>
      <c r="P8" s="464" t="n">
        <v>25</v>
      </c>
      <c r="Q8" s="453" t="s">
        <v>355</v>
      </c>
    </row>
    <row r="9" customFormat="false" ht="12" hidden="false" customHeight="true" outlineLevel="0" collapsed="false">
      <c r="A9" s="451"/>
      <c r="B9" s="457" t="n">
        <f aca="false">DATE(YEAR(B10),MONTH(B10),1)</f>
        <v>46327</v>
      </c>
      <c r="C9" s="451"/>
      <c r="D9" s="451"/>
      <c r="E9" s="451"/>
      <c r="F9" s="451"/>
      <c r="G9" s="453"/>
      <c r="H9" s="451"/>
      <c r="I9" s="465" t="s">
        <v>621</v>
      </c>
      <c r="J9" s="451"/>
      <c r="K9" s="451"/>
      <c r="L9" s="468" t="s">
        <v>593</v>
      </c>
      <c r="M9" s="451"/>
      <c r="N9" s="469" t="s">
        <v>622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46356</v>
      </c>
      <c r="C10" s="451"/>
      <c r="D10" s="471" t="s">
        <v>623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46326</v>
      </c>
      <c r="M10" s="453" t="s">
        <v>624</v>
      </c>
      <c r="N10" s="472" t="n">
        <f aca="false">B8</f>
        <v>46326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46357</v>
      </c>
      <c r="C11" s="451"/>
      <c r="D11" s="451"/>
      <c r="E11" s="468"/>
      <c r="F11" s="451"/>
      <c r="G11" s="468"/>
      <c r="H11" s="451"/>
      <c r="I11" s="451"/>
      <c r="J11" s="451"/>
      <c r="K11" s="451"/>
      <c r="L11" s="463" t="n">
        <f aca="false">B32</f>
        <v>46691</v>
      </c>
      <c r="M11" s="473" t="s">
        <v>624</v>
      </c>
      <c r="N11" s="472" t="n">
        <f aca="false">B32</f>
        <v>46691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46387</v>
      </c>
      <c r="C12" s="451"/>
      <c r="D12" s="451"/>
      <c r="E12" s="453"/>
      <c r="F12" s="451"/>
      <c r="G12" s="453"/>
      <c r="H12" s="451"/>
      <c r="I12" s="465" t="s">
        <v>625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46388</v>
      </c>
      <c r="C13" s="451"/>
      <c r="D13" s="458" t="s">
        <v>626</v>
      </c>
      <c r="E13" s="458"/>
      <c r="F13" s="458"/>
      <c r="G13" s="453" t="s">
        <v>355</v>
      </c>
      <c r="H13" s="451"/>
      <c r="I13" s="465" t="s">
        <v>627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46418</v>
      </c>
      <c r="C14" s="451"/>
      <c r="D14" s="451"/>
      <c r="E14" s="451"/>
      <c r="F14" s="451"/>
      <c r="G14" s="453"/>
      <c r="H14" s="451"/>
      <c r="I14" s="458" t="s">
        <v>628</v>
      </c>
      <c r="J14" s="458"/>
      <c r="K14" s="458"/>
      <c r="L14" s="456"/>
      <c r="M14" s="451"/>
      <c r="N14" s="453" t="s">
        <v>629</v>
      </c>
      <c r="O14" s="453" t="s">
        <v>630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46419</v>
      </c>
      <c r="C15" s="451"/>
      <c r="D15" s="471" t="s">
        <v>631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46446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632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46447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633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46477</v>
      </c>
      <c r="C18" s="451"/>
      <c r="D18" s="471" t="s">
        <v>260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46478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634</v>
      </c>
      <c r="J19" s="458"/>
      <c r="K19" s="458"/>
      <c r="L19" s="451"/>
      <c r="M19" s="477" t="n">
        <v>20</v>
      </c>
      <c r="N19" s="452" t="n">
        <f aca="false">B9</f>
        <v>46327</v>
      </c>
      <c r="O19" s="478" t="n">
        <f aca="false">B26</f>
        <v>46599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46507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46508</v>
      </c>
      <c r="C21" s="451"/>
      <c r="D21" s="22" t="s">
        <v>616</v>
      </c>
      <c r="E21" s="2"/>
      <c r="F21" s="481" t="n">
        <v>46691</v>
      </c>
      <c r="G21" s="453"/>
      <c r="H21" s="451"/>
      <c r="I21" s="458" t="s">
        <v>634</v>
      </c>
      <c r="J21" s="458"/>
      <c r="K21" s="458"/>
      <c r="L21" s="451"/>
      <c r="M21" s="461" t="n">
        <v>20</v>
      </c>
      <c r="N21" s="452" t="n">
        <f aca="false">B27</f>
        <v>46600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46538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46539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46568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46569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46599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46600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46630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46631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46660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46661</v>
      </c>
      <c r="C31" s="451"/>
    </row>
    <row r="32" customFormat="false" ht="12" hidden="false" customHeight="false" outlineLevel="0" collapsed="false">
      <c r="A32" s="451"/>
      <c r="B32" s="484" t="n">
        <f aca="false">F21</f>
        <v>46691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46692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46721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46722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46752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46753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46783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46784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46812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46813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46843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46844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46873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46874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46904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46905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46934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46935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46965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46966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46996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46997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47026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47027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47057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