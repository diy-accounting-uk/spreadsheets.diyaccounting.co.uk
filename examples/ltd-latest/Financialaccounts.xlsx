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<sst xmlns="http://schemas.openxmlformats.org/spreadsheetml/2006/main" count="1018" uniqueCount="621">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</sst>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16400</v>
          </cell>
          <cell r="G1">
            <v>2733.33333333333</v>
          </cell>
        </row>
        <row r="1">
          <cell r="O1">
            <v>11166.6666666667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15920</v>
          </cell>
          <cell r="G1">
            <v>2653.33333333333</v>
          </cell>
        </row>
        <row r="1">
          <cell r="O1">
            <v>11466.6666666667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18200</v>
          </cell>
          <cell r="G1">
            <v>3033.33333333333</v>
          </cell>
        </row>
        <row r="1">
          <cell r="O1">
            <v>12366.6666666667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16760</v>
          </cell>
          <cell r="G1">
            <v>2793.33333333333</v>
          </cell>
        </row>
        <row r="1">
          <cell r="O1">
            <v>11466.6666666667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19020</v>
          </cell>
          <cell r="G1">
            <v>3170</v>
          </cell>
        </row>
        <row r="1">
          <cell r="O1">
            <v>12966.6666666667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16760</v>
          </cell>
          <cell r="G1">
            <v>2793.33333333333</v>
          </cell>
        </row>
        <row r="1">
          <cell r="O1">
            <v>10866.6666666667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33560</v>
          </cell>
          <cell r="G1">
            <v>5593.33333333333</v>
          </cell>
        </row>
        <row r="1">
          <cell r="O1">
            <v>12966.6666666667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18320</v>
          </cell>
          <cell r="G1">
            <v>3053.33333333333</v>
          </cell>
        </row>
        <row r="1">
          <cell r="O1">
            <v>11466.6666666667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15800</v>
          </cell>
          <cell r="G1">
            <v>2633.33333333333</v>
          </cell>
        </row>
        <row r="1">
          <cell r="O1">
            <v>12366.6666666667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18440</v>
          </cell>
          <cell r="G1">
            <v>3073.33333333333</v>
          </cell>
        </row>
        <row r="1">
          <cell r="O1">
            <v>11466.6666666667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17360</v>
          </cell>
          <cell r="G1">
            <v>2893.33333333333</v>
          </cell>
        </row>
        <row r="1">
          <cell r="O1">
            <v>12166.6666666667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14360</v>
          </cell>
          <cell r="G1">
            <v>2393.33333333333</v>
          </cell>
        </row>
        <row r="1">
          <cell r="O1">
            <v>10866.6666666667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16400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16400</v>
      </c>
      <c r="P20" s="57"/>
      <c r="Q20" s="36" t="n">
        <f aca="false">[3]Jul!$F$1-[3]Jul!$V$1</f>
        <v>15920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32320</v>
      </c>
      <c r="AA20" s="57"/>
      <c r="AB20" s="36" t="n">
        <f aca="false">[3]Aug!$F$1-[3]Aug!$V$1</f>
        <v>18200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50520</v>
      </c>
      <c r="AL20" s="57"/>
      <c r="AM20" s="36" t="n">
        <f aca="false">[3]Sep!$F$1-[3]Sep!$V$1</f>
        <v>16760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67280</v>
      </c>
      <c r="AW20" s="57"/>
      <c r="AX20" s="36" t="n">
        <f aca="false">[3]Oct!$F$1-[3]Oct!$V$1</f>
        <v>19020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86300</v>
      </c>
      <c r="BH20" s="57"/>
      <c r="BI20" s="36" t="n">
        <f aca="false">[3]Nov!$F$1-[3]Nov!$V$1</f>
        <v>16760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103060</v>
      </c>
      <c r="BS20" s="57"/>
      <c r="BT20" s="36" t="n">
        <f aca="false">[3]Dec!$F$1-[3]Dec!$V$1</f>
        <v>33560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136620</v>
      </c>
      <c r="CD20" s="57"/>
      <c r="CE20" s="36" t="n">
        <f aca="false">[3]Jan!$F$1-[3]Jan!$V$1</f>
        <v>18320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154940</v>
      </c>
      <c r="CO20" s="57"/>
      <c r="CP20" s="36" t="n">
        <f aca="false">[3]Feb!$F$1-[3]Feb!$V$1</f>
        <v>15800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170740</v>
      </c>
      <c r="CZ20" s="57"/>
      <c r="DA20" s="36" t="n">
        <f aca="false">[3]Mar!$F$1-[3]Mar!$V$1</f>
        <v>18440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189180</v>
      </c>
      <c r="DK20" s="57"/>
      <c r="DL20" s="36" t="n">
        <f aca="false">[3]Apr!$F$1-[3]Apr!$V$1</f>
        <v>17360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206540</v>
      </c>
      <c r="DV20" s="57"/>
      <c r="DW20" s="36" t="n">
        <f aca="false">[3]May!$F$1-[3]May!$V$1</f>
        <v>14360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220900</v>
      </c>
      <c r="EG20" s="54"/>
      <c r="EI20" s="54"/>
      <c r="EJ20" s="36" t="n">
        <f aca="false">SUM(EF20:EH20)</f>
        <v>220900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-2733.33333333333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-2733.33333333333</v>
      </c>
      <c r="P33" s="57"/>
      <c r="Q33" s="36" t="n">
        <f aca="false">-[3]Jul!$G$1</f>
        <v>-2653.33333333333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-5386.66666666666</v>
      </c>
      <c r="AA33" s="57"/>
      <c r="AB33" s="36" t="n">
        <f aca="false">-[3]Aug!$G$1</f>
        <v>-3033.33333333333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-8419.99999999999</v>
      </c>
      <c r="AL33" s="57"/>
      <c r="AM33" s="36" t="n">
        <f aca="false">-[3]Sep!$G$1</f>
        <v>-2793.33333333333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-11213.3333333333</v>
      </c>
      <c r="AW33" s="57"/>
      <c r="AX33" s="36" t="n">
        <f aca="false">-[3]Oct!$G$1</f>
        <v>-3170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-14383.3333333333</v>
      </c>
      <c r="BH33" s="57"/>
      <c r="BI33" s="36" t="n">
        <f aca="false">-[3]Nov!$G$1</f>
        <v>-2793.33333333333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-17176.6666666667</v>
      </c>
      <c r="BS33" s="57"/>
      <c r="BT33" s="36" t="n">
        <f aca="false">-[3]Dec!$G$1</f>
        <v>-5593.33333333333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-22770</v>
      </c>
      <c r="CD33" s="57"/>
      <c r="CE33" s="36" t="n">
        <f aca="false">-[3]Jan!$G$1</f>
        <v>-3053.33333333333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-25823.3333333333</v>
      </c>
      <c r="CO33" s="57"/>
      <c r="CP33" s="36" t="n">
        <f aca="false">-[3]Feb!$G$1</f>
        <v>-2633.33333333333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-28456.6666666666</v>
      </c>
      <c r="CZ33" s="57"/>
      <c r="DA33" s="36" t="n">
        <f aca="false">-[3]Mar!$G$1</f>
        <v>-3073.33333333333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-31530</v>
      </c>
      <c r="DK33" s="57"/>
      <c r="DL33" s="36" t="n">
        <f aca="false">-[3]Apr!$G$1</f>
        <v>-2893.33333333333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-34423.3333333333</v>
      </c>
      <c r="DV33" s="57"/>
      <c r="DW33" s="36" t="n">
        <f aca="false">-[3]May!$G$1</f>
        <v>-2393.33333333333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-36816.6666666666</v>
      </c>
      <c r="EG33" s="54"/>
      <c r="EI33" s="54"/>
      <c r="EJ33" s="36" t="n">
        <f aca="false">SUM(EF33:EH33)</f>
        <v>-36816.6666666666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-19492.3058333334</v>
      </c>
      <c r="EE35" s="54"/>
      <c r="EF35" s="36" t="n">
        <f aca="false">SUM(DU35:EE35)</f>
        <v>-19492.3058333334</v>
      </c>
      <c r="EG35" s="54"/>
      <c r="EH35" s="36" t="n">
        <f aca="false">-EH58</f>
        <v>-0</v>
      </c>
      <c r="EI35" s="54"/>
      <c r="EJ35" s="36" t="n">
        <f aca="false">SUM(EF35:EH35)</f>
        <v>-19492.3058333334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-80098.7775000004</v>
      </c>
      <c r="EI43" s="54"/>
      <c r="EJ43" s="36" t="n">
        <f aca="false">SUM(EF43:EH43)</f>
        <v>-80098.7775000004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19492.3058333334</v>
      </c>
      <c r="EE47" s="54"/>
      <c r="EF47" s="36" t="n">
        <f aca="false">SUM(DU47:EE47)</f>
        <v>19492.3058333334</v>
      </c>
      <c r="EG47" s="54"/>
      <c r="EI47" s="54"/>
      <c r="EJ47" s="36" t="n">
        <f aca="false">SUM(EF47:EH47)</f>
        <v>19492.3058333334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80098.7775000004</v>
      </c>
      <c r="EI49" s="54"/>
      <c r="EJ49" s="36" t="n">
        <f aca="false">SUM(EF49:EH49)</f>
        <v>80098.7775000004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-11166.6666666667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-11166.6666666667</v>
      </c>
      <c r="P53" s="57"/>
      <c r="Q53" s="36" t="n">
        <f aca="false">-[3]Jul!$O$1</f>
        <v>-11466.6666666667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-22633.3333333334</v>
      </c>
      <c r="AA53" s="57"/>
      <c r="AB53" s="36" t="n">
        <f aca="false">-[3]Aug!$O$1</f>
        <v>-12366.6666666667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-35000.0000000001</v>
      </c>
      <c r="AL53" s="57"/>
      <c r="AM53" s="36" t="n">
        <f aca="false">-[3]Sep!$O$1</f>
        <v>-11466.6666666667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-46466.6666666668</v>
      </c>
      <c r="AW53" s="57"/>
      <c r="AX53" s="36" t="n">
        <f aca="false">-[3]Oct!$O$1</f>
        <v>-12966.6666666667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-59433.3333333335</v>
      </c>
      <c r="BH53" s="57"/>
      <c r="BI53" s="36" t="n">
        <f aca="false">-[3]Nov!$O$1</f>
        <v>-10866.6666666667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-70300.0000000002</v>
      </c>
      <c r="BS53" s="57"/>
      <c r="BT53" s="36" t="n">
        <f aca="false">-[3]Dec!$O$1</f>
        <v>-12966.6666666667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-83266.6666666669</v>
      </c>
      <c r="CD53" s="57"/>
      <c r="CE53" s="36" t="n">
        <f aca="false">-[3]Jan!$O$1</f>
        <v>-11466.6666666667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-94733.3333333336</v>
      </c>
      <c r="CO53" s="57"/>
      <c r="CP53" s="36" t="n">
        <f aca="false">-[3]Feb!$O$1</f>
        <v>-12366.6666666667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-107100</v>
      </c>
      <c r="CZ53" s="57"/>
      <c r="DA53" s="36" t="n">
        <f aca="false">-[3]Mar!$O$1</f>
        <v>-11466.6666666667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-118566.666666667</v>
      </c>
      <c r="DK53" s="57"/>
      <c r="DL53" s="36" t="n">
        <f aca="false">-[3]Apr!$O$1</f>
        <v>-12166.6666666667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-130733.333333334</v>
      </c>
      <c r="DV53" s="57"/>
      <c r="DW53" s="36" t="n">
        <f aca="false">-[3]May!$O$1</f>
        <v>-10866.6666666667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-141600</v>
      </c>
      <c r="EG53" s="54"/>
      <c r="EI53" s="54"/>
      <c r="EJ53" s="36" t="n">
        <f aca="false">SUM(EF53:EH53)</f>
        <v>-141600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-3.04680725093931E-011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-3.04680725093931E-011</v>
      </c>
      <c r="P91" s="54"/>
      <c r="Q91" s="36" t="n">
        <f aca="false">SUM(Q4:Q90)</f>
        <v>-3.04680725093931E-011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-6.09361450187862E-011</v>
      </c>
      <c r="AA91" s="54"/>
      <c r="AB91" s="36" t="n">
        <f aca="false">SUM(AB4:AB90)</f>
        <v>-3.04680725093931E-011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-9.09494701772928E-011</v>
      </c>
      <c r="AL91" s="54"/>
      <c r="AM91" s="36" t="n">
        <f aca="false">SUM(AM4:AM90)</f>
        <v>-3.04680725093931E-011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-1.21872290037572E-010</v>
      </c>
      <c r="AW91" s="54"/>
      <c r="AX91" s="36" t="n">
        <f aca="false">SUM(AX4:AX90)</f>
        <v>-3.04680725093931E-011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-1.52340362546965E-010</v>
      </c>
      <c r="BH91" s="54"/>
      <c r="BI91" s="36" t="n">
        <f aca="false">SUM(BI4:BI90)</f>
        <v>-3.04680725093931E-011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-1.83263182407245E-010</v>
      </c>
      <c r="BS91" s="54"/>
      <c r="BT91" s="36" t="n">
        <f aca="false">SUM(BT4:BT90)</f>
        <v>-3.09228198602796E-011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-2.12367012863979E-010</v>
      </c>
      <c r="CD91" s="54"/>
      <c r="CE91" s="36" t="n">
        <f aca="false">SUM(CE4:CE90)</f>
        <v>-3.04680725093931E-011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-2.41470843320712E-010</v>
      </c>
      <c r="CO91" s="54"/>
      <c r="CP91" s="36" t="n">
        <f aca="false">SUM(CP4:CP90)</f>
        <v>-3.04680725093931E-011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-2.70574673777446E-010</v>
      </c>
      <c r="CZ91" s="54"/>
      <c r="DA91" s="36" t="n">
        <f aca="false">SUM(DA4:DA90)</f>
        <v>-3.04680725093931E-011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-2.9967850423418E-010</v>
      </c>
      <c r="DK91" s="54"/>
      <c r="DL91" s="36" t="n">
        <f aca="false">SUM(DL4:DL90)</f>
        <v>-3.04680725093931E-011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-3.28782334690914E-010</v>
      </c>
      <c r="DV91" s="54"/>
      <c r="DW91" s="36" t="n">
        <f aca="false">SUM(DW4:DW90)</f>
        <v>-3.04680725093931E-011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-3.57886165147647E-010</v>
      </c>
      <c r="EG91" s="54"/>
      <c r="EH91" s="36" t="n">
        <f aca="false">SUM(EH4:EH90)</f>
        <v>0</v>
      </c>
      <c r="EI91" s="54"/>
      <c r="EJ91" s="36" t="n">
        <f aca="false">SUM(EJ4:EJ90)</f>
        <v>-3.57886165147647E-010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141600</v>
      </c>
      <c r="C4" s="72" t="n">
        <f aca="false">-TrialBalance!O53-0</f>
        <v>11166.6666666667</v>
      </c>
      <c r="D4" s="72" t="n">
        <f aca="false">-TrialBalance!Z53-C4</f>
        <v>11466.6666666667</v>
      </c>
      <c r="E4" s="72" t="n">
        <f aca="false">-TrialBalance!AK53-SUM(C4:D4)</f>
        <v>12366.6666666667</v>
      </c>
      <c r="F4" s="72" t="n">
        <f aca="false">-TrialBalance!AV53-SUM(C4:E4)</f>
        <v>11466.6666666667</v>
      </c>
      <c r="G4" s="72" t="n">
        <f aca="false">-TrialBalance!BG53-SUM(C4:F4)</f>
        <v>12966.6666666667</v>
      </c>
      <c r="H4" s="72" t="n">
        <f aca="false">-TrialBalance!BR53-SUM(C4:G4)</f>
        <v>10866.6666666667</v>
      </c>
      <c r="I4" s="72" t="n">
        <f aca="false">-TrialBalance!CC53-SUM(C4:H4)</f>
        <v>12966.6666666667</v>
      </c>
      <c r="J4" s="72" t="n">
        <f aca="false">-TrialBalance!CN53-SUM(C4:I4)</f>
        <v>11466.6666666667</v>
      </c>
      <c r="K4" s="72" t="n">
        <f aca="false">-TrialBalance!CY53-SUM(C4:J4)</f>
        <v>12366.6666666667</v>
      </c>
      <c r="L4" s="72" t="n">
        <f aca="false">-TrialBalance!DJ53-SUM(C4:K4)</f>
        <v>11466.6666666667</v>
      </c>
      <c r="M4" s="72" t="n">
        <f aca="false">-TrialBalance!DU53-SUM(C4:L4)</f>
        <v>12166.6666666667</v>
      </c>
      <c r="N4" s="72" t="n">
        <f aca="false">-TrialBalance!EF53-SUM(C4:M4)</f>
        <v>10866.6666666667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171283.333333334</v>
      </c>
      <c r="C9" s="74" t="n">
        <f aca="false">SUM(C4:C8)</f>
        <v>13666.6666666667</v>
      </c>
      <c r="D9" s="71" t="n">
        <f aca="false">SUM(D4:D8)</f>
        <v>13266.6666666667</v>
      </c>
      <c r="E9" s="71" t="n">
        <f aca="false">SUM(E4:E8)</f>
        <v>15166.6666666667</v>
      </c>
      <c r="F9" s="71" t="n">
        <f aca="false">SUM(F4:F8)</f>
        <v>13966.6666666667</v>
      </c>
      <c r="G9" s="71" t="n">
        <f aca="false">SUM(G4:G8)</f>
        <v>15850</v>
      </c>
      <c r="H9" s="71" t="n">
        <f aca="false">SUM(H4:H8)</f>
        <v>13966.6666666667</v>
      </c>
      <c r="I9" s="71" t="n">
        <f aca="false">SUM(I4:I8)</f>
        <v>15466.6666666667</v>
      </c>
      <c r="J9" s="71" t="n">
        <f aca="false">SUM(J4:J8)</f>
        <v>15266.6666666667</v>
      </c>
      <c r="K9" s="71" t="n">
        <f aca="false">SUM(K4:K8)</f>
        <v>13166.6666666667</v>
      </c>
      <c r="L9" s="71" t="n">
        <f aca="false">SUM(L4:L8)</f>
        <v>15366.6666666667</v>
      </c>
      <c r="M9" s="71" t="n">
        <f aca="false">SUM(M4:M8)</f>
        <v>14466.6666666667</v>
      </c>
      <c r="N9" s="71" t="n">
        <f aca="false">SUM(N4:N8)</f>
        <v>11666.6666666667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153539.333333334</v>
      </c>
      <c r="C16" s="71" t="n">
        <f aca="false">C9-C14</f>
        <v>12781.6666666667</v>
      </c>
      <c r="D16" s="71" t="n">
        <f aca="false">D9-D14</f>
        <v>12297.6666666667</v>
      </c>
      <c r="E16" s="71" t="n">
        <f aca="false">E9-E14</f>
        <v>9521.6666666667</v>
      </c>
      <c r="F16" s="71" t="n">
        <f aca="false">F9-F14</f>
        <v>12997.6666666667</v>
      </c>
      <c r="G16" s="71" t="n">
        <f aca="false">G9-G14</f>
        <v>15025</v>
      </c>
      <c r="H16" s="71" t="n">
        <f aca="false">H9-H14</f>
        <v>13477.6666666667</v>
      </c>
      <c r="I16" s="71" t="n">
        <f aca="false">I9-I14</f>
        <v>14701.6666666667</v>
      </c>
      <c r="J16" s="71" t="n">
        <f aca="false">J9-J14</f>
        <v>11177.6666666667</v>
      </c>
      <c r="K16" s="71" t="n">
        <f aca="false">K9-K14</f>
        <v>12401.6666666667</v>
      </c>
      <c r="L16" s="71" t="n">
        <f aca="false">L9-L14</f>
        <v>14517.6666666667</v>
      </c>
      <c r="M16" s="71" t="n">
        <f aca="false">M9-M14</f>
        <v>13521.6666666667</v>
      </c>
      <c r="N16" s="71" t="n">
        <f aca="false">N9-N14</f>
        <v>11117.6666666667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53948.25</v>
      </c>
      <c r="C41" s="74" t="n">
        <f aca="false">SUM(C18:C40)</f>
        <v>4226.25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6240.75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9129.25</v>
      </c>
      <c r="M41" s="71" t="n">
        <f aca="false">SUM(M18:M40)</f>
        <v>3451.5</v>
      </c>
      <c r="N41" s="71" t="n">
        <f aca="false">SUM(N18:N40)</f>
        <v>2877.5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99591.0833333338</v>
      </c>
      <c r="C43" s="71" t="n">
        <f aca="false">C16-C41</f>
        <v>8555.4166666667</v>
      </c>
      <c r="D43" s="71" t="n">
        <f aca="false">D16-D41</f>
        <v>8691.6666666667</v>
      </c>
      <c r="E43" s="71" t="n">
        <f aca="false">E16-E41</f>
        <v>6109.6666666667</v>
      </c>
      <c r="F43" s="71" t="n">
        <f aca="false">F16-F41</f>
        <v>6407.4166666667</v>
      </c>
      <c r="G43" s="71" t="n">
        <f aca="false">G16-G41</f>
        <v>11144.75</v>
      </c>
      <c r="H43" s="71" t="n">
        <f aca="false">H16-H41</f>
        <v>8991.6666666667</v>
      </c>
      <c r="I43" s="71" t="n">
        <f aca="false">I16-I41</f>
        <v>8460.9166666667</v>
      </c>
      <c r="J43" s="71" t="n">
        <f aca="false">J16-J41</f>
        <v>8348.6666666667</v>
      </c>
      <c r="K43" s="71" t="n">
        <f aca="false">K16-K41</f>
        <v>9182.1666666667</v>
      </c>
      <c r="L43" s="71" t="n">
        <f aca="false">L16-L41</f>
        <v>5388.4166666667</v>
      </c>
      <c r="M43" s="71" t="n">
        <f aca="false">M16-M41</f>
        <v>10070.1666666667</v>
      </c>
      <c r="N43" s="71" t="n">
        <f aca="false">N16-N41</f>
        <v>8240.1666666667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99591.0833333338</v>
      </c>
      <c r="C45" s="71" t="n">
        <f aca="false">C43+C44</f>
        <v>8555.4166666667</v>
      </c>
      <c r="D45" s="71" t="n">
        <f aca="false">D43+D44</f>
        <v>8691.6666666667</v>
      </c>
      <c r="E45" s="71" t="n">
        <f aca="false">E43+E44</f>
        <v>6109.6666666667</v>
      </c>
      <c r="F45" s="71" t="n">
        <f aca="false">F43+F44</f>
        <v>6407.4166666667</v>
      </c>
      <c r="G45" s="71" t="n">
        <f aca="false">G43+G44</f>
        <v>11144.75</v>
      </c>
      <c r="H45" s="71" t="n">
        <f aca="false">H43+H44</f>
        <v>8991.6666666667</v>
      </c>
      <c r="I45" s="71" t="n">
        <f aca="false">I43+I44</f>
        <v>8460.9166666667</v>
      </c>
      <c r="J45" s="71" t="n">
        <f aca="false">J43+J44</f>
        <v>8348.6666666667</v>
      </c>
      <c r="K45" s="71" t="n">
        <f aca="false">K43+K44</f>
        <v>9182.1666666667</v>
      </c>
      <c r="L45" s="71" t="n">
        <f aca="false">L43+L44</f>
        <v>5388.4166666667</v>
      </c>
      <c r="M45" s="71" t="n">
        <f aca="false">M43+M44</f>
        <v>10070.1666666667</v>
      </c>
      <c r="N45" s="71" t="n">
        <f aca="false">N43+N44</f>
        <v>8240.1666666667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169200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171283.333333334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153539.333333334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53948.25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99591.0833333338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99591.0833333338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19492.3058333334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80098.7775000004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80098.7775000004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220900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220900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19492.3058333334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36816.6666666666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167301.2225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53598.7775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80098.7775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80098.7775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80098.7775000004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80098.7775000004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46116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19492.3058333334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46116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171283.333333334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0.896405565826603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46116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99591.0833333338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102591.083333334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102591.083333334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102591.083333334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51225.3699270408</v>
      </c>
      <c r="G33" s="224" t="n">
        <f aca="false">Admin!P6</f>
        <v>19</v>
      </c>
      <c r="H33" s="224"/>
      <c r="I33" s="225" t="n">
        <f aca="false">F33*G33/100</f>
        <v>9732.82028613775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51365.713406293</v>
      </c>
      <c r="G34" s="224" t="n">
        <f aca="false">Admin!P7</f>
        <v>19</v>
      </c>
      <c r="H34" s="224"/>
      <c r="I34" s="225" t="n">
        <f aca="false">F34*G34/100</f>
        <v>9759.48554719566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19492.3058333334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19492.3058333334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171283.333333334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102591.083333334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102591.083333334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102591.083333334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102591.083333334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51225.3699270408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9732.82028613775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9732.82028613775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9732.82028613775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9732.82028613775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9732.82028613775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11166.6666666667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11466.6666666667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12366.6666666667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11466.6666666667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12966.6666666667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10866.6666666667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12966.6666666667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11466.6666666667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12366.6666666667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11466.6666666667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12166.6666666667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10866.6666666667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