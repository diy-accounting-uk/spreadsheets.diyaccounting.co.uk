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<sst xmlns="http://schemas.openxmlformats.org/spreadsheetml/2006/main" count="1039" uniqueCount="635">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</sst>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46371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46388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46433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46478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46532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102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7524.8</v>
      </c>
      <c r="AE22" s="36"/>
      <c r="AF22" s="36"/>
      <c r="AG22" s="36"/>
      <c r="AH22" s="36"/>
      <c r="AI22" s="36"/>
      <c r="AJ22" s="54"/>
      <c r="AK22" s="36" t="n">
        <f aca="false">SUM(Z22:AJ22)</f>
        <v>82969.4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100304.2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112590.83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126117.63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119852.43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128465.73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147973.53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172788.33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183505.63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181215.43</v>
      </c>
      <c r="EG22" s="54"/>
      <c r="EI22" s="54"/>
      <c r="EJ22" s="36" t="n">
        <f aca="false">SUM(EF22:EH22)</f>
        <v>181215.43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100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232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180802</v>
      </c>
      <c r="C33" s="117" t="s">
        <v>234</v>
      </c>
      <c r="D33" s="117"/>
      <c r="E33" s="118" t="s">
        <v>218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180802</v>
      </c>
      <c r="C39" s="117" t="s">
        <v>236</v>
      </c>
      <c r="D39" s="117"/>
      <c r="E39" s="118" t="s">
        <v>218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46691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46271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46271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46271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46327</v>
      </c>
      <c r="F5" s="189"/>
      <c r="G5" s="190" t="s">
        <v>332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46371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46388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46433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46478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46532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46327</v>
      </c>
      <c r="E91" s="250" t="n">
        <f aca="false">H5</f>
        <v>46691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n">
        <f aca="false">IF((CorporationTax!I15+CorporationTax!I17)&gt;0,CorporationTax!I15+CorporationTax!I17," ")</f>
        <v>55860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n">
        <f aca="false">IF(CorporationTax!I18&lt;&gt;0,CorporationTax!I18," ")</f>
        <v>8140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IF(CorporationTax!I16&gt;0,CorporationTax!I16,"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617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619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617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619</v>
      </c>
      <c r="E8" s="451"/>
      <c r="F8" s="463" t="n">
        <f aca="false">B32</f>
        <v>46691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624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624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616</v>
      </c>
      <c r="E21" s="2"/>
      <c r="F21" s="481" t="n">
        <v>46691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