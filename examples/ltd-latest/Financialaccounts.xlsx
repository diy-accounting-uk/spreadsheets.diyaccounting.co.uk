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<sst xmlns="http://schemas.openxmlformats.org/spreadsheetml/2006/main" count="1027" uniqueCount="624">
  <si>
    <t xml:space="preserve">Company Name (including Limited)</t>
  </si>
  <si>
    <t xml:space="preserve">Registered Office Address</t>
  </si>
  <si>
    <t xml:space="preserve">Tax Reference per CT603 Notice</t>
  </si>
  <si>
    <t xml:space="preserve">Company registration number</t>
  </si>
  <si>
    <t xml:space="preserve">Telephone number (including STD Code)</t>
  </si>
  <si>
    <t xml:space="preserve">First Director's Name</t>
  </si>
  <si>
    <t xml:space="preserve">Loss brought forward</t>
  </si>
  <si>
    <t xml:space="preserve">Second Director's Name</t>
  </si>
  <si>
    <t xml:space="preserve">Postcode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</si>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</sst>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6780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180</v>
          </cell>
          <cell r="Z1">
            <v>0</v>
          </cell>
          <cell r="AA1">
            <v>60</v>
          </cell>
          <cell r="AB1">
            <v>0</v>
          </cell>
          <cell r="AC1">
            <v>1080</v>
          </cell>
          <cell r="AD1">
            <v>960</v>
          </cell>
          <cell r="AE1">
            <v>0</v>
          </cell>
          <cell r="AF1">
            <v>300</v>
          </cell>
          <cell r="AG1">
            <v>0</v>
          </cell>
          <cell r="AH1">
            <v>2400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5520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360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480</v>
          </cell>
          <cell r="W1">
            <v>0</v>
          </cell>
          <cell r="X1">
            <v>0</v>
          </cell>
          <cell r="Y1">
            <v>0</v>
          </cell>
          <cell r="Z1">
            <v>1200</v>
          </cell>
          <cell r="AA1">
            <v>60</v>
          </cell>
          <cell r="AB1">
            <v>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6840</v>
          </cell>
          <cell r="G1">
            <v>0</v>
          </cell>
        </row>
        <row r="1">
          <cell r="O1">
            <v>0</v>
          </cell>
          <cell r="P1">
            <v>3600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180</v>
          </cell>
          <cell r="AB1">
            <v>480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22080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960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840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18000</v>
          </cell>
        </row>
        <row r="1">
          <cell r="AK1">
            <v>0</v>
          </cell>
        </row>
      </sheetData>
      <sheetData sheetId="5">
        <row r="1">
          <cell r="F1">
            <v>2480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7920</v>
          </cell>
          <cell r="G1">
            <v>0</v>
          </cell>
        </row>
        <row r="1">
          <cell r="O1">
            <v>0</v>
          </cell>
          <cell r="P1">
            <v>2400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480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0</v>
          </cell>
          <cell r="AH1">
            <v>0</v>
          </cell>
          <cell r="AI1">
            <v>2400</v>
          </cell>
        </row>
        <row r="1">
          <cell r="AK1">
            <v>0</v>
          </cell>
        </row>
      </sheetData>
      <sheetData sheetId="7">
        <row r="1">
          <cell r="F1">
            <v>2184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144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8">
        <row r="1">
          <cell r="F1">
            <v>2640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360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360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7900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180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300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3120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600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2136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360</v>
          </cell>
          <cell r="Y1">
            <v>0</v>
          </cell>
          <cell r="Z1">
            <v>0</v>
          </cell>
          <cell r="AA1">
            <v>60</v>
          </cell>
          <cell r="AB1">
            <v>96</v>
          </cell>
          <cell r="AC1">
            <v>120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4440</v>
          </cell>
          <cell r="G1">
            <v>0</v>
          </cell>
        </row>
        <row r="1"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60</v>
          </cell>
          <cell r="AB1">
            <v>0</v>
          </cell>
          <cell r="AC1">
            <v>0</v>
          </cell>
          <cell r="AD1">
            <v>0</v>
          </cell>
          <cell r="AE1">
            <v>720</v>
          </cell>
          <cell r="AF1">
            <v>2100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8200</v>
          </cell>
          <cell r="G1">
            <v>1366.66666666667</v>
          </cell>
        </row>
        <row r="1">
          <cell r="O1">
            <v>5833.33333333333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7000</v>
          </cell>
          <cell r="G1">
            <v>1166.66666666667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9400</v>
          </cell>
          <cell r="G1">
            <v>1566.66666666667</v>
          </cell>
        </row>
        <row r="1">
          <cell r="O1">
            <v>5833.33333333333</v>
          </cell>
          <cell r="P1">
            <v>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8200</v>
          </cell>
          <cell r="G1">
            <v>1366.66666666667</v>
          </cell>
        </row>
        <row r="1">
          <cell r="O1">
            <v>5833.33333333333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9500</v>
          </cell>
          <cell r="G1">
            <v>1583.33333333333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7600</v>
          </cell>
          <cell r="G1">
            <v>1266.66666666667</v>
          </cell>
        </row>
        <row r="1">
          <cell r="O1">
            <v>5833.33333333333</v>
          </cell>
          <cell r="P1">
            <v>0</v>
          </cell>
          <cell r="Q1">
            <v>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14400</v>
          </cell>
          <cell r="G1">
            <v>2400</v>
          </cell>
        </row>
        <row r="1">
          <cell r="O1">
            <v>7000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4000</v>
          </cell>
          <cell r="V1">
            <v>0</v>
          </cell>
        </row>
      </sheetData>
      <sheetData sheetId="8">
        <row r="1">
          <cell r="F1">
            <v>12000</v>
          </cell>
          <cell r="G1">
            <v>2000</v>
          </cell>
        </row>
        <row r="1">
          <cell r="O1">
            <v>7000</v>
          </cell>
          <cell r="P1">
            <v>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8400</v>
          </cell>
          <cell r="G1">
            <v>1400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9600</v>
          </cell>
          <cell r="G1">
            <v>1600</v>
          </cell>
        </row>
        <row r="1">
          <cell r="O1">
            <v>7000</v>
          </cell>
          <cell r="P1">
            <v>1000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8400</v>
          </cell>
          <cell r="G1">
            <v>1400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8760</v>
          </cell>
          <cell r="G1">
            <v>1460</v>
          </cell>
        </row>
        <row r="1">
          <cell r="O1">
            <v>7000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/>
      <c r="F2" s="3"/>
      <c r="G2" s="3"/>
      <c r="H2" s="3"/>
      <c r="I2" s="2"/>
      <c r="J2" s="2" t="s">
        <v>1</v>
      </c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/>
      <c r="F3" s="5"/>
      <c r="G3" s="5"/>
      <c r="H3" s="5"/>
      <c r="I3" s="2"/>
      <c r="J3" s="3"/>
      <c r="K3" s="3"/>
      <c r="L3" s="3"/>
      <c r="M3" s="3"/>
      <c r="N3" s="3"/>
      <c r="O3" s="6"/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4</v>
      </c>
      <c r="D4" s="2"/>
      <c r="E4" s="3"/>
      <c r="F4" s="3"/>
      <c r="G4" s="3"/>
      <c r="H4" s="3"/>
      <c r="I4" s="2"/>
      <c r="J4" s="3"/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5</v>
      </c>
      <c r="D5" s="2"/>
      <c r="E5" s="3"/>
      <c r="F5" s="3"/>
      <c r="G5" s="3"/>
      <c r="H5" s="3"/>
      <c r="I5" s="2"/>
      <c r="J5" s="3"/>
      <c r="K5" s="3"/>
      <c r="L5" s="3"/>
      <c r="M5" s="3"/>
      <c r="N5" s="3"/>
      <c r="O5" s="7" t="s">
        <v>6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/>
      <c r="F6" s="3"/>
      <c r="G6" s="3"/>
      <c r="H6" s="3"/>
      <c r="I6" s="2"/>
      <c r="J6" s="8"/>
      <c r="K6" s="8"/>
      <c r="L6" s="9" t="s">
        <v>8</v>
      </c>
      <c r="M6" s="9"/>
      <c r="N6" s="10"/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3"/>
      <c r="F8" s="3"/>
      <c r="G8" s="3"/>
      <c r="H8" s="3"/>
      <c r="I8" s="3"/>
      <c r="J8" s="2"/>
      <c r="K8" s="13" t="s">
        <v>10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11</v>
      </c>
      <c r="D10" s="2"/>
      <c r="E10" s="16" t="s">
        <v>12</v>
      </c>
      <c r="F10" s="12"/>
      <c r="G10" s="17" t="s">
        <v>13</v>
      </c>
      <c r="H10" s="17"/>
      <c r="I10" s="17"/>
      <c r="J10" s="17"/>
      <c r="K10" s="17"/>
      <c r="L10" s="18"/>
      <c r="M10" s="17" t="s">
        <v>14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15</v>
      </c>
      <c r="C11" s="12"/>
      <c r="D11" s="12"/>
      <c r="E11" s="16"/>
      <c r="F11" s="19"/>
      <c r="G11" s="20" t="s">
        <v>16</v>
      </c>
      <c r="H11" s="12" t="s">
        <v>17</v>
      </c>
      <c r="I11" s="12" t="s">
        <v>18</v>
      </c>
      <c r="J11" s="12" t="s">
        <v>19</v>
      </c>
      <c r="K11" s="12" t="s">
        <v>20</v>
      </c>
      <c r="L11" s="12"/>
      <c r="M11" s="12" t="s">
        <v>16</v>
      </c>
      <c r="N11" s="12" t="s">
        <v>17</v>
      </c>
      <c r="O11" s="12" t="s">
        <v>18</v>
      </c>
      <c r="P11" s="12" t="s">
        <v>19</v>
      </c>
      <c r="Q11" s="12" t="s">
        <v>20</v>
      </c>
      <c r="R11" s="12"/>
    </row>
    <row r="12" customFormat="false" ht="12.65" hidden="false" customHeight="false" outlineLevel="0" collapsed="false">
      <c r="A12" s="2"/>
      <c r="B12" s="2"/>
      <c r="C12" s="22" t="s">
        <v>21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22</v>
      </c>
      <c r="D13" s="2"/>
      <c r="E13" s="8"/>
      <c r="F13" s="2"/>
      <c r="G13" s="8"/>
      <c r="H13" s="8"/>
      <c r="I13" s="8"/>
      <c r="J13" s="8"/>
      <c r="K13" s="8"/>
      <c r="L13" s="2"/>
      <c r="M13" s="8"/>
      <c r="N13" s="8"/>
      <c r="O13" s="8"/>
      <c r="P13" s="8"/>
      <c r="Q13" s="8"/>
      <c r="R13" s="2"/>
    </row>
    <row r="14" customFormat="false" ht="10.5" hidden="false" customHeight="false" outlineLevel="0" collapsed="false">
      <c r="A14" s="2"/>
      <c r="B14" s="2"/>
      <c r="C14" s="22" t="s">
        <v>23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24</v>
      </c>
      <c r="D15" s="2"/>
      <c r="E15" s="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25</v>
      </c>
      <c r="D16" s="2"/>
      <c r="E16" s="8"/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26</v>
      </c>
      <c r="H17" s="18" t="s">
        <v>27</v>
      </c>
      <c r="I17" s="18" t="s">
        <v>28</v>
      </c>
      <c r="J17" s="18" t="s">
        <v>29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30</v>
      </c>
      <c r="D18" s="2"/>
      <c r="E18" s="8"/>
      <c r="F18" s="2"/>
      <c r="G18" s="8"/>
      <c r="H18" s="8"/>
      <c r="I18" s="8"/>
      <c r="J18" s="8"/>
      <c r="K18" s="25" t="s">
        <v>31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32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33</v>
      </c>
      <c r="D20" s="2"/>
      <c r="E20" s="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34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37</v>
      </c>
      <c r="D24" s="2"/>
      <c r="E24" s="8"/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38</v>
      </c>
      <c r="H25" s="2" t="s">
        <v>39</v>
      </c>
      <c r="I25" s="2" t="s">
        <v>40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41</v>
      </c>
      <c r="D26" s="2"/>
      <c r="E26" s="8"/>
      <c r="F26" s="2"/>
      <c r="G26" s="8"/>
      <c r="H26" s="8"/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42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43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44</v>
      </c>
      <c r="D30" s="2"/>
      <c r="E30" s="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45</v>
      </c>
      <c r="D31" s="22"/>
      <c r="E31" s="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46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47</v>
      </c>
      <c r="D33" s="2"/>
      <c r="E33" s="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48</v>
      </c>
      <c r="D34" s="2"/>
      <c r="E34" s="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50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51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52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53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52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54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55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56</v>
      </c>
      <c r="D48" s="2"/>
      <c r="E48" s="8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57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58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59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61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62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63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64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65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66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67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68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71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72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73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74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75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76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77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78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81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82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83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60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84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85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86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87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88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90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91</v>
      </c>
      <c r="C1" s="39" t="s">
        <v>92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93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94</v>
      </c>
      <c r="C2" s="39"/>
      <c r="D2" s="45" t="s">
        <v>95</v>
      </c>
      <c r="E2" s="39"/>
      <c r="F2" s="39" t="s">
        <v>96</v>
      </c>
      <c r="G2" s="39" t="s">
        <v>55</v>
      </c>
      <c r="H2" s="39" t="s">
        <v>97</v>
      </c>
      <c r="I2" s="39" t="s">
        <v>98</v>
      </c>
      <c r="J2" s="39" t="s">
        <v>99</v>
      </c>
      <c r="K2" s="39" t="s">
        <v>29</v>
      </c>
      <c r="L2" s="39" t="s">
        <v>100</v>
      </c>
      <c r="M2" s="39" t="s">
        <v>101</v>
      </c>
      <c r="N2" s="39"/>
      <c r="O2" s="45" t="s">
        <v>102</v>
      </c>
      <c r="P2" s="39"/>
      <c r="Q2" s="39" t="s">
        <v>96</v>
      </c>
      <c r="R2" s="39" t="s">
        <v>55</v>
      </c>
      <c r="S2" s="39" t="s">
        <v>97</v>
      </c>
      <c r="T2" s="39" t="s">
        <v>98</v>
      </c>
      <c r="U2" s="39" t="s">
        <v>99</v>
      </c>
      <c r="V2" s="39" t="s">
        <v>29</v>
      </c>
      <c r="W2" s="39" t="s">
        <v>100</v>
      </c>
      <c r="X2" s="39" t="s">
        <v>101</v>
      </c>
      <c r="Y2" s="39"/>
      <c r="Z2" s="45" t="s">
        <v>102</v>
      </c>
      <c r="AA2" s="39"/>
      <c r="AB2" s="39" t="s">
        <v>96</v>
      </c>
      <c r="AC2" s="39" t="s">
        <v>55</v>
      </c>
      <c r="AD2" s="39" t="s">
        <v>97</v>
      </c>
      <c r="AE2" s="39" t="s">
        <v>98</v>
      </c>
      <c r="AF2" s="39" t="s">
        <v>99</v>
      </c>
      <c r="AG2" s="39" t="s">
        <v>29</v>
      </c>
      <c r="AH2" s="39" t="s">
        <v>100</v>
      </c>
      <c r="AI2" s="39" t="s">
        <v>101</v>
      </c>
      <c r="AJ2" s="39"/>
      <c r="AK2" s="45" t="s">
        <v>102</v>
      </c>
      <c r="AL2" s="39"/>
      <c r="AM2" s="39" t="s">
        <v>96</v>
      </c>
      <c r="AN2" s="39" t="s">
        <v>55</v>
      </c>
      <c r="AO2" s="39" t="s">
        <v>97</v>
      </c>
      <c r="AP2" s="39" t="s">
        <v>98</v>
      </c>
      <c r="AQ2" s="39" t="s">
        <v>99</v>
      </c>
      <c r="AR2" s="39" t="s">
        <v>29</v>
      </c>
      <c r="AS2" s="39" t="s">
        <v>100</v>
      </c>
      <c r="AT2" s="39" t="s">
        <v>101</v>
      </c>
      <c r="AU2" s="39"/>
      <c r="AV2" s="45" t="s">
        <v>102</v>
      </c>
      <c r="AW2" s="39"/>
      <c r="AX2" s="39" t="s">
        <v>96</v>
      </c>
      <c r="AY2" s="39" t="s">
        <v>55</v>
      </c>
      <c r="AZ2" s="39" t="s">
        <v>97</v>
      </c>
      <c r="BA2" s="39" t="s">
        <v>98</v>
      </c>
      <c r="BB2" s="39" t="s">
        <v>99</v>
      </c>
      <c r="BC2" s="39" t="s">
        <v>29</v>
      </c>
      <c r="BD2" s="39" t="s">
        <v>100</v>
      </c>
      <c r="BE2" s="39" t="s">
        <v>101</v>
      </c>
      <c r="BF2" s="39"/>
      <c r="BG2" s="45" t="s">
        <v>102</v>
      </c>
      <c r="BH2" s="39"/>
      <c r="BI2" s="39" t="s">
        <v>96</v>
      </c>
      <c r="BJ2" s="39" t="s">
        <v>55</v>
      </c>
      <c r="BK2" s="39" t="s">
        <v>97</v>
      </c>
      <c r="BL2" s="39" t="s">
        <v>98</v>
      </c>
      <c r="BM2" s="39" t="s">
        <v>99</v>
      </c>
      <c r="BN2" s="39" t="s">
        <v>29</v>
      </c>
      <c r="BO2" s="39" t="s">
        <v>100</v>
      </c>
      <c r="BP2" s="39" t="s">
        <v>101</v>
      </c>
      <c r="BQ2" s="39"/>
      <c r="BR2" s="45" t="s">
        <v>102</v>
      </c>
      <c r="BS2" s="39"/>
      <c r="BT2" s="39" t="s">
        <v>96</v>
      </c>
      <c r="BU2" s="39" t="s">
        <v>55</v>
      </c>
      <c r="BV2" s="39" t="s">
        <v>97</v>
      </c>
      <c r="BW2" s="39" t="s">
        <v>98</v>
      </c>
      <c r="BX2" s="39" t="s">
        <v>99</v>
      </c>
      <c r="BY2" s="39" t="s">
        <v>29</v>
      </c>
      <c r="BZ2" s="39" t="s">
        <v>100</v>
      </c>
      <c r="CA2" s="39" t="s">
        <v>101</v>
      </c>
      <c r="CB2" s="39"/>
      <c r="CC2" s="45" t="s">
        <v>102</v>
      </c>
      <c r="CD2" s="39"/>
      <c r="CE2" s="39" t="s">
        <v>96</v>
      </c>
      <c r="CF2" s="39" t="s">
        <v>55</v>
      </c>
      <c r="CG2" s="39" t="s">
        <v>97</v>
      </c>
      <c r="CH2" s="39" t="s">
        <v>98</v>
      </c>
      <c r="CI2" s="39" t="s">
        <v>99</v>
      </c>
      <c r="CJ2" s="39" t="s">
        <v>29</v>
      </c>
      <c r="CK2" s="39" t="s">
        <v>100</v>
      </c>
      <c r="CL2" s="39" t="s">
        <v>101</v>
      </c>
      <c r="CM2" s="39"/>
      <c r="CN2" s="45" t="s">
        <v>102</v>
      </c>
      <c r="CO2" s="39"/>
      <c r="CP2" s="39" t="s">
        <v>96</v>
      </c>
      <c r="CQ2" s="39" t="s">
        <v>55</v>
      </c>
      <c r="CR2" s="39" t="s">
        <v>97</v>
      </c>
      <c r="CS2" s="39" t="s">
        <v>98</v>
      </c>
      <c r="CT2" s="39" t="s">
        <v>99</v>
      </c>
      <c r="CU2" s="39" t="s">
        <v>29</v>
      </c>
      <c r="CV2" s="39" t="s">
        <v>100</v>
      </c>
      <c r="CW2" s="39" t="s">
        <v>101</v>
      </c>
      <c r="CX2" s="39"/>
      <c r="CY2" s="45" t="s">
        <v>102</v>
      </c>
      <c r="CZ2" s="39"/>
      <c r="DA2" s="39" t="s">
        <v>96</v>
      </c>
      <c r="DB2" s="39" t="s">
        <v>55</v>
      </c>
      <c r="DC2" s="39" t="s">
        <v>97</v>
      </c>
      <c r="DD2" s="39" t="s">
        <v>98</v>
      </c>
      <c r="DE2" s="39" t="s">
        <v>99</v>
      </c>
      <c r="DF2" s="39" t="s">
        <v>29</v>
      </c>
      <c r="DG2" s="39" t="s">
        <v>100</v>
      </c>
      <c r="DH2" s="39" t="s">
        <v>101</v>
      </c>
      <c r="DI2" s="39"/>
      <c r="DJ2" s="45" t="s">
        <v>102</v>
      </c>
      <c r="DK2" s="39"/>
      <c r="DL2" s="39" t="s">
        <v>96</v>
      </c>
      <c r="DM2" s="39" t="s">
        <v>55</v>
      </c>
      <c r="DN2" s="39" t="s">
        <v>97</v>
      </c>
      <c r="DO2" s="39" t="s">
        <v>98</v>
      </c>
      <c r="DP2" s="39" t="s">
        <v>99</v>
      </c>
      <c r="DQ2" s="39" t="s">
        <v>29</v>
      </c>
      <c r="DR2" s="39" t="s">
        <v>100</v>
      </c>
      <c r="DS2" s="39" t="s">
        <v>101</v>
      </c>
      <c r="DT2" s="39"/>
      <c r="DU2" s="45" t="s">
        <v>102</v>
      </c>
      <c r="DV2" s="39"/>
      <c r="DW2" s="39" t="s">
        <v>96</v>
      </c>
      <c r="DX2" s="39" t="s">
        <v>55</v>
      </c>
      <c r="DY2" s="39" t="s">
        <v>97</v>
      </c>
      <c r="DZ2" s="39" t="s">
        <v>98</v>
      </c>
      <c r="EA2" s="39" t="s">
        <v>99</v>
      </c>
      <c r="EB2" s="39" t="s">
        <v>29</v>
      </c>
      <c r="EC2" s="39" t="s">
        <v>100</v>
      </c>
      <c r="ED2" s="39" t="s">
        <v>101</v>
      </c>
      <c r="EE2" s="39"/>
      <c r="EF2" s="45" t="s">
        <v>102</v>
      </c>
      <c r="EG2" s="39"/>
      <c r="EH2" s="39"/>
      <c r="EI2" s="39"/>
      <c r="EJ2" s="45" t="s">
        <v>103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104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105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106</v>
      </c>
      <c r="C6" s="56" t="s">
        <v>107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108</v>
      </c>
      <c r="C7" s="56" t="s">
        <v>109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110</v>
      </c>
      <c r="C8" s="56" t="s">
        <v>111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112</v>
      </c>
      <c r="C9" s="56" t="s">
        <v>113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114</v>
      </c>
      <c r="C10" s="56" t="s">
        <v>115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116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117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118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119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120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121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18000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19800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19800</v>
      </c>
      <c r="BH16" s="57"/>
      <c r="BI16" s="36"/>
      <c r="BJ16" s="36" t="n">
        <f aca="false">[2]Nov!$AI$1</f>
        <v>2400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22200</v>
      </c>
      <c r="BS16" s="57"/>
      <c r="BT16" s="36"/>
      <c r="BU16" s="36" t="n">
        <f aca="false">[2]Dec!$AI$1</f>
        <v>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22200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22200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22200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22200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22200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22200</v>
      </c>
      <c r="EG16" s="54"/>
      <c r="EH16" s="36" t="n">
        <f aca="false">-[1]Schedule!$E$110</f>
        <v>-0</v>
      </c>
      <c r="EI16" s="54"/>
      <c r="EJ16" s="36" t="n">
        <f aca="false">SUM(EF16:EH16)</f>
        <v>22200</v>
      </c>
      <c r="EK16" s="54"/>
    </row>
    <row r="17" customFormat="false" ht="12" hidden="false" customHeight="false" outlineLevel="0" collapsed="false">
      <c r="A17" s="54"/>
      <c r="B17" s="54" t="s">
        <v>122</v>
      </c>
      <c r="C17" s="56" t="s">
        <v>123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-4000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-4000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-4000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-4000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-4000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-4000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-4000</v>
      </c>
      <c r="EG17" s="54"/>
      <c r="EH17" s="36" t="n">
        <f aca="false">[1]Schedule!$W$1-[1]Schedule!$X$1</f>
        <v>0</v>
      </c>
      <c r="EI17" s="54"/>
      <c r="EJ17" s="36" t="n">
        <f aca="false">SUM(EF17:EH17)</f>
        <v>-4000</v>
      </c>
      <c r="EK17" s="54"/>
    </row>
    <row r="18" s="57" customFormat="true" ht="12" hidden="false" customHeight="false" outlineLevel="0" collapsed="false">
      <c r="A18" s="54"/>
      <c r="B18" s="55" t="s">
        <v>124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125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25</v>
      </c>
      <c r="C20" s="56" t="s">
        <v>126</v>
      </c>
      <c r="D20" s="36" t="n">
        <f aca="false">OpenAccounts!E16</f>
        <v>0</v>
      </c>
      <c r="E20" s="57"/>
      <c r="F20" s="36" t="n">
        <f aca="false">[3]Jun!$F$1-[3]Jun!$V$1</f>
        <v>8200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8200</v>
      </c>
      <c r="P20" s="57"/>
      <c r="Q20" s="36" t="n">
        <f aca="false">[3]Jul!$F$1-[3]Jul!$V$1</f>
        <v>7000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127</v>
      </c>
      <c r="Y20" s="54"/>
      <c r="Z20" s="36" t="n">
        <f aca="false">SUM(O20:Y20)</f>
        <v>15200</v>
      </c>
      <c r="AA20" s="57"/>
      <c r="AB20" s="36" t="n">
        <f aca="false">[3]Aug!$F$1-[3]Aug!$V$1</f>
        <v>9400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24600</v>
      </c>
      <c r="AL20" s="57"/>
      <c r="AM20" s="36" t="n">
        <f aca="false">[3]Sep!$F$1-[3]Sep!$V$1</f>
        <v>8200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32800</v>
      </c>
      <c r="AW20" s="57"/>
      <c r="AX20" s="36" t="n">
        <f aca="false">[3]Oct!$F$1-[3]Oct!$V$1</f>
        <v>9500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42300</v>
      </c>
      <c r="BH20" s="57"/>
      <c r="BI20" s="36" t="n">
        <f aca="false">[3]Nov!$F$1-[3]Nov!$V$1</f>
        <v>7600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49900</v>
      </c>
      <c r="BS20" s="57"/>
      <c r="BT20" s="36" t="n">
        <f aca="false">[3]Dec!$F$1-[3]Dec!$V$1</f>
        <v>14400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64300</v>
      </c>
      <c r="CD20" s="57"/>
      <c r="CE20" s="36" t="n">
        <f aca="false">[3]Jan!$F$1-[3]Jan!$V$1</f>
        <v>12000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76300</v>
      </c>
      <c r="CO20" s="57"/>
      <c r="CP20" s="36" t="n">
        <f aca="false">[3]Feb!$F$1-[3]Feb!$V$1</f>
        <v>8400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84700</v>
      </c>
      <c r="CZ20" s="57"/>
      <c r="DA20" s="36" t="n">
        <f aca="false">[3]Mar!$F$1-[3]Mar!$V$1</f>
        <v>9600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94300</v>
      </c>
      <c r="DK20" s="57"/>
      <c r="DL20" s="36" t="n">
        <f aca="false">[3]Apr!$F$1-[3]Apr!$V$1</f>
        <v>8400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102700</v>
      </c>
      <c r="DV20" s="57"/>
      <c r="DW20" s="36" t="n">
        <f aca="false">[3]May!$F$1-[3]May!$V$1</f>
        <v>8760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111460</v>
      </c>
      <c r="EG20" s="54"/>
      <c r="EI20" s="54"/>
      <c r="EJ20" s="36" t="n">
        <f aca="false">SUM(EF20:EH20)</f>
        <v>111460</v>
      </c>
      <c r="EK20" s="54"/>
    </row>
    <row r="21" s="57" customFormat="true" ht="12" hidden="false" customHeight="false" outlineLevel="0" collapsed="false">
      <c r="A21" s="54"/>
      <c r="B21" s="58" t="s">
        <v>128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129</v>
      </c>
      <c r="C22" s="56" t="s">
        <v>130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131</v>
      </c>
      <c r="C23" s="56" t="s">
        <v>132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28</v>
      </c>
      <c r="C24" s="56" t="s">
        <v>133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29</v>
      </c>
      <c r="C25" s="56" t="s">
        <v>134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135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136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33</v>
      </c>
      <c r="C28" s="56" t="s">
        <v>137</v>
      </c>
      <c r="D28" s="36" t="n">
        <f aca="false">-OpenAccounts!E20</f>
        <v>-0</v>
      </c>
      <c r="E28" s="57"/>
      <c r="F28" s="36"/>
      <c r="G28" s="36" t="n">
        <f aca="false">-[2]Jun!$F$1+[2]Jun!$AK$1</f>
        <v>-6780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-6780</v>
      </c>
      <c r="P28" s="57"/>
      <c r="Q28" s="36"/>
      <c r="R28" s="36" t="n">
        <f aca="false">-[2]Jul!$F$1+[2]Jul!$AK$1</f>
        <v>-5520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-12300</v>
      </c>
      <c r="AA28" s="57"/>
      <c r="AB28" s="36"/>
      <c r="AC28" s="36" t="n">
        <f aca="false">-[2]Aug!$F$1+[2]Aug!$AK$1</f>
        <v>-6840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-19140</v>
      </c>
      <c r="AL28" s="57"/>
      <c r="AM28" s="36"/>
      <c r="AN28" s="36" t="n">
        <f aca="false">-[2]Sep!$F$1+[2]Sep!$AK$1</f>
        <v>-22080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-41220</v>
      </c>
      <c r="AW28" s="57"/>
      <c r="AX28" s="36"/>
      <c r="AY28" s="36" t="n">
        <f aca="false">-[2]Oct!$F$1+[2]Oct!$AK$1</f>
        <v>-2480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-43700</v>
      </c>
      <c r="BH28" s="57"/>
      <c r="BI28" s="36"/>
      <c r="BJ28" s="36" t="n">
        <f aca="false">-[2]Nov!$F$1+[2]Nov!$AK$1</f>
        <v>-7920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-51620</v>
      </c>
      <c r="BS28" s="57"/>
      <c r="BT28" s="36"/>
      <c r="BU28" s="36" t="n">
        <f aca="false">-[2]Dec!$F$1+[2]Dec!$AK$1</f>
        <v>-2184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-53804</v>
      </c>
      <c r="CD28" s="57"/>
      <c r="CE28" s="36"/>
      <c r="CF28" s="36" t="n">
        <f aca="false">-[2]Jan!$F$1+[2]Jan!$AK$1</f>
        <v>-2640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-56444</v>
      </c>
      <c r="CO28" s="57"/>
      <c r="CP28" s="36"/>
      <c r="CQ28" s="36" t="n">
        <f aca="false">-[2]Feb!$F$1+[2]Feb!$AK$1</f>
        <v>-7900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-64344</v>
      </c>
      <c r="CZ28" s="57"/>
      <c r="DA28" s="36"/>
      <c r="DB28" s="36" t="n">
        <f aca="false">-[2]Mar!$F$1+[2]Mar!$AK$1</f>
        <v>-3120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-67464</v>
      </c>
      <c r="DK28" s="57"/>
      <c r="DL28" s="36"/>
      <c r="DM28" s="36" t="n">
        <f aca="false">-[2]Apr!$F$1+[2]Apr!$AK$1</f>
        <v>-2136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-69600</v>
      </c>
      <c r="DV28" s="57"/>
      <c r="DW28" s="36"/>
      <c r="DX28" s="36" t="n">
        <f aca="false">-[2]May!$F$1+[2]May!$AK$1</f>
        <v>-4440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-74040</v>
      </c>
      <c r="EG28" s="54"/>
      <c r="EH28" s="36" t="n">
        <f aca="false">[1]HPfinance!$E$2</f>
        <v>0</v>
      </c>
      <c r="EI28" s="54"/>
      <c r="EJ28" s="36" t="n">
        <f aca="false">SUM(EF28:EH28)</f>
        <v>-74040</v>
      </c>
      <c r="EK28" s="54"/>
    </row>
    <row r="29" customFormat="false" ht="12" hidden="false" customHeight="false" outlineLevel="0" collapsed="false">
      <c r="A29" s="54"/>
      <c r="B29" s="54" t="s">
        <v>138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139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140</v>
      </c>
      <c r="C31" s="56" t="s">
        <v>141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142</v>
      </c>
      <c r="C32" s="56" t="s">
        <v>143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144</v>
      </c>
      <c r="C33" s="56" t="s">
        <v>145</v>
      </c>
      <c r="D33" s="36" t="n">
        <f aca="false">-OpenAccounts!H26</f>
        <v>-0</v>
      </c>
      <c r="E33" s="57"/>
      <c r="F33" s="36" t="n">
        <f aca="false">-[3]Jun!$G$1</f>
        <v>-1366.66666666667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-1366.66666666667</v>
      </c>
      <c r="P33" s="57"/>
      <c r="Q33" s="36" t="n">
        <f aca="false">-[3]Jul!$G$1</f>
        <v>-1166.66666666667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-2533.33333333334</v>
      </c>
      <c r="AA33" s="57"/>
      <c r="AB33" s="36" t="n">
        <f aca="false">-[3]Aug!$G$1</f>
        <v>-1566.66666666667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-4100.00000000001</v>
      </c>
      <c r="AL33" s="57"/>
      <c r="AM33" s="36" t="n">
        <f aca="false">-[3]Sep!$G$1</f>
        <v>-1366.66666666667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-5466.66666666668</v>
      </c>
      <c r="AW33" s="57"/>
      <c r="AX33" s="36" t="n">
        <f aca="false">-[3]Oct!$G$1</f>
        <v>-1583.33333333333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-7050.00000000001</v>
      </c>
      <c r="BH33" s="57"/>
      <c r="BI33" s="36" t="n">
        <f aca="false">-[3]Nov!$G$1</f>
        <v>-1266.66666666667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-8316.66666666668</v>
      </c>
      <c r="BS33" s="57"/>
      <c r="BT33" s="36" t="n">
        <f aca="false">-[3]Dec!$G$1</f>
        <v>-2400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-10716.6666666667</v>
      </c>
      <c r="CD33" s="57"/>
      <c r="CE33" s="36" t="n">
        <f aca="false">-[3]Jan!$G$1</f>
        <v>-2000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-12716.6666666667</v>
      </c>
      <c r="CO33" s="57"/>
      <c r="CP33" s="36" t="n">
        <f aca="false">-[3]Feb!$G$1</f>
        <v>-1400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-14116.6666666667</v>
      </c>
      <c r="CZ33" s="57"/>
      <c r="DA33" s="36" t="n">
        <f aca="false">-[3]Mar!$G$1</f>
        <v>-1600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-15716.6666666667</v>
      </c>
      <c r="DK33" s="57"/>
      <c r="DL33" s="36" t="n">
        <f aca="false">-[3]Apr!$G$1</f>
        <v>-1400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-17116.6666666667</v>
      </c>
      <c r="DV33" s="57"/>
      <c r="DW33" s="36" t="n">
        <f aca="false">-[3]May!$G$1</f>
        <v>-1460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-18576.6666666667</v>
      </c>
      <c r="EG33" s="54"/>
      <c r="EI33" s="54"/>
      <c r="EJ33" s="36" t="n">
        <f aca="false">SUM(EF33:EH33)</f>
        <v>-18576.6666666667</v>
      </c>
      <c r="EK33" s="54"/>
    </row>
    <row r="34" customFormat="false" ht="12" hidden="false" customHeight="false" outlineLevel="0" collapsed="false">
      <c r="A34" s="54"/>
      <c r="B34" s="54" t="s">
        <v>146</v>
      </c>
      <c r="C34" s="56" t="s">
        <v>147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148</v>
      </c>
      <c r="C35" s="56" t="s">
        <v>149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-7494.23333333333</v>
      </c>
      <c r="EE35" s="54"/>
      <c r="EF35" s="36" t="n">
        <f aca="false">SUM(DU35:EE35)</f>
        <v>-7494.23333333333</v>
      </c>
      <c r="EG35" s="54"/>
      <c r="EH35" s="36" t="n">
        <f aca="false">-EH58</f>
        <v>-0</v>
      </c>
      <c r="EI35" s="54"/>
      <c r="EJ35" s="36" t="n">
        <f aca="false">SUM(EF35:EH35)</f>
        <v>-7494.23333333333</v>
      </c>
      <c r="EK35" s="54"/>
    </row>
    <row r="36" s="57" customFormat="true" ht="12" hidden="false" customHeight="false" outlineLevel="0" collapsed="false">
      <c r="A36" s="54"/>
      <c r="B36" s="55" t="s">
        <v>150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151</v>
      </c>
      <c r="C37" s="56" t="s">
        <v>152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153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44</v>
      </c>
      <c r="C39" s="56" t="s">
        <v>154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155</v>
      </c>
      <c r="C40" s="56" t="s">
        <v>156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157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158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159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-29549.1</v>
      </c>
      <c r="EI43" s="54"/>
      <c r="EJ43" s="36" t="n">
        <f aca="false">SUM(EF43:EH43)</f>
        <v>-29549.1</v>
      </c>
      <c r="EK43" s="54"/>
    </row>
    <row r="44" customFormat="false" ht="12" hidden="false" customHeight="false" outlineLevel="0" collapsed="false">
      <c r="A44" s="54"/>
      <c r="B44" s="54" t="s">
        <v>160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161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162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7494.23333333333</v>
      </c>
      <c r="EE47" s="54"/>
      <c r="EF47" s="36" t="n">
        <f aca="false">SUM(DU47:EE47)</f>
        <v>7494.23333333333</v>
      </c>
      <c r="EG47" s="54"/>
      <c r="EI47" s="54"/>
      <c r="EJ47" s="36" t="n">
        <f aca="false">SUM(EF47:EH47)</f>
        <v>7494.23333333333</v>
      </c>
      <c r="EK47" s="54"/>
    </row>
    <row r="48" customFormat="false" ht="12" hidden="false" customHeight="false" outlineLevel="0" collapsed="false">
      <c r="A48" s="54"/>
      <c r="B48" s="54" t="s">
        <v>89</v>
      </c>
      <c r="C48" s="56" t="s">
        <v>141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163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29549.1</v>
      </c>
      <c r="EI49" s="54"/>
      <c r="EJ49" s="36" t="n">
        <f aca="false">SUM(EF49:EH49)</f>
        <v>29549.1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164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165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166</v>
      </c>
      <c r="C53" s="56" t="s">
        <v>167</v>
      </c>
      <c r="D53" s="57"/>
      <c r="E53" s="57"/>
      <c r="F53" s="36" t="n">
        <f aca="false">-[3]Jun!$O$1</f>
        <v>-5833.33333333333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-5833.33333333333</v>
      </c>
      <c r="P53" s="57"/>
      <c r="Q53" s="36" t="n">
        <f aca="false">-[3]Jul!$O$1</f>
        <v>-5833.33333333333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-11666.6666666667</v>
      </c>
      <c r="AA53" s="57"/>
      <c r="AB53" s="36" t="n">
        <f aca="false">-[3]Aug!$O$1</f>
        <v>-5833.33333333333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-17500</v>
      </c>
      <c r="AL53" s="57"/>
      <c r="AM53" s="36" t="n">
        <f aca="false">-[3]Sep!$O$1</f>
        <v>-5833.33333333333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-23333.3333333333</v>
      </c>
      <c r="AW53" s="57"/>
      <c r="AX53" s="36" t="n">
        <f aca="false">-[3]Oct!$O$1</f>
        <v>-5833.33333333333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-29166.6666666667</v>
      </c>
      <c r="BH53" s="57"/>
      <c r="BI53" s="36" t="n">
        <f aca="false">-[3]Nov!$O$1</f>
        <v>-5833.33333333333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-35000</v>
      </c>
      <c r="BS53" s="57"/>
      <c r="BT53" s="36" t="n">
        <f aca="false">-[3]Dec!$O$1</f>
        <v>-7000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-42000</v>
      </c>
      <c r="CD53" s="57"/>
      <c r="CE53" s="36" t="n">
        <f aca="false">-[3]Jan!$O$1</f>
        <v>-7000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-49000</v>
      </c>
      <c r="CO53" s="57"/>
      <c r="CP53" s="36" t="n">
        <f aca="false">-[3]Feb!$O$1</f>
        <v>-7000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-56000</v>
      </c>
      <c r="CZ53" s="57"/>
      <c r="DA53" s="36" t="n">
        <f aca="false">-[3]Mar!$O$1</f>
        <v>-7000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-63000</v>
      </c>
      <c r="DK53" s="57"/>
      <c r="DL53" s="36" t="n">
        <f aca="false">-[3]Apr!$O$1</f>
        <v>-7000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-70000</v>
      </c>
      <c r="DV53" s="57"/>
      <c r="DW53" s="36" t="n">
        <f aca="false">-[3]May!$O$1</f>
        <v>-7000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-77000</v>
      </c>
      <c r="EG53" s="54"/>
      <c r="EI53" s="54"/>
      <c r="EJ53" s="36" t="n">
        <f aca="false">SUM(EF53:EH53)</f>
        <v>-77000</v>
      </c>
      <c r="EK53" s="54"/>
    </row>
    <row r="54" customFormat="false" ht="12" hidden="false" customHeight="false" outlineLevel="0" collapsed="false">
      <c r="A54" s="54"/>
      <c r="B54" s="54" t="s">
        <v>168</v>
      </c>
      <c r="C54" s="56" t="s">
        <v>169</v>
      </c>
      <c r="D54" s="57"/>
      <c r="E54" s="57"/>
      <c r="F54" s="36" t="n">
        <f aca="false">-[3]Jun!$P$1</f>
        <v>-1000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-1000</v>
      </c>
      <c r="P54" s="57"/>
      <c r="Q54" s="36" t="n">
        <f aca="false">-[3]Jul!$P$1</f>
        <v>-0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-1000</v>
      </c>
      <c r="AA54" s="57"/>
      <c r="AB54" s="36" t="n">
        <f aca="false">-[3]Aug!$P$1</f>
        <v>-0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-1000</v>
      </c>
      <c r="AL54" s="57"/>
      <c r="AM54" s="36" t="n">
        <f aca="false">-[3]Sep!$P$1</f>
        <v>-1000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-2000</v>
      </c>
      <c r="AW54" s="57"/>
      <c r="AX54" s="36" t="n">
        <f aca="false">-[3]Oct!$P$1</f>
        <v>-0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-2000</v>
      </c>
      <c r="BH54" s="57"/>
      <c r="BI54" s="36" t="n">
        <f aca="false">-[3]Nov!$P$1</f>
        <v>-0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-2000</v>
      </c>
      <c r="BS54" s="57"/>
      <c r="BT54" s="36" t="n">
        <f aca="false">-[3]Dec!$P$1</f>
        <v>-1000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-3000</v>
      </c>
      <c r="CD54" s="57"/>
      <c r="CE54" s="36" t="n">
        <f aca="false">-[3]Jan!$P$1</f>
        <v>-0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-3000</v>
      </c>
      <c r="CO54" s="57"/>
      <c r="CP54" s="36" t="n">
        <f aca="false">-[3]Feb!$P$1</f>
        <v>-0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-3000</v>
      </c>
      <c r="CZ54" s="57"/>
      <c r="DA54" s="36" t="n">
        <f aca="false">-[3]Mar!$P$1</f>
        <v>-1000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-4000</v>
      </c>
      <c r="DK54" s="57"/>
      <c r="DL54" s="36" t="n">
        <f aca="false">-[3]Apr!$P$1</f>
        <v>-0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-4000</v>
      </c>
      <c r="DV54" s="57"/>
      <c r="DW54" s="36" t="n">
        <f aca="false">-[3]May!$P$1</f>
        <v>-0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-4000</v>
      </c>
      <c r="EG54" s="54"/>
      <c r="EI54" s="54"/>
      <c r="EJ54" s="36" t="n">
        <f aca="false">SUM(EF54:EH54)</f>
        <v>-4000</v>
      </c>
      <c r="EK54" s="54"/>
    </row>
    <row r="55" customFormat="false" ht="12" hidden="false" customHeight="false" outlineLevel="0" collapsed="false">
      <c r="A55" s="54"/>
      <c r="B55" s="54" t="s">
        <v>170</v>
      </c>
      <c r="C55" s="56" t="s">
        <v>171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-2000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-2000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-2000</v>
      </c>
      <c r="BH55" s="57"/>
      <c r="BI55" s="36" t="n">
        <f aca="false">-[3]Nov!$Q$1</f>
        <v>-0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-2000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-2000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-5000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-5000</v>
      </c>
      <c r="CZ55" s="57"/>
      <c r="DA55" s="36" t="n">
        <f aca="false">-[3]Mar!$Q$1</f>
        <v>-0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-5000</v>
      </c>
      <c r="DK55" s="57"/>
      <c r="DL55" s="36" t="n">
        <f aca="false">-[3]Apr!$Q$1</f>
        <v>-0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-5000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-5000</v>
      </c>
      <c r="EG55" s="54"/>
      <c r="EI55" s="54"/>
      <c r="EJ55" s="36" t="n">
        <f aca="false">SUM(EF55:EH55)</f>
        <v>-5000</v>
      </c>
      <c r="EK55" s="54"/>
    </row>
    <row r="56" customFormat="false" ht="12" hidden="false" customHeight="false" outlineLevel="0" collapsed="false">
      <c r="A56" s="54"/>
      <c r="B56" s="54" t="s">
        <v>85</v>
      </c>
      <c r="C56" s="56" t="s">
        <v>172</v>
      </c>
      <c r="D56" s="57"/>
      <c r="E56" s="57"/>
      <c r="F56" s="36" t="n">
        <f aca="false">-[3]Jun!$R$1</f>
        <v>-0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0</v>
      </c>
      <c r="AL56" s="57"/>
      <c r="AM56" s="36" t="n">
        <f aca="false">-[3]Sep!$R$1</f>
        <v>-0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-500</v>
      </c>
      <c r="BS56" s="57"/>
      <c r="BT56" s="36" t="n">
        <f aca="false">-[3]Dec!$R$1</f>
        <v>-0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-500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-500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-500</v>
      </c>
      <c r="CZ56" s="57"/>
      <c r="DA56" s="36" t="n">
        <f aca="false">-[3]Mar!$R$1</f>
        <v>-0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-500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-500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-500</v>
      </c>
      <c r="EG56" s="54"/>
      <c r="EI56" s="54"/>
      <c r="EJ56" s="36" t="n">
        <f aca="false">SUM(EF56:EH56)</f>
        <v>-500</v>
      </c>
      <c r="EK56" s="54"/>
    </row>
    <row r="57" customFormat="false" ht="12" hidden="false" customHeight="false" outlineLevel="0" collapsed="false">
      <c r="A57" s="54"/>
      <c r="B57" s="54" t="s">
        <v>173</v>
      </c>
      <c r="C57" s="56" t="s">
        <v>174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175</v>
      </c>
      <c r="C58" s="56" t="s">
        <v>176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177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178</v>
      </c>
      <c r="C60" s="56" t="s">
        <v>179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600</v>
      </c>
      <c r="AA60" s="57"/>
      <c r="AB60" s="36"/>
      <c r="AC60" s="36" t="n">
        <f aca="false">[2]Aug!$O$1</f>
        <v>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600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1320</v>
      </c>
      <c r="AW60" s="57"/>
      <c r="AX60" s="36"/>
      <c r="AY60" s="36" t="n">
        <f aca="false">[2]Oct!$O$1</f>
        <v>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1320</v>
      </c>
      <c r="BH60" s="57"/>
      <c r="BI60" s="36"/>
      <c r="BJ60" s="36" t="n">
        <f aca="false">[2]Nov!$O$1</f>
        <v>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1320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1800</v>
      </c>
      <c r="CD60" s="57"/>
      <c r="CE60" s="36"/>
      <c r="CF60" s="36" t="n">
        <f aca="false">[2]Jan!$O$1</f>
        <v>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1800</v>
      </c>
      <c r="CO60" s="57"/>
      <c r="CP60" s="36"/>
      <c r="CQ60" s="36" t="n">
        <f aca="false">[2]Feb!$O$1</f>
        <v>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1800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2400</v>
      </c>
      <c r="DK60" s="57"/>
      <c r="DL60" s="36"/>
      <c r="DM60" s="36" t="n">
        <f aca="false">[2]Apr!$O$1</f>
        <v>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2400</v>
      </c>
      <c r="DV60" s="57"/>
      <c r="DW60" s="36"/>
      <c r="DX60" s="36" t="n">
        <f aca="false">[2]May!$O$1</f>
        <v>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2400</v>
      </c>
      <c r="EG60" s="54"/>
      <c r="EI60" s="54"/>
      <c r="EJ60" s="36" t="n">
        <f aca="false">SUM(EF60:EH60)</f>
        <v>2400</v>
      </c>
      <c r="EK60" s="54"/>
    </row>
    <row r="61" customFormat="false" ht="12" hidden="false" customHeight="false" outlineLevel="0" collapsed="false">
      <c r="A61" s="54"/>
      <c r="B61" s="54" t="s">
        <v>180</v>
      </c>
      <c r="C61" s="56" t="s">
        <v>171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3600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3600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3600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3600</v>
      </c>
      <c r="BH61" s="57"/>
      <c r="BI61" s="36"/>
      <c r="BJ61" s="36" t="n">
        <f aca="false">[2]Nov!$P$1</f>
        <v>2400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6000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6000</v>
      </c>
      <c r="CD61" s="57"/>
      <c r="CE61" s="36"/>
      <c r="CF61" s="36" t="n">
        <f aca="false">[2]Jan!$P$1</f>
        <v>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6000</v>
      </c>
      <c r="EG61" s="54"/>
      <c r="EI61" s="54"/>
      <c r="EJ61" s="36" t="n">
        <f aca="false">SUM(EF61:EH61)</f>
        <v>6000</v>
      </c>
      <c r="EK61" s="54"/>
    </row>
    <row r="62" customFormat="false" ht="12" hidden="false" customHeight="false" outlineLevel="0" collapsed="false">
      <c r="A62" s="54"/>
      <c r="B62" s="54" t="s">
        <v>181</v>
      </c>
      <c r="C62" s="56" t="s">
        <v>182</v>
      </c>
      <c r="D62" s="57"/>
      <c r="E62" s="57"/>
      <c r="F62" s="36"/>
      <c r="G62" s="36" t="n">
        <f aca="false">[2]Jun!$Q$1</f>
        <v>0</v>
      </c>
      <c r="H62" s="36"/>
      <c r="I62" s="36"/>
      <c r="J62" s="36"/>
      <c r="K62" s="36"/>
      <c r="L62" s="36"/>
      <c r="N62" s="57"/>
      <c r="O62" s="36" t="n">
        <f aca="false">SUM(D62:N62)</f>
        <v>0</v>
      </c>
      <c r="P62" s="57"/>
      <c r="Q62" s="36"/>
      <c r="R62" s="36" t="n">
        <f aca="false">[2]Jul!$Q$1</f>
        <v>360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360</v>
      </c>
      <c r="AA62" s="57"/>
      <c r="AB62" s="36"/>
      <c r="AC62" s="36" t="n">
        <f aca="false">[2]Aug!$Q$1</f>
        <v>0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360</v>
      </c>
      <c r="AL62" s="57"/>
      <c r="AM62" s="36"/>
      <c r="AN62" s="36" t="n">
        <f aca="false">[2]Sep!$Q$1</f>
        <v>0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360</v>
      </c>
      <c r="AW62" s="57"/>
      <c r="AX62" s="36"/>
      <c r="AY62" s="36" t="n">
        <f aca="false">[2]Oct!$Q$1</f>
        <v>0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360</v>
      </c>
      <c r="BH62" s="57"/>
      <c r="BI62" s="36"/>
      <c r="BJ62" s="36" t="n">
        <f aca="false">[2]Nov!$Q$1</f>
        <v>0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360</v>
      </c>
      <c r="BS62" s="57"/>
      <c r="BT62" s="36"/>
      <c r="BU62" s="36" t="n">
        <f aca="false">[2]Dec!$Q$1</f>
        <v>0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360</v>
      </c>
      <c r="CD62" s="57"/>
      <c r="CE62" s="36"/>
      <c r="CF62" s="36" t="n">
        <f aca="false">[2]Jan!$Q$1</f>
        <v>360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720</v>
      </c>
      <c r="CO62" s="57"/>
      <c r="CP62" s="36"/>
      <c r="CQ62" s="36" t="n">
        <f aca="false">[2]Feb!$Q$1</f>
        <v>0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720</v>
      </c>
      <c r="CZ62" s="57"/>
      <c r="DA62" s="36"/>
      <c r="DB62" s="36" t="n">
        <f aca="false">[2]Mar!$Q$1</f>
        <v>0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720</v>
      </c>
      <c r="DK62" s="57"/>
      <c r="DL62" s="36"/>
      <c r="DM62" s="36" t="n">
        <f aca="false">[2]Apr!$Q$1</f>
        <v>0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720</v>
      </c>
      <c r="DV62" s="57"/>
      <c r="DW62" s="36"/>
      <c r="DX62" s="36" t="n">
        <f aca="false">[2]May!$Q$1</f>
        <v>0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720</v>
      </c>
      <c r="EG62" s="54"/>
      <c r="EI62" s="54"/>
      <c r="EJ62" s="36" t="n">
        <f aca="false">SUM(EF62:EH62)</f>
        <v>720</v>
      </c>
      <c r="EK62" s="54"/>
    </row>
    <row r="63" s="57" customFormat="true" ht="12" hidden="false" customHeight="false" outlineLevel="0" collapsed="false">
      <c r="A63" s="54"/>
      <c r="B63" s="55" t="s">
        <v>183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184</v>
      </c>
      <c r="C64" s="56" t="s">
        <v>185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186</v>
      </c>
      <c r="C65" s="56" t="s">
        <v>187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62</v>
      </c>
      <c r="C66" s="56" t="s">
        <v>172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[2]Mar!$R$1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188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64</v>
      </c>
      <c r="C68" s="56" t="s">
        <v>189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65</v>
      </c>
      <c r="C69" s="56" t="s">
        <v>190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360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720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720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720</v>
      </c>
      <c r="CO69" s="57"/>
      <c r="CP69" s="36"/>
      <c r="CQ69" s="36" t="n">
        <f aca="false">[2]Feb!$U$1</f>
        <v>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720</v>
      </c>
      <c r="CZ69" s="57"/>
      <c r="DA69" s="36"/>
      <c r="DB69" s="36" t="n">
        <f aca="false">[2]Mar!$U$1</f>
        <v>360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66</v>
      </c>
      <c r="C70" s="56" t="s">
        <v>191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480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480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480</v>
      </c>
      <c r="AL70" s="57"/>
      <c r="AM70" s="36"/>
      <c r="AN70" s="36" t="n">
        <f aca="false">[2]Sep!$V$1</f>
        <v>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480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480</v>
      </c>
      <c r="BH70" s="57"/>
      <c r="BI70" s="36"/>
      <c r="BJ70" s="36" t="n">
        <f aca="false">[2]Nov!$V$1</f>
        <v>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480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480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720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720</v>
      </c>
      <c r="CZ70" s="57"/>
      <c r="DA70" s="36"/>
      <c r="DB70" s="36" t="n">
        <f aca="false">[2]Mar!$V$1</f>
        <v>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720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720</v>
      </c>
      <c r="DV70" s="57"/>
      <c r="DW70" s="36"/>
      <c r="DX70" s="36" t="n">
        <f aca="false">[2]May!$V$1</f>
        <v>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720</v>
      </c>
      <c r="EG70" s="54"/>
      <c r="EI70" s="54"/>
      <c r="EJ70" s="36" t="n">
        <f aca="false">SUM(EF70:EH70)</f>
        <v>720</v>
      </c>
      <c r="EK70" s="54"/>
    </row>
    <row r="71" customFormat="false" ht="12" hidden="false" customHeight="false" outlineLevel="0" collapsed="false">
      <c r="A71" s="54"/>
      <c r="B71" s="54" t="s">
        <v>67</v>
      </c>
      <c r="C71" s="56" t="s">
        <v>192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0</v>
      </c>
      <c r="AL71" s="57"/>
      <c r="AM71" s="36"/>
      <c r="AN71" s="36" t="n">
        <f aca="false">[2]Sep!$W$1</f>
        <v>960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960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960</v>
      </c>
      <c r="BH71" s="57"/>
      <c r="BI71" s="36"/>
      <c r="BJ71" s="36" t="n">
        <f aca="false">[2]Nov!$W$1</f>
        <v>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960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960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960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960</v>
      </c>
      <c r="CZ71" s="57"/>
      <c r="DA71" s="36"/>
      <c r="DB71" s="36" t="n">
        <f aca="false">[2]Mar!$W$1</f>
        <v>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960</v>
      </c>
      <c r="DK71" s="57"/>
      <c r="DL71" s="36"/>
      <c r="DM71" s="36" t="n">
        <f aca="false">[2]Apr!$W$1</f>
        <v>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960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960</v>
      </c>
      <c r="EG71" s="54"/>
      <c r="EI71" s="54"/>
      <c r="EJ71" s="36" t="n">
        <f aca="false">SUM(EF71:EH71)</f>
        <v>960</v>
      </c>
      <c r="EK71" s="54"/>
    </row>
    <row r="72" customFormat="false" ht="12" hidden="false" customHeight="false" outlineLevel="0" collapsed="false">
      <c r="A72" s="54"/>
      <c r="B72" s="54" t="s">
        <v>68</v>
      </c>
      <c r="C72" s="56" t="s">
        <v>193</v>
      </c>
      <c r="D72" s="57"/>
      <c r="E72" s="57"/>
      <c r="F72" s="36"/>
      <c r="G72" s="36" t="n">
        <f aca="false">[2]Jun!$X$1</f>
        <v>0</v>
      </c>
      <c r="H72" s="36"/>
      <c r="I72" s="36"/>
      <c r="J72" s="36"/>
      <c r="K72" s="36"/>
      <c r="L72" s="36"/>
      <c r="N72" s="57"/>
      <c r="O72" s="36" t="n">
        <f aca="false">SUM(D72:N72)</f>
        <v>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0</v>
      </c>
      <c r="AL72" s="57"/>
      <c r="AM72" s="36"/>
      <c r="AN72" s="36" t="n">
        <f aca="false">[2]Sep!$X$1</f>
        <v>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0</v>
      </c>
      <c r="AW72" s="57"/>
      <c r="AX72" s="36"/>
      <c r="AY72" s="36" t="n">
        <f aca="false">[2]Oct!$X$1</f>
        <v>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0</v>
      </c>
      <c r="BH72" s="57"/>
      <c r="BI72" s="36"/>
      <c r="BJ72" s="36" t="n">
        <f aca="false">[2]Nov!$X$1</f>
        <v>480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480</v>
      </c>
      <c r="BS72" s="57"/>
      <c r="BT72" s="36"/>
      <c r="BU72" s="36" t="n">
        <f aca="false">[2]Dec!$X$1</f>
        <v>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480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480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480</v>
      </c>
      <c r="CZ72" s="57"/>
      <c r="DA72" s="36"/>
      <c r="DB72" s="36" t="n">
        <f aca="false">[2]Mar!$X$1</f>
        <v>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480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840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840</v>
      </c>
      <c r="EG72" s="54"/>
      <c r="EI72" s="54"/>
      <c r="EJ72" s="36" t="n">
        <f aca="false">SUM(EF72:EH72)</f>
        <v>840</v>
      </c>
      <c r="EK72" s="54"/>
    </row>
    <row r="73" customFormat="false" ht="12" hidden="false" customHeight="false" outlineLevel="0" collapsed="false">
      <c r="A73" s="54"/>
      <c r="B73" s="54" t="s">
        <v>69</v>
      </c>
      <c r="C73" s="56" t="s">
        <v>194</v>
      </c>
      <c r="D73" s="57"/>
      <c r="E73" s="57"/>
      <c r="F73" s="36"/>
      <c r="G73" s="36" t="n">
        <f aca="false">[2]Jun!$Y$1</f>
        <v>180</v>
      </c>
      <c r="H73" s="36"/>
      <c r="I73" s="36"/>
      <c r="J73" s="36"/>
      <c r="K73" s="36"/>
      <c r="L73" s="36"/>
      <c r="N73" s="57"/>
      <c r="O73" s="36" t="n">
        <f aca="false">SUM(D73:N73)</f>
        <v>180</v>
      </c>
      <c r="P73" s="57"/>
      <c r="Q73" s="36"/>
      <c r="R73" s="36" t="n">
        <f aca="false">[2]Jul!$Y$1</f>
        <v>0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180</v>
      </c>
      <c r="AA73" s="57"/>
      <c r="AB73" s="36"/>
      <c r="AC73" s="36" t="n">
        <f aca="false">[2]Aug!$Y$1</f>
        <v>0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180</v>
      </c>
      <c r="AL73" s="57"/>
      <c r="AM73" s="36"/>
      <c r="AN73" s="36" t="n">
        <f aca="false">[2]Sep!$Y$1</f>
        <v>0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180</v>
      </c>
      <c r="AW73" s="57"/>
      <c r="AX73" s="36"/>
      <c r="AY73" s="36" t="n">
        <f aca="false">[2]Oct!$Y$1</f>
        <v>0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180</v>
      </c>
      <c r="BH73" s="57"/>
      <c r="BI73" s="36"/>
      <c r="BJ73" s="36" t="n">
        <f aca="false">[2]Nov!$Y$1</f>
        <v>0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180</v>
      </c>
      <c r="BS73" s="57"/>
      <c r="BT73" s="36"/>
      <c r="BU73" s="36" t="n">
        <f aca="false">[2]Dec!$Y$1</f>
        <v>144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324</v>
      </c>
      <c r="CD73" s="57"/>
      <c r="CE73" s="36"/>
      <c r="CF73" s="36" t="n">
        <f aca="false">[2]Jan!$Y$1</f>
        <v>0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324</v>
      </c>
      <c r="CO73" s="57"/>
      <c r="CP73" s="36"/>
      <c r="CQ73" s="36" t="n">
        <f aca="false">[2]Feb!$Y$1</f>
        <v>0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324</v>
      </c>
      <c r="CZ73" s="57"/>
      <c r="DA73" s="36"/>
      <c r="DB73" s="36" t="n">
        <f aca="false">[2]Mar!$Y$1</f>
        <v>0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324</v>
      </c>
      <c r="DK73" s="57"/>
      <c r="DL73" s="36"/>
      <c r="DM73" s="36" t="n">
        <f aca="false">[2]Apr!$Y$1</f>
        <v>0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324</v>
      </c>
      <c r="DV73" s="57"/>
      <c r="DW73" s="36"/>
      <c r="DX73" s="36" t="n">
        <f aca="false">[2]May!$Y$1</f>
        <v>0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324</v>
      </c>
      <c r="EG73" s="54"/>
      <c r="EI73" s="54"/>
      <c r="EJ73" s="36" t="n">
        <f aca="false">SUM(EF73:EH73)</f>
        <v>324</v>
      </c>
      <c r="EK73" s="54"/>
    </row>
    <row r="74" customFormat="false" ht="12" hidden="false" customHeight="false" outlineLevel="0" collapsed="false">
      <c r="A74" s="54"/>
      <c r="B74" s="54" t="s">
        <v>70</v>
      </c>
      <c r="C74" s="56" t="s">
        <v>167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1200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1200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1200</v>
      </c>
      <c r="AL74" s="57"/>
      <c r="AM74" s="36"/>
      <c r="AN74" s="36" t="n">
        <f aca="false">[2]Sep!$Z$1</f>
        <v>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1200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1200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1200</v>
      </c>
      <c r="BS74" s="57"/>
      <c r="BT74" s="36"/>
      <c r="BU74" s="36" t="n">
        <f aca="false">[2]Dec!$Z$1</f>
        <v>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1200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1200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1200</v>
      </c>
      <c r="CZ74" s="57"/>
      <c r="DA74" s="36"/>
      <c r="DB74" s="36" t="n">
        <f aca="false">[2]Mar!$Z$1</f>
        <v>600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1800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1800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1800</v>
      </c>
      <c r="EG74" s="54"/>
      <c r="EI74" s="54"/>
      <c r="EJ74" s="36" t="n">
        <f aca="false">SUM(EF74:EH74)</f>
        <v>1800</v>
      </c>
      <c r="EK74" s="54"/>
    </row>
    <row r="75" customFormat="false" ht="12" hidden="false" customHeight="false" outlineLevel="0" collapsed="false">
      <c r="A75" s="54"/>
      <c r="B75" s="54" t="s">
        <v>71</v>
      </c>
      <c r="C75" s="56" t="s">
        <v>174</v>
      </c>
      <c r="D75" s="57"/>
      <c r="E75" s="57"/>
      <c r="F75" s="36"/>
      <c r="G75" s="36" t="n">
        <f aca="false">[2]Jun!$AA$1</f>
        <v>60</v>
      </c>
      <c r="H75" s="36"/>
      <c r="I75" s="36"/>
      <c r="J75" s="36"/>
      <c r="K75" s="36"/>
      <c r="L75" s="36"/>
      <c r="N75" s="57"/>
      <c r="O75" s="36" t="n">
        <f aca="false">SUM(D75:N75)</f>
        <v>60</v>
      </c>
      <c r="P75" s="57"/>
      <c r="Q75" s="36"/>
      <c r="R75" s="36" t="n">
        <f aca="false">[2]Jul!$AA$1</f>
        <v>60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120</v>
      </c>
      <c r="AA75" s="57"/>
      <c r="AB75" s="36"/>
      <c r="AC75" s="36" t="n">
        <f aca="false">[2]Aug!$AA$1</f>
        <v>180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300</v>
      </c>
      <c r="AL75" s="57"/>
      <c r="AM75" s="36"/>
      <c r="AN75" s="36" t="n">
        <f aca="false">[2]Sep!$AA$1</f>
        <v>60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360</v>
      </c>
      <c r="AW75" s="57"/>
      <c r="AX75" s="36"/>
      <c r="AY75" s="36" t="n">
        <f aca="false">[2]Oct!$AA$1</f>
        <v>60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420</v>
      </c>
      <c r="BH75" s="57"/>
      <c r="BI75" s="36"/>
      <c r="BJ75" s="36" t="n">
        <f aca="false">[2]Nov!$AA$1</f>
        <v>60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480</v>
      </c>
      <c r="BS75" s="57"/>
      <c r="BT75" s="36"/>
      <c r="BU75" s="36" t="n">
        <f aca="false">[2]Dec!$AA$1</f>
        <v>60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540</v>
      </c>
      <c r="CD75" s="57"/>
      <c r="CE75" s="36"/>
      <c r="CF75" s="36" t="n">
        <f aca="false">[2]Jan!$AA$1</f>
        <v>60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600</v>
      </c>
      <c r="CO75" s="57"/>
      <c r="CP75" s="36"/>
      <c r="CQ75" s="36" t="n">
        <f aca="false">[2]Feb!$AA$1</f>
        <v>180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780</v>
      </c>
      <c r="CZ75" s="57"/>
      <c r="DA75" s="36"/>
      <c r="DB75" s="36" t="n">
        <f aca="false">[2]Mar!$AA$1</f>
        <v>60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840</v>
      </c>
      <c r="DK75" s="57"/>
      <c r="DL75" s="36"/>
      <c r="DM75" s="36" t="n">
        <f aca="false">[2]Apr!$AA$1</f>
        <v>60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900</v>
      </c>
      <c r="DV75" s="57"/>
      <c r="DW75" s="36"/>
      <c r="DX75" s="36" t="n">
        <f aca="false">[2]May!$AA$1</f>
        <v>60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960</v>
      </c>
      <c r="EG75" s="54"/>
      <c r="EI75" s="54"/>
      <c r="EJ75" s="36" t="n">
        <f aca="false">SUM(EF75:EH75)</f>
        <v>960</v>
      </c>
      <c r="EK75" s="54"/>
    </row>
    <row r="76" customFormat="false" ht="12" hidden="false" customHeight="false" outlineLevel="0" collapsed="false">
      <c r="A76" s="54"/>
      <c r="B76" s="54" t="s">
        <v>72</v>
      </c>
      <c r="C76" s="56" t="s">
        <v>195</v>
      </c>
      <c r="D76" s="57"/>
      <c r="E76" s="57"/>
      <c r="F76" s="36"/>
      <c r="G76" s="36" t="n">
        <f aca="false">[2]Jun!$AB$1</f>
        <v>0</v>
      </c>
      <c r="H76" s="36"/>
      <c r="I76" s="36"/>
      <c r="J76" s="36"/>
      <c r="K76" s="36"/>
      <c r="L76" s="36"/>
      <c r="N76" s="57"/>
      <c r="O76" s="36" t="n">
        <f aca="false">SUM(D76:N76)</f>
        <v>0</v>
      </c>
      <c r="P76" s="57"/>
      <c r="Q76" s="36"/>
      <c r="R76" s="36" t="n">
        <f aca="false">[2]Jul!$AB$1</f>
        <v>0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0</v>
      </c>
      <c r="AA76" s="57"/>
      <c r="AB76" s="36"/>
      <c r="AC76" s="36" t="n">
        <f aca="false">[2]Aug!$AB$1</f>
        <v>480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480</v>
      </c>
      <c r="AL76" s="57"/>
      <c r="AM76" s="36"/>
      <c r="AN76" s="36" t="n">
        <f aca="false">[2]Sep!$AB$1</f>
        <v>0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480</v>
      </c>
      <c r="AW76" s="57"/>
      <c r="AX76" s="36"/>
      <c r="AY76" s="36" t="n">
        <f aca="false">[2]Oct!$AB$1</f>
        <v>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480</v>
      </c>
      <c r="BH76" s="57"/>
      <c r="BI76" s="36"/>
      <c r="BJ76" s="36" t="n">
        <f aca="false">[2]Nov!$AB$1</f>
        <v>0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480</v>
      </c>
      <c r="BS76" s="57"/>
      <c r="BT76" s="36"/>
      <c r="BU76" s="36" t="n">
        <f aca="false">[2]Dec!$AB$1</f>
        <v>0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480</v>
      </c>
      <c r="CD76" s="57"/>
      <c r="CE76" s="36"/>
      <c r="CF76" s="36" t="n">
        <f aca="false">[2]Jan!$AB$1</f>
        <v>360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840</v>
      </c>
      <c r="CO76" s="57"/>
      <c r="CP76" s="36"/>
      <c r="CQ76" s="36" t="n">
        <f aca="false">[2]Feb!$AB$1</f>
        <v>0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840</v>
      </c>
      <c r="CZ76" s="57"/>
      <c r="DA76" s="36"/>
      <c r="DB76" s="36" t="n">
        <f aca="false">[2]Mar!$AB$1</f>
        <v>0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840</v>
      </c>
      <c r="DK76" s="57"/>
      <c r="DL76" s="36"/>
      <c r="DM76" s="36" t="n">
        <f aca="false">[2]Apr!$AB$1</f>
        <v>96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936</v>
      </c>
      <c r="DV76" s="57"/>
      <c r="DW76" s="36"/>
      <c r="DX76" s="36" t="n">
        <f aca="false">[2]May!$AB$1</f>
        <v>0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936</v>
      </c>
      <c r="EG76" s="54"/>
      <c r="EI76" s="54"/>
      <c r="EJ76" s="36" t="n">
        <f aca="false">SUM(EF76:EH76)</f>
        <v>936</v>
      </c>
      <c r="EK76" s="54"/>
    </row>
    <row r="77" customFormat="false" ht="12" hidden="false" customHeight="false" outlineLevel="0" collapsed="false">
      <c r="A77" s="54"/>
      <c r="B77" s="54" t="s">
        <v>73</v>
      </c>
      <c r="C77" s="56" t="s">
        <v>196</v>
      </c>
      <c r="D77" s="57"/>
      <c r="E77" s="57"/>
      <c r="F77" s="36"/>
      <c r="G77" s="36" t="n">
        <f aca="false">[2]Jun!$AC$1</f>
        <v>1080</v>
      </c>
      <c r="H77" s="36"/>
      <c r="I77" s="36"/>
      <c r="J77" s="36"/>
      <c r="K77" s="36"/>
      <c r="L77" s="36"/>
      <c r="N77" s="57"/>
      <c r="O77" s="36" t="n">
        <f aca="false">SUM(D77:N77)</f>
        <v>1080</v>
      </c>
      <c r="P77" s="57"/>
      <c r="Q77" s="36"/>
      <c r="R77" s="36" t="n">
        <f aca="false">[2]Jul!$AC$1</f>
        <v>120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1200</v>
      </c>
      <c r="AA77" s="57"/>
      <c r="AB77" s="36"/>
      <c r="AC77" s="36" t="n">
        <f aca="false">[2]Aug!$AC$1</f>
        <v>0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1200</v>
      </c>
      <c r="AL77" s="57"/>
      <c r="AM77" s="36"/>
      <c r="AN77" s="36" t="n">
        <f aca="false">[2]Sep!$AC$1</f>
        <v>840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2040</v>
      </c>
      <c r="AW77" s="57"/>
      <c r="AX77" s="36"/>
      <c r="AY77" s="36" t="n">
        <f aca="false">[2]Oct!$AC$1</f>
        <v>120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2160</v>
      </c>
      <c r="BH77" s="57"/>
      <c r="BI77" s="36"/>
      <c r="BJ77" s="36" t="n">
        <f aca="false">[2]Nov!$AC$1</f>
        <v>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2160</v>
      </c>
      <c r="BS77" s="57"/>
      <c r="BT77" s="36"/>
      <c r="BU77" s="36" t="n">
        <f aca="false">[2]Dec!$AC$1</f>
        <v>0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2160</v>
      </c>
      <c r="CD77" s="57"/>
      <c r="CE77" s="36"/>
      <c r="CF77" s="36" t="n">
        <f aca="false">[2]Jan!$AC$1</f>
        <v>120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2280</v>
      </c>
      <c r="CO77" s="57"/>
      <c r="CP77" s="36"/>
      <c r="CQ77" s="36" t="n">
        <f aca="false">[2]Feb!$AC$1</f>
        <v>0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2280</v>
      </c>
      <c r="CZ77" s="57"/>
      <c r="DA77" s="36"/>
      <c r="DB77" s="36" t="n">
        <f aca="false">[2]Mar!$AC$1</f>
        <v>0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2280</v>
      </c>
      <c r="DK77" s="57"/>
      <c r="DL77" s="36"/>
      <c r="DM77" s="36" t="n">
        <f aca="false">[2]Apr!$AC$1</f>
        <v>120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2400</v>
      </c>
      <c r="DV77" s="57"/>
      <c r="DW77" s="36"/>
      <c r="DX77" s="36" t="n">
        <f aca="false">[2]May!$AC$1</f>
        <v>0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2400</v>
      </c>
      <c r="EG77" s="54"/>
      <c r="EI77" s="54"/>
      <c r="EJ77" s="36" t="n">
        <f aca="false">SUM(EF77:EH77)</f>
        <v>2400</v>
      </c>
      <c r="EK77" s="54"/>
    </row>
    <row r="78" customFormat="false" ht="12" hidden="false" customHeight="false" outlineLevel="0" collapsed="false">
      <c r="A78" s="54"/>
      <c r="B78" s="54" t="s">
        <v>74</v>
      </c>
      <c r="C78" s="56" t="s">
        <v>197</v>
      </c>
      <c r="D78" s="57"/>
      <c r="E78" s="57"/>
      <c r="F78" s="36"/>
      <c r="G78" s="36" t="n">
        <f aca="false">[2]Jun!$AD$1</f>
        <v>960</v>
      </c>
      <c r="H78" s="36"/>
      <c r="I78" s="36"/>
      <c r="J78" s="36"/>
      <c r="K78" s="36"/>
      <c r="L78" s="36"/>
      <c r="N78" s="57"/>
      <c r="O78" s="36" t="n">
        <f aca="false">SUM(D78:N78)</f>
        <v>960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960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960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960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960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960</v>
      </c>
      <c r="BS78" s="57"/>
      <c r="BT78" s="36"/>
      <c r="BU78" s="36" t="n">
        <f aca="false">[2]Dec!$AD$1</f>
        <v>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960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960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960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960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960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960</v>
      </c>
      <c r="EG78" s="54"/>
      <c r="EI78" s="54"/>
      <c r="EJ78" s="36" t="n">
        <f aca="false">SUM(EF78:EH78)</f>
        <v>960</v>
      </c>
      <c r="EK78" s="54"/>
    </row>
    <row r="79" customFormat="false" ht="12" hidden="false" customHeight="false" outlineLevel="0" collapsed="false">
      <c r="A79" s="54"/>
      <c r="B79" s="54" t="s">
        <v>75</v>
      </c>
      <c r="C79" s="56" t="s">
        <v>198</v>
      </c>
      <c r="D79" s="57"/>
      <c r="E79" s="57"/>
      <c r="F79" s="36"/>
      <c r="G79" s="36" t="n">
        <f aca="false">[2]Jun!$AE$1</f>
        <v>0</v>
      </c>
      <c r="H79" s="36"/>
      <c r="I79" s="36"/>
      <c r="J79" s="36"/>
      <c r="K79" s="36"/>
      <c r="L79" s="36"/>
      <c r="N79" s="57"/>
      <c r="O79" s="36" t="n">
        <f aca="false">SUM(D79:N79)</f>
        <v>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0</v>
      </c>
      <c r="AA79" s="57"/>
      <c r="AB79" s="36"/>
      <c r="AC79" s="36" t="n">
        <f aca="false">[2]Aug!$AE$1</f>
        <v>720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720</v>
      </c>
      <c r="AL79" s="57"/>
      <c r="AM79" s="36"/>
      <c r="AN79" s="36" t="n">
        <f aca="false">[2]Sep!$AE$1</f>
        <v>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720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720</v>
      </c>
      <c r="BH79" s="57"/>
      <c r="BI79" s="36"/>
      <c r="BJ79" s="36" t="n">
        <f aca="false">[2]Nov!$AE$1</f>
        <v>720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1440</v>
      </c>
      <c r="BS79" s="57"/>
      <c r="BT79" s="36"/>
      <c r="BU79" s="36" t="n">
        <f aca="false">[2]Dec!$AE$1</f>
        <v>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1440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1440</v>
      </c>
      <c r="CO79" s="57"/>
      <c r="CP79" s="36"/>
      <c r="CQ79" s="36" t="n">
        <f aca="false">[2]Feb!$AE$1</f>
        <v>720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2160</v>
      </c>
      <c r="CZ79" s="57"/>
      <c r="DA79" s="36"/>
      <c r="DB79" s="36" t="n">
        <f aca="false">[2]Mar!$AE$1</f>
        <v>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2160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2160</v>
      </c>
      <c r="DV79" s="57"/>
      <c r="DW79" s="36"/>
      <c r="DX79" s="36" t="n">
        <f aca="false">[2]May!$AE$1</f>
        <v>720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2880</v>
      </c>
      <c r="EG79" s="54"/>
      <c r="EI79" s="54"/>
      <c r="EJ79" s="36" t="n">
        <f aca="false">SUM(EF79:EH79)</f>
        <v>2880</v>
      </c>
      <c r="EK79" s="54"/>
    </row>
    <row r="80" customFormat="false" ht="12" hidden="false" customHeight="false" outlineLevel="0" collapsed="false">
      <c r="A80" s="54"/>
      <c r="B80" s="54" t="s">
        <v>76</v>
      </c>
      <c r="C80" s="56" t="s">
        <v>199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300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900</v>
      </c>
      <c r="AL80" s="57"/>
      <c r="AM80" s="36"/>
      <c r="AN80" s="36" t="n">
        <f aca="false">[2]Sep!$AF$1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1200</v>
      </c>
      <c r="AW80" s="57"/>
      <c r="AX80" s="36"/>
      <c r="AY80" s="36" t="n">
        <f aca="false">[2]Oct!$AF$1</f>
        <v>300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1500</v>
      </c>
      <c r="BH80" s="57"/>
      <c r="BI80" s="36"/>
      <c r="BJ80" s="36" t="n">
        <f aca="false">[2]Nov!$AF$1</f>
        <v>300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1800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2100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2400</v>
      </c>
      <c r="CO80" s="57"/>
      <c r="CP80" s="36"/>
      <c r="CQ80" s="36" t="n">
        <f aca="false">[2]Feb!$AF$1</f>
        <v>300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2700</v>
      </c>
      <c r="CZ80" s="57"/>
      <c r="DA80" s="36"/>
      <c r="DB80" s="36" t="n">
        <f aca="false">[2]Mar!$AF$1</f>
        <v>300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3000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3300</v>
      </c>
      <c r="DV80" s="57"/>
      <c r="DW80" s="36"/>
      <c r="DX80" s="36" t="n">
        <f aca="false">[2]May!$AF$1</f>
        <v>2100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5400</v>
      </c>
      <c r="EG80" s="54"/>
      <c r="EI80" s="54"/>
      <c r="EJ80" s="36" t="n">
        <f aca="false">SUM(EF80:EH80)</f>
        <v>5400</v>
      </c>
      <c r="EK80" s="54"/>
    </row>
    <row r="81" customFormat="false" ht="12" hidden="false" customHeight="false" outlineLevel="0" collapsed="false">
      <c r="A81" s="54"/>
      <c r="B81" s="54" t="s">
        <v>77</v>
      </c>
      <c r="C81" s="56" t="s">
        <v>182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78</v>
      </c>
      <c r="C82" s="56" t="s">
        <v>200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79</v>
      </c>
      <c r="C83" s="56" t="s">
        <v>169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80</v>
      </c>
      <c r="C84" s="56" t="s">
        <v>201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81</v>
      </c>
      <c r="C85" s="56" t="s">
        <v>202</v>
      </c>
      <c r="D85" s="57"/>
      <c r="E85" s="57"/>
      <c r="F85" s="36"/>
      <c r="G85" s="36" t="n">
        <f aca="false">[2]Jun!$AH$1</f>
        <v>2400</v>
      </c>
      <c r="H85" s="36"/>
      <c r="I85" s="36"/>
      <c r="J85" s="36"/>
      <c r="K85" s="36"/>
      <c r="L85" s="36"/>
      <c r="N85" s="57"/>
      <c r="O85" s="36" t="n">
        <f aca="false">SUM(D85:N85)</f>
        <v>2400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2400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2400</v>
      </c>
      <c r="AL85" s="57"/>
      <c r="AM85" s="36"/>
      <c r="AN85" s="36" t="n">
        <f aca="false">[2]Sep!$AH$1</f>
        <v>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2400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2400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2400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2400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2400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2400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2400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2400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2400</v>
      </c>
      <c r="EG85" s="54"/>
      <c r="EI85" s="54"/>
      <c r="EJ85" s="36" t="n">
        <f aca="false">SUM(EF85:EH85)</f>
        <v>2400</v>
      </c>
      <c r="EK85" s="54"/>
    </row>
    <row r="86" customFormat="false" ht="12" hidden="false" customHeight="false" outlineLevel="0" collapsed="false">
      <c r="A86" s="54"/>
      <c r="B86" s="54" t="s">
        <v>82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83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203</v>
      </c>
      <c r="C88" s="56" t="s">
        <v>204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205</v>
      </c>
      <c r="C89" s="56" t="s">
        <v>204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206</v>
      </c>
      <c r="C91" s="60"/>
      <c r="D91" s="36" t="n">
        <f aca="false">SUM(D4:D90)</f>
        <v>0</v>
      </c>
      <c r="E91" s="54"/>
      <c r="F91" s="36" t="n">
        <f aca="false">SUM(F4:F90)</f>
        <v>0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0</v>
      </c>
      <c r="P91" s="54"/>
      <c r="Q91" s="36" t="n">
        <f aca="false">SUM(Q4:Q90)</f>
        <v>0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0</v>
      </c>
      <c r="AA91" s="54"/>
      <c r="AB91" s="36" t="n">
        <f aca="false">SUM(AB4:AB90)</f>
        <v>0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0</v>
      </c>
      <c r="AL91" s="54"/>
      <c r="AM91" s="36" t="n">
        <f aca="false">SUM(AM4:AM90)</f>
        <v>0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0</v>
      </c>
      <c r="AW91" s="54"/>
      <c r="AX91" s="36" t="n">
        <f aca="false">SUM(AX4:AX90)</f>
        <v>9.54969436861575E-012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1.04591890703887E-011</v>
      </c>
      <c r="BH91" s="54"/>
      <c r="BI91" s="36" t="n">
        <f aca="false">SUM(BI4:BI90)</f>
        <v>0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1.13686837721616E-011</v>
      </c>
      <c r="BS91" s="54"/>
      <c r="BT91" s="36" t="n">
        <f aca="false">SUM(BT4:BT90)</f>
        <v>0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1.13686837721616E-011</v>
      </c>
      <c r="CD91" s="54"/>
      <c r="CE91" s="36" t="n">
        <f aca="false">SUM(CE4:CE90)</f>
        <v>0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1.13686837721616E-011</v>
      </c>
      <c r="CO91" s="54"/>
      <c r="CP91" s="36" t="n">
        <f aca="false">SUM(CP4:CP90)</f>
        <v>0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1.13686837721616E-011</v>
      </c>
      <c r="CZ91" s="54"/>
      <c r="DA91" s="36" t="n">
        <f aca="false">SUM(DA4:DA90)</f>
        <v>0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1.13686837721616E-011</v>
      </c>
      <c r="DK91" s="54"/>
      <c r="DL91" s="36" t="n">
        <f aca="false">SUM(DL4:DL90)</f>
        <v>0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2.04636307898909E-011</v>
      </c>
      <c r="DV91" s="54"/>
      <c r="DW91" s="36" t="n">
        <f aca="false">SUM(DW4:DW90)</f>
        <v>0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2.04636307898909E-011</v>
      </c>
      <c r="EG91" s="54"/>
      <c r="EH91" s="36" t="n">
        <f aca="false">SUM(EH4:EH90)</f>
        <v>0</v>
      </c>
      <c r="EI91" s="54"/>
      <c r="EJ91" s="36" t="n">
        <f aca="false">SUM(EJ4:EJ90)</f>
        <v>2.04636307898909E-011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207</v>
      </c>
      <c r="B1" s="63" t="s">
        <v>208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209</v>
      </c>
      <c r="C3" s="69" t="s">
        <v>209</v>
      </c>
      <c r="D3" s="69" t="s">
        <v>209</v>
      </c>
      <c r="E3" s="69" t="s">
        <v>209</v>
      </c>
      <c r="F3" s="69" t="s">
        <v>209</v>
      </c>
      <c r="G3" s="69" t="s">
        <v>209</v>
      </c>
      <c r="H3" s="69" t="s">
        <v>209</v>
      </c>
      <c r="I3" s="69" t="s">
        <v>209</v>
      </c>
      <c r="J3" s="69" t="s">
        <v>209</v>
      </c>
      <c r="K3" s="69" t="s">
        <v>209</v>
      </c>
      <c r="L3" s="69" t="s">
        <v>209</v>
      </c>
      <c r="M3" s="69" t="s">
        <v>209</v>
      </c>
      <c r="N3" s="69" t="s">
        <v>209</v>
      </c>
      <c r="O3" s="68"/>
    </row>
    <row r="4" customFormat="false" ht="12" hidden="false" customHeight="false" outlineLevel="0" collapsed="false">
      <c r="A4" s="70" t="s">
        <v>166</v>
      </c>
      <c r="B4" s="71" t="n">
        <f aca="false">SUM(C4:N4)</f>
        <v>77000</v>
      </c>
      <c r="C4" s="72" t="n">
        <f aca="false">-TrialBalance!O53-0</f>
        <v>5833.33333333333</v>
      </c>
      <c r="D4" s="72" t="n">
        <f aca="false">-TrialBalance!Z53-C4</f>
        <v>5833.33333333333</v>
      </c>
      <c r="E4" s="72" t="n">
        <f aca="false">-TrialBalance!AK53-SUM(C4:D4)</f>
        <v>5833.33333333333</v>
      </c>
      <c r="F4" s="72" t="n">
        <f aca="false">-TrialBalance!AV53-SUM(C4:E4)</f>
        <v>5833.33333333333</v>
      </c>
      <c r="G4" s="72" t="n">
        <f aca="false">-TrialBalance!BG53-SUM(C4:F4)</f>
        <v>5833.33333333333</v>
      </c>
      <c r="H4" s="72" t="n">
        <f aca="false">-TrialBalance!BR53-SUM(C4:G4)</f>
        <v>5833.33333333333</v>
      </c>
      <c r="I4" s="72" t="n">
        <f aca="false">-TrialBalance!CC53-SUM(C4:H4)</f>
        <v>7000</v>
      </c>
      <c r="J4" s="72" t="n">
        <f aca="false">-TrialBalance!CN53-SUM(C4:I4)</f>
        <v>7000</v>
      </c>
      <c r="K4" s="72" t="n">
        <f aca="false">-TrialBalance!CY53-SUM(C4:J4)</f>
        <v>7000</v>
      </c>
      <c r="L4" s="72" t="n">
        <f aca="false">-TrialBalance!DJ53-SUM(C4:K4)</f>
        <v>7000</v>
      </c>
      <c r="M4" s="72" t="n">
        <f aca="false">-TrialBalance!DU53-SUM(C4:L4)</f>
        <v>6999.99999999999</v>
      </c>
      <c r="N4" s="72" t="n">
        <f aca="false">-TrialBalance!EF53-SUM(C4:M4)</f>
        <v>7000</v>
      </c>
      <c r="O4" s="68"/>
    </row>
    <row r="5" customFormat="false" ht="12" hidden="false" customHeight="false" outlineLevel="0" collapsed="false">
      <c r="A5" s="70" t="s">
        <v>168</v>
      </c>
      <c r="B5" s="71" t="n">
        <f aca="false">SUM(C5:N5)</f>
        <v>4000</v>
      </c>
      <c r="C5" s="72" t="n">
        <f aca="false">-TrialBalance!O54-0</f>
        <v>1000</v>
      </c>
      <c r="D5" s="72" t="n">
        <f aca="false">-TrialBalance!Z54-C5</f>
        <v>0</v>
      </c>
      <c r="E5" s="72" t="n">
        <f aca="false">-TrialBalance!AK54-SUM(C5:D5)</f>
        <v>0</v>
      </c>
      <c r="F5" s="72" t="n">
        <f aca="false">-TrialBalance!AV54-SUM(C5:E5)</f>
        <v>1000</v>
      </c>
      <c r="G5" s="72" t="n">
        <f aca="false">-TrialBalance!BG54-SUM(C5:F5)</f>
        <v>0</v>
      </c>
      <c r="H5" s="72" t="n">
        <f aca="false">-TrialBalance!BR54-SUM(C5:G5)</f>
        <v>0</v>
      </c>
      <c r="I5" s="72" t="n">
        <f aca="false">-TrialBalance!CC54-SUM(C5:H5)</f>
        <v>1000</v>
      </c>
      <c r="J5" s="72" t="n">
        <f aca="false">-TrialBalance!CN54-SUM(C5:I5)</f>
        <v>0</v>
      </c>
      <c r="K5" s="72" t="n">
        <f aca="false">-TrialBalance!CY54-SUM(C5:J5)</f>
        <v>0</v>
      </c>
      <c r="L5" s="72" t="n">
        <f aca="false">-TrialBalance!DJ54-SUM(C5:K5)</f>
        <v>1000</v>
      </c>
      <c r="M5" s="72" t="n">
        <f aca="false">-TrialBalance!DU54-SUM(C5:L5)</f>
        <v>0</v>
      </c>
      <c r="N5" s="72" t="n">
        <f aca="false">-TrialBalance!EF54-SUM(C5:M5)</f>
        <v>0</v>
      </c>
      <c r="O5" s="68"/>
    </row>
    <row r="6" customFormat="false" ht="12" hidden="false" customHeight="false" outlineLevel="0" collapsed="false">
      <c r="A6" s="70" t="s">
        <v>170</v>
      </c>
      <c r="B6" s="71" t="n">
        <f aca="false">SUM(C6:N6)</f>
        <v>5000</v>
      </c>
      <c r="C6" s="72" t="n">
        <f aca="false">-TrialBalance!O55-0</f>
        <v>-0</v>
      </c>
      <c r="D6" s="72" t="n">
        <f aca="false">-TrialBalance!Z55-C6</f>
        <v>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0</v>
      </c>
      <c r="M6" s="72" t="n">
        <f aca="false">-TrialBalance!DU55-SUM(C6:L6)</f>
        <v>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85</v>
      </c>
      <c r="B7" s="71" t="n">
        <f aca="false">SUM(C7:N7)</f>
        <v>500</v>
      </c>
      <c r="C7" s="72" t="n">
        <f aca="false">-TrialBalance!O56</f>
        <v>-0</v>
      </c>
      <c r="D7" s="72" t="n">
        <f aca="false">-TrialBalance!Z56-C7</f>
        <v>0</v>
      </c>
      <c r="E7" s="72" t="n">
        <f aca="false">-TrialBalance!AK56-SUM(C7:D7)</f>
        <v>-0</v>
      </c>
      <c r="F7" s="72" t="n">
        <f aca="false">-TrialBalance!AV56-SUM(C7:E7)</f>
        <v>-0</v>
      </c>
      <c r="G7" s="72" t="n">
        <f aca="false">-TrialBalance!BG56-SUM(C7:F7)</f>
        <v>-0</v>
      </c>
      <c r="H7" s="72" t="n">
        <f aca="false">-TrialBalance!BR56-SUM(C7:G7)</f>
        <v>500</v>
      </c>
      <c r="I7" s="72" t="n">
        <f aca="false">-TrialBalance!CC56-SUM(C7:H7)</f>
        <v>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53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52</v>
      </c>
      <c r="B9" s="71" t="n">
        <f aca="false">SUM(B4:B8)</f>
        <v>88583.3333333333</v>
      </c>
      <c r="C9" s="74" t="n">
        <f aca="false">SUM(C4:C8)</f>
        <v>6833.33333333333</v>
      </c>
      <c r="D9" s="71" t="n">
        <f aca="false">SUM(D4:D8)</f>
        <v>5833.33333333333</v>
      </c>
      <c r="E9" s="71" t="n">
        <f aca="false">SUM(E4:E8)</f>
        <v>7833.33333333333</v>
      </c>
      <c r="F9" s="71" t="n">
        <f aca="false">SUM(F4:F8)</f>
        <v>6833.33333333333</v>
      </c>
      <c r="G9" s="71" t="n">
        <f aca="false">SUM(G4:G8)</f>
        <v>7916.66666666666</v>
      </c>
      <c r="H9" s="71" t="n">
        <f aca="false">SUM(H4:H8)</f>
        <v>6333.33333333333</v>
      </c>
      <c r="I9" s="71" t="n">
        <f aca="false">SUM(I4:I8)</f>
        <v>8000</v>
      </c>
      <c r="J9" s="71" t="n">
        <f aca="false">SUM(J4:J8)</f>
        <v>10000</v>
      </c>
      <c r="K9" s="71" t="n">
        <f aca="false">SUM(K4:K8)</f>
        <v>7000</v>
      </c>
      <c r="L9" s="71" t="n">
        <f aca="false">SUM(L4:L8)</f>
        <v>8000</v>
      </c>
      <c r="M9" s="71" t="n">
        <f aca="false">SUM(M4:M8)</f>
        <v>6999.99999999999</v>
      </c>
      <c r="N9" s="71" t="n">
        <f aca="false">SUM(N4:N8)</f>
        <v>7000</v>
      </c>
      <c r="O9" s="75"/>
    </row>
    <row r="10" s="76" customFormat="true" ht="10.5" hidden="false" customHeight="true" outlineLevel="0" collapsed="false">
      <c r="A10" s="77" t="s">
        <v>58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55</v>
      </c>
      <c r="B11" s="71" t="n">
        <f aca="false">SUM(C11:N11)</f>
        <v>2400</v>
      </c>
      <c r="C11" s="72" t="n">
        <f aca="false">TrialBalance!O60-0</f>
        <v>600</v>
      </c>
      <c r="D11" s="72" t="n">
        <f aca="false">TrialBalance!Z60-C11</f>
        <v>0</v>
      </c>
      <c r="E11" s="72" t="n">
        <f aca="false">TrialBalance!AK60-SUM(C11:D11)</f>
        <v>0</v>
      </c>
      <c r="F11" s="72" t="n">
        <f aca="false">TrialBalance!AV60-SUM(C11:E11)</f>
        <v>720</v>
      </c>
      <c r="G11" s="72" t="n">
        <f aca="false">TrialBalance!BG60-SUM(C11:F11)</f>
        <v>0</v>
      </c>
      <c r="H11" s="72" t="n">
        <f aca="false">TrialBalance!BR60-SUM(C11:G11)</f>
        <v>0</v>
      </c>
      <c r="I11" s="72" t="n">
        <f aca="false">TrialBalance!CC60-SUM(C11:H11)</f>
        <v>480</v>
      </c>
      <c r="J11" s="72" t="n">
        <f aca="false">TrialBalance!CN60-SUM(C11:I11)</f>
        <v>0</v>
      </c>
      <c r="K11" s="72" t="n">
        <f aca="false">TrialBalance!CY60-SUM(C11:J11)</f>
        <v>0</v>
      </c>
      <c r="L11" s="72" t="n">
        <f aca="false">TrialBalance!DJ60-SUM(C11:K11)</f>
        <v>600</v>
      </c>
      <c r="M11" s="72" t="n">
        <f aca="false">TrialBalance!DU60-SUM(C11:L11)</f>
        <v>0</v>
      </c>
      <c r="N11" s="72" t="n">
        <f aca="false">TrialBalance!EF60-SUM(C11:M11)</f>
        <v>0</v>
      </c>
      <c r="O11" s="68"/>
    </row>
    <row r="12" customFormat="false" ht="12" hidden="false" customHeight="false" outlineLevel="0" collapsed="false">
      <c r="A12" s="70" t="s">
        <v>57</v>
      </c>
      <c r="B12" s="71" t="n">
        <f aca="false">SUM(C12:N12)</f>
        <v>6000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3600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2400</v>
      </c>
      <c r="I12" s="72" t="n">
        <f aca="false">TrialBalance!CC61-SUM(C12:H12)</f>
        <v>0</v>
      </c>
      <c r="J12" s="72" t="n">
        <f aca="false">TrialBalance!CN61-SUM(C12:I12)</f>
        <v>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210</v>
      </c>
      <c r="B13" s="71" t="n">
        <f aca="false">SUM(C13:N13)</f>
        <v>720</v>
      </c>
      <c r="C13" s="79" t="n">
        <f aca="false">TrialBalance!O62-0</f>
        <v>0</v>
      </c>
      <c r="D13" s="72" t="n">
        <f aca="false">TrialBalance!Z62-C13</f>
        <v>360</v>
      </c>
      <c r="E13" s="72" t="n">
        <f aca="false">TrialBalance!AK62-SUM(C13:D13)</f>
        <v>0</v>
      </c>
      <c r="F13" s="79" t="n">
        <f aca="false">TrialBalance!AV62-SUM(C13:E13)</f>
        <v>0</v>
      </c>
      <c r="G13" s="72" t="n">
        <f aca="false">TrialBalance!BG62-SUM(C13:F13)</f>
        <v>0</v>
      </c>
      <c r="H13" s="72" t="n">
        <f aca="false">TrialBalance!BR62-SUM(C13:G13)</f>
        <v>0</v>
      </c>
      <c r="I13" s="72" t="n">
        <f aca="false">TrialBalance!CC62-SUM(C13:H13)</f>
        <v>0</v>
      </c>
      <c r="J13" s="72" t="n">
        <f aca="false">TrialBalance!CN62-SUM(C13:I13)</f>
        <v>360</v>
      </c>
      <c r="K13" s="72" t="n">
        <f aca="false">TrialBalance!CY62-SUM(C13:J13)</f>
        <v>0</v>
      </c>
      <c r="L13" s="72" t="n">
        <f aca="false">TrialBalance!DJ62-SUM(C13:K13)</f>
        <v>0</v>
      </c>
      <c r="M13" s="72" t="n">
        <f aca="false">TrialBalance!DU62-SUM(C13:L13)</f>
        <v>0</v>
      </c>
      <c r="N13" s="72" t="n">
        <f aca="false">TrialBalance!EF62-SUM(C13:M13)</f>
        <v>0</v>
      </c>
      <c r="O13" s="68"/>
    </row>
    <row r="14" s="76" customFormat="true" ht="12" hidden="false" customHeight="false" outlineLevel="0" collapsed="false">
      <c r="A14" s="73" t="s">
        <v>58</v>
      </c>
      <c r="B14" s="71" t="n">
        <f aca="false">SUM(B11:B13)</f>
        <v>9120</v>
      </c>
      <c r="C14" s="74" t="n">
        <f aca="false">SUM(C11:C13)</f>
        <v>600</v>
      </c>
      <c r="D14" s="71" t="n">
        <f aca="false">SUM(D11:D13)</f>
        <v>360</v>
      </c>
      <c r="E14" s="71" t="n">
        <f aca="false">SUM(E11:E13)</f>
        <v>3600</v>
      </c>
      <c r="F14" s="71" t="n">
        <f aca="false">SUM(F11:F13)</f>
        <v>720</v>
      </c>
      <c r="G14" s="71" t="n">
        <f aca="false">SUM(G11:G13)</f>
        <v>0</v>
      </c>
      <c r="H14" s="71" t="n">
        <f aca="false">SUM(H11:H13)</f>
        <v>2400</v>
      </c>
      <c r="I14" s="71" t="n">
        <f aca="false">SUM(I11:I13)</f>
        <v>480</v>
      </c>
      <c r="J14" s="71" t="n">
        <f aca="false">SUM(J11:J13)</f>
        <v>360</v>
      </c>
      <c r="K14" s="71" t="n">
        <f aca="false">SUM(K11:K13)</f>
        <v>0</v>
      </c>
      <c r="L14" s="71" t="n">
        <f aca="false">SUM(L11:L13)</f>
        <v>600</v>
      </c>
      <c r="M14" s="71" t="n">
        <f aca="false">SUM(M11:M13)</f>
        <v>0</v>
      </c>
      <c r="N14" s="71" t="n">
        <f aca="false">SUM(N11:N13)</f>
        <v>0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59</v>
      </c>
      <c r="B16" s="71" t="n">
        <f aca="false">B9-B14</f>
        <v>79463.3333333333</v>
      </c>
      <c r="C16" s="71" t="n">
        <f aca="false">C9-C14</f>
        <v>6233.33333333333</v>
      </c>
      <c r="D16" s="71" t="n">
        <f aca="false">D9-D14</f>
        <v>5473.33333333333</v>
      </c>
      <c r="E16" s="71" t="n">
        <f aca="false">E9-E14</f>
        <v>4233.33333333333</v>
      </c>
      <c r="F16" s="71" t="n">
        <f aca="false">F9-F14</f>
        <v>6113.33333333333</v>
      </c>
      <c r="G16" s="71" t="n">
        <f aca="false">G9-G14</f>
        <v>7916.66666666666</v>
      </c>
      <c r="H16" s="71" t="n">
        <f aca="false">H9-H14</f>
        <v>3933.33333333333</v>
      </c>
      <c r="I16" s="71" t="n">
        <f aca="false">I9-I14</f>
        <v>7520</v>
      </c>
      <c r="J16" s="71" t="n">
        <f aca="false">J9-J14</f>
        <v>9640</v>
      </c>
      <c r="K16" s="71" t="n">
        <f aca="false">K9-K14</f>
        <v>7000</v>
      </c>
      <c r="L16" s="71" t="n">
        <f aca="false">L9-L14</f>
        <v>7400</v>
      </c>
      <c r="M16" s="71" t="n">
        <f aca="false">M9-M14</f>
        <v>6999.99999999999</v>
      </c>
      <c r="N16" s="71" t="n">
        <f aca="false">N9-N14</f>
        <v>7000</v>
      </c>
      <c r="O16" s="75"/>
    </row>
    <row r="17" s="76" customFormat="true" ht="10.5" hidden="false" customHeight="true" outlineLevel="0" collapsed="false">
      <c r="A17" s="77" t="s">
        <v>60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61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62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188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64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65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360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0</v>
      </c>
      <c r="L22" s="72" t="n">
        <f aca="false">TrialBalance!DJ69-SUM(C22:K22)</f>
        <v>360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66</v>
      </c>
      <c r="B23" s="71" t="n">
        <f aca="false">SUM(C23:N23)</f>
        <v>720</v>
      </c>
      <c r="C23" s="72" t="n">
        <f aca="false">TrialBalance!O70-0</f>
        <v>0</v>
      </c>
      <c r="D23" s="72" t="n">
        <f aca="false">TrialBalance!Z70-C23</f>
        <v>480</v>
      </c>
      <c r="E23" s="72" t="n">
        <f aca="false">TrialBalance!AK70-SUM(C23:D23)</f>
        <v>0</v>
      </c>
      <c r="F23" s="72" t="n">
        <f aca="false">TrialBalance!AV70-SUM(C23:E23)</f>
        <v>0</v>
      </c>
      <c r="G23" s="72" t="n">
        <f aca="false">TrialBalance!BG70-SUM(C23:F23)</f>
        <v>0</v>
      </c>
      <c r="H23" s="72" t="n">
        <f aca="false">TrialBalance!BR70-SUM(C23:G23)</f>
        <v>0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0</v>
      </c>
      <c r="M23" s="72" t="n">
        <f aca="false">TrialBalance!DU70-SUM(C23:L23)</f>
        <v>0</v>
      </c>
      <c r="N23" s="72" t="n">
        <f aca="false">TrialBalance!EF70-SUM(C23:M23)</f>
        <v>0</v>
      </c>
      <c r="O23" s="68"/>
    </row>
    <row r="24" customFormat="false" ht="12" hidden="false" customHeight="false" outlineLevel="0" collapsed="false">
      <c r="A24" s="81" t="s">
        <v>67</v>
      </c>
      <c r="B24" s="71" t="n">
        <f aca="false">SUM(C24:N24)</f>
        <v>960</v>
      </c>
      <c r="C24" s="72" t="n">
        <f aca="false">TrialBalance!O71-0</f>
        <v>0</v>
      </c>
      <c r="D24" s="72" t="n">
        <f aca="false">TrialBalance!Z71-C24</f>
        <v>0</v>
      </c>
      <c r="E24" s="72" t="n">
        <f aca="false">TrialBalance!AK71-SUM(C24:D24)</f>
        <v>0</v>
      </c>
      <c r="F24" s="72" t="n">
        <f aca="false">TrialBalance!AV71-SUM(C24:E24)</f>
        <v>960</v>
      </c>
      <c r="G24" s="72" t="n">
        <f aca="false">TrialBalance!BG71-SUM(C24:F24)</f>
        <v>0</v>
      </c>
      <c r="H24" s="72" t="n">
        <f aca="false">TrialBalance!BR71-SUM(C24:G24)</f>
        <v>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0</v>
      </c>
      <c r="M24" s="72" t="n">
        <f aca="false">TrialBalance!DU71-SUM(C24:L24)</f>
        <v>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68</v>
      </c>
      <c r="B25" s="71" t="n">
        <f aca="false">SUM(C25:N25)</f>
        <v>840</v>
      </c>
      <c r="C25" s="72" t="n">
        <f aca="false">TrialBalance!O72-0</f>
        <v>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0</v>
      </c>
      <c r="G25" s="72" t="n">
        <f aca="false">TrialBalance!BG72-SUM(C25:F25)</f>
        <v>0</v>
      </c>
      <c r="H25" s="72" t="n">
        <f aca="false">TrialBalance!BR72-SUM(C25:G25)</f>
        <v>480</v>
      </c>
      <c r="I25" s="72" t="n">
        <f aca="false">TrialBalance!CC72-SUM(C25:H25)</f>
        <v>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0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69</v>
      </c>
      <c r="B26" s="71" t="n">
        <f aca="false">SUM(C26:N26)</f>
        <v>324</v>
      </c>
      <c r="C26" s="72" t="n">
        <f aca="false">TrialBalance!O73-0</f>
        <v>180</v>
      </c>
      <c r="D26" s="72" t="n">
        <f aca="false">TrialBalance!Z73-C26</f>
        <v>0</v>
      </c>
      <c r="E26" s="72" t="n">
        <f aca="false">TrialBalance!AK73-SUM(C26:D26)</f>
        <v>0</v>
      </c>
      <c r="F26" s="72" t="n">
        <f aca="false">TrialBalance!AV73-SUM(C26:E26)</f>
        <v>0</v>
      </c>
      <c r="G26" s="72" t="n">
        <f aca="false">TrialBalance!BG73-SUM(C26:F26)</f>
        <v>0</v>
      </c>
      <c r="H26" s="72" t="n">
        <f aca="false">TrialBalance!BR73-SUM(C26:G26)</f>
        <v>0</v>
      </c>
      <c r="I26" s="72" t="n">
        <f aca="false">TrialBalance!CC73-SUM(C26:H26)</f>
        <v>144</v>
      </c>
      <c r="J26" s="72" t="n">
        <f aca="false">TrialBalance!CN73-SUM(C26:I26)</f>
        <v>0</v>
      </c>
      <c r="K26" s="72" t="n">
        <f aca="false">TrialBalance!CY73-SUM(C26:J26)</f>
        <v>0</v>
      </c>
      <c r="L26" s="72" t="n">
        <f aca="false">TrialBalance!DJ73-SUM(C26:K26)</f>
        <v>0</v>
      </c>
      <c r="M26" s="72" t="n">
        <f aca="false">TrialBalance!DU73-SUM(C26:L26)</f>
        <v>0</v>
      </c>
      <c r="N26" s="72" t="n">
        <f aca="false">TrialBalance!EF73-SUM(C26:M26)</f>
        <v>0</v>
      </c>
      <c r="O26" s="68"/>
    </row>
    <row r="27" customFormat="false" ht="12" hidden="false" customHeight="false" outlineLevel="0" collapsed="false">
      <c r="A27" s="81" t="s">
        <v>70</v>
      </c>
      <c r="B27" s="71" t="n">
        <f aca="false">SUM(C27:N27)</f>
        <v>1800</v>
      </c>
      <c r="C27" s="72" t="n">
        <f aca="false">TrialBalance!O74-0</f>
        <v>0</v>
      </c>
      <c r="D27" s="72" t="n">
        <f aca="false">TrialBalance!Z74-C27</f>
        <v>1200</v>
      </c>
      <c r="E27" s="72" t="n">
        <f aca="false">TrialBalance!AK74-SUM(C27:D27)</f>
        <v>0</v>
      </c>
      <c r="F27" s="72" t="n">
        <f aca="false">TrialBalance!AV74-SUM(C27:E27)</f>
        <v>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600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71</v>
      </c>
      <c r="B28" s="71" t="n">
        <f aca="false">SUM(C28:N28)</f>
        <v>960</v>
      </c>
      <c r="C28" s="72" t="n">
        <f aca="false">TrialBalance!O75-0</f>
        <v>60</v>
      </c>
      <c r="D28" s="72" t="n">
        <f aca="false">TrialBalance!Z75-C28</f>
        <v>60</v>
      </c>
      <c r="E28" s="72" t="n">
        <f aca="false">TrialBalance!AK75-SUM(C28:D28)</f>
        <v>180</v>
      </c>
      <c r="F28" s="72" t="n">
        <f aca="false">TrialBalance!AV75-SUM(C28:E28)</f>
        <v>60</v>
      </c>
      <c r="G28" s="72" t="n">
        <f aca="false">TrialBalance!BG75-SUM(C28:F28)</f>
        <v>60</v>
      </c>
      <c r="H28" s="72" t="n">
        <f aca="false">TrialBalance!BR75-SUM(C28:G28)</f>
        <v>60</v>
      </c>
      <c r="I28" s="72" t="n">
        <f aca="false">TrialBalance!CC75-SUM(C28:H28)</f>
        <v>60</v>
      </c>
      <c r="J28" s="72" t="n">
        <f aca="false">TrialBalance!CN75-SUM(C28:I28)</f>
        <v>60</v>
      </c>
      <c r="K28" s="72" t="n">
        <f aca="false">TrialBalance!CY75-SUM(C28:J28)</f>
        <v>180</v>
      </c>
      <c r="L28" s="72" t="n">
        <f aca="false">TrialBalance!DJ75-SUM(C28:K28)</f>
        <v>60</v>
      </c>
      <c r="M28" s="72" t="n">
        <f aca="false">TrialBalance!DU75-SUM(C28:L28)</f>
        <v>60</v>
      </c>
      <c r="N28" s="72" t="n">
        <f aca="false">TrialBalance!EF75-SUM(C28:M28)</f>
        <v>60</v>
      </c>
      <c r="O28" s="68"/>
    </row>
    <row r="29" customFormat="false" ht="12" hidden="false" customHeight="false" outlineLevel="0" collapsed="false">
      <c r="A29" s="81" t="s">
        <v>72</v>
      </c>
      <c r="B29" s="71" t="n">
        <f aca="false">SUM(C29:N29)</f>
        <v>936</v>
      </c>
      <c r="C29" s="72" t="n">
        <f aca="false">TrialBalance!O76-0</f>
        <v>0</v>
      </c>
      <c r="D29" s="72" t="n">
        <f aca="false">TrialBalance!Z76-C29</f>
        <v>0</v>
      </c>
      <c r="E29" s="72" t="n">
        <f aca="false">TrialBalance!AK76-SUM(C29:D29)</f>
        <v>480</v>
      </c>
      <c r="F29" s="72" t="n">
        <f aca="false">TrialBalance!AV76-SUM(C29:E29)</f>
        <v>0</v>
      </c>
      <c r="G29" s="72" t="n">
        <f aca="false">TrialBalance!BG76-SUM(C29:F29)</f>
        <v>0</v>
      </c>
      <c r="H29" s="72" t="n">
        <f aca="false">TrialBalance!BR76-SUM(C29:G29)</f>
        <v>0</v>
      </c>
      <c r="I29" s="72" t="n">
        <f aca="false">TrialBalance!CC76-SUM(C29:H29)</f>
        <v>0</v>
      </c>
      <c r="J29" s="72" t="n">
        <f aca="false">TrialBalance!CN76-SUM(C29:I29)</f>
        <v>360</v>
      </c>
      <c r="K29" s="72" t="n">
        <f aca="false">TrialBalance!CY76-SUM(C29:J29)</f>
        <v>0</v>
      </c>
      <c r="L29" s="72" t="n">
        <f aca="false">TrialBalance!DJ76-SUM(C29:K29)</f>
        <v>0</v>
      </c>
      <c r="M29" s="72" t="n">
        <f aca="false">TrialBalance!DU76-SUM(C29:L29)</f>
        <v>96</v>
      </c>
      <c r="N29" s="72" t="n">
        <f aca="false">TrialBalance!EF76-SUM(C29:M29)</f>
        <v>0</v>
      </c>
      <c r="O29" s="68"/>
    </row>
    <row r="30" customFormat="false" ht="12" hidden="false" customHeight="false" outlineLevel="0" collapsed="false">
      <c r="A30" s="81" t="s">
        <v>73</v>
      </c>
      <c r="B30" s="71" t="n">
        <f aca="false">SUM(C30:N30)</f>
        <v>2400</v>
      </c>
      <c r="C30" s="72" t="n">
        <f aca="false">TrialBalance!O77-0</f>
        <v>1080</v>
      </c>
      <c r="D30" s="72" t="n">
        <f aca="false">TrialBalance!Z77-C30</f>
        <v>120</v>
      </c>
      <c r="E30" s="72" t="n">
        <f aca="false">TrialBalance!AK77-SUM(C30:D30)</f>
        <v>0</v>
      </c>
      <c r="F30" s="72" t="n">
        <f aca="false">TrialBalance!AV77-SUM(C30:E30)</f>
        <v>840</v>
      </c>
      <c r="G30" s="72" t="n">
        <f aca="false">TrialBalance!BG77-SUM(C30:F30)</f>
        <v>120</v>
      </c>
      <c r="H30" s="72" t="n">
        <f aca="false">TrialBalance!BR77-SUM(C30:G30)</f>
        <v>0</v>
      </c>
      <c r="I30" s="72" t="n">
        <f aca="false">TrialBalance!CC77-SUM(C30:H30)</f>
        <v>0</v>
      </c>
      <c r="J30" s="72" t="n">
        <f aca="false">TrialBalance!CN77-SUM(C30:I30)</f>
        <v>120</v>
      </c>
      <c r="K30" s="72" t="n">
        <f aca="false">TrialBalance!CY77-SUM(C30:J30)</f>
        <v>0</v>
      </c>
      <c r="L30" s="72" t="n">
        <f aca="false">TrialBalance!DJ77-SUM(C30:K30)</f>
        <v>0</v>
      </c>
      <c r="M30" s="72" t="n">
        <f aca="false">TrialBalance!DU77-SUM(C30:L30)</f>
        <v>120</v>
      </c>
      <c r="N30" s="72" t="n">
        <f aca="false">TrialBalance!EF77-SUM(C30:M30)</f>
        <v>0</v>
      </c>
      <c r="O30" s="68"/>
    </row>
    <row r="31" customFormat="false" ht="12" hidden="false" customHeight="false" outlineLevel="0" collapsed="false">
      <c r="A31" s="81" t="s">
        <v>74</v>
      </c>
      <c r="B31" s="71" t="n">
        <f aca="false">SUM(C31:N31)</f>
        <v>960</v>
      </c>
      <c r="C31" s="72" t="n">
        <f aca="false">TrialBalance!O78-0</f>
        <v>960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75</v>
      </c>
      <c r="B32" s="71" t="n">
        <f aca="false">SUM(C32:N32)</f>
        <v>2880</v>
      </c>
      <c r="C32" s="72" t="n">
        <f aca="false">TrialBalance!O79-0</f>
        <v>0</v>
      </c>
      <c r="D32" s="72" t="n">
        <f aca="false">TrialBalance!Z79-C32</f>
        <v>0</v>
      </c>
      <c r="E32" s="72" t="n">
        <f aca="false">TrialBalance!AK79-SUM(C32:D32)</f>
        <v>720</v>
      </c>
      <c r="F32" s="72" t="n">
        <f aca="false">TrialBalance!AV79-SUM(C32:E32)</f>
        <v>0</v>
      </c>
      <c r="G32" s="72" t="n">
        <f aca="false">TrialBalance!BG79-SUM(C32:F32)</f>
        <v>0</v>
      </c>
      <c r="H32" s="72" t="n">
        <f aca="false">TrialBalance!BR79-SUM(C32:G32)</f>
        <v>720</v>
      </c>
      <c r="I32" s="72" t="n">
        <f aca="false">TrialBalance!CC79-SUM(C32:H32)</f>
        <v>0</v>
      </c>
      <c r="J32" s="72" t="n">
        <f aca="false">TrialBalance!CN79-SUM(C32:I32)</f>
        <v>0</v>
      </c>
      <c r="K32" s="72" t="n">
        <f aca="false">TrialBalance!CY79-SUM(C32:J32)</f>
        <v>720</v>
      </c>
      <c r="L32" s="72" t="n">
        <f aca="false">TrialBalance!DJ79-SUM(C32:K32)</f>
        <v>0</v>
      </c>
      <c r="M32" s="72" t="n">
        <f aca="false">TrialBalance!DU79-SUM(C32:L32)</f>
        <v>0</v>
      </c>
      <c r="N32" s="72" t="n">
        <f aca="false">TrialBalance!EF79-SUM(C32:M32)</f>
        <v>720</v>
      </c>
      <c r="O32" s="68"/>
    </row>
    <row r="33" customFormat="false" ht="12" hidden="false" customHeight="false" outlineLevel="0" collapsed="false">
      <c r="A33" s="81" t="s">
        <v>76</v>
      </c>
      <c r="B33" s="71" t="n">
        <f aca="false">SUM(C33:N33)</f>
        <v>5400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300</v>
      </c>
      <c r="F33" s="72" t="n">
        <f aca="false">TrialBalance!AV80-SUM(C33:E33)</f>
        <v>300</v>
      </c>
      <c r="G33" s="72" t="n">
        <f aca="false">TrialBalance!BG80-SUM(C33:F33)</f>
        <v>300</v>
      </c>
      <c r="H33" s="72" t="n">
        <f aca="false">TrialBalance!BR80-SUM(C33:G33)</f>
        <v>300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300</v>
      </c>
      <c r="L33" s="72" t="n">
        <f aca="false">TrialBalance!DJ80-SUM(C33:K33)</f>
        <v>300</v>
      </c>
      <c r="M33" s="72" t="n">
        <f aca="false">TrialBalance!DU80-SUM(C33:L33)</f>
        <v>300</v>
      </c>
      <c r="N33" s="72" t="n">
        <f aca="false">TrialBalance!EF80-SUM(C33:M33)</f>
        <v>2100</v>
      </c>
      <c r="O33" s="68"/>
    </row>
    <row r="34" customFormat="false" ht="12" hidden="false" customHeight="false" outlineLevel="0" collapsed="false">
      <c r="A34" s="81" t="s">
        <v>77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78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79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80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81</v>
      </c>
      <c r="B38" s="71" t="n">
        <f aca="false">SUM(C38:N38)</f>
        <v>2400</v>
      </c>
      <c r="C38" s="72" t="n">
        <f aca="false">TrialBalance!O85-0</f>
        <v>2400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82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83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60</v>
      </c>
      <c r="B41" s="71" t="n">
        <f aca="false">SUM(B18:B40)</f>
        <v>42420</v>
      </c>
      <c r="C41" s="74" t="n">
        <f aca="false">SUM(C18:C40)</f>
        <v>6180</v>
      </c>
      <c r="D41" s="71" t="n">
        <f aca="false">SUM(D18:D40)</f>
        <v>3360</v>
      </c>
      <c r="E41" s="71" t="n">
        <f aca="false">SUM(E18:E40)</f>
        <v>3240</v>
      </c>
      <c r="F41" s="71" t="n">
        <f aca="false">SUM(F18:F40)</f>
        <v>3360</v>
      </c>
      <c r="G41" s="71" t="n">
        <f aca="false">SUM(G18:G40)</f>
        <v>2480</v>
      </c>
      <c r="H41" s="71" t="n">
        <f aca="false">SUM(H18:H40)</f>
        <v>3120</v>
      </c>
      <c r="I41" s="71" t="n">
        <f aca="false">SUM(I18:I40)</f>
        <v>1704</v>
      </c>
      <c r="J41" s="71" t="n">
        <f aca="false">SUM(J18:J40)</f>
        <v>2280</v>
      </c>
      <c r="K41" s="71" t="n">
        <f aca="false">SUM(K18:K40)</f>
        <v>7900</v>
      </c>
      <c r="L41" s="71" t="n">
        <f aca="false">SUM(L18:L40)</f>
        <v>2520</v>
      </c>
      <c r="M41" s="71" t="n">
        <f aca="false">SUM(M18:M40)</f>
        <v>2136</v>
      </c>
      <c r="N41" s="71" t="n">
        <f aca="false">SUM(N18:N40)</f>
        <v>4140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84</v>
      </c>
      <c r="B43" s="71" t="n">
        <f aca="false">B16-B41</f>
        <v>37043.3333333333</v>
      </c>
      <c r="C43" s="71" t="n">
        <f aca="false">C16-C41</f>
        <v>53.3333333333303</v>
      </c>
      <c r="D43" s="71" t="n">
        <f aca="false">D16-D41</f>
        <v>2113.33333333333</v>
      </c>
      <c r="E43" s="71" t="n">
        <f aca="false">E16-E41</f>
        <v>993.333333333332</v>
      </c>
      <c r="F43" s="71" t="n">
        <f aca="false">F16-F41</f>
        <v>2753.33333333333</v>
      </c>
      <c r="G43" s="71" t="n">
        <f aca="false">G16-G41</f>
        <v>5436.66666666666</v>
      </c>
      <c r="H43" s="71" t="n">
        <f aca="false">H16-H41</f>
        <v>813.333333333329</v>
      </c>
      <c r="I43" s="71" t="n">
        <f aca="false">I16-I41</f>
        <v>5816</v>
      </c>
      <c r="J43" s="71" t="n">
        <f aca="false">J16-J41</f>
        <v>7360</v>
      </c>
      <c r="K43" s="71" t="n">
        <f aca="false">K16-K41</f>
        <v>-900</v>
      </c>
      <c r="L43" s="71" t="n">
        <f aca="false">L16-L41</f>
        <v>4880</v>
      </c>
      <c r="M43" s="71" t="n">
        <f aca="false">M16-M41</f>
        <v>4863.99999999999</v>
      </c>
      <c r="N43" s="71" t="n">
        <f aca="false">N16-N41</f>
        <v>2860</v>
      </c>
      <c r="O43" s="68"/>
    </row>
    <row r="44" customFormat="false" ht="12" hidden="false" customHeight="false" outlineLevel="0" collapsed="false">
      <c r="A44" s="70" t="s">
        <v>211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86</v>
      </c>
      <c r="B45" s="71" t="n">
        <f aca="false">B43+B44</f>
        <v>37043.3333333333</v>
      </c>
      <c r="C45" s="71" t="n">
        <f aca="false">C43+C44</f>
        <v>53.3333333333303</v>
      </c>
      <c r="D45" s="71" t="n">
        <f aca="false">D43+D44</f>
        <v>2113.33333333333</v>
      </c>
      <c r="E45" s="71" t="n">
        <f aca="false">E43+E44</f>
        <v>993.333333333332</v>
      </c>
      <c r="F45" s="71" t="n">
        <f aca="false">F43+F44</f>
        <v>2753.33333333333</v>
      </c>
      <c r="G45" s="71" t="n">
        <f aca="false">G43+G44</f>
        <v>5436.66666666666</v>
      </c>
      <c r="H45" s="71" t="n">
        <f aca="false">H43+H44</f>
        <v>813.333333333329</v>
      </c>
      <c r="I45" s="71" t="n">
        <f aca="false">I43+I44</f>
        <v>5816</v>
      </c>
      <c r="J45" s="71" t="n">
        <f aca="false">J43+J44</f>
        <v>7360</v>
      </c>
      <c r="K45" s="71" t="n">
        <f aca="false">K43+K44</f>
        <v>-900</v>
      </c>
      <c r="L45" s="71" t="n">
        <f aca="false">L43+L44</f>
        <v>4880</v>
      </c>
      <c r="M45" s="71" t="n">
        <f aca="false">M43+M44</f>
        <v>4863.99999999999</v>
      </c>
      <c r="N45" s="71" t="n">
        <f aca="false">N43+N44</f>
        <v>2860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212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213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209</v>
      </c>
      <c r="B6" s="99" t="s">
        <v>209</v>
      </c>
      <c r="C6" s="100"/>
      <c r="D6" s="100"/>
      <c r="E6" s="99" t="s">
        <v>209</v>
      </c>
      <c r="F6" s="99" t="s">
        <v>209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52</v>
      </c>
      <c r="D7" s="101"/>
      <c r="F7" s="86" t="n">
        <f aca="false">-(TrialBalance!EJ53+TrialBalance!EJ54+TrialBalance!EJ55+TrialBalance!EJ56)</f>
        <v>86500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53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52</v>
      </c>
      <c r="D9" s="105"/>
      <c r="E9" s="103"/>
      <c r="F9" s="104" t="n">
        <f aca="false">SUM(F7:F8)</f>
        <v>88583.3333333333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58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214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55</v>
      </c>
      <c r="D13" s="101"/>
      <c r="E13" s="86" t="n">
        <f aca="false">F14-E12+E14</f>
        <v>3120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215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3120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57</v>
      </c>
      <c r="D15" s="101"/>
      <c r="F15" s="102" t="n">
        <f aca="false">TrialBalance!EJ61</f>
        <v>6000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58</v>
      </c>
      <c r="D16" s="105"/>
      <c r="E16" s="103"/>
      <c r="F16" s="104" t="n">
        <f aca="false">SUM(F14:F15)</f>
        <v>9120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59</v>
      </c>
      <c r="D18" s="105"/>
      <c r="E18" s="103"/>
      <c r="F18" s="104" t="n">
        <f aca="false">F9-F16</f>
        <v>79463.3333333333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60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61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62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63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64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65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66</v>
      </c>
      <c r="D26" s="88"/>
      <c r="E26" s="86" t="n">
        <f aca="false">TrialBalance!EJ70</f>
        <v>720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67</v>
      </c>
      <c r="D27" s="88"/>
      <c r="E27" s="86" t="n">
        <f aca="false">TrialBalance!EJ71</f>
        <v>960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68</v>
      </c>
      <c r="D28" s="88"/>
      <c r="E28" s="86" t="n">
        <f aca="false">TrialBalance!EJ72</f>
        <v>840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69</v>
      </c>
      <c r="D29" s="88"/>
      <c r="E29" s="86" t="n">
        <f aca="false">TrialBalance!EJ73</f>
        <v>324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70</v>
      </c>
      <c r="D30" s="88"/>
      <c r="E30" s="86" t="n">
        <f aca="false">TrialBalance!EJ74</f>
        <v>1800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71</v>
      </c>
      <c r="D31" s="88"/>
      <c r="E31" s="86" t="n">
        <f aca="false">TrialBalance!EJ75</f>
        <v>960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72</v>
      </c>
      <c r="D32" s="88"/>
      <c r="E32" s="86" t="n">
        <f aca="false">TrialBalance!EJ76</f>
        <v>936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73</v>
      </c>
      <c r="D33" s="88"/>
      <c r="E33" s="86" t="n">
        <f aca="false">TrialBalance!EJ77</f>
        <v>2400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74</v>
      </c>
      <c r="D34" s="88"/>
      <c r="E34" s="86" t="n">
        <f aca="false">TrialBalance!EJ78</f>
        <v>960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75</v>
      </c>
      <c r="D35" s="88"/>
      <c r="E35" s="86" t="n">
        <f aca="false">TrialBalance!EJ79</f>
        <v>2880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76</v>
      </c>
      <c r="D36" s="88"/>
      <c r="E36" s="86" t="n">
        <f aca="false">TrialBalance!EJ80</f>
        <v>5400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77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78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79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80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81</v>
      </c>
      <c r="D41" s="88"/>
      <c r="E41" s="86" t="n">
        <f aca="false">TrialBalance!EJ85</f>
        <v>2400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82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83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60</v>
      </c>
      <c r="D44" s="109"/>
      <c r="E44" s="103"/>
      <c r="F44" s="104" t="n">
        <f aca="false">SUM(E21:E43)</f>
        <v>42420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84</v>
      </c>
      <c r="D46" s="109"/>
      <c r="E46" s="103"/>
      <c r="F46" s="104" t="n">
        <f aca="false">F18-F44</f>
        <v>37043.3333333333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85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86</v>
      </c>
      <c r="D49" s="106"/>
      <c r="E49" s="103"/>
      <c r="F49" s="104" t="n">
        <f aca="false">F46+F48</f>
        <v>37043.3333333333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87</v>
      </c>
      <c r="D50" s="101"/>
      <c r="F50" s="86" t="n">
        <f aca="false">TrialBalance!EJ47</f>
        <v>7494.23333333333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88</v>
      </c>
      <c r="D51" s="106"/>
      <c r="E51" s="103"/>
      <c r="F51" s="104" t="n">
        <f aca="false">F49-F50</f>
        <v>29549.1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89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209</v>
      </c>
      <c r="B54" s="104" t="n">
        <f aca="false">B51-B52</f>
        <v>0</v>
      </c>
      <c r="C54" s="106" t="s">
        <v>90</v>
      </c>
      <c r="D54" s="106"/>
      <c r="E54" s="110" t="s">
        <v>209</v>
      </c>
      <c r="F54" s="104" t="n">
        <f aca="false">F51-F52</f>
        <v>29549.1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216</v>
      </c>
      <c r="D1" s="111"/>
      <c r="E1" s="90"/>
    </row>
    <row r="2" customFormat="false" ht="12" hidden="false" customHeight="false" outlineLevel="0" collapsed="false">
      <c r="C2" s="112" t="s">
        <v>217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209</v>
      </c>
      <c r="B4" s="99" t="s">
        <v>209</v>
      </c>
      <c r="C4" s="88"/>
      <c r="D4" s="88"/>
      <c r="E4" s="99" t="s">
        <v>209</v>
      </c>
      <c r="F4" s="99" t="s">
        <v>209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18200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24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25</v>
      </c>
      <c r="E11" s="115" t="n">
        <f aca="false">TrialBalance!EJ20</f>
        <v>111460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218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111460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219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33</v>
      </c>
      <c r="E16" s="115" t="n">
        <f aca="false">-SUM(TrialBalance!EJ28:EJ31)</f>
        <v>74040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37</v>
      </c>
      <c r="E17" s="115" t="n">
        <f aca="false">-TrialBalance!EJ35</f>
        <v>7494.23333333333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41</v>
      </c>
      <c r="E18" s="115" t="n">
        <f aca="false">-SUM(TrialBalance!EJ32:EJ34)</f>
        <v>18576.6666666667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220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32</v>
      </c>
      <c r="D20" s="117"/>
      <c r="E20" s="116" t="n">
        <f aca="false">SUM(E16:E19)</f>
        <v>100110.9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221</v>
      </c>
      <c r="D22" s="117"/>
      <c r="E22" s="118"/>
      <c r="F22" s="116" t="n">
        <f aca="false">E13-E20</f>
        <v>11349.1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222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223</v>
      </c>
      <c r="D26" s="117"/>
      <c r="E26" s="118"/>
      <c r="F26" s="116" t="n">
        <f aca="false">SUM(F6:F25)</f>
        <v>29549.1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43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44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224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209</v>
      </c>
      <c r="B33" s="116" t="n">
        <f aca="false">B26-B31</f>
        <v>0</v>
      </c>
      <c r="C33" s="117" t="s">
        <v>225</v>
      </c>
      <c r="D33" s="117"/>
      <c r="E33" s="118" t="s">
        <v>209</v>
      </c>
      <c r="F33" s="116" t="n">
        <f aca="false">F26-F31</f>
        <v>29549.1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46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226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48</v>
      </c>
      <c r="D37" s="88"/>
      <c r="E37" s="115"/>
      <c r="F37" s="115" t="n">
        <f aca="false">-TrialBalance!EJ43</f>
        <v>29549.1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49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209</v>
      </c>
      <c r="B39" s="116" t="n">
        <f aca="false">SUM(B36:B38)</f>
        <v>0</v>
      </c>
      <c r="C39" s="117" t="s">
        <v>227</v>
      </c>
      <c r="D39" s="117"/>
      <c r="E39" s="118" t="s">
        <v>209</v>
      </c>
      <c r="F39" s="116" t="n">
        <f aca="false">SUM(F36:F38)</f>
        <v>29549.1</v>
      </c>
      <c r="G39" s="120"/>
    </row>
    <row r="41" s="87" customFormat="true" ht="12" hidden="false" customHeight="true" outlineLevel="0" collapsed="false">
      <c r="A41" s="121" t="s">
        <v>228</v>
      </c>
      <c r="B41" s="122" t="n">
        <f aca="false">D2</f>
        <v>46538</v>
      </c>
      <c r="C41" s="123" t="s">
        <v>229</v>
      </c>
      <c r="D41" s="123"/>
      <c r="E41" s="123"/>
    </row>
    <row r="42" s="87" customFormat="true" ht="12" hidden="false" customHeight="true" outlineLevel="0" collapsed="false">
      <c r="A42" s="124" t="s">
        <v>230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231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232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233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234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235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236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237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238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239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240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241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242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243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244</v>
      </c>
      <c r="B57" s="129"/>
      <c r="C57" s="130" t="n">
        <f aca="true">TODAY()</f>
        <v>46115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245</v>
      </c>
      <c r="B59" s="129"/>
      <c r="C59" s="88" t="n">
        <f aca="false">OpenAccounts!E3</f>
        <v>0</v>
      </c>
      <c r="E59" s="127"/>
    </row>
    <row r="60" customFormat="false" ht="12" hidden="false" customHeight="true" outlineLevel="0" collapsed="false">
      <c r="A60" s="129" t="s">
        <v>246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247</v>
      </c>
    </row>
    <row r="3" customFormat="false" ht="12" hidden="false" customHeight="false" outlineLevel="0" collapsed="false">
      <c r="A3" s="106" t="s">
        <v>248</v>
      </c>
    </row>
    <row r="4" s="114" customFormat="true" ht="17.25" hidden="false" customHeight="true" outlineLevel="0" collapsed="false">
      <c r="A4" s="131"/>
      <c r="B4" s="132" t="s">
        <v>249</v>
      </c>
      <c r="C4" s="132" t="s">
        <v>250</v>
      </c>
      <c r="D4" s="132" t="s">
        <v>18</v>
      </c>
      <c r="E4" s="132" t="s">
        <v>251</v>
      </c>
      <c r="F4" s="132" t="s">
        <v>252</v>
      </c>
      <c r="G4" s="132" t="s">
        <v>253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209</v>
      </c>
      <c r="C6" s="131" t="s">
        <v>209</v>
      </c>
      <c r="D6" s="131" t="s">
        <v>209</v>
      </c>
      <c r="E6" s="131" t="s">
        <v>209</v>
      </c>
      <c r="F6" s="131" t="s">
        <v>209</v>
      </c>
      <c r="G6" s="131" t="s">
        <v>209</v>
      </c>
    </row>
    <row r="7" customFormat="false" ht="12" hidden="false" customHeight="false" outlineLevel="0" collapsed="false">
      <c r="A7" s="106" t="s">
        <v>254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255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256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83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257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258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259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260</v>
      </c>
    </row>
    <row r="24" customFormat="false" ht="12" hidden="false" customHeight="false" outlineLevel="0" collapsed="false">
      <c r="A24" s="101" t="s">
        <v>261</v>
      </c>
    </row>
    <row r="25" customFormat="false" ht="12" hidden="false" customHeight="false" outlineLevel="0" collapsed="false">
      <c r="A25" s="101" t="s">
        <v>262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263</v>
      </c>
    </row>
    <row r="28" customFormat="false" ht="12" hidden="false" customHeight="false" outlineLevel="0" collapsed="false">
      <c r="A28" s="101" t="s">
        <v>264</v>
      </c>
      <c r="B28" s="135" t="n">
        <f aca="false">[1]Schedule!$H$13</f>
        <v>0.1</v>
      </c>
      <c r="C28" s="89" t="s">
        <v>263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263</v>
      </c>
    </row>
    <row r="30" customFormat="false" ht="12" hidden="false" customHeight="false" outlineLevel="0" collapsed="false">
      <c r="A30" s="101" t="s">
        <v>265</v>
      </c>
      <c r="B30" s="135" t="n">
        <f aca="false">[1]Schedule!$H$32</f>
        <v>0.33</v>
      </c>
      <c r="C30" s="89" t="s">
        <v>263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263</v>
      </c>
    </row>
    <row r="34" customFormat="false" ht="12" hidden="false" customHeight="false" outlineLevel="0" collapsed="false">
      <c r="A34" s="106" t="s">
        <v>266</v>
      </c>
    </row>
    <row r="35" customFormat="false" ht="12" hidden="false" customHeight="false" outlineLevel="0" collapsed="false">
      <c r="A35" s="101" t="s">
        <v>267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268</v>
      </c>
    </row>
    <row r="38" customFormat="false" ht="12" hidden="false" customHeight="false" outlineLevel="0" collapsed="false">
      <c r="A38" s="101" t="s">
        <v>269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270</v>
      </c>
    </row>
    <row r="41" s="87" customFormat="true" ht="12" hidden="false" customHeight="false" outlineLevel="0" collapsed="false">
      <c r="A41" s="101" t="s">
        <v>271</v>
      </c>
      <c r="B41" s="137" t="n">
        <f aca="false">'PubP&amp;L'!D3</f>
        <v>46538</v>
      </c>
      <c r="C41" s="137"/>
      <c r="D41" s="136" t="n">
        <f aca="false">CorporationTax!K35</f>
        <v>7494.23333333333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n">
        <f aca="false">OpenAccounts!E2</f>
        <v>0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272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273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274</v>
      </c>
      <c r="C50" s="145" t="n">
        <f aca="false">OpenAccounts!E4</f>
        <v>0</v>
      </c>
      <c r="D50" s="145"/>
      <c r="E50" s="146"/>
      <c r="F50" s="147" t="s">
        <v>3</v>
      </c>
      <c r="G50" s="147"/>
      <c r="H50" s="147"/>
      <c r="I50" s="148" t="n">
        <f aca="false">OpenAccounts!E3</f>
        <v>0</v>
      </c>
    </row>
    <row r="56" customFormat="false" ht="22.05" hidden="false" customHeight="false" outlineLevel="0" collapsed="false">
      <c r="A56" s="139" t="n">
        <f aca="false">OpenAccounts!E2</f>
        <v>0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275</v>
      </c>
      <c r="E60" s="149"/>
    </row>
    <row r="62" customFormat="false" ht="12.75" hidden="false" customHeight="false" outlineLevel="0" collapsed="false">
      <c r="B62" s="0" t="s">
        <v>276</v>
      </c>
    </row>
    <row r="63" customFormat="false" ht="12.75" hidden="false" customHeight="false" outlineLevel="0" collapsed="false">
      <c r="B63" s="0" t="s">
        <v>277</v>
      </c>
    </row>
    <row r="64" customFormat="false" ht="12.75" hidden="false" customHeight="false" outlineLevel="0" collapsed="false">
      <c r="B64" s="0" t="s">
        <v>278</v>
      </c>
    </row>
    <row r="65" customFormat="false" ht="12.75" hidden="false" customHeight="false" outlineLevel="0" collapsed="false">
      <c r="B65" s="0" t="s">
        <v>279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280</v>
      </c>
    </row>
    <row r="69" customFormat="false" ht="12.75" hidden="false" customHeight="false" outlineLevel="0" collapsed="false">
      <c r="B69" s="0" t="s">
        <v>281</v>
      </c>
    </row>
    <row r="71" customFormat="false" ht="12.75" hidden="false" customHeight="false" outlineLevel="0" collapsed="false">
      <c r="B71" s="0" t="s">
        <v>282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283</v>
      </c>
      <c r="D74" s="152" t="n">
        <f aca="true">TODAY()</f>
        <v>46115</v>
      </c>
      <c r="E74" s="152"/>
      <c r="F74" s="152"/>
    </row>
    <row r="78" s="149" customFormat="true" ht="13.5" hidden="false" customHeight="false" outlineLevel="0" collapsed="false">
      <c r="A78" s="153" t="n">
        <f aca="false">OpenAccounts!E2</f>
        <v>0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284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285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286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287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288</v>
      </c>
      <c r="B87" s="160"/>
      <c r="C87" s="160"/>
      <c r="D87" s="160"/>
      <c r="E87" s="165" t="n">
        <f aca="false">'PubP&amp;L'!F9</f>
        <v>88583.3333333333</v>
      </c>
      <c r="F87" s="166" t="s">
        <v>289</v>
      </c>
      <c r="G87" s="166"/>
      <c r="H87" s="165" t="n">
        <f aca="false">'PubP&amp;L'!B9</f>
        <v>0</v>
      </c>
      <c r="I87" s="144" t="s">
        <v>290</v>
      </c>
    </row>
    <row r="88" s="144" customFormat="true" ht="12.75" hidden="false" customHeight="true" outlineLevel="0" collapsed="false">
      <c r="A88" s="160" t="s">
        <v>291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292</v>
      </c>
      <c r="B89" s="167"/>
      <c r="C89" s="167"/>
      <c r="D89" s="168" t="n">
        <f aca="false">IF('PubP&amp;L'!F9&gt;0,'PubP&amp;L'!F18/'PubP&amp;L'!F9," ")</f>
        <v>0.897046095954845</v>
      </c>
      <c r="E89" s="169" t="s">
        <v>293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294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295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296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297</v>
      </c>
      <c r="B94" s="160"/>
      <c r="C94" s="160"/>
      <c r="D94" s="165" t="n">
        <f aca="false">[8]Boardmeeting!$E$4</f>
        <v>0</v>
      </c>
      <c r="E94" s="170" t="s">
        <v>298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299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300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301</v>
      </c>
      <c r="E97" s="147"/>
      <c r="F97" s="173" t="n">
        <f aca="false">[8]RegisterofMembers!$G$3</f>
        <v>0</v>
      </c>
      <c r="G97" s="174" t="s">
        <v>302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301</v>
      </c>
      <c r="E98" s="147"/>
      <c r="F98" s="173" t="n">
        <f aca="false">[8]RegisterofMembers!$G$4</f>
        <v>0</v>
      </c>
      <c r="G98" s="174" t="s">
        <v>302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303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304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305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306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307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308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309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310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311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312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313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314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315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316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317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318</v>
      </c>
      <c r="F119" s="144" t="s">
        <v>319</v>
      </c>
      <c r="G119" s="159" t="n">
        <f aca="true">TODAY()</f>
        <v>46115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 </v>
      </c>
      <c r="C2" s="181"/>
      <c r="D2" s="181"/>
      <c r="E2" s="182" t="s">
        <v>320</v>
      </c>
      <c r="F2" s="182"/>
      <c r="G2" s="182"/>
      <c r="H2" s="182"/>
      <c r="I2" s="182"/>
      <c r="J2" s="183"/>
      <c r="K2" s="184" t="s">
        <v>321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209</v>
      </c>
      <c r="J3" s="186"/>
      <c r="K3" s="186" t="s">
        <v>209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322</v>
      </c>
      <c r="C5" s="188"/>
      <c r="D5" s="188"/>
      <c r="E5" s="189" t="n">
        <f aca="false">Admin!L6</f>
        <v>46174</v>
      </c>
      <c r="F5" s="189"/>
      <c r="G5" s="190" t="s">
        <v>323</v>
      </c>
      <c r="H5" s="189" t="n">
        <f aca="false">Admin!N7</f>
        <v>46904</v>
      </c>
      <c r="I5" s="189"/>
      <c r="J5" s="178"/>
      <c r="K5" s="191" t="n">
        <f aca="false">'PubP&amp;L'!F46</f>
        <v>37043.3333333333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324</v>
      </c>
      <c r="D7" s="193"/>
      <c r="E7" s="193"/>
      <c r="F7" s="193"/>
      <c r="G7" s="178"/>
      <c r="H7" s="179"/>
      <c r="I7" s="194" t="n">
        <f aca="false">IF(TrialBalance!EJ85&gt;0,TrialBalance!EJ85," ")</f>
        <v>2400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325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326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2400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327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39443.3333333333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328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329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330</v>
      </c>
      <c r="L15" s="202"/>
    </row>
    <row r="16" s="120" customFormat="true" ht="12.65" hidden="false" customHeight="true" outlineLevel="0" collapsed="false">
      <c r="A16" s="187"/>
      <c r="B16" s="193" t="s">
        <v>331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332</v>
      </c>
      <c r="L16" s="202"/>
    </row>
    <row r="17" s="120" customFormat="true" ht="12.65" hidden="false" customHeight="true" outlineLevel="0" collapsed="false">
      <c r="A17" s="187"/>
      <c r="B17" s="193" t="s">
        <v>333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334</v>
      </c>
      <c r="L17" s="202"/>
    </row>
    <row r="18" s="120" customFormat="true" ht="12.65" hidden="false" customHeight="false" outlineLevel="0" collapsed="false">
      <c r="A18" s="187"/>
      <c r="B18" s="193" t="s">
        <v>335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336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328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337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39443.3333333333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338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339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340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39443.3333333333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341</v>
      </c>
      <c r="B31" s="217" t="s">
        <v>321</v>
      </c>
      <c r="C31" s="218" t="s">
        <v>342</v>
      </c>
      <c r="D31" s="218" t="s">
        <v>343</v>
      </c>
      <c r="E31" s="218" t="s">
        <v>344</v>
      </c>
      <c r="F31" s="219" t="s">
        <v>345</v>
      </c>
      <c r="G31" s="219" t="s">
        <v>346</v>
      </c>
      <c r="H31" s="219"/>
      <c r="I31" s="219" t="s">
        <v>347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37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19694.6876424988</v>
      </c>
      <c r="G33" s="224" t="n">
        <f aca="false">Admin!P6</f>
        <v>19</v>
      </c>
      <c r="H33" s="224"/>
      <c r="I33" s="225" t="n">
        <f aca="false">F33*G33/100</f>
        <v>3741.99065207478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37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19748.6456908345</v>
      </c>
      <c r="G34" s="224" t="n">
        <f aca="false">Admin!P7</f>
        <v>19</v>
      </c>
      <c r="H34" s="224"/>
      <c r="I34" s="225" t="n">
        <f aca="false">F34*G34/100</f>
        <v>3752.24268125855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348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7494.23333333333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349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350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7494.23333333333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351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352</v>
      </c>
      <c r="G45" s="178"/>
      <c r="H45" s="179"/>
      <c r="I45" s="233" t="s">
        <v>353</v>
      </c>
      <c r="J45" s="178"/>
      <c r="K45" s="178"/>
      <c r="L45" s="177"/>
    </row>
    <row r="46" customFormat="false" ht="25.5" hidden="false" customHeight="true" outlineLevel="0" collapsed="false">
      <c r="A46" s="234" t="s">
        <v>354</v>
      </c>
      <c r="B46" s="235" t="s">
        <v>353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209</v>
      </c>
      <c r="G47" s="178"/>
      <c r="H47" s="179"/>
      <c r="I47" s="238" t="s">
        <v>209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355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356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357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358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359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352</v>
      </c>
      <c r="G81" s="178"/>
      <c r="H81" s="179"/>
      <c r="I81" s="233" t="s">
        <v>360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361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209</v>
      </c>
      <c r="G83" s="178"/>
      <c r="H83" s="179"/>
      <c r="I83" s="238" t="s">
        <v>209</v>
      </c>
      <c r="J83" s="178"/>
      <c r="K83" s="178"/>
      <c r="L83" s="185"/>
    </row>
    <row r="84" customFormat="false" ht="12" hidden="false" customHeight="true" outlineLevel="0" collapsed="false">
      <c r="A84" s="247" t="s">
        <v>362</v>
      </c>
      <c r="B84" s="243" t="s">
        <v>363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364</v>
      </c>
      <c r="C91" s="249"/>
      <c r="D91" s="250" t="n">
        <f aca="false">E5</f>
        <v>46174</v>
      </c>
      <c r="E91" s="250" t="n">
        <f aca="false">H5</f>
        <v>46904</v>
      </c>
      <c r="F91" s="251" t="s">
        <v>365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366</v>
      </c>
      <c r="B93" s="196" t="s">
        <v>367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368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369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370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371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367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372</v>
      </c>
      <c r="B102" s="196" t="s">
        <v>335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373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374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375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376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377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378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379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380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381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382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383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384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385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386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387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388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 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389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390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 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391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392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393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394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395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396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397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398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204</v>
      </c>
      <c r="AR34" s="272"/>
    </row>
    <row r="35" s="87" customFormat="true" ht="12.75" hidden="false" customHeight="false" outlineLevel="0" collapsed="false">
      <c r="A35" s="272"/>
      <c r="B35" s="292" t="s">
        <v>399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400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401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402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403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404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405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406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407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408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409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410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411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412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413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414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415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416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417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418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419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420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421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422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423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424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425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426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209</v>
      </c>
      <c r="AK66" s="300" t="n">
        <f aca="false">'PubP&amp;L'!F9</f>
        <v>88583.3333333333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427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428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209</v>
      </c>
      <c r="Z70" s="302" t="n">
        <f aca="false">IF(CorporationTax!K22&gt;0,CorporationTax!K22," ")</f>
        <v>39443.3333333333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429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209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430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431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209</v>
      </c>
      <c r="AJ74" s="302" t="n">
        <f aca="false">SUM(Z69:AF70)-SUM(Z72:AF73)</f>
        <v>39443.3333333333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432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433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209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434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209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435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209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436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437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209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438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209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439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440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209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441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442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209</v>
      </c>
      <c r="AJ92" s="302" t="n">
        <f aca="false">IF(AJ74&gt;0,AJ74+SUM(AJ76:AJ80)+AJ88,0)</f>
        <v>39443.3333333333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443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444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209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445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209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446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447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448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449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209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450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209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451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452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209</v>
      </c>
      <c r="AJ110" s="302" t="n">
        <f aca="false">AJ92-Z96-Z98-Z104-Z106</f>
        <v>39443.3333333333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453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454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209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455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456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457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458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459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204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460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461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462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463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464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465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209</v>
      </c>
      <c r="N126" s="328" t="n">
        <f aca="false">CorporationTax!F33</f>
        <v>19694.6876424988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209</v>
      </c>
      <c r="AJ126" s="330" t="n">
        <f aca="false">CorporationTax!I33</f>
        <v>3741.99065207478</v>
      </c>
      <c r="AK126" s="330"/>
      <c r="AL126" s="330"/>
      <c r="AM126" s="330"/>
      <c r="AN126" s="330"/>
      <c r="AO126" s="330"/>
      <c r="AP126" s="330"/>
      <c r="AQ126" s="331" t="s">
        <v>466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209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209</v>
      </c>
      <c r="AJ128" s="330"/>
      <c r="AK128" s="330"/>
      <c r="AL128" s="330"/>
      <c r="AM128" s="330"/>
      <c r="AN128" s="330"/>
      <c r="AO128" s="330"/>
      <c r="AP128" s="330"/>
      <c r="AQ128" s="331" t="s">
        <v>466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467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87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209</v>
      </c>
      <c r="AJ131" s="330" t="n">
        <f aca="false">AJ126+AJ128</f>
        <v>3741.99065207478</v>
      </c>
      <c r="AK131" s="330"/>
      <c r="AL131" s="330"/>
      <c r="AM131" s="330"/>
      <c r="AN131" s="330"/>
      <c r="AO131" s="330"/>
      <c r="AP131" s="330"/>
      <c r="AQ131" s="331" t="s">
        <v>466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468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209</v>
      </c>
      <c r="X133" s="333"/>
      <c r="Y133" s="333"/>
      <c r="Z133" s="333"/>
      <c r="AA133" s="333"/>
      <c r="AB133" s="333"/>
      <c r="AC133" s="333"/>
      <c r="AD133" s="333"/>
      <c r="AE133" s="331" t="s">
        <v>466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469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209</v>
      </c>
      <c r="X135" s="333"/>
      <c r="Y135" s="333"/>
      <c r="Z135" s="333"/>
      <c r="AA135" s="333"/>
      <c r="AB135" s="333"/>
      <c r="AC135" s="333"/>
      <c r="AD135" s="333"/>
      <c r="AE135" s="331" t="s">
        <v>466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470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346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471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472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209</v>
      </c>
      <c r="X141" s="333"/>
      <c r="Y141" s="333"/>
      <c r="Z141" s="333"/>
      <c r="AA141" s="333"/>
      <c r="AB141" s="333"/>
      <c r="AC141" s="333"/>
      <c r="AD141" s="333"/>
      <c r="AE141" s="331" t="s">
        <v>466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473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209</v>
      </c>
      <c r="X143" s="333"/>
      <c r="Y143" s="333"/>
      <c r="Z143" s="333"/>
      <c r="AA143" s="333"/>
      <c r="AB143" s="333"/>
      <c r="AC143" s="333"/>
      <c r="AD143" s="333"/>
      <c r="AE143" s="331" t="s">
        <v>466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474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475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209</v>
      </c>
      <c r="AJ145" s="330" t="n">
        <f aca="false">AJ131</f>
        <v>3741.99065207478</v>
      </c>
      <c r="AK145" s="330"/>
      <c r="AL145" s="330"/>
      <c r="AM145" s="330"/>
      <c r="AN145" s="330"/>
      <c r="AO145" s="330"/>
      <c r="AP145" s="330"/>
      <c r="AQ145" s="331" t="s">
        <v>466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476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477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209</v>
      </c>
      <c r="AJ149" s="333"/>
      <c r="AK149" s="333"/>
      <c r="AL149" s="333"/>
      <c r="AM149" s="333"/>
      <c r="AN149" s="333"/>
      <c r="AO149" s="333"/>
      <c r="AP149" s="333"/>
      <c r="AQ149" s="331" t="s">
        <v>466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478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479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480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209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466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481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209</v>
      </c>
      <c r="AJ156" s="333"/>
      <c r="AK156" s="333"/>
      <c r="AL156" s="333"/>
      <c r="AM156" s="333"/>
      <c r="AN156" s="333"/>
      <c r="AO156" s="333"/>
      <c r="AP156" s="333"/>
      <c r="AQ156" s="331" t="s">
        <v>466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482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483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209</v>
      </c>
      <c r="AJ159" s="330" t="n">
        <f aca="false">IF(AJ145&gt;0,AJ145+AJ149-AJ154,0)</f>
        <v>3741.99065207478</v>
      </c>
      <c r="AK159" s="330"/>
      <c r="AL159" s="330"/>
      <c r="AM159" s="330"/>
      <c r="AN159" s="330"/>
      <c r="AO159" s="330"/>
      <c r="AP159" s="330"/>
      <c r="AQ159" s="331" t="s">
        <v>466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484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485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209</v>
      </c>
      <c r="AJ163" s="330"/>
      <c r="AK163" s="330"/>
      <c r="AL163" s="330"/>
      <c r="AM163" s="330"/>
      <c r="AN163" s="330"/>
      <c r="AO163" s="330"/>
      <c r="AP163" s="330"/>
      <c r="AQ163" s="331" t="s">
        <v>466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486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487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209</v>
      </c>
      <c r="AJ166" s="330" t="n">
        <f aca="false">IF(AJ159&gt;0,AJ159-AJ163,0)</f>
        <v>3741.99065207478</v>
      </c>
      <c r="AK166" s="330"/>
      <c r="AL166" s="330"/>
      <c r="AM166" s="330"/>
      <c r="AN166" s="330"/>
      <c r="AO166" s="330"/>
      <c r="AP166" s="330"/>
      <c r="AQ166" s="331" t="s">
        <v>466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488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489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209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466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490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491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492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493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494</v>
      </c>
      <c r="C175" s="274"/>
      <c r="D175" s="274"/>
      <c r="E175" s="274"/>
      <c r="F175" s="276"/>
      <c r="G175" s="276"/>
      <c r="H175" s="276" t="s">
        <v>495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209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209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496</v>
      </c>
      <c r="C177" s="274"/>
      <c r="D177" s="274"/>
      <c r="E177" s="274"/>
      <c r="F177" s="276"/>
      <c r="G177" s="276"/>
      <c r="H177" s="276" t="s">
        <v>497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209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209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498</v>
      </c>
      <c r="C179" s="274"/>
      <c r="D179" s="274"/>
      <c r="E179" s="274"/>
      <c r="F179" s="276"/>
      <c r="G179" s="276"/>
      <c r="H179" s="276" t="s">
        <v>499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209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209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500</v>
      </c>
      <c r="C181" s="274"/>
      <c r="D181" s="274"/>
      <c r="E181" s="274"/>
      <c r="F181" s="276"/>
      <c r="G181" s="276"/>
      <c r="H181" s="276" t="s">
        <v>501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209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209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502</v>
      </c>
      <c r="C183" s="274"/>
      <c r="D183" s="274"/>
      <c r="E183" s="274"/>
      <c r="F183" s="276"/>
      <c r="G183" s="276"/>
      <c r="H183" s="276" t="s">
        <v>503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209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209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504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492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493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505</v>
      </c>
      <c r="C187" s="274"/>
      <c r="D187" s="274"/>
      <c r="E187" s="274"/>
      <c r="F187" s="276"/>
      <c r="G187" s="276"/>
      <c r="H187" s="276" t="s">
        <v>506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209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209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507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508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509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510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209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511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512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513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209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514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209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515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516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517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518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519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209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520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209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521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522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523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524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525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209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209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526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527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528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529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530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531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209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209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532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533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534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535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209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536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209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537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538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539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540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541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542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543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209</v>
      </c>
      <c r="AD224" s="309"/>
      <c r="AE224" s="309"/>
      <c r="AF224" s="309"/>
      <c r="AG224" s="309"/>
      <c r="AH224" s="309"/>
      <c r="AI224" s="276" t="s">
        <v>544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545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546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547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548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549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550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551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552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553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554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555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556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557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558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559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560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281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561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562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563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564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562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565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566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281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561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567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568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282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569</v>
      </c>
      <c r="C2" s="388" t="s">
        <v>570</v>
      </c>
      <c r="D2" s="388" t="s">
        <v>571</v>
      </c>
      <c r="E2" s="388" t="s">
        <v>572</v>
      </c>
      <c r="F2" s="388" t="s">
        <v>573</v>
      </c>
      <c r="G2" s="388" t="s">
        <v>574</v>
      </c>
      <c r="H2" s="388" t="s">
        <v>188</v>
      </c>
      <c r="I2" s="388" t="s">
        <v>575</v>
      </c>
      <c r="J2" s="47"/>
      <c r="K2" s="387" t="s">
        <v>576</v>
      </c>
      <c r="L2" s="389"/>
    </row>
    <row r="3" s="53" customFormat="true" ht="15" hidden="false" customHeight="true" outlineLevel="0" collapsed="false">
      <c r="A3" s="386"/>
      <c r="B3" s="390" t="s">
        <v>577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578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579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580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581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582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583</v>
      </c>
      <c r="I1" s="406"/>
      <c r="J1" s="406"/>
      <c r="K1" s="406"/>
      <c r="L1" s="406"/>
      <c r="M1" s="405"/>
      <c r="N1" s="406" t="s">
        <v>583</v>
      </c>
      <c r="O1" s="406"/>
      <c r="P1" s="406"/>
      <c r="Q1" s="406"/>
      <c r="R1" s="406"/>
      <c r="S1" s="405"/>
      <c r="T1" s="406" t="s">
        <v>583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584</v>
      </c>
      <c r="C2" s="412"/>
      <c r="D2" s="413" t="s">
        <v>585</v>
      </c>
      <c r="E2" s="414"/>
      <c r="F2" s="413" t="s">
        <v>586</v>
      </c>
      <c r="G2" s="414"/>
      <c r="H2" s="415" t="s">
        <v>587</v>
      </c>
      <c r="I2" s="414"/>
      <c r="J2" s="413" t="s">
        <v>588</v>
      </c>
      <c r="K2" s="414"/>
      <c r="L2" s="413" t="s">
        <v>589</v>
      </c>
      <c r="M2" s="414"/>
      <c r="N2" s="415" t="s">
        <v>590</v>
      </c>
      <c r="O2" s="414"/>
      <c r="P2" s="413" t="s">
        <v>591</v>
      </c>
      <c r="Q2" s="414"/>
      <c r="R2" s="413" t="s">
        <v>589</v>
      </c>
      <c r="S2" s="414"/>
      <c r="T2" s="415" t="s">
        <v>592</v>
      </c>
      <c r="U2" s="414"/>
      <c r="V2" s="413" t="s">
        <v>593</v>
      </c>
      <c r="W2" s="414"/>
      <c r="X2" s="416" t="s">
        <v>589</v>
      </c>
      <c r="Y2" s="417"/>
      <c r="Z2" s="413" t="s">
        <v>594</v>
      </c>
      <c r="AA2" s="414"/>
      <c r="AB2" s="413" t="s">
        <v>595</v>
      </c>
      <c r="AC2" s="418"/>
      <c r="AD2" s="419" t="s">
        <v>596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597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598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46174</v>
      </c>
      <c r="C6" s="435"/>
      <c r="D6" s="436" t="n">
        <f aca="false">OpenAccounts!$E$15</f>
        <v>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46203</v>
      </c>
      <c r="C8" s="435"/>
      <c r="D8" s="436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5833.33333333333</v>
      </c>
      <c r="K8" s="78"/>
      <c r="L8" s="432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1000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46234</v>
      </c>
      <c r="C10" s="435"/>
      <c r="D10" s="436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5833.33333333333</v>
      </c>
      <c r="K10" s="78"/>
      <c r="L10" s="432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599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46265</v>
      </c>
      <c r="C12" s="435"/>
      <c r="D12" s="436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5833.33333333333</v>
      </c>
      <c r="K12" s="78"/>
      <c r="L12" s="432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46295</v>
      </c>
      <c r="C14" s="435"/>
      <c r="D14" s="436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5833.33333333333</v>
      </c>
      <c r="K14" s="78"/>
      <c r="L14" s="432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1000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600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46326</v>
      </c>
      <c r="C16" s="435"/>
      <c r="D16" s="436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5833.33333333333</v>
      </c>
      <c r="K16" s="78"/>
      <c r="L16" s="432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46356</v>
      </c>
      <c r="C18" s="435"/>
      <c r="D18" s="436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5833.33333333333</v>
      </c>
      <c r="K18" s="78"/>
      <c r="L18" s="432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601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46387</v>
      </c>
      <c r="C20" s="435"/>
      <c r="D20" s="436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7000</v>
      </c>
      <c r="K20" s="78"/>
      <c r="L20" s="432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1000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46418</v>
      </c>
      <c r="C22" s="435"/>
      <c r="D22" s="436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7000</v>
      </c>
      <c r="K22" s="78"/>
      <c r="L22" s="432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602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46446</v>
      </c>
      <c r="C24" s="435"/>
      <c r="D24" s="436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7000</v>
      </c>
      <c r="K24" s="78"/>
      <c r="L24" s="432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46477</v>
      </c>
      <c r="C26" s="435"/>
      <c r="D26" s="436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7000</v>
      </c>
      <c r="K26" s="78"/>
      <c r="L26" s="432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1000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46507</v>
      </c>
      <c r="C28" s="435"/>
      <c r="D28" s="436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7000</v>
      </c>
      <c r="K28" s="78"/>
      <c r="L28" s="432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603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46538</v>
      </c>
      <c r="C30" s="435"/>
      <c r="D30" s="436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7000</v>
      </c>
      <c r="K30" s="78"/>
      <c r="L30" s="432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604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605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606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607</v>
      </c>
      <c r="G4" s="453" t="s">
        <v>346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608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609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610</v>
      </c>
      <c r="E6" s="451"/>
      <c r="F6" s="463" t="n">
        <f aca="false">B8</f>
        <v>46173</v>
      </c>
      <c r="G6" s="464" t="n">
        <v>14</v>
      </c>
      <c r="H6" s="451"/>
      <c r="I6" s="465" t="s">
        <v>37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346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608</v>
      </c>
      <c r="E7" s="451"/>
      <c r="F7" s="463" t="n">
        <f aca="false">B32</f>
        <v>46538</v>
      </c>
      <c r="G7" s="464" t="n">
        <v>100</v>
      </c>
      <c r="H7" s="451"/>
      <c r="I7" s="465" t="s">
        <v>37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346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610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584</v>
      </c>
      <c r="M9" s="451"/>
      <c r="N9" s="469" t="s">
        <v>611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612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613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614</v>
      </c>
      <c r="E11" s="468" t="n">
        <v>12000</v>
      </c>
      <c r="F11" s="451" t="s">
        <v>615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613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616</v>
      </c>
      <c r="E13" s="458"/>
      <c r="F13" s="458"/>
      <c r="G13" s="453" t="s">
        <v>346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617</v>
      </c>
      <c r="J14" s="458"/>
      <c r="K14" s="458"/>
      <c r="L14" s="456"/>
      <c r="M14" s="451"/>
      <c r="N14" s="453" t="s">
        <v>618</v>
      </c>
      <c r="O14" s="453" t="s">
        <v>619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620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621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622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251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623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2" t="s">
        <v>607</v>
      </c>
      <c r="E21" s="2"/>
      <c r="F21" s="482" t="n">
        <v>46538</v>
      </c>
      <c r="G21" s="453"/>
      <c r="H21" s="451"/>
      <c r="I21" s="458" t="s">
        <v>623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