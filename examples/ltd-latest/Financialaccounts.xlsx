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<sst xmlns="http://schemas.openxmlformats.org/spreadsheetml/2006/main" count="1036" uniqueCount="633">
  <si>
    <t xml:space="preserve">Company Name (including Limited)</t>
  </si>
  <si>
    <t xml:space="preserve">Precision Code Ltd</t>
  </si>
  <si>
    <t xml:space="preserve">Registered Office Address</t>
  </si>
  <si>
    <t xml:space="preserve">Tax Reference per CT603 Notice</t>
  </si>
  <si>
    <t xml:space="preserve">Company registration number</t>
  </si>
  <si>
    <t xml:space="preserve">12345678</t>
  </si>
  <si>
    <t xml:space="preserve">123 High Street</t>
  </si>
  <si>
    <t xml:space="preserve">1234567890</t>
  </si>
  <si>
    <t xml:space="preserve">Telephone number (including STD Code)</t>
  </si>
  <si>
    <t xml:space="preserve">0161 555 0100</t>
  </si>
  <si>
    <t xml:space="preserve">Manchester</t>
  </si>
  <si>
    <t xml:space="preserve">First Director's Name</t>
  </si>
  <si>
    <t xml:space="preserve">Carol Smith</t>
  </si>
  <si>
    <t xml:space="preserve">Loss brought forward</t>
  </si>
  <si>
    <t xml:space="preserve">Second Director's Name</t>
  </si>
  <si>
    <t xml:space="preserve">Postcode</t>
  </si>
  <si>
    <t xml:space="preserve">M1 1AA</t>
  </si>
  <si>
    <t xml:space="preserve">The principal activity of the company is</t>
  </si>
  <si>
    <t xml:space="preserve">IT consultancy and software development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</si>
  <si>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</si>
  <si>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</si>
  <si>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</si>
  <si>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</si>
  <si>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</si>
  <si>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</si>
  <si>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</si>
  <si>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</si>
  <si>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</si>
  <si>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</si>
  <si>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</si>
  <si>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</si>
  <si>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</si>
  <si>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</si>
  <si>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Stock at cost</t>
  </si>
  <si>
    <t xml:space="preserve">Trade Debtors</t>
  </si>
  <si>
    <t xml:space="preserve">Current Account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</si>
  <si>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</si>
  <si>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</si>
  <si>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</si>
  <si>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</si>
  <si>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</si>
  <si>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</si>
  <si>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Trade Creditors</t>
  </si>
  <si>
    <t xml:space="preserve">Net wages due</t>
  </si>
  <si>
    <t xml:space="preserve">Wage deductions due</t>
  </si>
  <si>
    <t xml:space="preserve">Dividends due</t>
  </si>
  <si>
    <t xml:space="preserve">Corporation Tax</t>
  </si>
  <si>
    <t xml:space="preserve">HMRC Paye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</si>
  <si>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</si>
  <si>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</si>
  <si>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</si>
  <si>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</si>
  <si>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</si>
  <si>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Directors Loan Account</t>
  </si>
  <si>
    <t xml:space="preserve">Long Term Creditors (over 1 year)</t>
  </si>
  <si>
    <t xml:space="preserve">Capital and Reserves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</si>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</sst>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0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4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11740</v>
          </cell>
        </row>
        <row r="1">
          <cell r="V1">
            <v>12500</v>
          </cell>
          <cell r="W1">
            <v>30000</v>
          </cell>
          <cell r="X1">
            <v>17328</v>
          </cell>
          <cell r="Y1">
            <v>8500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3000</v>
          </cell>
          <cell r="F41">
            <v>270</v>
          </cell>
        </row>
        <row r="41">
          <cell r="I41">
            <v>990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30000</v>
          </cell>
          <cell r="F55">
            <v>9828</v>
          </cell>
        </row>
        <row r="55">
          <cell r="I55">
            <v>7500</v>
          </cell>
        </row>
        <row r="55">
          <cell r="R55">
            <v>3000</v>
          </cell>
        </row>
        <row r="55">
          <cell r="W55">
            <v>30000</v>
          </cell>
          <cell r="X55">
            <v>17328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B67">
            <v>45976</v>
          </cell>
          <cell r="C67" t="str">
            <v>Dell</v>
          </cell>
        </row>
        <row r="67">
          <cell r="E67">
            <v>1500</v>
          </cell>
        </row>
        <row r="67">
          <cell r="Q67">
            <v>1500</v>
          </cell>
        </row>
        <row r="68">
          <cell r="B68">
            <v>46037</v>
          </cell>
          <cell r="C68" t="str">
            <v>IKEA</v>
          </cell>
        </row>
        <row r="68">
          <cell r="E68">
            <v>1000</v>
          </cell>
        </row>
        <row r="68">
          <cell r="Q68">
            <v>1000</v>
          </cell>
        </row>
        <row r="69">
          <cell r="B69">
            <v>46137</v>
          </cell>
          <cell r="C69" t="str">
            <v>Ford</v>
          </cell>
        </row>
        <row r="69">
          <cell r="E69">
            <v>30000</v>
          </cell>
        </row>
        <row r="69">
          <cell r="Q69">
            <v>30000</v>
          </cell>
        </row>
        <row r="75">
          <cell r="E75">
            <v>32500</v>
          </cell>
        </row>
        <row r="75">
          <cell r="I75">
            <v>3250</v>
          </cell>
        </row>
        <row r="75">
          <cell r="W75">
            <v>0</v>
          </cell>
          <cell r="X75">
            <v>0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32500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5111.25</v>
          </cell>
          <cell r="G1">
            <v>851.875</v>
          </cell>
        </row>
        <row r="1">
          <cell r="O1">
            <v>500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100</v>
          </cell>
          <cell r="Y1">
            <v>130.833333333333</v>
          </cell>
          <cell r="Z1">
            <v>0</v>
          </cell>
          <cell r="AA1">
            <v>112.5</v>
          </cell>
          <cell r="AB1">
            <v>76.6666666666667</v>
          </cell>
          <cell r="AC1">
            <v>501.875</v>
          </cell>
          <cell r="AD1">
            <v>1200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1062.5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200</v>
          </cell>
          <cell r="X1">
            <v>0</v>
          </cell>
          <cell r="Y1">
            <v>95.8333333333333</v>
          </cell>
          <cell r="Z1">
            <v>500</v>
          </cell>
          <cell r="AA1">
            <v>127.5</v>
          </cell>
          <cell r="AB1">
            <v>126.666666666667</v>
          </cell>
          <cell r="AC1">
            <v>555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1500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1509.5</v>
          </cell>
        </row>
        <row r="1">
          <cell r="O1">
            <v>300</v>
          </cell>
          <cell r="P1">
            <v>4166.66666666667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0</v>
          </cell>
          <cell r="W1">
            <v>0</v>
          </cell>
          <cell r="X1">
            <v>0</v>
          </cell>
          <cell r="Y1">
            <v>120.833333333333</v>
          </cell>
          <cell r="Z1">
            <v>0</v>
          </cell>
          <cell r="AA1">
            <v>192.5</v>
          </cell>
          <cell r="AB1">
            <v>226.666666666667</v>
          </cell>
          <cell r="AC1">
            <v>545</v>
          </cell>
          <cell r="AD1">
            <v>0</v>
          </cell>
          <cell r="AE1">
            <v>0</v>
          </cell>
          <cell r="AF1">
            <v>458.333333333333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1509.875</v>
          </cell>
        </row>
        <row r="1">
          <cell r="O1">
            <v>600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100</v>
          </cell>
          <cell r="W1">
            <v>400</v>
          </cell>
          <cell r="X1">
            <v>150</v>
          </cell>
          <cell r="Y1">
            <v>95.8333333333333</v>
          </cell>
          <cell r="Z1">
            <v>400</v>
          </cell>
          <cell r="AA1">
            <v>132.5</v>
          </cell>
          <cell r="AB1">
            <v>76.6666666666667</v>
          </cell>
          <cell r="AC1">
            <v>486.875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2500</v>
          </cell>
          <cell r="AI1">
            <v>1000</v>
          </cell>
        </row>
        <row r="1">
          <cell r="AK1">
            <v>0</v>
          </cell>
        </row>
      </sheetData>
      <sheetData sheetId="5">
        <row r="1">
          <cell r="F1">
            <v>4405.25</v>
          </cell>
          <cell r="G1">
            <v>734.208333333333</v>
          </cell>
        </row>
        <row r="1">
          <cell r="O1">
            <v>450</v>
          </cell>
          <cell r="P1">
            <v>0</v>
          </cell>
          <cell r="Q1">
            <v>237.5</v>
          </cell>
          <cell r="R1">
            <v>0</v>
          </cell>
          <cell r="S1">
            <v>666.666666666667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200</v>
          </cell>
          <cell r="Y1">
            <v>135.833333333333</v>
          </cell>
          <cell r="Z1">
            <v>0</v>
          </cell>
          <cell r="AA1">
            <v>112.5</v>
          </cell>
          <cell r="AB1">
            <v>116.666666666667</v>
          </cell>
          <cell r="AC1">
            <v>501.875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829.166666666667</v>
          </cell>
        </row>
        <row r="1">
          <cell r="O1">
            <v>200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250</v>
          </cell>
          <cell r="V1">
            <v>80</v>
          </cell>
          <cell r="W1">
            <v>300</v>
          </cell>
          <cell r="X1">
            <v>0</v>
          </cell>
          <cell r="Y1">
            <v>95.8333333333333</v>
          </cell>
          <cell r="Z1">
            <v>0</v>
          </cell>
          <cell r="AA1">
            <v>122.5</v>
          </cell>
          <cell r="AB1">
            <v>76.6666666666667</v>
          </cell>
          <cell r="AC1">
            <v>590</v>
          </cell>
          <cell r="AD1">
            <v>0</v>
          </cell>
          <cell r="AE1">
            <v>0</v>
          </cell>
          <cell r="AF1">
            <v>1223.33333333333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7167.625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0</v>
          </cell>
          <cell r="X1">
            <v>80</v>
          </cell>
          <cell r="Y1">
            <v>125.833333333333</v>
          </cell>
          <cell r="Z1">
            <v>2500</v>
          </cell>
          <cell r="AA1">
            <v>112.5</v>
          </cell>
          <cell r="AB1">
            <v>176.666666666667</v>
          </cell>
          <cell r="AC1">
            <v>505.625</v>
          </cell>
          <cell r="AD1">
            <v>300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30000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1153</v>
          </cell>
        </row>
        <row r="1">
          <cell r="O1">
            <v>700</v>
          </cell>
          <cell r="P1">
            <v>2500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200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137.5</v>
          </cell>
          <cell r="AB1">
            <v>136.666666666667</v>
          </cell>
          <cell r="AC1">
            <v>537.5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9451.5</v>
          </cell>
          <cell r="G1">
            <v>1575.25</v>
          </cell>
        </row>
        <row r="1">
          <cell r="O1">
            <v>400</v>
          </cell>
          <cell r="P1">
            <v>0</v>
          </cell>
          <cell r="Q1">
            <v>237.5</v>
          </cell>
          <cell r="R1">
            <v>4166.66666666667</v>
          </cell>
          <cell r="S1">
            <v>0</v>
          </cell>
          <cell r="T1">
            <v>1000</v>
          </cell>
          <cell r="U1">
            <v>350</v>
          </cell>
          <cell r="V1">
            <v>0</v>
          </cell>
          <cell r="W1">
            <v>0</v>
          </cell>
          <cell r="X1">
            <v>0</v>
          </cell>
          <cell r="Y1">
            <v>115.833333333333</v>
          </cell>
          <cell r="Z1">
            <v>0</v>
          </cell>
          <cell r="AA1">
            <v>212.5</v>
          </cell>
          <cell r="AB1">
            <v>76.6666666666667</v>
          </cell>
          <cell r="AC1">
            <v>511.25</v>
          </cell>
          <cell r="AD1">
            <v>0</v>
          </cell>
          <cell r="AE1">
            <v>0</v>
          </cell>
          <cell r="AF1">
            <v>389.166666666667</v>
          </cell>
          <cell r="AG1">
            <v>416.666666666667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4511.25</v>
          </cell>
          <cell r="G1">
            <v>751.875</v>
          </cell>
        </row>
        <row r="1">
          <cell r="O1">
            <v>500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150</v>
          </cell>
          <cell r="W1">
            <v>150</v>
          </cell>
          <cell r="X1">
            <v>120</v>
          </cell>
          <cell r="Y1">
            <v>95.8333333333333</v>
          </cell>
          <cell r="Z1">
            <v>400</v>
          </cell>
          <cell r="AA1">
            <v>127.5</v>
          </cell>
          <cell r="AB1">
            <v>76.6666666666667</v>
          </cell>
          <cell r="AC1">
            <v>531.875</v>
          </cell>
          <cell r="AD1">
            <v>0</v>
          </cell>
          <cell r="AE1">
            <v>150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732.75</v>
          </cell>
        </row>
        <row r="1">
          <cell r="O1">
            <v>550</v>
          </cell>
          <cell r="P1">
            <v>0</v>
          </cell>
          <cell r="Q1">
            <v>237.5</v>
          </cell>
          <cell r="R1">
            <v>0</v>
          </cell>
          <cell r="S1">
            <v>0</v>
          </cell>
          <cell r="T1">
            <v>1000</v>
          </cell>
          <cell r="U1">
            <v>0</v>
          </cell>
          <cell r="V1">
            <v>0</v>
          </cell>
          <cell r="W1">
            <v>300</v>
          </cell>
          <cell r="X1">
            <v>300</v>
          </cell>
          <cell r="Y1">
            <v>110.833333333333</v>
          </cell>
          <cell r="Z1">
            <v>0</v>
          </cell>
          <cell r="AA1">
            <v>112.5</v>
          </cell>
          <cell r="AB1">
            <v>306.666666666667</v>
          </cell>
          <cell r="AC1">
            <v>496.25</v>
          </cell>
          <cell r="AD1">
            <v>0</v>
          </cell>
          <cell r="AE1">
            <v>0</v>
          </cell>
          <cell r="AF1">
            <v>250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621.083333333333</v>
          </cell>
        </row>
        <row r="1">
          <cell r="O1">
            <v>250</v>
          </cell>
          <cell r="P1">
            <v>0</v>
          </cell>
          <cell r="Q1">
            <v>207.5</v>
          </cell>
          <cell r="R1">
            <v>0</v>
          </cell>
          <cell r="S1">
            <v>0</v>
          </cell>
          <cell r="T1">
            <v>1000</v>
          </cell>
          <cell r="U1">
            <v>300</v>
          </cell>
          <cell r="V1">
            <v>120</v>
          </cell>
          <cell r="W1">
            <v>0</v>
          </cell>
          <cell r="X1">
            <v>0</v>
          </cell>
          <cell r="Y1">
            <v>95.8333333333333</v>
          </cell>
          <cell r="Z1">
            <v>0</v>
          </cell>
          <cell r="AA1">
            <v>132.5</v>
          </cell>
          <cell r="AB1">
            <v>76.6666666666667</v>
          </cell>
          <cell r="AC1">
            <v>568.75</v>
          </cell>
          <cell r="AD1">
            <v>0</v>
          </cell>
          <cell r="AE1">
            <v>0</v>
          </cell>
          <cell r="AF1">
            <v>354.166666666667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44200</v>
          </cell>
          <cell r="G1">
            <v>0</v>
          </cell>
          <cell r="H1">
            <v>0</v>
          </cell>
          <cell r="I1">
            <v>0</v>
          </cell>
          <cell r="J1">
            <v>44200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15153</v>
          </cell>
          <cell r="Y1">
            <v>0</v>
          </cell>
          <cell r="Z1">
            <v>0</v>
          </cell>
          <cell r="AA1">
            <v>0</v>
          </cell>
          <cell r="AB1">
            <v>3700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4301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500</v>
          </cell>
        </row>
      </sheetData>
      <sheetData sheetId="1">
        <row r="1">
          <cell r="F1">
            <v>32920</v>
          </cell>
          <cell r="G1">
            <v>0</v>
          </cell>
          <cell r="H1">
            <v>0</v>
          </cell>
          <cell r="I1">
            <v>0</v>
          </cell>
          <cell r="J1">
            <v>32920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12478</v>
          </cell>
          <cell r="Y1">
            <v>0</v>
          </cell>
          <cell r="Z1">
            <v>0</v>
          </cell>
          <cell r="AA1">
            <v>0</v>
          </cell>
          <cell r="AB1">
            <v>4300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2">
        <row r="1">
          <cell r="F1">
            <v>35200</v>
          </cell>
          <cell r="G1">
            <v>0</v>
          </cell>
          <cell r="H1">
            <v>0</v>
          </cell>
          <cell r="I1">
            <v>0</v>
          </cell>
          <cell r="J1">
            <v>35200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12403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250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3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20053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6301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4">
        <row r="1">
          <cell r="F1">
            <v>38520</v>
          </cell>
          <cell r="G1">
            <v>0</v>
          </cell>
          <cell r="H1">
            <v>0</v>
          </cell>
          <cell r="I1">
            <v>0</v>
          </cell>
          <cell r="J1">
            <v>36020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12253</v>
          </cell>
          <cell r="Y1">
            <v>0</v>
          </cell>
          <cell r="Z1">
            <v>0</v>
          </cell>
          <cell r="AA1">
            <v>0</v>
          </cell>
          <cell r="AB1">
            <v>4100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5">
        <row r="1">
          <cell r="F1">
            <v>33760</v>
          </cell>
          <cell r="G1">
            <v>0</v>
          </cell>
          <cell r="H1">
            <v>0</v>
          </cell>
          <cell r="I1">
            <v>0</v>
          </cell>
          <cell r="J1">
            <v>33760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11961</v>
          </cell>
          <cell r="Y1">
            <v>0</v>
          </cell>
          <cell r="Z1">
            <v>0</v>
          </cell>
          <cell r="AA1">
            <v>0</v>
          </cell>
          <cell r="AB1">
            <v>3600</v>
          </cell>
          <cell r="AC1">
            <v>5652</v>
          </cell>
          <cell r="AD1">
            <v>208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6">
        <row r="1">
          <cell r="F1">
            <v>50560</v>
          </cell>
          <cell r="G1">
            <v>0</v>
          </cell>
          <cell r="H1">
            <v>0</v>
          </cell>
          <cell r="I1">
            <v>0</v>
          </cell>
          <cell r="J1">
            <v>50560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59853</v>
          </cell>
          <cell r="Y1">
            <v>0</v>
          </cell>
          <cell r="Z1">
            <v>0</v>
          </cell>
          <cell r="AA1">
            <v>0</v>
          </cell>
          <cell r="AB1">
            <v>40500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9201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500</v>
          </cell>
        </row>
      </sheetData>
      <sheetData sheetId="7">
        <row r="1">
          <cell r="F1">
            <v>35320</v>
          </cell>
          <cell r="G1">
            <v>0</v>
          </cell>
          <cell r="H1">
            <v>0</v>
          </cell>
          <cell r="I1">
            <v>0</v>
          </cell>
          <cell r="J1">
            <v>35320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12078</v>
          </cell>
          <cell r="Y1">
            <v>0</v>
          </cell>
          <cell r="Z1">
            <v>0</v>
          </cell>
          <cell r="AA1">
            <v>0</v>
          </cell>
          <cell r="AB1">
            <v>3900</v>
          </cell>
          <cell r="AC1">
            <v>5652</v>
          </cell>
          <cell r="AD1">
            <v>25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8">
        <row r="1">
          <cell r="F1">
            <v>32800</v>
          </cell>
          <cell r="G1">
            <v>0</v>
          </cell>
          <cell r="H1">
            <v>0</v>
          </cell>
          <cell r="I1">
            <v>0</v>
          </cell>
          <cell r="J1">
            <v>32800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13120</v>
          </cell>
          <cell r="Y1">
            <v>0</v>
          </cell>
          <cell r="Z1">
            <v>0</v>
          </cell>
          <cell r="AA1">
            <v>0</v>
          </cell>
          <cell r="AB1">
            <v>4200</v>
          </cell>
          <cell r="AC1">
            <v>5652</v>
          </cell>
          <cell r="AD1">
            <v>167</v>
          </cell>
          <cell r="AE1">
            <v>0</v>
          </cell>
          <cell r="AF1">
            <v>0</v>
          </cell>
          <cell r="AG1">
            <v>0</v>
          </cell>
          <cell r="AH1">
            <v>2101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9">
        <row r="1">
          <cell r="F1">
            <v>41940</v>
          </cell>
          <cell r="G1">
            <v>0</v>
          </cell>
          <cell r="H1">
            <v>0</v>
          </cell>
          <cell r="I1">
            <v>0</v>
          </cell>
          <cell r="J1">
            <v>35440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5000</v>
          </cell>
          <cell r="Q1">
            <v>0</v>
          </cell>
        </row>
        <row r="1">
          <cell r="X1">
            <v>15453</v>
          </cell>
          <cell r="Y1">
            <v>0</v>
          </cell>
          <cell r="Z1">
            <v>0</v>
          </cell>
          <cell r="AA1">
            <v>0</v>
          </cell>
          <cell r="AB1">
            <v>4000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3000</v>
          </cell>
          <cell r="AM1">
            <v>1000</v>
          </cell>
          <cell r="AN1">
            <v>300</v>
          </cell>
        </row>
      </sheetData>
      <sheetData sheetId="10">
        <row r="1">
          <cell r="F1">
            <v>34360</v>
          </cell>
          <cell r="G1">
            <v>0</v>
          </cell>
          <cell r="H1">
            <v>0</v>
          </cell>
          <cell r="I1">
            <v>0</v>
          </cell>
          <cell r="J1">
            <v>34360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12553</v>
          </cell>
          <cell r="Y1">
            <v>0</v>
          </cell>
          <cell r="Z1">
            <v>0</v>
          </cell>
          <cell r="AA1">
            <v>0</v>
          </cell>
          <cell r="AB1">
            <v>4400</v>
          </cell>
          <cell r="AC1">
            <v>5652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1000</v>
          </cell>
          <cell r="AN1">
            <v>0</v>
          </cell>
        </row>
      </sheetData>
      <sheetData sheetId="11">
        <row r="1">
          <cell r="F1">
            <v>20960</v>
          </cell>
          <cell r="G1">
            <v>0</v>
          </cell>
          <cell r="H1">
            <v>0</v>
          </cell>
          <cell r="I1">
            <v>0</v>
          </cell>
          <cell r="J1">
            <v>20960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23078</v>
          </cell>
          <cell r="Y1">
            <v>0</v>
          </cell>
          <cell r="Z1">
            <v>0</v>
          </cell>
          <cell r="AA1">
            <v>0</v>
          </cell>
          <cell r="AB1">
            <v>3800</v>
          </cell>
          <cell r="AC1">
            <v>5652</v>
          </cell>
          <cell r="AD1">
            <v>125</v>
          </cell>
          <cell r="AE1">
            <v>0</v>
          </cell>
          <cell r="AF1">
            <v>0</v>
          </cell>
          <cell r="AG1">
            <v>0</v>
          </cell>
          <cell r="AH1">
            <v>1501</v>
          </cell>
          <cell r="AI1">
            <v>0</v>
          </cell>
          <cell r="AJ1">
            <v>0</v>
          </cell>
          <cell r="AK1">
            <v>0</v>
          </cell>
          <cell r="AL1">
            <v>6000</v>
          </cell>
          <cell r="AM1">
            <v>1000</v>
          </cell>
          <cell r="AN1">
            <v>5000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125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150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35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35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180</v>
          </cell>
          <cell r="Y1">
            <v>0</v>
          </cell>
          <cell r="Z1">
            <v>0</v>
          </cell>
          <cell r="AA1">
            <v>0</v>
          </cell>
          <cell r="AB1">
            <v>180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120</v>
          </cell>
          <cell r="Y1">
            <v>0</v>
          </cell>
          <cell r="Z1">
            <v>0</v>
          </cell>
          <cell r="AA1">
            <v>0</v>
          </cell>
          <cell r="AB1">
            <v>120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240</v>
          </cell>
          <cell r="Y1">
            <v>0</v>
          </cell>
          <cell r="Z1">
            <v>0</v>
          </cell>
          <cell r="AA1">
            <v>0</v>
          </cell>
          <cell r="AB1">
            <v>240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15</v>
          </cell>
          <cell r="V1">
            <v>0</v>
          </cell>
          <cell r="W1">
            <v>0</v>
          </cell>
          <cell r="X1">
            <v>0</v>
          </cell>
          <cell r="Y1">
            <v>15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100</v>
          </cell>
          <cell r="G1">
            <v>100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25</v>
          </cell>
          <cell r="V1">
            <v>0</v>
          </cell>
          <cell r="W1">
            <v>0</v>
          </cell>
          <cell r="X1">
            <v>0</v>
          </cell>
          <cell r="Y1">
            <v>25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18</v>
          </cell>
          <cell r="V1">
            <v>0</v>
          </cell>
          <cell r="W1">
            <v>0</v>
          </cell>
          <cell r="X1">
            <v>0</v>
          </cell>
          <cell r="Y1">
            <v>18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50</v>
          </cell>
          <cell r="V1">
            <v>0</v>
          </cell>
          <cell r="W1">
            <v>0</v>
          </cell>
          <cell r="X1">
            <v>0</v>
          </cell>
          <cell r="Y1">
            <v>50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12</v>
          </cell>
          <cell r="V1">
            <v>0</v>
          </cell>
          <cell r="W1">
            <v>0</v>
          </cell>
          <cell r="X1">
            <v>0</v>
          </cell>
          <cell r="Y1">
            <v>12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100</v>
          </cell>
        </row>
        <row r="3">
          <cell r="G3">
            <v>100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6748</v>
          </cell>
          <cell r="N1">
            <v>800</v>
          </cell>
          <cell r="O1">
            <v>296</v>
          </cell>
          <cell r="P1">
            <v>0</v>
          </cell>
          <cell r="Q1">
            <v>0</v>
          </cell>
        </row>
        <row r="1">
          <cell r="T1">
            <v>577.2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I2" s="2"/>
      <c r="J2" s="2" t="s">
        <v>2</v>
      </c>
      <c r="K2" s="2"/>
      <c r="L2" s="2"/>
      <c r="M2" s="2"/>
      <c r="N2" s="2"/>
      <c r="O2" s="4" t="s">
        <v>3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4</v>
      </c>
      <c r="D3" s="2"/>
      <c r="E3" s="5" t="s">
        <v>5</v>
      </c>
      <c r="F3" s="5"/>
      <c r="G3" s="5"/>
      <c r="H3" s="5"/>
      <c r="I3" s="2"/>
      <c r="J3" s="3" t="s">
        <v>6</v>
      </c>
      <c r="K3" s="3"/>
      <c r="L3" s="3"/>
      <c r="M3" s="3"/>
      <c r="N3" s="3"/>
      <c r="O3" s="6" t="s">
        <v>7</v>
      </c>
      <c r="P3" s="6"/>
      <c r="Q3" s="6"/>
      <c r="R3" s="2"/>
    </row>
    <row r="4" customFormat="false" ht="10.5" hidden="false" customHeight="true" outlineLevel="0" collapsed="false">
      <c r="A4" s="2"/>
      <c r="B4" s="2"/>
      <c r="C4" s="2" t="s">
        <v>8</v>
      </c>
      <c r="D4" s="2"/>
      <c r="E4" s="3" t="s">
        <v>9</v>
      </c>
      <c r="F4" s="3"/>
      <c r="G4" s="3"/>
      <c r="H4" s="3"/>
      <c r="I4" s="2"/>
      <c r="J4" s="3" t="s">
        <v>10</v>
      </c>
      <c r="K4" s="3"/>
      <c r="L4" s="3"/>
      <c r="M4" s="3"/>
      <c r="N4" s="3"/>
      <c r="O4" s="2"/>
      <c r="P4" s="2"/>
      <c r="Q4" s="2"/>
      <c r="R4" s="2"/>
    </row>
    <row r="5" customFormat="false" ht="10.5" hidden="false" customHeight="true" outlineLevel="0" collapsed="false">
      <c r="A5" s="2"/>
      <c r="B5" s="2"/>
      <c r="C5" s="2" t="s">
        <v>11</v>
      </c>
      <c r="D5" s="2"/>
      <c r="E5" s="3" t="s">
        <v>12</v>
      </c>
      <c r="F5" s="3"/>
      <c r="G5" s="3"/>
      <c r="H5" s="3"/>
      <c r="I5" s="2"/>
      <c r="J5" s="3"/>
      <c r="K5" s="3"/>
      <c r="L5" s="3"/>
      <c r="M5" s="3"/>
      <c r="N5" s="3"/>
      <c r="O5" s="7" t="s">
        <v>13</v>
      </c>
      <c r="P5" s="7"/>
      <c r="Q5" s="8"/>
      <c r="R5" s="2"/>
    </row>
    <row r="6" customFormat="false" ht="10.5" hidden="false" customHeight="true" outlineLevel="0" collapsed="false">
      <c r="A6" s="2"/>
      <c r="B6" s="2"/>
      <c r="C6" s="2" t="s">
        <v>14</v>
      </c>
      <c r="D6" s="2"/>
      <c r="E6" s="3"/>
      <c r="F6" s="3"/>
      <c r="G6" s="3"/>
      <c r="H6" s="3"/>
      <c r="I6" s="2"/>
      <c r="J6" s="8"/>
      <c r="K6" s="8"/>
      <c r="L6" s="9" t="s">
        <v>15</v>
      </c>
      <c r="M6" s="9"/>
      <c r="N6" s="10" t="s">
        <v>16</v>
      </c>
      <c r="O6" s="11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2"/>
      <c r="F7" s="12"/>
      <c r="G7" s="12"/>
      <c r="H7" s="12"/>
      <c r="I7" s="2"/>
      <c r="J7" s="12"/>
      <c r="K7" s="12"/>
      <c r="L7" s="12"/>
      <c r="M7" s="12"/>
      <c r="N7" s="12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17</v>
      </c>
      <c r="D8" s="2"/>
      <c r="E8" s="3" t="s">
        <v>18</v>
      </c>
      <c r="F8" s="3"/>
      <c r="G8" s="3"/>
      <c r="H8" s="3"/>
      <c r="I8" s="3"/>
      <c r="J8" s="2"/>
      <c r="K8" s="13" t="s">
        <v>19</v>
      </c>
      <c r="L8" s="13"/>
      <c r="M8" s="13"/>
      <c r="N8" s="13"/>
      <c r="O8" s="13"/>
      <c r="P8" s="14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2"/>
      <c r="F9" s="12"/>
      <c r="G9" s="12"/>
      <c r="H9" s="12"/>
      <c r="I9" s="2"/>
      <c r="J9" s="12"/>
      <c r="K9" s="12"/>
      <c r="L9" s="12"/>
      <c r="M9" s="12"/>
      <c r="N9" s="12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5" t="s">
        <v>20</v>
      </c>
      <c r="D10" s="2"/>
      <c r="E10" s="16" t="s">
        <v>21</v>
      </c>
      <c r="F10" s="12"/>
      <c r="G10" s="17" t="s">
        <v>22</v>
      </c>
      <c r="H10" s="17"/>
      <c r="I10" s="17"/>
      <c r="J10" s="17"/>
      <c r="K10" s="17"/>
      <c r="L10" s="18"/>
      <c r="M10" s="17" t="s">
        <v>23</v>
      </c>
      <c r="N10" s="17"/>
      <c r="O10" s="17"/>
      <c r="P10" s="17"/>
      <c r="Q10" s="17"/>
      <c r="R10" s="2"/>
    </row>
    <row r="11" s="21" customFormat="true" ht="19.4" hidden="false" customHeight="false" outlineLevel="0" collapsed="false">
      <c r="A11" s="12"/>
      <c r="B11" s="12" t="s">
        <v>24</v>
      </c>
      <c r="C11" s="12"/>
      <c r="D11" s="12"/>
      <c r="E11" s="16"/>
      <c r="F11" s="19"/>
      <c r="G11" s="20" t="s">
        <v>25</v>
      </c>
      <c r="H11" s="12" t="s">
        <v>26</v>
      </c>
      <c r="I11" s="12" t="s">
        <v>27</v>
      </c>
      <c r="J11" s="12" t="s">
        <v>28</v>
      </c>
      <c r="K11" s="12" t="s">
        <v>29</v>
      </c>
      <c r="L11" s="12"/>
      <c r="M11" s="12" t="s">
        <v>25</v>
      </c>
      <c r="N11" s="12" t="s">
        <v>26</v>
      </c>
      <c r="O11" s="12" t="s">
        <v>27</v>
      </c>
      <c r="P11" s="12" t="s">
        <v>28</v>
      </c>
      <c r="Q11" s="12" t="s">
        <v>29</v>
      </c>
      <c r="R11" s="12"/>
    </row>
    <row r="12" customFormat="false" ht="12.65" hidden="false" customHeight="false" outlineLevel="0" collapsed="false">
      <c r="A12" s="2"/>
      <c r="B12" s="2"/>
      <c r="C12" s="22" t="s">
        <v>30</v>
      </c>
      <c r="D12" s="22"/>
      <c r="E12" s="2"/>
      <c r="F12" s="2"/>
      <c r="G12" s="23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customFormat="false" ht="10.5" hidden="false" customHeight="false" outlineLevel="0" collapsed="false">
      <c r="A13" s="2"/>
      <c r="B13" s="24" t="n">
        <f aca="false">E13-G13-H13-I13-J13-K13+M13+N13+O13+P13+Q13</f>
        <v>0</v>
      </c>
      <c r="C13" s="2" t="s">
        <v>31</v>
      </c>
      <c r="D13" s="2"/>
      <c r="E13" s="8" t="n">
        <v>22902</v>
      </c>
      <c r="F13" s="2"/>
      <c r="G13" s="8"/>
      <c r="H13" s="8"/>
      <c r="I13" s="8"/>
      <c r="J13" s="8" t="n">
        <v>3000</v>
      </c>
      <c r="K13" s="8" t="n">
        <v>30000</v>
      </c>
      <c r="L13" s="2"/>
      <c r="M13" s="8"/>
      <c r="N13" s="8"/>
      <c r="O13" s="8"/>
      <c r="P13" s="8" t="n">
        <v>270</v>
      </c>
      <c r="Q13" s="8" t="n">
        <v>9828</v>
      </c>
      <c r="R13" s="2"/>
    </row>
    <row r="14" customFormat="false" ht="10.5" hidden="false" customHeight="false" outlineLevel="0" collapsed="false">
      <c r="A14" s="2"/>
      <c r="B14" s="2"/>
      <c r="C14" s="22" t="s">
        <v>32</v>
      </c>
      <c r="D14" s="2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customFormat="false" ht="10.5" hidden="false" customHeight="false" outlineLevel="0" collapsed="false">
      <c r="A15" s="2"/>
      <c r="B15" s="2"/>
      <c r="C15" s="2" t="s">
        <v>33</v>
      </c>
      <c r="D15" s="2"/>
      <c r="E15" s="8" t="n">
        <v>10000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customFormat="false" ht="11.25" hidden="false" customHeight="true" outlineLevel="0" collapsed="false">
      <c r="A16" s="2"/>
      <c r="B16" s="2"/>
      <c r="C16" s="2" t="s">
        <v>34</v>
      </c>
      <c r="D16" s="2"/>
      <c r="E16" s="8" t="n">
        <v>10800</v>
      </c>
      <c r="F16" s="2"/>
      <c r="G16" s="18"/>
      <c r="H16" s="18"/>
      <c r="I16" s="18"/>
      <c r="J16" s="18"/>
      <c r="K16" s="2"/>
      <c r="L16" s="2"/>
      <c r="M16" s="2"/>
      <c r="N16" s="2"/>
      <c r="O16" s="2"/>
      <c r="P16" s="2"/>
      <c r="Q16" s="2"/>
      <c r="R16" s="2"/>
    </row>
    <row r="17" customFormat="false" ht="19.4" hidden="false" customHeight="false" outlineLevel="0" collapsed="false">
      <c r="A17" s="2"/>
      <c r="B17" s="2"/>
      <c r="C17" s="2"/>
      <c r="D17" s="2"/>
      <c r="E17" s="2"/>
      <c r="F17" s="2"/>
      <c r="G17" s="18" t="s">
        <v>35</v>
      </c>
      <c r="H17" s="18" t="s">
        <v>36</v>
      </c>
      <c r="I17" s="18" t="s">
        <v>37</v>
      </c>
      <c r="J17" s="18" t="s">
        <v>38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39</v>
      </c>
      <c r="D18" s="2"/>
      <c r="E18" s="8" t="n">
        <v>30500</v>
      </c>
      <c r="F18" s="2"/>
      <c r="G18" s="8" t="n">
        <v>25000</v>
      </c>
      <c r="H18" s="8" t="n">
        <v>5000</v>
      </c>
      <c r="I18" s="8"/>
      <c r="J18" s="8" t="n">
        <v>500</v>
      </c>
      <c r="K18" s="25" t="s">
        <v>40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2" t="s">
        <v>41</v>
      </c>
      <c r="D19" s="22"/>
      <c r="E19" s="2"/>
      <c r="F19" s="2"/>
      <c r="G19" s="2"/>
      <c r="H19" s="2"/>
      <c r="I19" s="2"/>
      <c r="J19" s="2"/>
      <c r="K19" s="25"/>
      <c r="L19" s="25"/>
      <c r="M19" s="25"/>
      <c r="N19" s="25"/>
      <c r="O19" s="25"/>
      <c r="P19" s="2"/>
      <c r="Q19" s="2"/>
      <c r="R19" s="2"/>
    </row>
    <row r="20" customFormat="false" ht="10.5" hidden="false" customHeight="false" outlineLevel="0" collapsed="false">
      <c r="A20" s="2"/>
      <c r="B20" s="2"/>
      <c r="C20" s="2" t="s">
        <v>42</v>
      </c>
      <c r="D20" s="2"/>
      <c r="E20" s="8" t="n">
        <v>2400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customFormat="false" ht="10.5" hidden="false" customHeight="false" outlineLevel="0" collapsed="false">
      <c r="A21" s="2"/>
      <c r="B21" s="2"/>
      <c r="C21" s="2" t="s">
        <v>43</v>
      </c>
      <c r="D21" s="2"/>
      <c r="E21" s="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44</v>
      </c>
      <c r="D22" s="2"/>
      <c r="E22" s="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45</v>
      </c>
      <c r="D23" s="2"/>
      <c r="E23" s="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46</v>
      </c>
      <c r="D24" s="2"/>
      <c r="E24" s="8" t="n">
        <v>4500</v>
      </c>
      <c r="F24" s="2"/>
      <c r="G24" s="18"/>
      <c r="H24" s="18"/>
      <c r="I24" s="18"/>
      <c r="J24" s="2"/>
      <c r="K24" s="2"/>
      <c r="L24" s="2"/>
      <c r="M24" s="2"/>
      <c r="N24" s="2"/>
      <c r="O24" s="2"/>
      <c r="P24" s="2"/>
      <c r="Q24" s="2"/>
      <c r="R24" s="2"/>
    </row>
    <row r="25" customFormat="false" ht="10.5" hidden="false" customHeight="false" outlineLevel="0" collapsed="false">
      <c r="A25" s="2"/>
      <c r="B25" s="2"/>
      <c r="C25" s="2"/>
      <c r="D25" s="2"/>
      <c r="E25" s="2"/>
      <c r="F25" s="2"/>
      <c r="G25" s="2" t="s">
        <v>47</v>
      </c>
      <c r="H25" s="2" t="s">
        <v>48</v>
      </c>
      <c r="I25" s="2" t="s">
        <v>49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50</v>
      </c>
      <c r="D26" s="2"/>
      <c r="E26" s="8" t="n">
        <v>1500</v>
      </c>
      <c r="F26" s="2"/>
      <c r="G26" s="8"/>
      <c r="H26" s="8" t="n">
        <v>1500</v>
      </c>
      <c r="I26" s="8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2" t="s">
        <v>51</v>
      </c>
      <c r="D28" s="22"/>
      <c r="E28" s="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2" t="s">
        <v>52</v>
      </c>
      <c r="D29" s="2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customFormat="false" ht="10.5" hidden="false" customHeight="false" outlineLevel="0" collapsed="false">
      <c r="A30" s="2"/>
      <c r="B30" s="2"/>
      <c r="C30" s="2" t="s">
        <v>53</v>
      </c>
      <c r="D30" s="2"/>
      <c r="E30" s="8" t="n">
        <v>20000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customFormat="false" ht="10.5" hidden="false" customHeight="false" outlineLevel="0" collapsed="false">
      <c r="A31" s="2"/>
      <c r="B31" s="2"/>
      <c r="C31" s="22" t="s">
        <v>54</v>
      </c>
      <c r="D31" s="22"/>
      <c r="E31" s="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customFormat="false" ht="10.5" hidden="false" customHeight="false" outlineLevel="0" collapsed="false">
      <c r="A32" s="2"/>
      <c r="B32" s="2"/>
      <c r="C32" s="22" t="s">
        <v>55</v>
      </c>
      <c r="D32" s="2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56</v>
      </c>
      <c r="D33" s="2"/>
      <c r="E33" s="8" t="n">
        <v>100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57</v>
      </c>
      <c r="D34" s="2"/>
      <c r="E34" s="8" t="n">
        <v>45702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58</v>
      </c>
      <c r="D35" s="2"/>
      <c r="E35" s="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59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60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61</v>
      </c>
      <c r="D43" s="2"/>
      <c r="E43" s="8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62</v>
      </c>
      <c r="D44" s="2"/>
      <c r="E44" s="8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61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63</v>
      </c>
      <c r="D46" s="2"/>
      <c r="E46" s="8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64</v>
      </c>
      <c r="D47" s="2"/>
      <c r="E47" s="8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65</v>
      </c>
      <c r="D48" s="2"/>
      <c r="E48" s="8" t="n">
        <f aca="false">E15</f>
        <v>10000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66</v>
      </c>
      <c r="D49" s="2"/>
      <c r="E49" s="8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67</v>
      </c>
      <c r="D50" s="2"/>
      <c r="E50" s="2"/>
      <c r="F50" s="2"/>
      <c r="G50" s="24" t="n">
        <f aca="false">E46+E47-E48+E49</f>
        <v>-10000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68</v>
      </c>
      <c r="D52" s="2"/>
      <c r="E52" s="2"/>
      <c r="F52" s="2"/>
      <c r="G52" s="24" t="n">
        <f aca="false">G45-G50</f>
        <v>10000</v>
      </c>
      <c r="H52" s="2"/>
    </row>
    <row r="53" customFormat="false" ht="10.5" hidden="false" customHeight="false" outlineLevel="0" collapsed="false">
      <c r="A53" s="2"/>
      <c r="B53" s="2"/>
      <c r="C53" s="32" t="s">
        <v>69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70</v>
      </c>
      <c r="D54" s="2"/>
      <c r="E54" s="8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71</v>
      </c>
      <c r="D55" s="2"/>
      <c r="E55" s="8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72</v>
      </c>
      <c r="D56" s="2"/>
      <c r="E56" s="8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73</v>
      </c>
      <c r="D57" s="2"/>
      <c r="E57" s="8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74</v>
      </c>
      <c r="D58" s="2"/>
      <c r="E58" s="8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75</v>
      </c>
      <c r="D59" s="2"/>
      <c r="E59" s="8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76</v>
      </c>
      <c r="D60" s="2"/>
      <c r="E60" s="8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77</v>
      </c>
      <c r="D61" s="2"/>
      <c r="E61" s="8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78</v>
      </c>
      <c r="D62" s="2"/>
      <c r="E62" s="8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79</v>
      </c>
      <c r="D63" s="2"/>
      <c r="E63" s="8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80</v>
      </c>
      <c r="D64" s="2"/>
      <c r="E64" s="8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81</v>
      </c>
      <c r="D65" s="2"/>
      <c r="E65" s="8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82</v>
      </c>
      <c r="D66" s="2"/>
      <c r="E66" s="8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83</v>
      </c>
      <c r="D67" s="2"/>
      <c r="E67" s="8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84</v>
      </c>
      <c r="D68" s="2"/>
      <c r="E68" s="8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85</v>
      </c>
      <c r="D69" s="2"/>
      <c r="E69" s="8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86</v>
      </c>
      <c r="D70" s="2"/>
      <c r="E70" s="8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87</v>
      </c>
      <c r="D71" s="2"/>
      <c r="E71" s="8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88</v>
      </c>
      <c r="D72" s="2"/>
      <c r="E72" s="8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89</v>
      </c>
      <c r="D73" s="2"/>
      <c r="E73" s="8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90</v>
      </c>
      <c r="D74" s="2"/>
      <c r="E74" s="8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91</v>
      </c>
      <c r="D75" s="2"/>
      <c r="E75" s="8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92</v>
      </c>
      <c r="D76" s="2"/>
      <c r="E76" s="8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69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93</v>
      </c>
      <c r="D79" s="2"/>
      <c r="E79" s="2"/>
      <c r="F79" s="2"/>
      <c r="G79" s="24" t="n">
        <f aca="false">G52-G77</f>
        <v>10000</v>
      </c>
      <c r="H79" s="2"/>
    </row>
    <row r="80" customFormat="false" ht="10.5" hidden="false" customHeight="false" outlineLevel="0" collapsed="false">
      <c r="B80" s="2"/>
      <c r="C80" s="30" t="s">
        <v>94</v>
      </c>
      <c r="D80" s="2"/>
      <c r="E80" s="8"/>
      <c r="F80" s="2"/>
      <c r="G80" s="2"/>
      <c r="H80" s="2"/>
    </row>
    <row r="81" customFormat="false" ht="10.5" hidden="false" customHeight="false" outlineLevel="0" collapsed="false">
      <c r="B81" s="2"/>
      <c r="C81" s="32" t="s">
        <v>95</v>
      </c>
      <c r="D81" s="2"/>
      <c r="E81" s="2"/>
      <c r="F81" s="2"/>
      <c r="G81" s="24" t="n">
        <f aca="false">G79+E80</f>
        <v>10000</v>
      </c>
      <c r="H81" s="2"/>
    </row>
    <row r="82" customFormat="false" ht="10.5" hidden="false" customHeight="false" outlineLevel="0" collapsed="false">
      <c r="B82" s="2"/>
      <c r="C82" s="30" t="s">
        <v>96</v>
      </c>
      <c r="D82" s="2"/>
      <c r="E82" s="8"/>
      <c r="F82" s="2"/>
      <c r="G82" s="2"/>
      <c r="H82" s="2"/>
    </row>
    <row r="83" customFormat="false" ht="10.5" hidden="false" customHeight="false" outlineLevel="0" collapsed="false">
      <c r="B83" s="2"/>
      <c r="C83" s="32" t="s">
        <v>97</v>
      </c>
      <c r="D83" s="2"/>
      <c r="E83" s="2"/>
      <c r="F83" s="2"/>
      <c r="G83" s="24" t="n">
        <f aca="false">G81-E82</f>
        <v>10000</v>
      </c>
      <c r="H83" s="2"/>
    </row>
    <row r="84" customFormat="false" ht="10.5" hidden="false" customHeight="false" outlineLevel="0" collapsed="false">
      <c r="B84" s="2"/>
      <c r="C84" s="30" t="s">
        <v>98</v>
      </c>
      <c r="D84" s="2"/>
      <c r="E84" s="8"/>
      <c r="F84" s="2"/>
      <c r="G84" s="2"/>
      <c r="H84" s="2"/>
    </row>
    <row r="85" customFormat="false" ht="10.5" hidden="false" customHeight="false" outlineLevel="0" collapsed="false">
      <c r="B85" s="2"/>
      <c r="C85" s="32" t="s">
        <v>99</v>
      </c>
      <c r="D85" s="2"/>
      <c r="E85" s="2"/>
      <c r="F85" s="2"/>
      <c r="G85" s="24" t="n">
        <f aca="false">G83-E84</f>
        <v>10000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100</v>
      </c>
      <c r="C1" s="39" t="s">
        <v>101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102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103</v>
      </c>
      <c r="C2" s="39"/>
      <c r="D2" s="45" t="s">
        <v>104</v>
      </c>
      <c r="E2" s="39"/>
      <c r="F2" s="39" t="s">
        <v>105</v>
      </c>
      <c r="G2" s="39" t="s">
        <v>64</v>
      </c>
      <c r="H2" s="39" t="s">
        <v>106</v>
      </c>
      <c r="I2" s="39" t="s">
        <v>107</v>
      </c>
      <c r="J2" s="39" t="s">
        <v>108</v>
      </c>
      <c r="K2" s="39" t="s">
        <v>38</v>
      </c>
      <c r="L2" s="39" t="s">
        <v>109</v>
      </c>
      <c r="M2" s="39" t="s">
        <v>110</v>
      </c>
      <c r="N2" s="39"/>
      <c r="O2" s="45" t="s">
        <v>111</v>
      </c>
      <c r="P2" s="39"/>
      <c r="Q2" s="39" t="s">
        <v>105</v>
      </c>
      <c r="R2" s="39" t="s">
        <v>64</v>
      </c>
      <c r="S2" s="39" t="s">
        <v>106</v>
      </c>
      <c r="T2" s="39" t="s">
        <v>107</v>
      </c>
      <c r="U2" s="39" t="s">
        <v>108</v>
      </c>
      <c r="V2" s="39" t="s">
        <v>38</v>
      </c>
      <c r="W2" s="39" t="s">
        <v>109</v>
      </c>
      <c r="X2" s="39" t="s">
        <v>110</v>
      </c>
      <c r="Y2" s="39"/>
      <c r="Z2" s="45" t="s">
        <v>111</v>
      </c>
      <c r="AA2" s="39"/>
      <c r="AB2" s="39" t="s">
        <v>105</v>
      </c>
      <c r="AC2" s="39" t="s">
        <v>64</v>
      </c>
      <c r="AD2" s="39" t="s">
        <v>106</v>
      </c>
      <c r="AE2" s="39" t="s">
        <v>107</v>
      </c>
      <c r="AF2" s="39" t="s">
        <v>108</v>
      </c>
      <c r="AG2" s="39" t="s">
        <v>38</v>
      </c>
      <c r="AH2" s="39" t="s">
        <v>109</v>
      </c>
      <c r="AI2" s="39" t="s">
        <v>110</v>
      </c>
      <c r="AJ2" s="39"/>
      <c r="AK2" s="45" t="s">
        <v>111</v>
      </c>
      <c r="AL2" s="39"/>
      <c r="AM2" s="39" t="s">
        <v>105</v>
      </c>
      <c r="AN2" s="39" t="s">
        <v>64</v>
      </c>
      <c r="AO2" s="39" t="s">
        <v>106</v>
      </c>
      <c r="AP2" s="39" t="s">
        <v>107</v>
      </c>
      <c r="AQ2" s="39" t="s">
        <v>108</v>
      </c>
      <c r="AR2" s="39" t="s">
        <v>38</v>
      </c>
      <c r="AS2" s="39" t="s">
        <v>109</v>
      </c>
      <c r="AT2" s="39" t="s">
        <v>110</v>
      </c>
      <c r="AU2" s="39"/>
      <c r="AV2" s="45" t="s">
        <v>111</v>
      </c>
      <c r="AW2" s="39"/>
      <c r="AX2" s="39" t="s">
        <v>105</v>
      </c>
      <c r="AY2" s="39" t="s">
        <v>64</v>
      </c>
      <c r="AZ2" s="39" t="s">
        <v>106</v>
      </c>
      <c r="BA2" s="39" t="s">
        <v>107</v>
      </c>
      <c r="BB2" s="39" t="s">
        <v>108</v>
      </c>
      <c r="BC2" s="39" t="s">
        <v>38</v>
      </c>
      <c r="BD2" s="39" t="s">
        <v>109</v>
      </c>
      <c r="BE2" s="39" t="s">
        <v>110</v>
      </c>
      <c r="BF2" s="39"/>
      <c r="BG2" s="45" t="s">
        <v>111</v>
      </c>
      <c r="BH2" s="39"/>
      <c r="BI2" s="39" t="s">
        <v>105</v>
      </c>
      <c r="BJ2" s="39" t="s">
        <v>64</v>
      </c>
      <c r="BK2" s="39" t="s">
        <v>106</v>
      </c>
      <c r="BL2" s="39" t="s">
        <v>107</v>
      </c>
      <c r="BM2" s="39" t="s">
        <v>108</v>
      </c>
      <c r="BN2" s="39" t="s">
        <v>38</v>
      </c>
      <c r="BO2" s="39" t="s">
        <v>109</v>
      </c>
      <c r="BP2" s="39" t="s">
        <v>110</v>
      </c>
      <c r="BQ2" s="39"/>
      <c r="BR2" s="45" t="s">
        <v>111</v>
      </c>
      <c r="BS2" s="39"/>
      <c r="BT2" s="39" t="s">
        <v>105</v>
      </c>
      <c r="BU2" s="39" t="s">
        <v>64</v>
      </c>
      <c r="BV2" s="39" t="s">
        <v>106</v>
      </c>
      <c r="BW2" s="39" t="s">
        <v>107</v>
      </c>
      <c r="BX2" s="39" t="s">
        <v>108</v>
      </c>
      <c r="BY2" s="39" t="s">
        <v>38</v>
      </c>
      <c r="BZ2" s="39" t="s">
        <v>109</v>
      </c>
      <c r="CA2" s="39" t="s">
        <v>110</v>
      </c>
      <c r="CB2" s="39"/>
      <c r="CC2" s="45" t="s">
        <v>111</v>
      </c>
      <c r="CD2" s="39"/>
      <c r="CE2" s="39" t="s">
        <v>105</v>
      </c>
      <c r="CF2" s="39" t="s">
        <v>64</v>
      </c>
      <c r="CG2" s="39" t="s">
        <v>106</v>
      </c>
      <c r="CH2" s="39" t="s">
        <v>107</v>
      </c>
      <c r="CI2" s="39" t="s">
        <v>108</v>
      </c>
      <c r="CJ2" s="39" t="s">
        <v>38</v>
      </c>
      <c r="CK2" s="39" t="s">
        <v>109</v>
      </c>
      <c r="CL2" s="39" t="s">
        <v>110</v>
      </c>
      <c r="CM2" s="39"/>
      <c r="CN2" s="45" t="s">
        <v>111</v>
      </c>
      <c r="CO2" s="39"/>
      <c r="CP2" s="39" t="s">
        <v>105</v>
      </c>
      <c r="CQ2" s="39" t="s">
        <v>64</v>
      </c>
      <c r="CR2" s="39" t="s">
        <v>106</v>
      </c>
      <c r="CS2" s="39" t="s">
        <v>107</v>
      </c>
      <c r="CT2" s="39" t="s">
        <v>108</v>
      </c>
      <c r="CU2" s="39" t="s">
        <v>38</v>
      </c>
      <c r="CV2" s="39" t="s">
        <v>109</v>
      </c>
      <c r="CW2" s="39" t="s">
        <v>110</v>
      </c>
      <c r="CX2" s="39"/>
      <c r="CY2" s="45" t="s">
        <v>111</v>
      </c>
      <c r="CZ2" s="39"/>
      <c r="DA2" s="39" t="s">
        <v>105</v>
      </c>
      <c r="DB2" s="39" t="s">
        <v>64</v>
      </c>
      <c r="DC2" s="39" t="s">
        <v>106</v>
      </c>
      <c r="DD2" s="39" t="s">
        <v>107</v>
      </c>
      <c r="DE2" s="39" t="s">
        <v>108</v>
      </c>
      <c r="DF2" s="39" t="s">
        <v>38</v>
      </c>
      <c r="DG2" s="39" t="s">
        <v>109</v>
      </c>
      <c r="DH2" s="39" t="s">
        <v>110</v>
      </c>
      <c r="DI2" s="39"/>
      <c r="DJ2" s="45" t="s">
        <v>111</v>
      </c>
      <c r="DK2" s="39"/>
      <c r="DL2" s="39" t="s">
        <v>105</v>
      </c>
      <c r="DM2" s="39" t="s">
        <v>64</v>
      </c>
      <c r="DN2" s="39" t="s">
        <v>106</v>
      </c>
      <c r="DO2" s="39" t="s">
        <v>107</v>
      </c>
      <c r="DP2" s="39" t="s">
        <v>108</v>
      </c>
      <c r="DQ2" s="39" t="s">
        <v>38</v>
      </c>
      <c r="DR2" s="39" t="s">
        <v>109</v>
      </c>
      <c r="DS2" s="39" t="s">
        <v>110</v>
      </c>
      <c r="DT2" s="39"/>
      <c r="DU2" s="45" t="s">
        <v>111</v>
      </c>
      <c r="DV2" s="39"/>
      <c r="DW2" s="39" t="s">
        <v>105</v>
      </c>
      <c r="DX2" s="39" t="s">
        <v>64</v>
      </c>
      <c r="DY2" s="39" t="s">
        <v>106</v>
      </c>
      <c r="DZ2" s="39" t="s">
        <v>107</v>
      </c>
      <c r="EA2" s="39" t="s">
        <v>108</v>
      </c>
      <c r="EB2" s="39" t="s">
        <v>38</v>
      </c>
      <c r="EC2" s="39" t="s">
        <v>109</v>
      </c>
      <c r="ED2" s="39" t="s">
        <v>110</v>
      </c>
      <c r="EE2" s="39"/>
      <c r="EF2" s="45" t="s">
        <v>111</v>
      </c>
      <c r="EG2" s="39"/>
      <c r="EH2" s="39"/>
      <c r="EI2" s="39"/>
      <c r="EJ2" s="45" t="s">
        <v>112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113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114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115</v>
      </c>
      <c r="C6" s="56" t="s">
        <v>116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117</v>
      </c>
      <c r="C7" s="56" t="s">
        <v>118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32500</v>
      </c>
      <c r="EI7" s="54"/>
      <c r="EJ7" s="36" t="n">
        <f aca="false">SUM(EF7:EH7)</f>
        <v>32500</v>
      </c>
      <c r="EK7" s="54"/>
    </row>
    <row r="8" customFormat="false" ht="12" hidden="false" customHeight="false" outlineLevel="0" collapsed="false">
      <c r="A8" s="54"/>
      <c r="B8" s="54" t="s">
        <v>119</v>
      </c>
      <c r="C8" s="56" t="s">
        <v>120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121</v>
      </c>
      <c r="C9" s="56" t="s">
        <v>122</v>
      </c>
      <c r="D9" s="36" t="n">
        <f aca="false">OpenAccounts!J13</f>
        <v>3000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3000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3000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3000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3000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3000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3000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3000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3000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3000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3000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3000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3000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3000</v>
      </c>
      <c r="EK9" s="54"/>
    </row>
    <row r="10" customFormat="false" ht="12" hidden="false" customHeight="false" outlineLevel="0" collapsed="false">
      <c r="A10" s="54"/>
      <c r="B10" s="54" t="s">
        <v>123</v>
      </c>
      <c r="C10" s="56" t="s">
        <v>124</v>
      </c>
      <c r="D10" s="36" t="n">
        <f aca="false">OpenAccounts!K13</f>
        <v>30000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30000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30000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30000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30000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30000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30000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30000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30000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30000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30000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30000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30000</v>
      </c>
      <c r="EG10" s="54"/>
      <c r="EH10" s="36" t="n">
        <f aca="false">[1]Schedule!$E$108-([1]Schedule!$W$55+[1]Schedule!$W$108)</f>
        <v>-30000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125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126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-270.833333333333</v>
      </c>
      <c r="N12" s="57"/>
      <c r="O12" s="36" t="n">
        <f aca="false">SUM(D12:N12)</f>
        <v>-270.833333333333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-270.833333333333</v>
      </c>
      <c r="Y12" s="54"/>
      <c r="Z12" s="36" t="n">
        <f aca="false">SUM(O12:Y12)</f>
        <v>-541.666666666667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-270.833333333333</v>
      </c>
      <c r="AJ12" s="54"/>
      <c r="AK12" s="36" t="n">
        <f aca="false">SUM(Z12:AJ12)</f>
        <v>-812.5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-270.833333333333</v>
      </c>
      <c r="AU12" s="54"/>
      <c r="AV12" s="36" t="n">
        <f aca="false">SUM(AK12:AU12)</f>
        <v>-1083.33333333333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-270.833333333333</v>
      </c>
      <c r="BF12" s="54"/>
      <c r="BG12" s="36" t="n">
        <f aca="false">SUM(AV12:BF12)</f>
        <v>-1354.16666666667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-270.833333333333</v>
      </c>
      <c r="BQ12" s="54"/>
      <c r="BR12" s="36" t="n">
        <f aca="false">SUM(BG12:BQ12)</f>
        <v>-1625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-270.833333333333</v>
      </c>
      <c r="CB12" s="54"/>
      <c r="CC12" s="36" t="n">
        <f aca="false">SUM(BR12:CB12)</f>
        <v>-1895.83333333333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-270.833333333333</v>
      </c>
      <c r="CM12" s="54"/>
      <c r="CN12" s="36" t="n">
        <f aca="false">SUM(CC12:CM12)</f>
        <v>-2166.66666666667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-270.833333333333</v>
      </c>
      <c r="CX12" s="54"/>
      <c r="CY12" s="36" t="n">
        <f aca="false">SUM(CN12:CX12)</f>
        <v>-2437.5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-270.833333333333</v>
      </c>
      <c r="DI12" s="54"/>
      <c r="DJ12" s="36" t="n">
        <f aca="false">SUM(CY12:DI12)</f>
        <v>-2708.33333333333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-270.833333333333</v>
      </c>
      <c r="DT12" s="54"/>
      <c r="DU12" s="36" t="n">
        <f aca="false">SUM(DJ12:DT12)</f>
        <v>-2979.16666666667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-270.833333333333</v>
      </c>
      <c r="EE12" s="54"/>
      <c r="EF12" s="36" t="n">
        <f aca="false">SUM(DU12:EE12)</f>
        <v>-3250</v>
      </c>
      <c r="EG12" s="54"/>
      <c r="EH12" s="36" t="n">
        <f aca="false">[1]Schedule!$X$22+[1]Schedule!$X$75</f>
        <v>0</v>
      </c>
      <c r="EI12" s="54"/>
      <c r="EJ12" s="36" t="n">
        <f aca="false">SUM(EF12:EH12)</f>
        <v>-3250</v>
      </c>
      <c r="EK12" s="54"/>
    </row>
    <row r="13" customFormat="false" ht="12" hidden="false" customHeight="false" outlineLevel="0" collapsed="false">
      <c r="A13" s="54"/>
      <c r="B13" s="54" t="s">
        <v>127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128</v>
      </c>
      <c r="C14" s="56"/>
      <c r="D14" s="36" t="n">
        <f aca="false">-OpenAccounts!P13</f>
        <v>-270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-82.5</v>
      </c>
      <c r="N14" s="57"/>
      <c r="O14" s="36" t="n">
        <f aca="false">SUM(D14:N14)</f>
        <v>-352.5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-82.5</v>
      </c>
      <c r="Y14" s="54"/>
      <c r="Z14" s="36" t="n">
        <f aca="false">SUM(O14:Y14)</f>
        <v>-435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-82.5</v>
      </c>
      <c r="AJ14" s="54"/>
      <c r="AK14" s="36" t="n">
        <f aca="false">SUM(Z14:AJ14)</f>
        <v>-517.5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-82.5</v>
      </c>
      <c r="AU14" s="54"/>
      <c r="AV14" s="36" t="n">
        <f aca="false">SUM(AK14:AU14)</f>
        <v>-600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-82.5</v>
      </c>
      <c r="BF14" s="54"/>
      <c r="BG14" s="36" t="n">
        <f aca="false">SUM(AV14:BF14)</f>
        <v>-682.5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-82.5</v>
      </c>
      <c r="BQ14" s="54"/>
      <c r="BR14" s="36" t="n">
        <f aca="false">SUM(BG14:BQ14)</f>
        <v>-765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-82.5</v>
      </c>
      <c r="CB14" s="54"/>
      <c r="CC14" s="36" t="n">
        <f aca="false">SUM(BR14:CB14)</f>
        <v>-847.5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-82.5</v>
      </c>
      <c r="CM14" s="54"/>
      <c r="CN14" s="36" t="n">
        <f aca="false">SUM(CC14:CM14)</f>
        <v>-930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-82.5</v>
      </c>
      <c r="CX14" s="54"/>
      <c r="CY14" s="36" t="n">
        <f aca="false">SUM(CN14:CX14)</f>
        <v>-1012.5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-82.5</v>
      </c>
      <c r="DI14" s="54"/>
      <c r="DJ14" s="36" t="n">
        <f aca="false">SUM(CY14:DI14)</f>
        <v>-1095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-82.5</v>
      </c>
      <c r="DT14" s="54"/>
      <c r="DU14" s="36" t="n">
        <f aca="false">SUM(DJ14:DT14)</f>
        <v>-1177.5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-82.5</v>
      </c>
      <c r="EE14" s="54"/>
      <c r="EF14" s="36" t="n">
        <f aca="false">SUM(DU14:EE14)</f>
        <v>-1260</v>
      </c>
      <c r="EG14" s="54"/>
      <c r="EH14" s="36" t="n">
        <f aca="false">[1]Schedule!$X$41+[1]Schedule!$X$94</f>
        <v>0</v>
      </c>
      <c r="EI14" s="54"/>
      <c r="EJ14" s="36" t="n">
        <f aca="false">SUM(EF14:EH14)</f>
        <v>-1260</v>
      </c>
      <c r="EK14" s="54"/>
    </row>
    <row r="15" customFormat="false" ht="12" hidden="false" customHeight="false" outlineLevel="0" collapsed="false">
      <c r="A15" s="54"/>
      <c r="B15" s="54" t="s">
        <v>129</v>
      </c>
      <c r="C15" s="56"/>
      <c r="D15" s="36" t="n">
        <f aca="false">-OpenAccounts!Q13</f>
        <v>-9828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-625</v>
      </c>
      <c r="N15" s="57"/>
      <c r="O15" s="36" t="n">
        <f aca="false">SUM(D15:N15)</f>
        <v>-10453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-625</v>
      </c>
      <c r="Y15" s="54"/>
      <c r="Z15" s="36" t="n">
        <f aca="false">SUM(O15:Y15)</f>
        <v>-11078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-625</v>
      </c>
      <c r="AJ15" s="54"/>
      <c r="AK15" s="36" t="n">
        <f aca="false">SUM(Z15:AJ15)</f>
        <v>-11703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-625</v>
      </c>
      <c r="AU15" s="54"/>
      <c r="AV15" s="36" t="n">
        <f aca="false">SUM(AK15:AU15)</f>
        <v>-12328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-625</v>
      </c>
      <c r="BF15" s="54"/>
      <c r="BG15" s="36" t="n">
        <f aca="false">SUM(AV15:BF15)</f>
        <v>-12953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-625</v>
      </c>
      <c r="BQ15" s="54"/>
      <c r="BR15" s="36" t="n">
        <f aca="false">SUM(BG15:BQ15)</f>
        <v>-13578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-625</v>
      </c>
      <c r="CB15" s="54"/>
      <c r="CC15" s="36" t="n">
        <f aca="false">SUM(BR15:CB15)</f>
        <v>-14203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-625</v>
      </c>
      <c r="CM15" s="54"/>
      <c r="CN15" s="36" t="n">
        <f aca="false">SUM(CC15:CM15)</f>
        <v>-14828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-625</v>
      </c>
      <c r="CX15" s="54"/>
      <c r="CY15" s="36" t="n">
        <f aca="false">SUM(CN15:CX15)</f>
        <v>-15453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-625</v>
      </c>
      <c r="DI15" s="54"/>
      <c r="DJ15" s="36" t="n">
        <f aca="false">SUM(CY15:DI15)</f>
        <v>-16078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-625</v>
      </c>
      <c r="DT15" s="54"/>
      <c r="DU15" s="36" t="n">
        <f aca="false">SUM(DJ15:DT15)</f>
        <v>-16703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-625</v>
      </c>
      <c r="EE15" s="54"/>
      <c r="EF15" s="36" t="n">
        <f aca="false">SUM(DU15:EE15)</f>
        <v>-17328</v>
      </c>
      <c r="EG15" s="54"/>
      <c r="EH15" s="36" t="n">
        <f aca="false">[1]Schedule!$X$55+[1]Schedule!$X$108</f>
        <v>17328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130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1500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1500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1500</v>
      </c>
      <c r="AL16" s="57"/>
      <c r="AM16" s="36"/>
      <c r="AN16" s="36" t="n">
        <f aca="false">[2]Jan!$AI$1</f>
        <v>1000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2500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2500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2500</v>
      </c>
      <c r="BS16" s="57"/>
      <c r="BT16" s="36"/>
      <c r="BU16" s="36" t="n">
        <f aca="false">[2]Apr!$AI$1</f>
        <v>30000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32500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32500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32500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32500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32500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32500</v>
      </c>
      <c r="EG16" s="54"/>
      <c r="EH16" s="36" t="n">
        <f aca="false">-[1]Schedule!$E$110</f>
        <v>-32500</v>
      </c>
      <c r="EI16" s="54"/>
      <c r="EJ16" s="36" t="n">
        <f aca="false">SUM(EF16:EH16)</f>
        <v>0</v>
      </c>
      <c r="EK16" s="54"/>
    </row>
    <row r="17" customFormat="false" ht="12" hidden="false" customHeight="false" outlineLevel="0" collapsed="false">
      <c r="A17" s="54"/>
      <c r="B17" s="54" t="s">
        <v>131</v>
      </c>
      <c r="C17" s="56" t="s">
        <v>132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-14.3333333333333</v>
      </c>
      <c r="N17" s="57"/>
      <c r="O17" s="36" t="n">
        <f aca="false">SUM(D17:N17)</f>
        <v>-14.3333333333333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-14.3333333333333</v>
      </c>
      <c r="Y17" s="54"/>
      <c r="Z17" s="36" t="n">
        <f aca="false">SUM(O17:Y17)</f>
        <v>-28.6666666666667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-14.3333333333333</v>
      </c>
      <c r="AJ17" s="54"/>
      <c r="AK17" s="36" t="n">
        <f aca="false">SUM(Z17:AJ17)</f>
        <v>-43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-14.3333333333333</v>
      </c>
      <c r="AU17" s="54"/>
      <c r="AV17" s="36" t="n">
        <f aca="false">SUM(AK17:AU17)</f>
        <v>-57.3333333333333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-14.3333333333333</v>
      </c>
      <c r="BF17" s="54"/>
      <c r="BG17" s="36" t="n">
        <f aca="false">SUM(AV17:BF17)</f>
        <v>-71.6666666666667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-14.3333333333333</v>
      </c>
      <c r="BQ17" s="54"/>
      <c r="BR17" s="36" t="n">
        <f aca="false">SUM(BG17:BQ17)</f>
        <v>-86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-14.3333333333333</v>
      </c>
      <c r="CB17" s="54"/>
      <c r="CC17" s="36" t="n">
        <f aca="false">SUM(BR17:CB17)</f>
        <v>-12600.3333333333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-14.3333333333333</v>
      </c>
      <c r="CM17" s="54"/>
      <c r="CN17" s="36" t="n">
        <f aca="false">SUM(CC17:CM17)</f>
        <v>-12614.6666666667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-14.3333333333333</v>
      </c>
      <c r="CX17" s="54"/>
      <c r="CY17" s="36" t="n">
        <f aca="false">SUM(CN17:CX17)</f>
        <v>-12629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-14.3333333333333</v>
      </c>
      <c r="DI17" s="54"/>
      <c r="DJ17" s="36" t="n">
        <f aca="false">SUM(CY17:DI17)</f>
        <v>-12643.3333333333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-14.3333333333333</v>
      </c>
      <c r="DT17" s="54"/>
      <c r="DU17" s="36" t="n">
        <f aca="false">SUM(DJ17:DT17)</f>
        <v>-12657.6666666667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-14.3333333333333</v>
      </c>
      <c r="EE17" s="54"/>
      <c r="EF17" s="36" t="n">
        <f aca="false">SUM(DU17:EE17)</f>
        <v>-12672</v>
      </c>
      <c r="EG17" s="54"/>
      <c r="EH17" s="36" t="n">
        <f aca="false">[1]Schedule!$W$1-[1]Schedule!$X$1</f>
        <v>12672</v>
      </c>
      <c r="EI17" s="54"/>
      <c r="EJ17" s="36" t="n">
        <f aca="false">SUM(EF17:EH17)</f>
        <v>0</v>
      </c>
      <c r="EK17" s="54"/>
    </row>
    <row r="18" s="57" customFormat="true" ht="12" hidden="false" customHeight="false" outlineLevel="0" collapsed="false">
      <c r="A18" s="54"/>
      <c r="B18" s="55" t="s">
        <v>133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134</v>
      </c>
      <c r="C19" s="56"/>
      <c r="D19" s="36" t="n">
        <f aca="false">OpenAccounts!E15</f>
        <v>10000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10000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10000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10000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10000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10000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10000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10000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10000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10000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10000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10000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-4000</v>
      </c>
      <c r="EE19" s="54"/>
      <c r="EF19" s="36" t="n">
        <f aca="false">SUM(DU19:EE19)</f>
        <v>6000</v>
      </c>
      <c r="EG19" s="54"/>
      <c r="EI19" s="54"/>
      <c r="EJ19" s="36" t="n">
        <f aca="false">SUM(EF19:EH19)</f>
        <v>6000</v>
      </c>
      <c r="EK19" s="54"/>
    </row>
    <row r="20" customFormat="false" ht="12" hidden="false" customHeight="false" outlineLevel="0" collapsed="false">
      <c r="A20" s="54"/>
      <c r="B20" s="54" t="s">
        <v>34</v>
      </c>
      <c r="C20" s="56" t="s">
        <v>135</v>
      </c>
      <c r="D20" s="36" t="n">
        <f aca="false">OpenAccounts!E16</f>
        <v>10800</v>
      </c>
      <c r="E20" s="57"/>
      <c r="F20" s="36" t="n">
        <f aca="false">[3]Oct!$F$1-[3]Oct!$V$1</f>
        <v>33400</v>
      </c>
      <c r="G20" s="36"/>
      <c r="H20" s="36" t="n">
        <f aca="false">-[4]Oct!$J$1</f>
        <v>-44200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0</v>
      </c>
      <c r="P20" s="57"/>
      <c r="Q20" s="36" t="n">
        <f aca="false">[3]Nov!$F$1-[3]Nov!$V$1</f>
        <v>32920</v>
      </c>
      <c r="R20" s="36"/>
      <c r="S20" s="36" t="n">
        <f aca="false">-[4]Nov!$J$1</f>
        <v>-32920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136</v>
      </c>
      <c r="Y20" s="54"/>
      <c r="Z20" s="36" t="n">
        <f aca="false">SUM(O20:Y20)</f>
        <v>0</v>
      </c>
      <c r="AA20" s="57"/>
      <c r="AB20" s="36" t="n">
        <f aca="false">[3]Dec!$F$1-[3]Dec!$V$1</f>
        <v>35200</v>
      </c>
      <c r="AC20" s="36"/>
      <c r="AD20" s="36" t="n">
        <f aca="false">-[4]Dec!$J$1</f>
        <v>-35200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0</v>
      </c>
      <c r="AL20" s="57"/>
      <c r="AM20" s="36" t="n">
        <f aca="false">[3]Jan!$F$1-[3]Jan!$V$1</f>
        <v>33760</v>
      </c>
      <c r="AN20" s="36"/>
      <c r="AO20" s="36" t="n">
        <f aca="false">-[4]Jan!$J$1</f>
        <v>-33760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0</v>
      </c>
      <c r="AW20" s="57"/>
      <c r="AX20" s="36" t="n">
        <f aca="false">[3]Feb!$F$1-[3]Feb!$V$1</f>
        <v>36020</v>
      </c>
      <c r="AY20" s="36"/>
      <c r="AZ20" s="36" t="n">
        <f aca="false">-[4]Feb!$J$1</f>
        <v>-36020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0</v>
      </c>
      <c r="BH20" s="57"/>
      <c r="BI20" s="36" t="n">
        <f aca="false">[3]Mar!$F$1-[3]Mar!$V$1</f>
        <v>33760</v>
      </c>
      <c r="BJ20" s="36"/>
      <c r="BK20" s="36" t="n">
        <f aca="false">-[4]Mar!$J$1</f>
        <v>-33760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0</v>
      </c>
      <c r="BS20" s="57"/>
      <c r="BT20" s="36" t="n">
        <f aca="false">[3]Apr!$F$1-[3]Apr!$V$1</f>
        <v>50560</v>
      </c>
      <c r="BU20" s="36"/>
      <c r="BV20" s="36" t="n">
        <f aca="false">-[4]Apr!$J$1</f>
        <v>-50560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0</v>
      </c>
      <c r="CD20" s="57"/>
      <c r="CE20" s="36" t="n">
        <f aca="false">[3]May!$F$1-[3]May!$V$1</f>
        <v>35320</v>
      </c>
      <c r="CF20" s="36"/>
      <c r="CG20" s="36" t="n">
        <f aca="false">-[4]May!$J$1</f>
        <v>-35320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0</v>
      </c>
      <c r="CO20" s="57"/>
      <c r="CP20" s="36" t="n">
        <f aca="false">[3]Jun!$F$1-[3]Jun!$V$1</f>
        <v>32800</v>
      </c>
      <c r="CQ20" s="36"/>
      <c r="CR20" s="36" t="n">
        <f aca="false">-[4]Jun!$J$1</f>
        <v>-32800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0</v>
      </c>
      <c r="CZ20" s="57"/>
      <c r="DA20" s="36" t="n">
        <f aca="false">[3]Jul!$F$1-[3]Jul!$V$1</f>
        <v>35440</v>
      </c>
      <c r="DB20" s="36"/>
      <c r="DC20" s="36" t="n">
        <f aca="false">-[4]Jul!$J$1</f>
        <v>-35440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0</v>
      </c>
      <c r="DK20" s="57"/>
      <c r="DL20" s="36" t="n">
        <f aca="false">[3]Aug!$F$1-[3]Aug!$V$1</f>
        <v>34360</v>
      </c>
      <c r="DM20" s="36"/>
      <c r="DN20" s="36" t="n">
        <f aca="false">-[4]Aug!$J$1</f>
        <v>-34360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0</v>
      </c>
      <c r="DV20" s="57"/>
      <c r="DW20" s="36" t="n">
        <f aca="false">[3]Sep!$F$1-[3]Sep!$V$1</f>
        <v>31360</v>
      </c>
      <c r="DX20" s="36"/>
      <c r="DY20" s="36" t="n">
        <f aca="false">-[4]Sep!$J$1</f>
        <v>-20960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10400</v>
      </c>
      <c r="EG20" s="54"/>
      <c r="EI20" s="54"/>
      <c r="EJ20" s="36" t="n">
        <f aca="false">SUM(EF20:EH20)</f>
        <v>10400</v>
      </c>
      <c r="EK20" s="54"/>
    </row>
    <row r="21" s="57" customFormat="true" ht="12" hidden="false" customHeight="false" outlineLevel="0" collapsed="false">
      <c r="A21" s="54"/>
      <c r="B21" s="58" t="s">
        <v>137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138</v>
      </c>
      <c r="C22" s="56" t="s">
        <v>139</v>
      </c>
      <c r="D22" s="36" t="n">
        <f aca="false">OpenAccounts!G18</f>
        <v>25000</v>
      </c>
      <c r="E22" s="57"/>
      <c r="F22" s="36"/>
      <c r="G22" s="36"/>
      <c r="H22" s="36" t="n">
        <f aca="false">[4]Oct!$F$1-[4]Oct!$X$1</f>
        <v>29047</v>
      </c>
      <c r="I22" s="36"/>
      <c r="J22" s="36"/>
      <c r="K22" s="36"/>
      <c r="L22" s="36"/>
      <c r="N22" s="57"/>
      <c r="O22" s="36" t="n">
        <f aca="false">SUM(D22:N22)</f>
        <v>54047</v>
      </c>
      <c r="P22" s="57"/>
      <c r="Q22" s="36"/>
      <c r="R22" s="36"/>
      <c r="S22" s="36" t="n">
        <f aca="false">[4]Nov!$F$1-[4]Nov!$X$1</f>
        <v>20442</v>
      </c>
      <c r="T22" s="36"/>
      <c r="U22" s="36"/>
      <c r="V22" s="36"/>
      <c r="W22" s="36"/>
      <c r="X22" s="36"/>
      <c r="Y22" s="54"/>
      <c r="Z22" s="36" t="n">
        <f aca="false">SUM(O22:Y22)</f>
        <v>74489</v>
      </c>
      <c r="AA22" s="57"/>
      <c r="AB22" s="36"/>
      <c r="AC22" s="36"/>
      <c r="AD22" s="36" t="n">
        <f aca="false">[4]Dec!$F$1-[4]Dec!$X$1</f>
        <v>22797</v>
      </c>
      <c r="AE22" s="36"/>
      <c r="AF22" s="36"/>
      <c r="AG22" s="36"/>
      <c r="AH22" s="36"/>
      <c r="AI22" s="36"/>
      <c r="AJ22" s="54"/>
      <c r="AK22" s="36" t="n">
        <f aca="false">SUM(Z22:AJ22)</f>
        <v>97286</v>
      </c>
      <c r="AL22" s="57"/>
      <c r="AM22" s="36"/>
      <c r="AN22" s="36"/>
      <c r="AO22" s="36" t="n">
        <f aca="false">[4]Jan!$F$1-[4]Jan!$X$1</f>
        <v>13707</v>
      </c>
      <c r="AP22" s="36"/>
      <c r="AQ22" s="36"/>
      <c r="AR22" s="36"/>
      <c r="AS22" s="36"/>
      <c r="AT22" s="36"/>
      <c r="AU22" s="54"/>
      <c r="AV22" s="36" t="n">
        <f aca="false">SUM(AK22:AU22)</f>
        <v>110993</v>
      </c>
      <c r="AW22" s="57"/>
      <c r="AX22" s="36"/>
      <c r="AY22" s="36"/>
      <c r="AZ22" s="36" t="n">
        <f aca="false">[4]Feb!$F$1-[4]Feb!$X$1</f>
        <v>26267</v>
      </c>
      <c r="BA22" s="36"/>
      <c r="BB22" s="36"/>
      <c r="BC22" s="36"/>
      <c r="BD22" s="36"/>
      <c r="BE22" s="36"/>
      <c r="BF22" s="54"/>
      <c r="BG22" s="36" t="n">
        <f aca="false">SUM(AV22:BF22)</f>
        <v>137260</v>
      </c>
      <c r="BH22" s="57"/>
      <c r="BI22" s="36"/>
      <c r="BJ22" s="36"/>
      <c r="BK22" s="36" t="n">
        <f aca="false">[4]Mar!$F$1-[4]Mar!$X$1</f>
        <v>21799</v>
      </c>
      <c r="BL22" s="36"/>
      <c r="BM22" s="36"/>
      <c r="BN22" s="36"/>
      <c r="BO22" s="36"/>
      <c r="BP22" s="36"/>
      <c r="BQ22" s="54"/>
      <c r="BR22" s="36" t="n">
        <f aca="false">SUM(BG22:BQ22)</f>
        <v>159059</v>
      </c>
      <c r="BS22" s="57"/>
      <c r="BT22" s="36"/>
      <c r="BU22" s="36"/>
      <c r="BV22" s="36" t="n">
        <f aca="false">[4]Apr!$F$1-[4]Apr!$X$1</f>
        <v>-9293</v>
      </c>
      <c r="BW22" s="36"/>
      <c r="BX22" s="36"/>
      <c r="BY22" s="36"/>
      <c r="BZ22" s="36"/>
      <c r="CA22" s="36"/>
      <c r="CB22" s="54"/>
      <c r="CC22" s="36" t="n">
        <f aca="false">SUM(BR22:CB22)</f>
        <v>149766</v>
      </c>
      <c r="CD22" s="57"/>
      <c r="CE22" s="36"/>
      <c r="CF22" s="36"/>
      <c r="CG22" s="36" t="n">
        <f aca="false">[4]May!$F$1-[4]May!$X$1</f>
        <v>23242</v>
      </c>
      <c r="CH22" s="36"/>
      <c r="CI22" s="36"/>
      <c r="CJ22" s="36"/>
      <c r="CK22" s="36"/>
      <c r="CL22" s="36"/>
      <c r="CM22" s="54"/>
      <c r="CN22" s="36" t="n">
        <f aca="false">SUM(CC22:CM22)</f>
        <v>173008</v>
      </c>
      <c r="CO22" s="57"/>
      <c r="CP22" s="36"/>
      <c r="CQ22" s="36"/>
      <c r="CR22" s="36" t="n">
        <f aca="false">[4]Jun!$F$1-[4]Jun!$X$1</f>
        <v>19680</v>
      </c>
      <c r="CS22" s="36"/>
      <c r="CT22" s="36"/>
      <c r="CU22" s="36"/>
      <c r="CV22" s="36"/>
      <c r="CW22" s="36"/>
      <c r="CX22" s="54"/>
      <c r="CY22" s="36" t="n">
        <f aca="false">SUM(CN22:CX22)</f>
        <v>192688</v>
      </c>
      <c r="CZ22" s="57"/>
      <c r="DA22" s="36"/>
      <c r="DB22" s="36"/>
      <c r="DC22" s="36" t="n">
        <f aca="false">[4]Jul!$F$1-[4]Jul!$X$1</f>
        <v>26487</v>
      </c>
      <c r="DD22" s="36"/>
      <c r="DE22" s="36"/>
      <c r="DF22" s="36"/>
      <c r="DG22" s="36"/>
      <c r="DH22" s="36"/>
      <c r="DI22" s="54"/>
      <c r="DJ22" s="36" t="n">
        <f aca="false">SUM(CY22:DI22)</f>
        <v>219175</v>
      </c>
      <c r="DK22" s="57"/>
      <c r="DL22" s="36"/>
      <c r="DM22" s="36"/>
      <c r="DN22" s="36" t="n">
        <f aca="false">[4]Aug!$F$1-[4]Aug!$X$1</f>
        <v>21807</v>
      </c>
      <c r="DO22" s="36"/>
      <c r="DP22" s="36"/>
      <c r="DQ22" s="36"/>
      <c r="DR22" s="36"/>
      <c r="DS22" s="36"/>
      <c r="DT22" s="54"/>
      <c r="DU22" s="36" t="n">
        <f aca="false">SUM(DJ22:DT22)</f>
        <v>240982</v>
      </c>
      <c r="DV22" s="57"/>
      <c r="DW22" s="36"/>
      <c r="DX22" s="36"/>
      <c r="DY22" s="36" t="n">
        <f aca="false">[4]Sep!$F$1-[4]Sep!$X$1</f>
        <v>-2118</v>
      </c>
      <c r="DZ22" s="36"/>
      <c r="EA22" s="36"/>
      <c r="EB22" s="36"/>
      <c r="EC22" s="36"/>
      <c r="ED22" s="36"/>
      <c r="EE22" s="54"/>
      <c r="EF22" s="36" t="n">
        <f aca="false">SUM(DU22:EE22)</f>
        <v>238864</v>
      </c>
      <c r="EG22" s="54"/>
      <c r="EI22" s="54"/>
      <c r="EJ22" s="36" t="n">
        <f aca="false">SUM(EF22:EH22)</f>
        <v>238864</v>
      </c>
      <c r="EK22" s="54"/>
    </row>
    <row r="23" customFormat="false" ht="12" hidden="false" customHeight="false" outlineLevel="0" collapsed="false">
      <c r="A23" s="54"/>
      <c r="B23" s="54" t="s">
        <v>140</v>
      </c>
      <c r="C23" s="56" t="s">
        <v>141</v>
      </c>
      <c r="D23" s="36" t="n">
        <f aca="false">OpenAccounts!H18</f>
        <v>5000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5000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5000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5000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5000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5000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5125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5125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5125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5125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5125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5125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10275</v>
      </c>
      <c r="EG23" s="54"/>
      <c r="EI23" s="54"/>
      <c r="EJ23" s="36" t="n">
        <f aca="false">SUM(EF23:EH23)</f>
        <v>10275</v>
      </c>
      <c r="EK23" s="54"/>
    </row>
    <row r="24" customFormat="false" ht="12" hidden="false" customHeight="false" outlineLevel="0" collapsed="false">
      <c r="A24" s="54"/>
      <c r="B24" s="54" t="s">
        <v>37</v>
      </c>
      <c r="C24" s="56" t="s">
        <v>142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-35</v>
      </c>
      <c r="V24" s="36"/>
      <c r="W24" s="36"/>
      <c r="X24" s="36"/>
      <c r="Y24" s="54"/>
      <c r="Z24" s="36" t="n">
        <f aca="false">SUM(O24:Y24)</f>
        <v>465</v>
      </c>
      <c r="AA24" s="57"/>
      <c r="AB24" s="36"/>
      <c r="AC24" s="36"/>
      <c r="AD24" s="36"/>
      <c r="AE24" s="36"/>
      <c r="AF24" s="36" t="n">
        <f aca="false">[6]Dec!$F$1-[6]Dec!$X$1</f>
        <v>-180</v>
      </c>
      <c r="AG24" s="36"/>
      <c r="AH24" s="36"/>
      <c r="AI24" s="36"/>
      <c r="AJ24" s="54"/>
      <c r="AK24" s="36" t="n">
        <f aca="false">SUM(Z24:AJ24)</f>
        <v>285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585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585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585</v>
      </c>
      <c r="BS24" s="57"/>
      <c r="BT24" s="36"/>
      <c r="BU24" s="36"/>
      <c r="BV24" s="36"/>
      <c r="BW24" s="36"/>
      <c r="BX24" s="36" t="n">
        <f aca="false">[6]Apr!$F$1-[6]Apr!$X$1</f>
        <v>380</v>
      </c>
      <c r="BY24" s="36"/>
      <c r="BZ24" s="36"/>
      <c r="CA24" s="36"/>
      <c r="CB24" s="54"/>
      <c r="CC24" s="36" t="n">
        <f aca="false">SUM(BR24:CB24)</f>
        <v>965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965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965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1265</v>
      </c>
      <c r="DK24" s="57"/>
      <c r="DL24" s="36"/>
      <c r="DM24" s="36"/>
      <c r="DN24" s="36"/>
      <c r="DO24" s="36"/>
      <c r="DP24" s="36" t="n">
        <f aca="false">[6]Aug!$F$1-[6]Aug!$X$1</f>
        <v>-240</v>
      </c>
      <c r="DQ24" s="36"/>
      <c r="DR24" s="36"/>
      <c r="DS24" s="36"/>
      <c r="DT24" s="54"/>
      <c r="DU24" s="36" t="n">
        <f aca="false">SUM(DJ24:DT24)</f>
        <v>1025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1025</v>
      </c>
      <c r="EG24" s="54"/>
      <c r="EI24" s="54"/>
      <c r="EJ24" s="36" t="n">
        <f aca="false">SUM(EF24:EH24)</f>
        <v>1025</v>
      </c>
      <c r="EK24" s="54"/>
    </row>
    <row r="25" customFormat="false" ht="12" hidden="false" customHeight="false" outlineLevel="0" collapsed="false">
      <c r="A25" s="54"/>
      <c r="B25" s="54" t="s">
        <v>38</v>
      </c>
      <c r="C25" s="56" t="s">
        <v>143</v>
      </c>
      <c r="D25" s="36" t="n">
        <f aca="false">OpenAccounts!J18</f>
        <v>500</v>
      </c>
      <c r="E25" s="57"/>
      <c r="F25" s="36"/>
      <c r="G25" s="36"/>
      <c r="H25" s="36"/>
      <c r="I25" s="36"/>
      <c r="J25" s="36"/>
      <c r="K25" s="36" t="n">
        <f aca="false">[7]Oct!$F$1-[7]Oct!$U$1</f>
        <v>-15</v>
      </c>
      <c r="L25" s="36"/>
      <c r="N25" s="57"/>
      <c r="O25" s="36" t="n">
        <f aca="false">SUM(D25:N25)</f>
        <v>485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485</v>
      </c>
      <c r="AA25" s="57"/>
      <c r="AB25" s="36"/>
      <c r="AC25" s="36"/>
      <c r="AD25" s="36"/>
      <c r="AE25" s="36"/>
      <c r="AF25" s="36"/>
      <c r="AG25" s="36" t="n">
        <f aca="false">[7]Dec!$F$1-[7]Dec!$U$1</f>
        <v>75</v>
      </c>
      <c r="AH25" s="36"/>
      <c r="AI25" s="36"/>
      <c r="AJ25" s="54"/>
      <c r="AK25" s="36" t="n">
        <f aca="false">SUM(Z25:AJ25)</f>
        <v>560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560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560</v>
      </c>
      <c r="BH25" s="57"/>
      <c r="BI25" s="36"/>
      <c r="BJ25" s="36"/>
      <c r="BK25" s="36"/>
      <c r="BL25" s="36"/>
      <c r="BM25" s="36"/>
      <c r="BN25" s="36" t="n">
        <f aca="false">[7]Mar!$F$1-[7]Mar!$U$1</f>
        <v>-18</v>
      </c>
      <c r="BO25" s="36"/>
      <c r="BP25" s="36"/>
      <c r="BQ25" s="54"/>
      <c r="BR25" s="36" t="n">
        <f aca="false">SUM(BG25:BQ25)</f>
        <v>542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542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542</v>
      </c>
      <c r="CO25" s="57"/>
      <c r="CP25" s="36"/>
      <c r="CQ25" s="36"/>
      <c r="CR25" s="36"/>
      <c r="CS25" s="36"/>
      <c r="CT25" s="36"/>
      <c r="CU25" s="36" t="n">
        <f aca="false">[7]Jun!$F$1-[7]Jun!$U$1</f>
        <v>-50</v>
      </c>
      <c r="CV25" s="36"/>
      <c r="CW25" s="36"/>
      <c r="CX25" s="54"/>
      <c r="CY25" s="36" t="n">
        <f aca="false">SUM(CN25:CX25)</f>
        <v>492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492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492</v>
      </c>
      <c r="DV25" s="57"/>
      <c r="DW25" s="36"/>
      <c r="DX25" s="36"/>
      <c r="DY25" s="36"/>
      <c r="DZ25" s="36"/>
      <c r="EA25" s="36"/>
      <c r="EB25" s="36" t="n">
        <f aca="false">[7]Sep!$F$1-[7]Sep!$U$1</f>
        <v>-12</v>
      </c>
      <c r="EC25" s="36"/>
      <c r="ED25" s="36"/>
      <c r="EE25" s="54"/>
      <c r="EF25" s="36" t="n">
        <f aca="false">SUM(DU25:EE25)</f>
        <v>480</v>
      </c>
      <c r="EG25" s="54"/>
      <c r="EH25" s="36" t="n">
        <f aca="false">[8]Boardmeeting!$E$6</f>
        <v>0</v>
      </c>
      <c r="EI25" s="54"/>
      <c r="EJ25" s="36" t="n">
        <f aca="false">SUM(EF25:EH25)</f>
        <v>480</v>
      </c>
      <c r="EK25" s="54"/>
    </row>
    <row r="26" customFormat="false" ht="12" hidden="false" customHeight="false" outlineLevel="0" collapsed="false">
      <c r="A26" s="54"/>
      <c r="B26" s="54" t="s">
        <v>144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-100</v>
      </c>
      <c r="AH26" s="36"/>
      <c r="AI26" s="36"/>
      <c r="AJ26" s="54"/>
      <c r="AK26" s="36" t="n">
        <f aca="false">SUM(Z26:AJ26)</f>
        <v>-100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-100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-100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-100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-100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-100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-100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-100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-100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-100</v>
      </c>
      <c r="EG26" s="54"/>
      <c r="EI26" s="54"/>
      <c r="EJ26" s="36" t="n">
        <f aca="false">SUM(EF26:EH26)</f>
        <v>-100</v>
      </c>
      <c r="EK26" s="54"/>
    </row>
    <row r="27" s="57" customFormat="true" ht="12" hidden="false" customHeight="false" outlineLevel="0" collapsed="false">
      <c r="A27" s="54"/>
      <c r="B27" s="55" t="s">
        <v>145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42</v>
      </c>
      <c r="C28" s="56" t="s">
        <v>146</v>
      </c>
      <c r="D28" s="36" t="n">
        <f aca="false">-OpenAccounts!E20</f>
        <v>-2400</v>
      </c>
      <c r="E28" s="57"/>
      <c r="F28" s="36"/>
      <c r="G28" s="36" t="n">
        <f aca="false">-[2]Oct!$F$1+[2]Oct!$AK$1</f>
        <v>-5111.25</v>
      </c>
      <c r="H28" s="36" t="n">
        <f aca="false">[4]Oct!$AB$1</f>
        <v>3700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15</v>
      </c>
      <c r="L28" s="36"/>
      <c r="N28" s="57"/>
      <c r="O28" s="36" t="n">
        <f aca="false">SUM(D28:N28)</f>
        <v>-3796.25</v>
      </c>
      <c r="P28" s="57"/>
      <c r="Q28" s="36"/>
      <c r="R28" s="36" t="n">
        <f aca="false">-[2]Nov!$F$1+[2]Nov!$AK$1</f>
        <v>-6375</v>
      </c>
      <c r="S28" s="36" t="n">
        <f aca="false">[4]Nov!$AB$1</f>
        <v>4300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-5871.25</v>
      </c>
      <c r="AA28" s="57"/>
      <c r="AB28" s="36"/>
      <c r="AC28" s="36" t="n">
        <f aca="false">-[2]Dec!$F$1+[2]Dec!$AK$1</f>
        <v>-9057</v>
      </c>
      <c r="AD28" s="36" t="n">
        <f aca="false">[4]Dec!$AB$1</f>
        <v>4000</v>
      </c>
      <c r="AE28" s="36" t="n">
        <f aca="false">[5]Dec!$AB$1</f>
        <v>0</v>
      </c>
      <c r="AF28" s="36" t="n">
        <f aca="false">[6]Dec!$AB$1</f>
        <v>180</v>
      </c>
      <c r="AG28" s="36" t="n">
        <f aca="false">[7]Dec!$Y$1</f>
        <v>25</v>
      </c>
      <c r="AH28" s="36"/>
      <c r="AI28" s="36"/>
      <c r="AJ28" s="54"/>
      <c r="AK28" s="36" t="n">
        <f aca="false">SUM(Z28:AJ28)</f>
        <v>-10723.25</v>
      </c>
      <c r="AL28" s="57"/>
      <c r="AM28" s="36"/>
      <c r="AN28" s="36" t="n">
        <f aca="false">-[2]Jan!$F$1+[2]Jan!$AK$1</f>
        <v>-9059.25</v>
      </c>
      <c r="AO28" s="36" t="n">
        <f aca="false">[4]Jan!$AB$1</f>
        <v>3800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-15982.5</v>
      </c>
      <c r="AW28" s="57"/>
      <c r="AX28" s="36"/>
      <c r="AY28" s="36" t="n">
        <f aca="false">-[2]Feb!$F$1+[2]Feb!$AK$1</f>
        <v>-4405.25</v>
      </c>
      <c r="AZ28" s="36" t="n">
        <f aca="false">[4]Feb!$AB$1</f>
        <v>4100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-16287.75</v>
      </c>
      <c r="BH28" s="57"/>
      <c r="BI28" s="36"/>
      <c r="BJ28" s="36" t="n">
        <f aca="false">-[2]Mar!$F$1+[2]Mar!$AK$1</f>
        <v>-4975</v>
      </c>
      <c r="BK28" s="36" t="n">
        <f aca="false">[4]Mar!$AB$1</f>
        <v>3600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18</v>
      </c>
      <c r="BO28" s="36"/>
      <c r="BP28" s="36"/>
      <c r="BQ28" s="54"/>
      <c r="BR28" s="36" t="n">
        <f aca="false">SUM(BG28:BQ28)</f>
        <v>-17644.75</v>
      </c>
      <c r="BS28" s="57"/>
      <c r="BT28" s="36"/>
      <c r="BU28" s="36" t="n">
        <f aca="false">-[2]Apr!$F$1+[2]Apr!$AK$1</f>
        <v>-43005.75</v>
      </c>
      <c r="BV28" s="36" t="n">
        <f aca="false">[4]Apr!$AB$1</f>
        <v>40500</v>
      </c>
      <c r="BW28" s="36" t="n">
        <f aca="false">[5]Apr!$AB$1</f>
        <v>0</v>
      </c>
      <c r="BX28" s="36" t="n">
        <f aca="false">[6]Apr!$AB$1</f>
        <v>120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-20030.5</v>
      </c>
      <c r="CD28" s="57"/>
      <c r="CE28" s="36"/>
      <c r="CF28" s="36" t="n">
        <f aca="false">-[2]May!$F$1+[2]May!$AK$1</f>
        <v>-6918</v>
      </c>
      <c r="CG28" s="36" t="n">
        <f aca="false">[4]May!$AB$1</f>
        <v>3900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-23048.5</v>
      </c>
      <c r="CO28" s="57"/>
      <c r="CP28" s="36"/>
      <c r="CQ28" s="36" t="n">
        <f aca="false">-[2]Jun!$F$1+[2]Jun!$AK$1</f>
        <v>-9451.5</v>
      </c>
      <c r="CR28" s="36" t="n">
        <f aca="false">[4]Jun!$AB$1</f>
        <v>4200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50</v>
      </c>
      <c r="CV28" s="36"/>
      <c r="CW28" s="36"/>
      <c r="CX28" s="54"/>
      <c r="CY28" s="36" t="n">
        <f aca="false">SUM(CN28:CX28)</f>
        <v>-28250</v>
      </c>
      <c r="CZ28" s="57"/>
      <c r="DA28" s="36"/>
      <c r="DB28" s="36" t="n">
        <f aca="false">-[2]Jul!$F$1+[2]Jul!$AK$1</f>
        <v>-4511.25</v>
      </c>
      <c r="DC28" s="36" t="n">
        <f aca="false">[4]Jul!$AB$1</f>
        <v>4000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-28761.25</v>
      </c>
      <c r="DK28" s="57"/>
      <c r="DL28" s="36"/>
      <c r="DM28" s="36" t="n">
        <f aca="false">-[2]Aug!$F$1+[2]Aug!$AK$1</f>
        <v>-4396.5</v>
      </c>
      <c r="DN28" s="36" t="n">
        <f aca="false">[4]Aug!$AB$1</f>
        <v>4400</v>
      </c>
      <c r="DO28" s="36" t="n">
        <f aca="false">[5]Aug!$AB$1</f>
        <v>0</v>
      </c>
      <c r="DP28" s="36" t="n">
        <f aca="false">[6]Aug!$AB$1</f>
        <v>240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-28517.75</v>
      </c>
      <c r="DV28" s="57"/>
      <c r="DW28" s="36"/>
      <c r="DX28" s="36" t="n">
        <f aca="false">-[2]Sep!$F$1+[2]Sep!$AK$1</f>
        <v>-3726.5</v>
      </c>
      <c r="DY28" s="36" t="n">
        <f aca="false">[4]Sep!$AB$1</f>
        <v>3800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12</v>
      </c>
      <c r="EC28" s="36"/>
      <c r="ED28" s="36"/>
      <c r="EE28" s="54"/>
      <c r="EF28" s="36" t="n">
        <f aca="false">SUM(DU28:EE28)</f>
        <v>-28432.25</v>
      </c>
      <c r="EG28" s="54"/>
      <c r="EH28" s="36" t="n">
        <f aca="false">[1]HPfinance!$E$2</f>
        <v>0</v>
      </c>
      <c r="EI28" s="54"/>
      <c r="EJ28" s="36" t="n">
        <f aca="false">SUM(EF28:EH28)</f>
        <v>-28432.25</v>
      </c>
      <c r="EK28" s="54"/>
    </row>
    <row r="29" customFormat="false" ht="12" hidden="false" customHeight="false" outlineLevel="0" collapsed="false">
      <c r="A29" s="54"/>
      <c r="B29" s="54" t="s">
        <v>147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5652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-5652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5652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-5652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5652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-5652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5652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-5652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5652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-5652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5652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-5652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5652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-5652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5652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-5652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5652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-5652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5652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-5652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5652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-5652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5652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-5652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148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149</v>
      </c>
      <c r="C31" s="56" t="s">
        <v>150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3000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3000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3000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3000</v>
      </c>
      <c r="BS31" s="57"/>
      <c r="BT31" s="36"/>
      <c r="BU31" s="36"/>
      <c r="BV31" s="36" t="n">
        <f aca="false">[4]Apr!$AL$1</f>
        <v>3000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6000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6000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6000</v>
      </c>
      <c r="CZ31" s="57"/>
      <c r="DA31" s="36"/>
      <c r="DB31" s="36"/>
      <c r="DC31" s="36" t="n">
        <f aca="false">[4]Jul!$AL$1</f>
        <v>3000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9000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9000</v>
      </c>
      <c r="DV31" s="57"/>
      <c r="DW31" s="36"/>
      <c r="DX31" s="36"/>
      <c r="DY31" s="36" t="n">
        <f aca="false">[4]Sep!$AL$1</f>
        <v>6000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15000</v>
      </c>
      <c r="EG31" s="54"/>
      <c r="EH31" s="36" t="n">
        <f aca="false">-[8]Boardmeeting!$E$4</f>
        <v>-0</v>
      </c>
      <c r="EI31" s="54"/>
      <c r="EJ31" s="36" t="n">
        <f aca="false">SUM(EF31:EH31)</f>
        <v>15000</v>
      </c>
      <c r="EK31" s="54"/>
    </row>
    <row r="32" customFormat="false" ht="12" hidden="false" customHeight="false" outlineLevel="0" collapsed="false">
      <c r="A32" s="54"/>
      <c r="B32" s="54" t="s">
        <v>151</v>
      </c>
      <c r="C32" s="56" t="s">
        <v>152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153</v>
      </c>
      <c r="C33" s="56" t="s">
        <v>154</v>
      </c>
      <c r="D33" s="36" t="n">
        <f aca="false">-OpenAccounts!H26</f>
        <v>-1500</v>
      </c>
      <c r="E33" s="57"/>
      <c r="F33" s="36" t="n">
        <f aca="false">-[3]Oct!$G$1</f>
        <v>-5566.66666666667</v>
      </c>
      <c r="G33" s="36" t="n">
        <f aca="false">[2]Oct!$G$1</f>
        <v>851.875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-6214.79166666667</v>
      </c>
      <c r="P33" s="57"/>
      <c r="Q33" s="36" t="n">
        <f aca="false">-[3]Nov!$G$1</f>
        <v>-5486.66666666667</v>
      </c>
      <c r="R33" s="36" t="n">
        <f aca="false">[2]Nov!$G$1</f>
        <v>1062.5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-10638.9583333333</v>
      </c>
      <c r="AA33" s="57"/>
      <c r="AB33" s="36" t="n">
        <f aca="false">-[3]Dec!$G$1</f>
        <v>-5866.66666666667</v>
      </c>
      <c r="AC33" s="36" t="n">
        <f aca="false">[2]Dec!$G$1</f>
        <v>1509.5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-14996.125</v>
      </c>
      <c r="AL33" s="57"/>
      <c r="AM33" s="36" t="n">
        <f aca="false">-[3]Jan!$G$1</f>
        <v>-5626.66666666667</v>
      </c>
      <c r="AN33" s="36" t="n">
        <f aca="false">[2]Jan!$G$1</f>
        <v>1509.875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-19112.9166666667</v>
      </c>
      <c r="AW33" s="57"/>
      <c r="AX33" s="36" t="n">
        <f aca="false">-[3]Feb!$G$1</f>
        <v>-6003.33333333333</v>
      </c>
      <c r="AY33" s="36" t="n">
        <f aca="false">[2]Feb!$G$1</f>
        <v>734.208333333333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-26882.0416666667</v>
      </c>
      <c r="BH33" s="57"/>
      <c r="BI33" s="36" t="n">
        <f aca="false">-[3]Mar!$G$1</f>
        <v>-5626.66666666667</v>
      </c>
      <c r="BJ33" s="36" t="n">
        <f aca="false">[2]Mar!$G$1</f>
        <v>829.166666666667</v>
      </c>
      <c r="BK33" s="36" t="n">
        <f aca="false">-[4]Mar!$N$1+[4]Mar!$AI$1</f>
        <v>0</v>
      </c>
      <c r="BL33" s="36" t="n">
        <f aca="false">-[5]Mar!$N$1+[5]Mar!$AI$1</f>
        <v>0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-31679.5416666667</v>
      </c>
      <c r="BS33" s="57"/>
      <c r="BT33" s="36" t="n">
        <f aca="false">-[3]Apr!$G$1</f>
        <v>-8426.66666666667</v>
      </c>
      <c r="BU33" s="36" t="n">
        <f aca="false">[2]Apr!$G$1</f>
        <v>7167.625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-32938.5833333333</v>
      </c>
      <c r="CD33" s="57"/>
      <c r="CE33" s="36" t="n">
        <f aca="false">-[3]May!$G$1</f>
        <v>-5886.66666666667</v>
      </c>
      <c r="CF33" s="36" t="n">
        <f aca="false">[2]May!$G$1</f>
        <v>1153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-37672.25</v>
      </c>
      <c r="CO33" s="57"/>
      <c r="CP33" s="36" t="n">
        <f aca="false">-[3]Jun!$G$1</f>
        <v>-5466.66666666667</v>
      </c>
      <c r="CQ33" s="36" t="n">
        <f aca="false">[2]Jun!$G$1</f>
        <v>1575.25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-41563.6666666667</v>
      </c>
      <c r="CZ33" s="57"/>
      <c r="DA33" s="36" t="n">
        <f aca="false">-[3]Jul!$G$1</f>
        <v>-5906.66666666667</v>
      </c>
      <c r="DB33" s="36" t="n">
        <f aca="false">[2]Jul!$G$1</f>
        <v>751.875</v>
      </c>
      <c r="DC33" s="36" t="n">
        <f aca="false">-[4]Jul!$N$1+[4]Jul!$AI$1</f>
        <v>-1500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-48218.4583333334</v>
      </c>
      <c r="DK33" s="57"/>
      <c r="DL33" s="36" t="n">
        <f aca="false">-[3]Aug!$G$1</f>
        <v>-5726.66666666667</v>
      </c>
      <c r="DM33" s="36" t="n">
        <f aca="false">[2]Aug!$G$1</f>
        <v>732.75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-53212.375</v>
      </c>
      <c r="DV33" s="57"/>
      <c r="DW33" s="36" t="n">
        <f aca="false">-[3]Sep!$G$1</f>
        <v>-5226.66666666667</v>
      </c>
      <c r="DX33" s="36" t="n">
        <f aca="false">[2]Sep!$G$1</f>
        <v>621.083333333333</v>
      </c>
      <c r="DY33" s="36" t="n">
        <f aca="false">-[4]Sep!$N$1+[4]Sep!$AI$1</f>
        <v>0</v>
      </c>
      <c r="DZ33" s="36" t="n">
        <f aca="false">-[5]Sep!$N$1+[5]Sep!$AI$1</f>
        <v>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-57817.9583333334</v>
      </c>
      <c r="EG33" s="54"/>
      <c r="EI33" s="54"/>
      <c r="EJ33" s="36" t="n">
        <f aca="false">SUM(EF33:EH33)</f>
        <v>-57817.9583333334</v>
      </c>
      <c r="EK33" s="54"/>
    </row>
    <row r="34" customFormat="false" ht="12" hidden="false" customHeight="false" outlineLevel="0" collapsed="false">
      <c r="A34" s="54"/>
      <c r="B34" s="54" t="s">
        <v>155</v>
      </c>
      <c r="C34" s="56" t="s">
        <v>156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4301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-1673.2</v>
      </c>
      <c r="N34" s="57"/>
      <c r="O34" s="36" t="n">
        <f aca="false">SUM(D34:N34)</f>
        <v>2627.8</v>
      </c>
      <c r="P34" s="57"/>
      <c r="Q34" s="36"/>
      <c r="R34" s="36"/>
      <c r="S34" s="36" t="n">
        <f aca="false">[4]Nov!$AH$1</f>
        <v>1501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-1673.2</v>
      </c>
      <c r="X34" s="36"/>
      <c r="Y34" s="54"/>
      <c r="Z34" s="36" t="n">
        <f aca="false">SUM(O34:Y34)</f>
        <v>2455.6</v>
      </c>
      <c r="AA34" s="57"/>
      <c r="AB34" s="36"/>
      <c r="AC34" s="36"/>
      <c r="AD34" s="36" t="n">
        <f aca="false">[4]Dec!$AH$1</f>
        <v>1501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-1673.2</v>
      </c>
      <c r="AI34" s="36"/>
      <c r="AJ34" s="54"/>
      <c r="AK34" s="36" t="n">
        <f aca="false">SUM(Z34:AJ34)</f>
        <v>2283.4</v>
      </c>
      <c r="AL34" s="57"/>
      <c r="AM34" s="36"/>
      <c r="AN34" s="36"/>
      <c r="AO34" s="36" t="n">
        <f aca="false">[4]Jan!$AH$1</f>
        <v>6301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-1673.2</v>
      </c>
      <c r="AT34" s="36"/>
      <c r="AU34" s="54"/>
      <c r="AV34" s="36" t="n">
        <f aca="false">SUM(AK34:AU34)</f>
        <v>6911.2</v>
      </c>
      <c r="AW34" s="57"/>
      <c r="AX34" s="36"/>
      <c r="AY34" s="36"/>
      <c r="AZ34" s="36" t="n">
        <f aca="false">[4]Feb!$AH$1</f>
        <v>1501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-1673.2</v>
      </c>
      <c r="BE34" s="36"/>
      <c r="BF34" s="54"/>
      <c r="BG34" s="36" t="n">
        <f aca="false">SUM(AV34:BF34)</f>
        <v>6739</v>
      </c>
      <c r="BH34" s="57"/>
      <c r="BI34" s="36"/>
      <c r="BJ34" s="36"/>
      <c r="BK34" s="36" t="n">
        <f aca="false">[4]Mar!$AH$1</f>
        <v>1501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-1673.2</v>
      </c>
      <c r="BP34" s="36"/>
      <c r="BQ34" s="54"/>
      <c r="BR34" s="36" t="n">
        <f aca="false">SUM(BG34:BQ34)</f>
        <v>6566.8</v>
      </c>
      <c r="BS34" s="57"/>
      <c r="BT34" s="36"/>
      <c r="BU34" s="36"/>
      <c r="BV34" s="36" t="n">
        <f aca="false">[4]Apr!$AH$1</f>
        <v>9201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-1673.2</v>
      </c>
      <c r="CA34" s="36"/>
      <c r="CB34" s="54"/>
      <c r="CC34" s="36" t="n">
        <f aca="false">SUM(BR34:CB34)</f>
        <v>14094.6</v>
      </c>
      <c r="CD34" s="57"/>
      <c r="CE34" s="36"/>
      <c r="CF34" s="36"/>
      <c r="CG34" s="36" t="n">
        <f aca="false">[4]May!$AH$1</f>
        <v>1501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-1673.2</v>
      </c>
      <c r="CL34" s="36"/>
      <c r="CM34" s="54"/>
      <c r="CN34" s="36" t="n">
        <f aca="false">SUM(CC34:CM34)</f>
        <v>13922.4</v>
      </c>
      <c r="CO34" s="57"/>
      <c r="CP34" s="36"/>
      <c r="CQ34" s="36"/>
      <c r="CR34" s="36" t="n">
        <f aca="false">[4]Jun!$AH$1</f>
        <v>2101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-1673.2</v>
      </c>
      <c r="CW34" s="36"/>
      <c r="CX34" s="54"/>
      <c r="CY34" s="36" t="n">
        <f aca="false">SUM(CN34:CX34)</f>
        <v>14350.2</v>
      </c>
      <c r="CZ34" s="57"/>
      <c r="DA34" s="36"/>
      <c r="DB34" s="36"/>
      <c r="DC34" s="36" t="n">
        <f aca="false">[4]Jul!$AH$1</f>
        <v>1501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-1673.2</v>
      </c>
      <c r="DH34" s="36"/>
      <c r="DI34" s="54"/>
      <c r="DJ34" s="36" t="n">
        <f aca="false">SUM(CY34:DI34)</f>
        <v>14178</v>
      </c>
      <c r="DK34" s="57"/>
      <c r="DL34" s="36"/>
      <c r="DM34" s="36"/>
      <c r="DN34" s="36" t="n">
        <f aca="false">[4]Aug!$AH$1</f>
        <v>1501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-1673.2</v>
      </c>
      <c r="DS34" s="36"/>
      <c r="DT34" s="54"/>
      <c r="DU34" s="36" t="n">
        <f aca="false">SUM(DJ34:DT34)</f>
        <v>14005.8</v>
      </c>
      <c r="DV34" s="57"/>
      <c r="DW34" s="36"/>
      <c r="DX34" s="36"/>
      <c r="DY34" s="36" t="n">
        <f aca="false">[4]Sep!$AH$1</f>
        <v>1501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-1673.2</v>
      </c>
      <c r="ED34" s="36"/>
      <c r="EE34" s="54"/>
      <c r="EF34" s="36" t="n">
        <f aca="false">SUM(DU34:EE34)</f>
        <v>13833.6</v>
      </c>
      <c r="EG34" s="54"/>
      <c r="EI34" s="54"/>
      <c r="EJ34" s="36" t="n">
        <f aca="false">SUM(EF34:EH34)</f>
        <v>13833.6</v>
      </c>
      <c r="EK34" s="54"/>
    </row>
    <row r="35" customFormat="false" ht="12" hidden="false" customHeight="false" outlineLevel="0" collapsed="false">
      <c r="A35" s="54"/>
      <c r="B35" s="54" t="s">
        <v>157</v>
      </c>
      <c r="C35" s="56" t="s">
        <v>158</v>
      </c>
      <c r="D35" s="36" t="n">
        <f aca="false">-OpenAccounts!E24</f>
        <v>-4500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-4500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-4500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-4500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-4500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-4500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-4500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-4500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-4500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-4500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-4500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-4500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-28028.7805895061</v>
      </c>
      <c r="EE35" s="54"/>
      <c r="EF35" s="36" t="n">
        <f aca="false">SUM(DU35:EE35)</f>
        <v>-32528.7805895061</v>
      </c>
      <c r="EG35" s="54"/>
      <c r="EH35" s="36" t="n">
        <f aca="false">-EH58</f>
        <v>64.5061728395062</v>
      </c>
      <c r="EI35" s="54"/>
      <c r="EJ35" s="36" t="n">
        <f aca="false">SUM(EF35:EH35)</f>
        <v>-32464.2744166666</v>
      </c>
      <c r="EK35" s="54"/>
    </row>
    <row r="36" s="57" customFormat="true" ht="12" hidden="false" customHeight="false" outlineLevel="0" collapsed="false">
      <c r="A36" s="54"/>
      <c r="B36" s="55" t="s">
        <v>159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160</v>
      </c>
      <c r="C37" s="56" t="s">
        <v>161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162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53</v>
      </c>
      <c r="C39" s="56" t="s">
        <v>163</v>
      </c>
      <c r="D39" s="36" t="n">
        <f aca="false">-OpenAccounts!E30</f>
        <v>-20000</v>
      </c>
      <c r="E39" s="57"/>
      <c r="F39" s="36"/>
      <c r="G39" s="36"/>
      <c r="H39" s="36" t="n">
        <f aca="false">-[4]Oct!$P$1+[4]Oct!$AM$1</f>
        <v>1000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-19000</v>
      </c>
      <c r="P39" s="57"/>
      <c r="Q39" s="36"/>
      <c r="R39" s="36"/>
      <c r="S39" s="36" t="n">
        <f aca="false">-[4]Nov!$P$1+[4]Nov!$AM$1</f>
        <v>1000</v>
      </c>
      <c r="T39" s="36" t="n">
        <f aca="false">-[5]Nov!$P$1+[5]Nov!$AM$1</f>
        <v>0</v>
      </c>
      <c r="U39" s="36" t="n">
        <f aca="false">-[6]Nov!$P$1+[6]Nov!$AM$1</f>
        <v>0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-18000</v>
      </c>
      <c r="AA39" s="57"/>
      <c r="AB39" s="36"/>
      <c r="AC39" s="36"/>
      <c r="AD39" s="36" t="n">
        <f aca="false">-[4]Dec!$P$1+[4]Dec!$AM$1</f>
        <v>1000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-17000</v>
      </c>
      <c r="AL39" s="57"/>
      <c r="AM39" s="36"/>
      <c r="AN39" s="36"/>
      <c r="AO39" s="36" t="n">
        <f aca="false">-[4]Jan!$P$1+[4]Jan!$AM$1</f>
        <v>1000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-16000</v>
      </c>
      <c r="AW39" s="57"/>
      <c r="AX39" s="36"/>
      <c r="AY39" s="36"/>
      <c r="AZ39" s="36" t="n">
        <f aca="false">-[4]Feb!$P$1+[4]Feb!$AM$1</f>
        <v>1000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-15000</v>
      </c>
      <c r="BH39" s="57"/>
      <c r="BI39" s="36"/>
      <c r="BJ39" s="36"/>
      <c r="BK39" s="36" t="n">
        <f aca="false">-[4]Mar!$P$1+[4]Mar!$AM$1</f>
        <v>1000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-14000</v>
      </c>
      <c r="BS39" s="57"/>
      <c r="BT39" s="36"/>
      <c r="BU39" s="36"/>
      <c r="BV39" s="36" t="n">
        <f aca="false">-[4]Apr!$P$1+[4]Apr!$AM$1</f>
        <v>1000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-13000</v>
      </c>
      <c r="CD39" s="57"/>
      <c r="CE39" s="36"/>
      <c r="CF39" s="36"/>
      <c r="CG39" s="36" t="n">
        <f aca="false">-[4]May!$P$1+[4]May!$AM$1</f>
        <v>1000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-12000</v>
      </c>
      <c r="CO39" s="57"/>
      <c r="CP39" s="36"/>
      <c r="CQ39" s="36"/>
      <c r="CR39" s="36" t="n">
        <f aca="false">-[4]Jun!$P$1+[4]Jun!$AM$1</f>
        <v>1000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-11000</v>
      </c>
      <c r="CZ39" s="57"/>
      <c r="DA39" s="36"/>
      <c r="DB39" s="36"/>
      <c r="DC39" s="36" t="n">
        <f aca="false">-[4]Jul!$P$1+[4]Jul!$AM$1</f>
        <v>-4000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-15000</v>
      </c>
      <c r="DK39" s="57"/>
      <c r="DL39" s="36"/>
      <c r="DM39" s="36"/>
      <c r="DN39" s="36" t="n">
        <f aca="false">-[4]Aug!$P$1+[4]Aug!$AM$1</f>
        <v>1000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-14000</v>
      </c>
      <c r="DV39" s="57"/>
      <c r="DW39" s="36"/>
      <c r="DX39" s="36"/>
      <c r="DY39" s="36" t="n">
        <f aca="false">-[4]Sep!$P$1+[4]Sep!$AM$1</f>
        <v>1000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-13000</v>
      </c>
      <c r="EG39" s="54"/>
      <c r="EI39" s="54"/>
      <c r="EJ39" s="36" t="n">
        <f aca="false">SUM(EF39:EH39)</f>
        <v>-13000</v>
      </c>
      <c r="EK39" s="54"/>
    </row>
    <row r="40" customFormat="false" ht="12" hidden="false" customHeight="false" outlineLevel="0" collapsed="false">
      <c r="A40" s="54"/>
      <c r="B40" s="54" t="s">
        <v>164</v>
      </c>
      <c r="C40" s="56" t="s">
        <v>165</v>
      </c>
      <c r="D40" s="36" t="n">
        <f aca="false">-OpenAccounts!E31</f>
        <v>-0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166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167</v>
      </c>
      <c r="C42" s="56"/>
      <c r="D42" s="36" t="n">
        <f aca="false">-OpenAccounts!E33</f>
        <v>-100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-100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-100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-100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-100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-100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-100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-100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-100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-100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-100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-100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-100</v>
      </c>
      <c r="EG42" s="54"/>
      <c r="EH42" s="36" t="n">
        <f aca="false">-[8]Boardmeeting!$E$6</f>
        <v>-0</v>
      </c>
      <c r="EI42" s="54"/>
      <c r="EJ42" s="36" t="n">
        <f aca="false">SUM(EF42:EH42)</f>
        <v>-100</v>
      </c>
      <c r="EK42" s="54"/>
    </row>
    <row r="43" customFormat="false" ht="12" hidden="false" customHeight="false" outlineLevel="0" collapsed="false">
      <c r="A43" s="54"/>
      <c r="B43" s="54" t="s">
        <v>168</v>
      </c>
      <c r="C43" s="56"/>
      <c r="D43" s="36" t="n">
        <f aca="false">-OpenAccounts!E34</f>
        <v>-45702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-45702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-45702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-45702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-45702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-45702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-45702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-45702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-45702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-45702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-45702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-45702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-45702</v>
      </c>
      <c r="EG43" s="54"/>
      <c r="EH43" s="36" t="n">
        <f aca="false">-'PubP&amp;L'!F54</f>
        <v>-149251.11725</v>
      </c>
      <c r="EI43" s="54"/>
      <c r="EJ43" s="36" t="n">
        <f aca="false">SUM(EF43:EH43)</f>
        <v>-194953.11725</v>
      </c>
      <c r="EK43" s="54"/>
    </row>
    <row r="44" customFormat="false" ht="12" hidden="false" customHeight="false" outlineLevel="0" collapsed="false">
      <c r="A44" s="54"/>
      <c r="B44" s="54" t="s">
        <v>169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170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171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28028.7805895061</v>
      </c>
      <c r="EE47" s="54"/>
      <c r="EF47" s="36" t="n">
        <f aca="false">SUM(DU47:EE47)</f>
        <v>28028.7805895061</v>
      </c>
      <c r="EG47" s="54"/>
      <c r="EI47" s="54"/>
      <c r="EJ47" s="36" t="n">
        <f aca="false">SUM(EF47:EH47)</f>
        <v>28028.7805895061</v>
      </c>
      <c r="EK47" s="54"/>
    </row>
    <row r="48" customFormat="false" ht="12" hidden="false" customHeight="false" outlineLevel="0" collapsed="false">
      <c r="A48" s="54"/>
      <c r="B48" s="54" t="s">
        <v>98</v>
      </c>
      <c r="C48" s="56" t="s">
        <v>150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172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149251.11725</v>
      </c>
      <c r="EI49" s="54"/>
      <c r="EJ49" s="36" t="n">
        <f aca="false">SUM(EF49:EH49)</f>
        <v>149251.11725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173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174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175</v>
      </c>
      <c r="C53" s="56" t="s">
        <v>176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177</v>
      </c>
      <c r="C54" s="56" t="s">
        <v>178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179</v>
      </c>
      <c r="C55" s="56" t="s">
        <v>180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94</v>
      </c>
      <c r="C56" s="56" t="s">
        <v>181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182</v>
      </c>
      <c r="C57" s="56" t="s">
        <v>183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184</v>
      </c>
      <c r="C58" s="56" t="s">
        <v>185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-125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-125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-125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-125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-125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-125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-125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-150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-275</v>
      </c>
      <c r="EG58" s="54"/>
      <c r="EH58" s="36" t="n">
        <f aca="false">IF(OpenAccounts!P8="X",0,EF58/((100-Admin!P7)/100)-EF58)</f>
        <v>-64.5061728395062</v>
      </c>
      <c r="EI58" s="54"/>
      <c r="EJ58" s="36" t="n">
        <f aca="false">SUM(EF58:EH58)</f>
        <v>-339.506172839506</v>
      </c>
      <c r="EK58" s="54"/>
    </row>
    <row r="59" s="57" customFormat="true" ht="12" hidden="false" customHeight="false" outlineLevel="0" collapsed="false">
      <c r="A59" s="54"/>
      <c r="B59" s="55" t="s">
        <v>186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187</v>
      </c>
      <c r="C60" s="56" t="s">
        <v>188</v>
      </c>
      <c r="D60" s="57"/>
      <c r="E60" s="57"/>
      <c r="F60" s="36"/>
      <c r="G60" s="36" t="n">
        <f aca="false">[2]Oct!$O$1</f>
        <v>500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500</v>
      </c>
      <c r="P60" s="57"/>
      <c r="Q60" s="36"/>
      <c r="R60" s="36" t="n">
        <f aca="false">[2]Nov!$O$1</f>
        <v>600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1100</v>
      </c>
      <c r="AA60" s="57"/>
      <c r="AB60" s="36"/>
      <c r="AC60" s="36" t="n">
        <f aca="false">[2]Dec!$O$1</f>
        <v>300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1400</v>
      </c>
      <c r="AL60" s="57"/>
      <c r="AM60" s="36"/>
      <c r="AN60" s="36" t="n">
        <f aca="false">[2]Jan!$O$1</f>
        <v>600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2000</v>
      </c>
      <c r="AW60" s="57"/>
      <c r="AX60" s="36"/>
      <c r="AY60" s="36" t="n">
        <f aca="false">[2]Feb!$O$1</f>
        <v>450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2450</v>
      </c>
      <c r="BH60" s="57"/>
      <c r="BI60" s="36"/>
      <c r="BJ60" s="36" t="n">
        <f aca="false">[2]Mar!$O$1</f>
        <v>200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2650</v>
      </c>
      <c r="BS60" s="57"/>
      <c r="BT60" s="36"/>
      <c r="BU60" s="36" t="n">
        <f aca="false">[2]Apr!$O$1</f>
        <v>400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3050</v>
      </c>
      <c r="CD60" s="57"/>
      <c r="CE60" s="36"/>
      <c r="CF60" s="36" t="n">
        <f aca="false">[2]May!$O$1</f>
        <v>700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3750</v>
      </c>
      <c r="CO60" s="57"/>
      <c r="CP60" s="36"/>
      <c r="CQ60" s="36" t="n">
        <f aca="false">[2]Jun!$O$1</f>
        <v>400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4150</v>
      </c>
      <c r="CZ60" s="57"/>
      <c r="DA60" s="36"/>
      <c r="DB60" s="36" t="n">
        <f aca="false">[2]Jul!$O$1</f>
        <v>500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4650</v>
      </c>
      <c r="DK60" s="57"/>
      <c r="DL60" s="36"/>
      <c r="DM60" s="36" t="n">
        <f aca="false">[2]Aug!$O$1</f>
        <v>550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5200</v>
      </c>
      <c r="DV60" s="57"/>
      <c r="DW60" s="36"/>
      <c r="DX60" s="36" t="n">
        <f aca="false">[2]Sep!$O$1</f>
        <v>250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4000</v>
      </c>
      <c r="EE60" s="54"/>
      <c r="EF60" s="36" t="n">
        <f aca="false">SUM(DU60:EE60)</f>
        <v>9450</v>
      </c>
      <c r="EG60" s="54"/>
      <c r="EI60" s="54"/>
      <c r="EJ60" s="36" t="n">
        <f aca="false">SUM(EF60:EH60)</f>
        <v>9450</v>
      </c>
      <c r="EK60" s="54"/>
    </row>
    <row r="61" customFormat="false" ht="12" hidden="false" customHeight="false" outlineLevel="0" collapsed="false">
      <c r="A61" s="54"/>
      <c r="B61" s="54" t="s">
        <v>189</v>
      </c>
      <c r="C61" s="56" t="s">
        <v>180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4166.66666666667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4166.66666666667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4166.66666666667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4166.66666666667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4166.66666666667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4166.66666666667</v>
      </c>
      <c r="CD61" s="57"/>
      <c r="CE61" s="36"/>
      <c r="CF61" s="36" t="n">
        <f aca="false">[2]May!$P$1</f>
        <v>2500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6666.66666666667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6666.66666666667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6666.66666666667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6666.66666666667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6666.66666666667</v>
      </c>
      <c r="EG61" s="54"/>
      <c r="EI61" s="54"/>
      <c r="EJ61" s="36" t="n">
        <f aca="false">SUM(EF61:EH61)</f>
        <v>6666.66666666667</v>
      </c>
      <c r="EK61" s="54"/>
    </row>
    <row r="62" customFormat="false" ht="12" hidden="false" customHeight="false" outlineLevel="0" collapsed="false">
      <c r="A62" s="54"/>
      <c r="B62" s="54" t="s">
        <v>190</v>
      </c>
      <c r="C62" s="56" t="s">
        <v>191</v>
      </c>
      <c r="D62" s="57"/>
      <c r="E62" s="57"/>
      <c r="F62" s="36"/>
      <c r="G62" s="36" t="n">
        <f aca="false">[2]Oct!$Q$1</f>
        <v>237.5</v>
      </c>
      <c r="H62" s="36"/>
      <c r="I62" s="36"/>
      <c r="J62" s="36"/>
      <c r="K62" s="36"/>
      <c r="L62" s="36"/>
      <c r="N62" s="57"/>
      <c r="O62" s="36" t="n">
        <f aca="false">SUM(D62:N62)</f>
        <v>237.5</v>
      </c>
      <c r="P62" s="57"/>
      <c r="Q62" s="36"/>
      <c r="R62" s="36" t="n">
        <f aca="false">[2]Nov!$Q$1</f>
        <v>207.5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445</v>
      </c>
      <c r="AA62" s="57"/>
      <c r="AB62" s="36"/>
      <c r="AC62" s="36" t="n">
        <f aca="false">[2]Dec!$Q$1</f>
        <v>237.5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682.5</v>
      </c>
      <c r="AL62" s="57"/>
      <c r="AM62" s="36"/>
      <c r="AN62" s="36" t="n">
        <f aca="false">[2]Jan!$Q$1</f>
        <v>207.5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890</v>
      </c>
      <c r="AW62" s="57"/>
      <c r="AX62" s="36"/>
      <c r="AY62" s="36" t="n">
        <f aca="false">[2]Feb!$Q$1</f>
        <v>237.5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1127.5</v>
      </c>
      <c r="BH62" s="57"/>
      <c r="BI62" s="36"/>
      <c r="BJ62" s="36" t="n">
        <f aca="false">[2]Mar!$Q$1</f>
        <v>207.5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1335</v>
      </c>
      <c r="BS62" s="57"/>
      <c r="BT62" s="36"/>
      <c r="BU62" s="36" t="n">
        <f aca="false">[2]Apr!$Q$1</f>
        <v>237.5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1572.5</v>
      </c>
      <c r="CD62" s="57"/>
      <c r="CE62" s="36"/>
      <c r="CF62" s="36" t="n">
        <f aca="false">[2]May!$Q$1</f>
        <v>207.5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1780</v>
      </c>
      <c r="CO62" s="57"/>
      <c r="CP62" s="36"/>
      <c r="CQ62" s="36" t="n">
        <f aca="false">[2]Jun!$Q$1</f>
        <v>237.5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2017.5</v>
      </c>
      <c r="CZ62" s="57"/>
      <c r="DA62" s="36"/>
      <c r="DB62" s="36" t="n">
        <f aca="false">[2]Jul!$Q$1</f>
        <v>207.5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2225</v>
      </c>
      <c r="DK62" s="57"/>
      <c r="DL62" s="36"/>
      <c r="DM62" s="36" t="n">
        <f aca="false">[2]Aug!$Q$1</f>
        <v>237.5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2462.5</v>
      </c>
      <c r="DV62" s="57"/>
      <c r="DW62" s="36"/>
      <c r="DX62" s="36" t="n">
        <f aca="false">[2]Sep!$Q$1</f>
        <v>207.5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2670</v>
      </c>
      <c r="EG62" s="54"/>
      <c r="EI62" s="54"/>
      <c r="EJ62" s="36" t="n">
        <f aca="false">SUM(EF62:EH62)</f>
        <v>2670</v>
      </c>
      <c r="EK62" s="54"/>
    </row>
    <row r="63" s="57" customFormat="true" ht="12" hidden="false" customHeight="false" outlineLevel="0" collapsed="false">
      <c r="A63" s="54"/>
      <c r="B63" s="55" t="s">
        <v>192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193</v>
      </c>
      <c r="C64" s="56" t="s">
        <v>194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6748</v>
      </c>
      <c r="N64" s="57"/>
      <c r="O64" s="36" t="n">
        <f aca="false">SUM(D64:N64)</f>
        <v>6748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6748</v>
      </c>
      <c r="X64" s="36"/>
      <c r="Y64" s="54"/>
      <c r="Z64" s="36" t="n">
        <f aca="false">SUM(O64:Y64)</f>
        <v>13496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6748</v>
      </c>
      <c r="AI64" s="36"/>
      <c r="AJ64" s="54"/>
      <c r="AK64" s="36" t="n">
        <f aca="false">SUM(Z64:AJ64)</f>
        <v>20244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6748</v>
      </c>
      <c r="AT64" s="36"/>
      <c r="AU64" s="54"/>
      <c r="AV64" s="36" t="n">
        <f aca="false">SUM(AK64:AU64)</f>
        <v>26992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6748</v>
      </c>
      <c r="BE64" s="36"/>
      <c r="BF64" s="54"/>
      <c r="BG64" s="36" t="n">
        <f aca="false">SUM(AV64:BF64)</f>
        <v>33740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6748</v>
      </c>
      <c r="BP64" s="36"/>
      <c r="BQ64" s="54"/>
      <c r="BR64" s="36" t="n">
        <f aca="false">SUM(BG64:BQ64)</f>
        <v>40488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6748</v>
      </c>
      <c r="CA64" s="36"/>
      <c r="CB64" s="54"/>
      <c r="CC64" s="36" t="n">
        <f aca="false">SUM(BR64:CB64)</f>
        <v>47236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6748</v>
      </c>
      <c r="CL64" s="36"/>
      <c r="CM64" s="54"/>
      <c r="CN64" s="36" t="n">
        <f aca="false">SUM(CC64:CM64)</f>
        <v>53984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6748</v>
      </c>
      <c r="CW64" s="36"/>
      <c r="CX64" s="54"/>
      <c r="CY64" s="36" t="n">
        <f aca="false">SUM(CN64:CX64)</f>
        <v>60732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6748</v>
      </c>
      <c r="DH64" s="36"/>
      <c r="DI64" s="54"/>
      <c r="DJ64" s="36" t="n">
        <f aca="false">SUM(CY64:DI64)</f>
        <v>67480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6748</v>
      </c>
      <c r="DS64" s="36"/>
      <c r="DT64" s="54"/>
      <c r="DU64" s="36" t="n">
        <f aca="false">SUM(DJ64:DT64)</f>
        <v>74228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6748</v>
      </c>
      <c r="ED64" s="36"/>
      <c r="EE64" s="54"/>
      <c r="EF64" s="36" t="n">
        <f aca="false">SUM(DU64:EE64)</f>
        <v>80976</v>
      </c>
      <c r="EG64" s="54"/>
      <c r="EI64" s="54"/>
      <c r="EJ64" s="36" t="n">
        <f aca="false">SUM(EF64:EH64)</f>
        <v>80976</v>
      </c>
      <c r="EK64" s="54"/>
    </row>
    <row r="65" customFormat="false" ht="12" hidden="false" customHeight="false" outlineLevel="0" collapsed="false">
      <c r="A65" s="54"/>
      <c r="B65" s="54" t="s">
        <v>195</v>
      </c>
      <c r="C65" s="56" t="s">
        <v>196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666.666666666667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666.666666666667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666.666666666667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666.666666666667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666.666666666667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666.666666666667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666.666666666667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666.666666666667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666.666666666667</v>
      </c>
      <c r="EG65" s="54"/>
      <c r="EI65" s="54"/>
      <c r="EJ65" s="36" t="n">
        <f aca="false">SUM(EF65:EH65)</f>
        <v>666.666666666667</v>
      </c>
      <c r="EK65" s="54"/>
    </row>
    <row r="66" customFormat="false" ht="12" hidden="false" customHeight="false" outlineLevel="0" collapsed="false">
      <c r="A66" s="54"/>
      <c r="B66" s="54" t="s">
        <v>71</v>
      </c>
      <c r="C66" s="56" t="s">
        <v>181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4166.66666666667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4166.66666666667</v>
      </c>
      <c r="CZ66" s="57"/>
      <c r="DA66" s="36"/>
      <c r="DB66" s="36" t="n">
        <f aca="false">[2]Jul!$R$1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4166.66666666667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4166.66666666667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4166.66666666667</v>
      </c>
      <c r="EG66" s="54"/>
      <c r="EI66" s="54"/>
      <c r="EJ66" s="36" t="n">
        <f aca="false">SUM(EF66:EH66)</f>
        <v>4166.66666666667</v>
      </c>
      <c r="EK66" s="54"/>
    </row>
    <row r="67" customFormat="false" ht="12" hidden="false" customHeight="false" outlineLevel="0" collapsed="false">
      <c r="A67" s="54"/>
      <c r="B67" s="54" t="s">
        <v>197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577.2</v>
      </c>
      <c r="N67" s="57"/>
      <c r="O67" s="36" t="n">
        <f aca="false">SUM(D67:N67)</f>
        <v>577.2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577.2</v>
      </c>
      <c r="X67" s="36"/>
      <c r="Y67" s="54"/>
      <c r="Z67" s="36" t="n">
        <f aca="false">SUM(O67:Y67)</f>
        <v>1154.4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577.2</v>
      </c>
      <c r="AI67" s="36"/>
      <c r="AJ67" s="54"/>
      <c r="AK67" s="36" t="n">
        <f aca="false">SUM(Z67:AJ67)</f>
        <v>1731.6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577.2</v>
      </c>
      <c r="AT67" s="36"/>
      <c r="AU67" s="54"/>
      <c r="AV67" s="36" t="n">
        <f aca="false">SUM(AK67:AU67)</f>
        <v>2308.8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577.2</v>
      </c>
      <c r="BE67" s="36"/>
      <c r="BF67" s="54"/>
      <c r="BG67" s="36" t="n">
        <f aca="false">SUM(AV67:BF67)</f>
        <v>2886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577.2</v>
      </c>
      <c r="BP67" s="36"/>
      <c r="BQ67" s="54"/>
      <c r="BR67" s="36" t="n">
        <f aca="false">SUM(BG67:BQ67)</f>
        <v>3463.2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577.2</v>
      </c>
      <c r="CA67" s="36"/>
      <c r="CB67" s="54"/>
      <c r="CC67" s="36" t="n">
        <f aca="false">SUM(BR67:CB67)</f>
        <v>4040.4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577.2</v>
      </c>
      <c r="CL67" s="36"/>
      <c r="CM67" s="54"/>
      <c r="CN67" s="36" t="n">
        <f aca="false">SUM(CC67:CM67)</f>
        <v>4617.6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577.2</v>
      </c>
      <c r="CW67" s="36"/>
      <c r="CX67" s="54"/>
      <c r="CY67" s="36" t="n">
        <f aca="false">SUM(CN67:CX67)</f>
        <v>5194.8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577.2</v>
      </c>
      <c r="DH67" s="36"/>
      <c r="DI67" s="54"/>
      <c r="DJ67" s="36" t="n">
        <f aca="false">SUM(CY67:DI67)</f>
        <v>5772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577.2</v>
      </c>
      <c r="DS67" s="36"/>
      <c r="DT67" s="54"/>
      <c r="DU67" s="36" t="n">
        <f aca="false">SUM(DJ67:DT67)</f>
        <v>6349.2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577.2</v>
      </c>
      <c r="ED67" s="36"/>
      <c r="EE67" s="54"/>
      <c r="EF67" s="36" t="n">
        <f aca="false">SUM(DU67:EE67)</f>
        <v>6926.4</v>
      </c>
      <c r="EG67" s="54"/>
      <c r="EI67" s="54"/>
      <c r="EJ67" s="36" t="n">
        <f aca="false">SUM(EF67:EH67)</f>
        <v>6926.4</v>
      </c>
      <c r="EK67" s="54"/>
    </row>
    <row r="68" customFormat="false" ht="12" hidden="false" customHeight="false" outlineLevel="0" collapsed="false">
      <c r="A68" s="54"/>
      <c r="B68" s="54" t="s">
        <v>73</v>
      </c>
      <c r="C68" s="56" t="s">
        <v>198</v>
      </c>
      <c r="D68" s="57"/>
      <c r="E68" s="57"/>
      <c r="F68" s="36"/>
      <c r="G68" s="36" t="n">
        <f aca="false">[2]Oct!$T$1</f>
        <v>1000</v>
      </c>
      <c r="H68" s="36"/>
      <c r="I68" s="36"/>
      <c r="J68" s="36"/>
      <c r="K68" s="36"/>
      <c r="L68" s="36"/>
      <c r="N68" s="57"/>
      <c r="O68" s="36" t="n">
        <f aca="false">SUM(D68:N68)</f>
        <v>1000</v>
      </c>
      <c r="P68" s="57"/>
      <c r="Q68" s="36"/>
      <c r="R68" s="36" t="n">
        <f aca="false">[2]Nov!$T$1</f>
        <v>1000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2000</v>
      </c>
      <c r="AA68" s="57"/>
      <c r="AB68" s="36"/>
      <c r="AC68" s="36" t="n">
        <f aca="false">[2]Dec!$T$1</f>
        <v>1000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3000</v>
      </c>
      <c r="AL68" s="57"/>
      <c r="AM68" s="36"/>
      <c r="AN68" s="36" t="n">
        <f aca="false">[2]Jan!$T$1</f>
        <v>1000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4000</v>
      </c>
      <c r="AW68" s="57"/>
      <c r="AX68" s="36"/>
      <c r="AY68" s="36" t="n">
        <f aca="false">[2]Feb!$T$1</f>
        <v>1000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5000</v>
      </c>
      <c r="BH68" s="57"/>
      <c r="BI68" s="36"/>
      <c r="BJ68" s="36" t="n">
        <f aca="false">[2]Mar!$T$1</f>
        <v>1000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6000</v>
      </c>
      <c r="BS68" s="57"/>
      <c r="BT68" s="36"/>
      <c r="BU68" s="36" t="n">
        <f aca="false">[2]Apr!$T$1</f>
        <v>1000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7000</v>
      </c>
      <c r="CD68" s="57"/>
      <c r="CE68" s="36"/>
      <c r="CF68" s="36" t="n">
        <f aca="false">[2]May!$T$1</f>
        <v>1000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8000</v>
      </c>
      <c r="CO68" s="57"/>
      <c r="CP68" s="36"/>
      <c r="CQ68" s="36" t="n">
        <f aca="false">[2]Jun!$T$1</f>
        <v>1000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9000</v>
      </c>
      <c r="CZ68" s="57"/>
      <c r="DA68" s="36"/>
      <c r="DB68" s="36" t="n">
        <f aca="false">[2]Jul!$T$1</f>
        <v>1000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10000</v>
      </c>
      <c r="DK68" s="57"/>
      <c r="DL68" s="36"/>
      <c r="DM68" s="36" t="n">
        <f aca="false">[2]Aug!$T$1</f>
        <v>1000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11000</v>
      </c>
      <c r="DV68" s="57"/>
      <c r="DW68" s="36"/>
      <c r="DX68" s="36" t="n">
        <f aca="false">[2]Sep!$T$1</f>
        <v>1000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12000</v>
      </c>
      <c r="EG68" s="54"/>
      <c r="EI68" s="54"/>
      <c r="EJ68" s="36" t="n">
        <f aca="false">SUM(EF68:EH68)</f>
        <v>12000</v>
      </c>
      <c r="EK68" s="54"/>
    </row>
    <row r="69" customFormat="false" ht="12" hidden="false" customHeight="false" outlineLevel="0" collapsed="false">
      <c r="A69" s="54"/>
      <c r="B69" s="54" t="s">
        <v>74</v>
      </c>
      <c r="C69" s="56" t="s">
        <v>199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300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300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300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300</v>
      </c>
      <c r="BH69" s="57"/>
      <c r="BI69" s="36"/>
      <c r="BJ69" s="36" t="n">
        <f aca="false">[2]Mar!$U$1</f>
        <v>250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550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550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550</v>
      </c>
      <c r="CO69" s="57"/>
      <c r="CP69" s="36"/>
      <c r="CQ69" s="36" t="n">
        <f aca="false">[2]Jun!$U$1</f>
        <v>350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900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900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900</v>
      </c>
      <c r="DV69" s="57"/>
      <c r="DW69" s="36"/>
      <c r="DX69" s="36" t="n">
        <f aca="false">[2]Sep!$U$1</f>
        <v>300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1200</v>
      </c>
      <c r="EG69" s="54"/>
      <c r="EI69" s="54"/>
      <c r="EJ69" s="36" t="n">
        <f aca="false">SUM(EF69:EH69)</f>
        <v>1200</v>
      </c>
      <c r="EK69" s="54"/>
    </row>
    <row r="70" customFormat="false" ht="12" hidden="false" customHeight="false" outlineLevel="0" collapsed="false">
      <c r="A70" s="54"/>
      <c r="B70" s="54" t="s">
        <v>75</v>
      </c>
      <c r="C70" s="56" t="s">
        <v>200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150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150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150</v>
      </c>
      <c r="AL70" s="57"/>
      <c r="AM70" s="36"/>
      <c r="AN70" s="36" t="n">
        <f aca="false">[2]Jan!$V$1</f>
        <v>100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250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250</v>
      </c>
      <c r="BH70" s="57"/>
      <c r="BI70" s="36"/>
      <c r="BJ70" s="36" t="n">
        <f aca="false">[2]Mar!$V$1</f>
        <v>80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330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330</v>
      </c>
      <c r="CD70" s="57"/>
      <c r="CE70" s="36"/>
      <c r="CF70" s="36" t="n">
        <f aca="false">[2]May!$V$1</f>
        <v>200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530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530</v>
      </c>
      <c r="CZ70" s="57"/>
      <c r="DA70" s="36"/>
      <c r="DB70" s="36" t="n">
        <f aca="false">[2]Jul!$V$1</f>
        <v>150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680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680</v>
      </c>
      <c r="DV70" s="57"/>
      <c r="DW70" s="36"/>
      <c r="DX70" s="36" t="n">
        <f aca="false">[2]Sep!$V$1</f>
        <v>120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800</v>
      </c>
      <c r="EG70" s="54"/>
      <c r="EI70" s="54"/>
      <c r="EJ70" s="36" t="n">
        <f aca="false">SUM(EF70:EH70)</f>
        <v>800</v>
      </c>
      <c r="EK70" s="54"/>
    </row>
    <row r="71" customFormat="false" ht="12" hidden="false" customHeight="false" outlineLevel="0" collapsed="false">
      <c r="A71" s="54"/>
      <c r="B71" s="54" t="s">
        <v>76</v>
      </c>
      <c r="C71" s="56" t="s">
        <v>201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200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200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200</v>
      </c>
      <c r="AL71" s="57"/>
      <c r="AM71" s="36"/>
      <c r="AN71" s="36" t="n">
        <f aca="false">[2]Jan!$W$1</f>
        <v>400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600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600</v>
      </c>
      <c r="BH71" s="57"/>
      <c r="BI71" s="36"/>
      <c r="BJ71" s="36" t="n">
        <f aca="false">[2]Mar!$W$1</f>
        <v>300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900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900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900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900</v>
      </c>
      <c r="CZ71" s="57"/>
      <c r="DA71" s="36"/>
      <c r="DB71" s="36" t="n">
        <f aca="false">[2]Jul!$W$1</f>
        <v>150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1050</v>
      </c>
      <c r="DK71" s="57"/>
      <c r="DL71" s="36"/>
      <c r="DM71" s="36" t="n">
        <f aca="false">[2]Aug!$W$1</f>
        <v>300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1350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1350</v>
      </c>
      <c r="EG71" s="54"/>
      <c r="EI71" s="54"/>
      <c r="EJ71" s="36" t="n">
        <f aca="false">SUM(EF71:EH71)</f>
        <v>1350</v>
      </c>
      <c r="EK71" s="54"/>
    </row>
    <row r="72" customFormat="false" ht="12" hidden="false" customHeight="false" outlineLevel="0" collapsed="false">
      <c r="A72" s="54"/>
      <c r="B72" s="54" t="s">
        <v>77</v>
      </c>
      <c r="C72" s="56" t="s">
        <v>202</v>
      </c>
      <c r="D72" s="57"/>
      <c r="E72" s="57"/>
      <c r="F72" s="36"/>
      <c r="G72" s="36" t="n">
        <f aca="false">[2]Oct!$X$1</f>
        <v>100</v>
      </c>
      <c r="H72" s="36"/>
      <c r="I72" s="36"/>
      <c r="J72" s="36"/>
      <c r="K72" s="36"/>
      <c r="L72" s="36"/>
      <c r="N72" s="57"/>
      <c r="O72" s="36" t="n">
        <f aca="false">SUM(D72:N72)</f>
        <v>100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100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100</v>
      </c>
      <c r="AL72" s="57"/>
      <c r="AM72" s="36"/>
      <c r="AN72" s="36" t="n">
        <f aca="false">[2]Jan!$X$1</f>
        <v>150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250</v>
      </c>
      <c r="AW72" s="57"/>
      <c r="AX72" s="36"/>
      <c r="AY72" s="36" t="n">
        <f aca="false">[2]Feb!$X$1</f>
        <v>200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450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450</v>
      </c>
      <c r="BS72" s="57"/>
      <c r="BT72" s="36"/>
      <c r="BU72" s="36" t="n">
        <f aca="false">[2]Apr!$X$1</f>
        <v>80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530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530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530</v>
      </c>
      <c r="CZ72" s="57"/>
      <c r="DA72" s="36"/>
      <c r="DB72" s="36" t="n">
        <f aca="false">[2]Jul!$X$1</f>
        <v>120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650</v>
      </c>
      <c r="DK72" s="57"/>
      <c r="DL72" s="36"/>
      <c r="DM72" s="36" t="n">
        <f aca="false">[2]Aug!$X$1</f>
        <v>300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950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950</v>
      </c>
      <c r="EG72" s="54"/>
      <c r="EI72" s="54"/>
      <c r="EJ72" s="36" t="n">
        <f aca="false">SUM(EF72:EH72)</f>
        <v>950</v>
      </c>
      <c r="EK72" s="54"/>
    </row>
    <row r="73" customFormat="false" ht="12" hidden="false" customHeight="false" outlineLevel="0" collapsed="false">
      <c r="A73" s="54"/>
      <c r="B73" s="54" t="s">
        <v>78</v>
      </c>
      <c r="C73" s="56" t="s">
        <v>203</v>
      </c>
      <c r="D73" s="57"/>
      <c r="E73" s="57"/>
      <c r="F73" s="36"/>
      <c r="G73" s="36" t="n">
        <f aca="false">[2]Oct!$Y$1</f>
        <v>130.833333333333</v>
      </c>
      <c r="H73" s="36"/>
      <c r="I73" s="36"/>
      <c r="J73" s="36"/>
      <c r="K73" s="36"/>
      <c r="L73" s="36"/>
      <c r="N73" s="57"/>
      <c r="O73" s="36" t="n">
        <f aca="false">SUM(D73:N73)</f>
        <v>130.833333333333</v>
      </c>
      <c r="P73" s="57"/>
      <c r="Q73" s="36"/>
      <c r="R73" s="36" t="n">
        <f aca="false">[2]Nov!$Y$1</f>
        <v>95.8333333333333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226.666666666666</v>
      </c>
      <c r="AA73" s="57"/>
      <c r="AB73" s="36"/>
      <c r="AC73" s="36" t="n">
        <f aca="false">[2]Dec!$Y$1</f>
        <v>120.833333333333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347.499999999999</v>
      </c>
      <c r="AL73" s="57"/>
      <c r="AM73" s="36"/>
      <c r="AN73" s="36" t="n">
        <f aca="false">[2]Jan!$Y$1</f>
        <v>95.8333333333333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443.333333333333</v>
      </c>
      <c r="AW73" s="57"/>
      <c r="AX73" s="36"/>
      <c r="AY73" s="36" t="n">
        <f aca="false">[2]Feb!$Y$1</f>
        <v>135.833333333333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579.166666666666</v>
      </c>
      <c r="BH73" s="57"/>
      <c r="BI73" s="36"/>
      <c r="BJ73" s="36" t="n">
        <f aca="false">[2]Mar!$Y$1</f>
        <v>95.8333333333333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674.999999999999</v>
      </c>
      <c r="BS73" s="57"/>
      <c r="BT73" s="36"/>
      <c r="BU73" s="36" t="n">
        <f aca="false">[2]Apr!$Y$1</f>
        <v>125.833333333333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800.833333333332</v>
      </c>
      <c r="CD73" s="57"/>
      <c r="CE73" s="36"/>
      <c r="CF73" s="36" t="n">
        <f aca="false">[2]May!$Y$1</f>
        <v>95.8333333333333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896.666666666665</v>
      </c>
      <c r="CO73" s="57"/>
      <c r="CP73" s="36"/>
      <c r="CQ73" s="36" t="n">
        <f aca="false">[2]Jun!$Y$1</f>
        <v>115.833333333333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1012.5</v>
      </c>
      <c r="CZ73" s="57"/>
      <c r="DA73" s="36"/>
      <c r="DB73" s="36" t="n">
        <f aca="false">[2]Jul!$Y$1</f>
        <v>95.8333333333333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1108.33333333333</v>
      </c>
      <c r="DK73" s="57"/>
      <c r="DL73" s="36"/>
      <c r="DM73" s="36" t="n">
        <f aca="false">[2]Aug!$Y$1</f>
        <v>110.833333333333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1219.16666666666</v>
      </c>
      <c r="DV73" s="57"/>
      <c r="DW73" s="36"/>
      <c r="DX73" s="36" t="n">
        <f aca="false">[2]Sep!$Y$1</f>
        <v>95.8333333333333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1315</v>
      </c>
      <c r="EG73" s="54"/>
      <c r="EI73" s="54"/>
      <c r="EJ73" s="36" t="n">
        <f aca="false">SUM(EF73:EH73)</f>
        <v>1315</v>
      </c>
      <c r="EK73" s="54"/>
    </row>
    <row r="74" customFormat="false" ht="12" hidden="false" customHeight="false" outlineLevel="0" collapsed="false">
      <c r="A74" s="54"/>
      <c r="B74" s="54" t="s">
        <v>79</v>
      </c>
      <c r="C74" s="56" t="s">
        <v>176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500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500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500</v>
      </c>
      <c r="AL74" s="57"/>
      <c r="AM74" s="36"/>
      <c r="AN74" s="36" t="n">
        <f aca="false">[2]Jan!$Z$1</f>
        <v>400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900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900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900</v>
      </c>
      <c r="BS74" s="57"/>
      <c r="BT74" s="36"/>
      <c r="BU74" s="36" t="n">
        <f aca="false">[2]Apr!$Z$1</f>
        <v>2500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3400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3400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3400</v>
      </c>
      <c r="CZ74" s="57"/>
      <c r="DA74" s="36"/>
      <c r="DB74" s="36" t="n">
        <f aca="false">[2]Jul!$Z$1</f>
        <v>400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3800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3800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3800</v>
      </c>
      <c r="EG74" s="54"/>
      <c r="EI74" s="54"/>
      <c r="EJ74" s="36" t="n">
        <f aca="false">SUM(EF74:EH74)</f>
        <v>3800</v>
      </c>
      <c r="EK74" s="54"/>
    </row>
    <row r="75" customFormat="false" ht="12" hidden="false" customHeight="false" outlineLevel="0" collapsed="false">
      <c r="A75" s="54"/>
      <c r="B75" s="54" t="s">
        <v>80</v>
      </c>
      <c r="C75" s="56" t="s">
        <v>183</v>
      </c>
      <c r="D75" s="57"/>
      <c r="E75" s="57"/>
      <c r="F75" s="36"/>
      <c r="G75" s="36" t="n">
        <f aca="false">[2]Oct!$AA$1</f>
        <v>112.5</v>
      </c>
      <c r="H75" s="36"/>
      <c r="I75" s="36"/>
      <c r="J75" s="36"/>
      <c r="K75" s="36"/>
      <c r="L75" s="36"/>
      <c r="N75" s="57"/>
      <c r="O75" s="36" t="n">
        <f aca="false">SUM(D75:N75)</f>
        <v>112.5</v>
      </c>
      <c r="P75" s="57"/>
      <c r="Q75" s="36"/>
      <c r="R75" s="36" t="n">
        <f aca="false">[2]Nov!$AA$1</f>
        <v>127.5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240</v>
      </c>
      <c r="AA75" s="57"/>
      <c r="AB75" s="36"/>
      <c r="AC75" s="36" t="n">
        <f aca="false">[2]Dec!$AA$1</f>
        <v>192.5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432.5</v>
      </c>
      <c r="AL75" s="57"/>
      <c r="AM75" s="36"/>
      <c r="AN75" s="36" t="n">
        <f aca="false">[2]Jan!$AA$1</f>
        <v>132.5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565</v>
      </c>
      <c r="AW75" s="57"/>
      <c r="AX75" s="36"/>
      <c r="AY75" s="36" t="n">
        <f aca="false">[2]Feb!$AA$1</f>
        <v>112.5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677.5</v>
      </c>
      <c r="BH75" s="57"/>
      <c r="BI75" s="36"/>
      <c r="BJ75" s="36" t="n">
        <f aca="false">[2]Mar!$AA$1</f>
        <v>122.5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800</v>
      </c>
      <c r="BS75" s="57"/>
      <c r="BT75" s="36"/>
      <c r="BU75" s="36" t="n">
        <f aca="false">[2]Apr!$AA$1</f>
        <v>112.5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912.5</v>
      </c>
      <c r="CD75" s="57"/>
      <c r="CE75" s="36"/>
      <c r="CF75" s="36" t="n">
        <f aca="false">[2]May!$AA$1</f>
        <v>137.5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1050</v>
      </c>
      <c r="CO75" s="57"/>
      <c r="CP75" s="36"/>
      <c r="CQ75" s="36" t="n">
        <f aca="false">[2]Jun!$AA$1</f>
        <v>212.5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1262.5</v>
      </c>
      <c r="CZ75" s="57"/>
      <c r="DA75" s="36"/>
      <c r="DB75" s="36" t="n">
        <f aca="false">[2]Jul!$AA$1</f>
        <v>127.5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1390</v>
      </c>
      <c r="DK75" s="57"/>
      <c r="DL75" s="36"/>
      <c r="DM75" s="36" t="n">
        <f aca="false">[2]Aug!$AA$1</f>
        <v>112.5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1502.5</v>
      </c>
      <c r="DV75" s="57"/>
      <c r="DW75" s="36"/>
      <c r="DX75" s="36" t="n">
        <f aca="false">[2]Sep!$AA$1</f>
        <v>132.5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1635</v>
      </c>
      <c r="EG75" s="54"/>
      <c r="EI75" s="54"/>
      <c r="EJ75" s="36" t="n">
        <f aca="false">SUM(EF75:EH75)</f>
        <v>1635</v>
      </c>
      <c r="EK75" s="54"/>
    </row>
    <row r="76" customFormat="false" ht="12" hidden="false" customHeight="false" outlineLevel="0" collapsed="false">
      <c r="A76" s="54"/>
      <c r="B76" s="54" t="s">
        <v>81</v>
      </c>
      <c r="C76" s="56" t="s">
        <v>204</v>
      </c>
      <c r="D76" s="57"/>
      <c r="E76" s="57"/>
      <c r="F76" s="36"/>
      <c r="G76" s="36" t="n">
        <f aca="false">[2]Oct!$AB$1</f>
        <v>76.6666666666667</v>
      </c>
      <c r="H76" s="36"/>
      <c r="I76" s="36"/>
      <c r="J76" s="36"/>
      <c r="K76" s="36"/>
      <c r="L76" s="36"/>
      <c r="N76" s="57"/>
      <c r="O76" s="36" t="n">
        <f aca="false">SUM(D76:N76)</f>
        <v>76.6666666666667</v>
      </c>
      <c r="P76" s="57"/>
      <c r="Q76" s="36"/>
      <c r="R76" s="36" t="n">
        <f aca="false">[2]Nov!$AB$1</f>
        <v>126.666666666667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203.333333333334</v>
      </c>
      <c r="AA76" s="57"/>
      <c r="AB76" s="36"/>
      <c r="AC76" s="36" t="n">
        <f aca="false">[2]Dec!$AB$1</f>
        <v>226.666666666667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430.000000000001</v>
      </c>
      <c r="AL76" s="57"/>
      <c r="AM76" s="36"/>
      <c r="AN76" s="36" t="n">
        <f aca="false">[2]Jan!$AB$1</f>
        <v>76.6666666666667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506.666666666667</v>
      </c>
      <c r="AW76" s="57"/>
      <c r="AX76" s="36"/>
      <c r="AY76" s="36" t="n">
        <f aca="false">[2]Feb!$AB$1</f>
        <v>116.666666666667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623.333333333334</v>
      </c>
      <c r="BH76" s="57"/>
      <c r="BI76" s="36"/>
      <c r="BJ76" s="36" t="n">
        <f aca="false">[2]Mar!$AB$1</f>
        <v>76.6666666666667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700.000000000001</v>
      </c>
      <c r="BS76" s="57"/>
      <c r="BT76" s="36"/>
      <c r="BU76" s="36" t="n">
        <f aca="false">[2]Apr!$AB$1</f>
        <v>176.666666666667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876.666666666668</v>
      </c>
      <c r="CD76" s="57"/>
      <c r="CE76" s="36"/>
      <c r="CF76" s="36" t="n">
        <f aca="false">[2]May!$AB$1</f>
        <v>136.666666666667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1013.33333333334</v>
      </c>
      <c r="CO76" s="57"/>
      <c r="CP76" s="36"/>
      <c r="CQ76" s="36" t="n">
        <f aca="false">[2]Jun!$AB$1</f>
        <v>76.6666666666667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1090</v>
      </c>
      <c r="CZ76" s="57"/>
      <c r="DA76" s="36"/>
      <c r="DB76" s="36" t="n">
        <f aca="false">[2]Jul!$AB$1</f>
        <v>76.6666666666667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1166.66666666667</v>
      </c>
      <c r="DK76" s="57"/>
      <c r="DL76" s="36"/>
      <c r="DM76" s="36" t="n">
        <f aca="false">[2]Aug!$AB$1</f>
        <v>306.666666666667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1473.33333333334</v>
      </c>
      <c r="DV76" s="57"/>
      <c r="DW76" s="36"/>
      <c r="DX76" s="36" t="n">
        <f aca="false">[2]Sep!$AB$1</f>
        <v>76.6666666666667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1550</v>
      </c>
      <c r="EG76" s="54"/>
      <c r="EI76" s="54"/>
      <c r="EJ76" s="36" t="n">
        <f aca="false">SUM(EF76:EH76)</f>
        <v>1550</v>
      </c>
      <c r="EK76" s="54"/>
    </row>
    <row r="77" customFormat="false" ht="12" hidden="false" customHeight="false" outlineLevel="0" collapsed="false">
      <c r="A77" s="54"/>
      <c r="B77" s="54" t="s">
        <v>82</v>
      </c>
      <c r="C77" s="56" t="s">
        <v>205</v>
      </c>
      <c r="D77" s="57"/>
      <c r="E77" s="57"/>
      <c r="F77" s="36"/>
      <c r="G77" s="36" t="n">
        <f aca="false">[2]Oct!$AC$1</f>
        <v>501.875</v>
      </c>
      <c r="H77" s="36"/>
      <c r="I77" s="36"/>
      <c r="J77" s="36"/>
      <c r="K77" s="36"/>
      <c r="L77" s="36"/>
      <c r="N77" s="57"/>
      <c r="O77" s="36" t="n">
        <f aca="false">SUM(D77:N77)</f>
        <v>501.875</v>
      </c>
      <c r="P77" s="57"/>
      <c r="Q77" s="36"/>
      <c r="R77" s="36" t="n">
        <f aca="false">[2]Nov!$AC$1</f>
        <v>555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1056.875</v>
      </c>
      <c r="AA77" s="57"/>
      <c r="AB77" s="36"/>
      <c r="AC77" s="36" t="n">
        <f aca="false">[2]Dec!$AC$1</f>
        <v>545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1601.875</v>
      </c>
      <c r="AL77" s="57"/>
      <c r="AM77" s="36"/>
      <c r="AN77" s="36" t="n">
        <f aca="false">[2]Jan!$AC$1</f>
        <v>486.875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2088.75</v>
      </c>
      <c r="AW77" s="57"/>
      <c r="AX77" s="36"/>
      <c r="AY77" s="36" t="n">
        <f aca="false">[2]Feb!$AC$1</f>
        <v>501.875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2590.625</v>
      </c>
      <c r="BH77" s="57"/>
      <c r="BI77" s="36"/>
      <c r="BJ77" s="36" t="n">
        <f aca="false">[2]Mar!$AC$1</f>
        <v>590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3180.625</v>
      </c>
      <c r="BS77" s="57"/>
      <c r="BT77" s="36"/>
      <c r="BU77" s="36" t="n">
        <f aca="false">[2]Apr!$AC$1</f>
        <v>505.625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3686.25</v>
      </c>
      <c r="CD77" s="57"/>
      <c r="CE77" s="36"/>
      <c r="CF77" s="36" t="n">
        <f aca="false">[2]May!$AC$1</f>
        <v>537.5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4223.75</v>
      </c>
      <c r="CO77" s="57"/>
      <c r="CP77" s="36"/>
      <c r="CQ77" s="36" t="n">
        <f aca="false">[2]Jun!$AC$1</f>
        <v>511.25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4735</v>
      </c>
      <c r="CZ77" s="57"/>
      <c r="DA77" s="36"/>
      <c r="DB77" s="36" t="n">
        <f aca="false">[2]Jul!$AC$1</f>
        <v>531.875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5266.875</v>
      </c>
      <c r="DK77" s="57"/>
      <c r="DL77" s="36"/>
      <c r="DM77" s="36" t="n">
        <f aca="false">[2]Aug!$AC$1</f>
        <v>496.25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5763.125</v>
      </c>
      <c r="DV77" s="57"/>
      <c r="DW77" s="36"/>
      <c r="DX77" s="36" t="n">
        <f aca="false">[2]Sep!$AC$1</f>
        <v>568.75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6331.875</v>
      </c>
      <c r="EG77" s="54"/>
      <c r="EI77" s="54"/>
      <c r="EJ77" s="36" t="n">
        <f aca="false">SUM(EF77:EH77)</f>
        <v>6331.875</v>
      </c>
      <c r="EK77" s="54"/>
    </row>
    <row r="78" customFormat="false" ht="12" hidden="false" customHeight="false" outlineLevel="0" collapsed="false">
      <c r="A78" s="54"/>
      <c r="B78" s="54" t="s">
        <v>83</v>
      </c>
      <c r="C78" s="56" t="s">
        <v>206</v>
      </c>
      <c r="D78" s="57"/>
      <c r="E78" s="57"/>
      <c r="F78" s="36"/>
      <c r="G78" s="36" t="n">
        <f aca="false">[2]Oct!$AD$1</f>
        <v>1200</v>
      </c>
      <c r="H78" s="36"/>
      <c r="I78" s="36"/>
      <c r="J78" s="36"/>
      <c r="K78" s="36"/>
      <c r="L78" s="36"/>
      <c r="N78" s="57"/>
      <c r="O78" s="36" t="n">
        <f aca="false">SUM(D78:N78)</f>
        <v>1200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1200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1200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1200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1200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1200</v>
      </c>
      <c r="BS78" s="57"/>
      <c r="BT78" s="36"/>
      <c r="BU78" s="36" t="n">
        <f aca="false">[2]Apr!$AD$1</f>
        <v>300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1500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1500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1500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1500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1500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1500</v>
      </c>
      <c r="EG78" s="54"/>
      <c r="EI78" s="54"/>
      <c r="EJ78" s="36" t="n">
        <f aca="false">SUM(EF78:EH78)</f>
        <v>1500</v>
      </c>
      <c r="EK78" s="54"/>
    </row>
    <row r="79" customFormat="false" ht="12" hidden="false" customHeight="false" outlineLevel="0" collapsed="false">
      <c r="A79" s="54"/>
      <c r="B79" s="54" t="s">
        <v>84</v>
      </c>
      <c r="C79" s="56" t="s">
        <v>207</v>
      </c>
      <c r="D79" s="57"/>
      <c r="E79" s="57"/>
      <c r="F79" s="36"/>
      <c r="G79" s="36" t="n">
        <f aca="false">[2]Oct!$AE$1</f>
        <v>150</v>
      </c>
      <c r="H79" s="36"/>
      <c r="I79" s="36"/>
      <c r="J79" s="36"/>
      <c r="K79" s="36"/>
      <c r="L79" s="36"/>
      <c r="N79" s="57"/>
      <c r="O79" s="36" t="n">
        <f aca="false">SUM(D79:N79)</f>
        <v>150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150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150</v>
      </c>
      <c r="AL79" s="57"/>
      <c r="AM79" s="36"/>
      <c r="AN79" s="36" t="n">
        <f aca="false">[2]Jan!$AE$1</f>
        <v>150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300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300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300</v>
      </c>
      <c r="BS79" s="57"/>
      <c r="BT79" s="36"/>
      <c r="BU79" s="36" t="n">
        <f aca="false">[2]Apr!$AE$1</f>
        <v>150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450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450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450</v>
      </c>
      <c r="CZ79" s="57"/>
      <c r="DA79" s="36"/>
      <c r="DB79" s="36" t="n">
        <f aca="false">[2]Jul!$AE$1</f>
        <v>150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600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600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600</v>
      </c>
      <c r="EG79" s="54"/>
      <c r="EI79" s="54"/>
      <c r="EJ79" s="36" t="n">
        <f aca="false">SUM(EF79:EH79)</f>
        <v>600</v>
      </c>
      <c r="EK79" s="54"/>
    </row>
    <row r="80" customFormat="false" ht="12" hidden="false" customHeight="false" outlineLevel="0" collapsed="false">
      <c r="A80" s="54"/>
      <c r="B80" s="54" t="s">
        <v>85</v>
      </c>
      <c r="C80" s="56" t="s">
        <v>208</v>
      </c>
      <c r="D80" s="57"/>
      <c r="E80" s="57"/>
      <c r="F80" s="36"/>
      <c r="G80" s="36" t="n">
        <f aca="false">[2]Oct!$AF$1</f>
        <v>250</v>
      </c>
      <c r="H80" s="36"/>
      <c r="I80" s="36"/>
      <c r="J80" s="36"/>
      <c r="K80" s="36"/>
      <c r="L80" s="36"/>
      <c r="N80" s="57"/>
      <c r="O80" s="36" t="n">
        <f aca="false">SUM(D80:N80)</f>
        <v>250</v>
      </c>
      <c r="P80" s="57"/>
      <c r="Q80" s="36"/>
      <c r="R80" s="36" t="n">
        <f aca="false">[2]Nov!$AF$1</f>
        <v>250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500</v>
      </c>
      <c r="AA80" s="57"/>
      <c r="AB80" s="36"/>
      <c r="AC80" s="36" t="n">
        <f aca="false">[2]Dec!$AF$1</f>
        <v>458.333333333333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958.333333333333</v>
      </c>
      <c r="AL80" s="57"/>
      <c r="AM80" s="36"/>
      <c r="AN80" s="36" t="n">
        <f aca="false">[2]Jan!$AF$1</f>
        <v>250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1208.33333333333</v>
      </c>
      <c r="AW80" s="57"/>
      <c r="AX80" s="36"/>
      <c r="AY80" s="36" t="n">
        <f aca="false">[2]Feb!$AF$1</f>
        <v>250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1458.33333333333</v>
      </c>
      <c r="BH80" s="57"/>
      <c r="BI80" s="36"/>
      <c r="BJ80" s="36" t="n">
        <f aca="false">[2]Mar!$AF$1</f>
        <v>1223.33333333333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2681.66666666666</v>
      </c>
      <c r="BS80" s="57"/>
      <c r="BT80" s="36"/>
      <c r="BU80" s="36" t="n">
        <f aca="false">[2]Apr!$AF$1</f>
        <v>250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2931.66666666666</v>
      </c>
      <c r="CD80" s="57"/>
      <c r="CE80" s="36"/>
      <c r="CF80" s="36" t="n">
        <f aca="false">[2]May!$AF$1</f>
        <v>250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3181.66666666666</v>
      </c>
      <c r="CO80" s="57"/>
      <c r="CP80" s="36"/>
      <c r="CQ80" s="36" t="n">
        <f aca="false">[2]Jun!$AF$1</f>
        <v>389.166666666667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3570.83333333333</v>
      </c>
      <c r="CZ80" s="57"/>
      <c r="DA80" s="36"/>
      <c r="DB80" s="36" t="n">
        <f aca="false">[2]Jul!$AF$1</f>
        <v>250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3820.83333333333</v>
      </c>
      <c r="DK80" s="57"/>
      <c r="DL80" s="36"/>
      <c r="DM80" s="36" t="n">
        <f aca="false">[2]Aug!$AF$1</f>
        <v>250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4070.83333333333</v>
      </c>
      <c r="DV80" s="57"/>
      <c r="DW80" s="36"/>
      <c r="DX80" s="36" t="n">
        <f aca="false">[2]Sep!$AF$1</f>
        <v>354.166666666667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4425</v>
      </c>
      <c r="EG80" s="54"/>
      <c r="EI80" s="54"/>
      <c r="EJ80" s="36" t="n">
        <f aca="false">SUM(EF80:EH80)</f>
        <v>4425</v>
      </c>
      <c r="EK80" s="54"/>
    </row>
    <row r="81" customFormat="false" ht="12" hidden="false" customHeight="false" outlineLevel="0" collapsed="false">
      <c r="A81" s="54"/>
      <c r="B81" s="54" t="s">
        <v>86</v>
      </c>
      <c r="C81" s="56" t="s">
        <v>191</v>
      </c>
      <c r="D81" s="57"/>
      <c r="E81" s="57"/>
      <c r="F81" s="36" t="n">
        <f aca="false">-[3]Oct!$T$1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-[3]Sep!$T$1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87</v>
      </c>
      <c r="C82" s="56" t="s">
        <v>209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88</v>
      </c>
      <c r="C83" s="56" t="s">
        <v>178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25</v>
      </c>
      <c r="T83" s="36" t="n">
        <f aca="false">[5]Nov!$AD$1</f>
        <v>0</v>
      </c>
      <c r="U83" s="36" t="n">
        <f aca="false">[6]Nov!$AD$1</f>
        <v>35</v>
      </c>
      <c r="V83" s="36" t="n">
        <f aca="false">[7]Nov!$AA$1</f>
        <v>0</v>
      </c>
      <c r="W83" s="36"/>
      <c r="X83" s="36"/>
      <c r="Y83" s="54"/>
      <c r="Z83" s="36" t="n">
        <f aca="false">SUM(O83:Y83)</f>
        <v>60</v>
      </c>
      <c r="AA83" s="57"/>
      <c r="AB83" s="36"/>
      <c r="AC83" s="36"/>
      <c r="AD83" s="36" t="n">
        <f aca="false">[4]Dec!$AD$1</f>
        <v>250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310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310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310</v>
      </c>
      <c r="BH83" s="57"/>
      <c r="BI83" s="36"/>
      <c r="BJ83" s="36"/>
      <c r="BK83" s="36" t="n">
        <f aca="false">[4]Mar!$AD$1</f>
        <v>208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518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518</v>
      </c>
      <c r="CD83" s="57"/>
      <c r="CE83" s="36"/>
      <c r="CF83" s="36"/>
      <c r="CG83" s="36" t="n">
        <f aca="false">[4]May!$AD$1</f>
        <v>25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543</v>
      </c>
      <c r="CO83" s="57"/>
      <c r="CP83" s="36"/>
      <c r="CQ83" s="36"/>
      <c r="CR83" s="36" t="n">
        <f aca="false">[4]Jun!$AD$1</f>
        <v>167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710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710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710</v>
      </c>
      <c r="DV83" s="57"/>
      <c r="DW83" s="36"/>
      <c r="DX83" s="36"/>
      <c r="DY83" s="36" t="n">
        <f aca="false">[4]Sep!$AD$1</f>
        <v>125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835</v>
      </c>
      <c r="EG83" s="54"/>
      <c r="EI83" s="54"/>
      <c r="EJ83" s="36" t="n">
        <f aca="false">SUM(EF83:EH83)</f>
        <v>835</v>
      </c>
      <c r="EK83" s="54"/>
    </row>
    <row r="84" customFormat="false" ht="12" hidden="false" customHeight="false" outlineLevel="0" collapsed="false">
      <c r="A84" s="54"/>
      <c r="B84" s="54" t="s">
        <v>89</v>
      </c>
      <c r="C84" s="56" t="s">
        <v>210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416.666666666667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416.666666666667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416.666666666667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416.666666666667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416.666666666667</v>
      </c>
      <c r="EG84" s="54"/>
      <c r="EI84" s="54"/>
      <c r="EJ84" s="36" t="n">
        <f aca="false">SUM(EF84:EH84)</f>
        <v>416.666666666667</v>
      </c>
      <c r="EK84" s="54"/>
    </row>
    <row r="85" customFormat="false" ht="12" hidden="false" customHeight="false" outlineLevel="0" collapsed="false">
      <c r="A85" s="54"/>
      <c r="B85" s="54" t="s">
        <v>90</v>
      </c>
      <c r="C85" s="56" t="s">
        <v>211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2500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2500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2500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2500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2500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2500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2500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2500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2500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2500</v>
      </c>
      <c r="EG85" s="54"/>
      <c r="EI85" s="54"/>
      <c r="EJ85" s="36" t="n">
        <f aca="false">SUM(EF85:EH85)</f>
        <v>2500</v>
      </c>
      <c r="EK85" s="54"/>
    </row>
    <row r="86" customFormat="false" ht="12" hidden="false" customHeight="false" outlineLevel="0" collapsed="false">
      <c r="A86" s="54"/>
      <c r="B86" s="54" t="s">
        <v>91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14.3333333333333</v>
      </c>
      <c r="N86" s="57"/>
      <c r="O86" s="36" t="n">
        <f aca="false">SUM(D86:N86)</f>
        <v>14.3333333333333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14.3333333333333</v>
      </c>
      <c r="Y86" s="54"/>
      <c r="Z86" s="36" t="n">
        <f aca="false">SUM(O86:Y86)</f>
        <v>28.6666666666667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14.3333333333333</v>
      </c>
      <c r="AJ86" s="54"/>
      <c r="AK86" s="36" t="n">
        <f aca="false">SUM(Z86:AJ86)</f>
        <v>43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14.3333333333333</v>
      </c>
      <c r="AU86" s="54"/>
      <c r="AV86" s="36" t="n">
        <f aca="false">SUM(AK86:AU86)</f>
        <v>57.3333333333333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14.3333333333333</v>
      </c>
      <c r="BF86" s="54"/>
      <c r="BG86" s="36" t="n">
        <f aca="false">SUM(AV86:BF86)</f>
        <v>71.6666666666667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14.3333333333333</v>
      </c>
      <c r="BQ86" s="54"/>
      <c r="BR86" s="36" t="n">
        <f aca="false">SUM(BG86:BQ86)</f>
        <v>86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14.3333333333333</v>
      </c>
      <c r="CB86" s="54"/>
      <c r="CC86" s="36" t="n">
        <f aca="false">SUM(BR86:CB86)</f>
        <v>100.333333333333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14.3333333333333</v>
      </c>
      <c r="CM86" s="54"/>
      <c r="CN86" s="36" t="n">
        <f aca="false">SUM(CC86:CM86)</f>
        <v>114.666666666667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14.3333333333333</v>
      </c>
      <c r="CX86" s="54"/>
      <c r="CY86" s="36" t="n">
        <f aca="false">SUM(CN86:CX86)</f>
        <v>129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14.3333333333333</v>
      </c>
      <c r="DI86" s="54"/>
      <c r="DJ86" s="36" t="n">
        <f aca="false">SUM(CY86:DI86)</f>
        <v>143.333333333333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14.3333333333333</v>
      </c>
      <c r="DT86" s="54"/>
      <c r="DU86" s="36" t="n">
        <f aca="false">SUM(DJ86:DT86)</f>
        <v>157.666666666667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14.3333333333333</v>
      </c>
      <c r="EE86" s="54"/>
      <c r="EF86" s="36" t="n">
        <f aca="false">SUM(DU86:EE86)</f>
        <v>172</v>
      </c>
      <c r="EG86" s="54"/>
      <c r="EI86" s="54"/>
      <c r="EJ86" s="36" t="n">
        <f aca="false">SUM(EF86:EH86)</f>
        <v>172</v>
      </c>
      <c r="EK86" s="54"/>
    </row>
    <row r="87" customFormat="false" ht="12" hidden="false" customHeight="false" outlineLevel="0" collapsed="false">
      <c r="A87" s="54"/>
      <c r="B87" s="54" t="s">
        <v>92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978.333333333333</v>
      </c>
      <c r="N87" s="57"/>
      <c r="O87" s="36" t="n">
        <f aca="false">SUM(D87:N87)</f>
        <v>978.333333333333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978.333333333333</v>
      </c>
      <c r="Y87" s="54"/>
      <c r="Z87" s="36" t="n">
        <f aca="false">SUM(O87:Y87)</f>
        <v>1956.66666666667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978.333333333333</v>
      </c>
      <c r="AJ87" s="54"/>
      <c r="AK87" s="36" t="n">
        <f aca="false">SUM(Z87:AJ87)</f>
        <v>2935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978.333333333333</v>
      </c>
      <c r="AU87" s="54"/>
      <c r="AV87" s="36" t="n">
        <f aca="false">SUM(AK87:AU87)</f>
        <v>3913.33333333333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978.333333333333</v>
      </c>
      <c r="BF87" s="54"/>
      <c r="BG87" s="36" t="n">
        <f aca="false">SUM(AV87:BF87)</f>
        <v>4891.66666666667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978.333333333333</v>
      </c>
      <c r="BQ87" s="54"/>
      <c r="BR87" s="36" t="n">
        <f aca="false">SUM(BG87:BQ87)</f>
        <v>5870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978.333333333333</v>
      </c>
      <c r="CB87" s="54"/>
      <c r="CC87" s="36" t="n">
        <f aca="false">SUM(BR87:CB87)</f>
        <v>6848.33333333333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978.333333333333</v>
      </c>
      <c r="CM87" s="54"/>
      <c r="CN87" s="36" t="n">
        <f aca="false">SUM(CC87:CM87)</f>
        <v>7826.66666666667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978.333333333333</v>
      </c>
      <c r="CX87" s="54"/>
      <c r="CY87" s="36" t="n">
        <f aca="false">SUM(CN87:CX87)</f>
        <v>8805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978.333333333333</v>
      </c>
      <c r="DI87" s="54"/>
      <c r="DJ87" s="36" t="n">
        <f aca="false">SUM(CY87:DI87)</f>
        <v>9783.33333333333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978.333333333333</v>
      </c>
      <c r="DT87" s="54"/>
      <c r="DU87" s="36" t="n">
        <f aca="false">SUM(DJ87:DT87)</f>
        <v>10761.6666666667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978.333333333333</v>
      </c>
      <c r="EE87" s="54"/>
      <c r="EF87" s="36" t="n">
        <f aca="false">SUM(DU87:EE87)</f>
        <v>11740</v>
      </c>
      <c r="EG87" s="54"/>
      <c r="EI87" s="54"/>
      <c r="EJ87" s="36" t="n">
        <f aca="false">SUM(EF87:EH87)</f>
        <v>11740</v>
      </c>
      <c r="EK87" s="54"/>
    </row>
    <row r="88" customFormat="false" ht="12" hidden="false" customHeight="false" outlineLevel="0" collapsed="false">
      <c r="A88" s="54"/>
      <c r="B88" s="54" t="s">
        <v>212</v>
      </c>
      <c r="C88" s="56" t="s">
        <v>213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214</v>
      </c>
      <c r="C89" s="56" t="s">
        <v>213</v>
      </c>
      <c r="D89" s="57"/>
      <c r="E89" s="57"/>
      <c r="F89" s="36"/>
      <c r="G89" s="36"/>
      <c r="H89" s="36" t="n">
        <f aca="false">[4]Oct!$AN$1</f>
        <v>500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500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500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500</v>
      </c>
      <c r="AL89" s="57"/>
      <c r="AM89" s="36"/>
      <c r="AN89" s="36"/>
      <c r="AO89" s="36" t="n">
        <f aca="false">[4]Jan!$AN$1</f>
        <v>300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800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800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800</v>
      </c>
      <c r="BS89" s="57"/>
      <c r="BT89" s="36"/>
      <c r="BU89" s="36"/>
      <c r="BV89" s="36" t="n">
        <f aca="false">[4]Apr!$AN$1</f>
        <v>500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1300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1300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1300</v>
      </c>
      <c r="CZ89" s="57"/>
      <c r="DA89" s="36"/>
      <c r="DB89" s="36"/>
      <c r="DC89" s="36" t="n">
        <f aca="false">[4]Jul!$AN$1</f>
        <v>300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1600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1600</v>
      </c>
      <c r="DV89" s="57"/>
      <c r="DW89" s="36"/>
      <c r="DX89" s="36"/>
      <c r="DY89" s="36" t="n">
        <f aca="false">[4]Sep!$AN$1</f>
        <v>5000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6600</v>
      </c>
      <c r="EG89" s="54"/>
      <c r="EI89" s="54"/>
      <c r="EJ89" s="36" t="n">
        <f aca="false">SUM(EF89:EH89)</f>
        <v>6600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215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3.09228198602796E-011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6.24140739091672E-011</v>
      </c>
      <c r="AA91" s="54"/>
      <c r="AB91" s="36" t="n">
        <f aca="false">SUM(AB4:AB90)</f>
        <v>3.09228198602796E-011</v>
      </c>
      <c r="AC91" s="36" t="n">
        <f aca="false">SUM(AC4:AC90)</f>
        <v>2.67164068645798E-012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9.7998054116033E-011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1.28466126625426E-010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1.69166014529765E-010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1.98951966012828E-010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2.43517206399702E-010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2.56477505899966E-010</v>
      </c>
      <c r="CO91" s="54"/>
      <c r="CP91" s="36" t="n">
        <f aca="false">SUM(CP4:CP90)</f>
        <v>3.09228198602796E-011</v>
      </c>
      <c r="CQ91" s="36" t="n">
        <f aca="false">SUM(CQ4:CQ90)</f>
        <v>3.46744855050929E-012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2.73303157882765E-010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2.86945578409359E-010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3.0036062526051E-010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3.16504156216979E-010</v>
      </c>
      <c r="EG91" s="54"/>
      <c r="EH91" s="36" t="n">
        <f aca="false">SUM(EH4:EH90)</f>
        <v>0</v>
      </c>
      <c r="EI91" s="54"/>
      <c r="EJ91" s="36" t="n">
        <f aca="false">SUM(EJ4:EJ90)</f>
        <v>3.19232640322298E-010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216</v>
      </c>
      <c r="B1" s="63" t="s">
        <v>217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218</v>
      </c>
      <c r="C3" s="69" t="s">
        <v>218</v>
      </c>
      <c r="D3" s="69" t="s">
        <v>218</v>
      </c>
      <c r="E3" s="69" t="s">
        <v>218</v>
      </c>
      <c r="F3" s="69" t="s">
        <v>218</v>
      </c>
      <c r="G3" s="69" t="s">
        <v>218</v>
      </c>
      <c r="H3" s="69" t="s">
        <v>218</v>
      </c>
      <c r="I3" s="69" t="s">
        <v>218</v>
      </c>
      <c r="J3" s="69" t="s">
        <v>218</v>
      </c>
      <c r="K3" s="69" t="s">
        <v>218</v>
      </c>
      <c r="L3" s="69" t="s">
        <v>218</v>
      </c>
      <c r="M3" s="69" t="s">
        <v>218</v>
      </c>
      <c r="N3" s="69" t="s">
        <v>218</v>
      </c>
      <c r="O3" s="68"/>
    </row>
    <row r="4" customFormat="false" ht="12" hidden="false" customHeight="false" outlineLevel="0" collapsed="false">
      <c r="A4" s="70" t="s">
        <v>175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177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179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94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62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61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67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64</v>
      </c>
      <c r="B11" s="71" t="n">
        <f aca="false">SUM(C11:N11)</f>
        <v>9450</v>
      </c>
      <c r="C11" s="72" t="n">
        <f aca="false">TrialBalance!O60-0</f>
        <v>500</v>
      </c>
      <c r="D11" s="72" t="n">
        <f aca="false">TrialBalance!Z60-C11</f>
        <v>600</v>
      </c>
      <c r="E11" s="72" t="n">
        <f aca="false">TrialBalance!AK60-SUM(C11:D11)</f>
        <v>300</v>
      </c>
      <c r="F11" s="72" t="n">
        <f aca="false">TrialBalance!AV60-SUM(C11:E11)</f>
        <v>600</v>
      </c>
      <c r="G11" s="72" t="n">
        <f aca="false">TrialBalance!BG60-SUM(C11:F11)</f>
        <v>450</v>
      </c>
      <c r="H11" s="72" t="n">
        <f aca="false">TrialBalance!BR60-SUM(C11:G11)</f>
        <v>200</v>
      </c>
      <c r="I11" s="72" t="n">
        <f aca="false">TrialBalance!CC60-SUM(C11:H11)</f>
        <v>400</v>
      </c>
      <c r="J11" s="72" t="n">
        <f aca="false">TrialBalance!CN60-SUM(C11:I11)</f>
        <v>700</v>
      </c>
      <c r="K11" s="72" t="n">
        <f aca="false">TrialBalance!CY60-SUM(C11:J11)</f>
        <v>400</v>
      </c>
      <c r="L11" s="72" t="n">
        <f aca="false">TrialBalance!DJ60-SUM(C11:K11)</f>
        <v>500</v>
      </c>
      <c r="M11" s="72" t="n">
        <f aca="false">TrialBalance!DU60-SUM(C11:L11)</f>
        <v>550</v>
      </c>
      <c r="N11" s="72" t="n">
        <f aca="false">TrialBalance!EF60-SUM(C11:M11)</f>
        <v>4250</v>
      </c>
      <c r="O11" s="68"/>
    </row>
    <row r="12" customFormat="false" ht="12" hidden="false" customHeight="false" outlineLevel="0" collapsed="false">
      <c r="A12" s="70" t="s">
        <v>66</v>
      </c>
      <c r="B12" s="71" t="n">
        <f aca="false">SUM(C12:N12)</f>
        <v>6666.66666666667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4166.66666666667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2500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219</v>
      </c>
      <c r="B13" s="71" t="n">
        <f aca="false">SUM(C13:N13)</f>
        <v>2670</v>
      </c>
      <c r="C13" s="79" t="n">
        <f aca="false">TrialBalance!O62-0</f>
        <v>237.5</v>
      </c>
      <c r="D13" s="72" t="n">
        <f aca="false">TrialBalance!Z62-C13</f>
        <v>207.5</v>
      </c>
      <c r="E13" s="72" t="n">
        <f aca="false">TrialBalance!AK62-SUM(C13:D13)</f>
        <v>237.5</v>
      </c>
      <c r="F13" s="79" t="n">
        <f aca="false">TrialBalance!AV62-SUM(C13:E13)</f>
        <v>207.5</v>
      </c>
      <c r="G13" s="72" t="n">
        <f aca="false">TrialBalance!BG62-SUM(C13:F13)</f>
        <v>237.5</v>
      </c>
      <c r="H13" s="72" t="n">
        <f aca="false">TrialBalance!BR62-SUM(C13:G13)</f>
        <v>207.5</v>
      </c>
      <c r="I13" s="72" t="n">
        <f aca="false">TrialBalance!CC62-SUM(C13:H13)</f>
        <v>237.5</v>
      </c>
      <c r="J13" s="72" t="n">
        <f aca="false">TrialBalance!CN62-SUM(C13:I13)</f>
        <v>207.5</v>
      </c>
      <c r="K13" s="72" t="n">
        <f aca="false">TrialBalance!CY62-SUM(C13:J13)</f>
        <v>237.5</v>
      </c>
      <c r="L13" s="72" t="n">
        <f aca="false">TrialBalance!DJ62-SUM(C13:K13)</f>
        <v>207.5</v>
      </c>
      <c r="M13" s="72" t="n">
        <f aca="false">TrialBalance!DU62-SUM(C13:L13)</f>
        <v>237.5</v>
      </c>
      <c r="N13" s="72" t="n">
        <f aca="false">TrialBalance!EF62-SUM(C13:M13)</f>
        <v>207.5</v>
      </c>
      <c r="O13" s="68"/>
    </row>
    <row r="14" s="76" customFormat="true" ht="12" hidden="false" customHeight="false" outlineLevel="0" collapsed="false">
      <c r="A14" s="73" t="s">
        <v>67</v>
      </c>
      <c r="B14" s="71" t="n">
        <f aca="false">SUM(B11:B13)</f>
        <v>18786.6666666667</v>
      </c>
      <c r="C14" s="74" t="n">
        <f aca="false">SUM(C11:C13)</f>
        <v>737.5</v>
      </c>
      <c r="D14" s="71" t="n">
        <f aca="false">SUM(D11:D13)</f>
        <v>807.5</v>
      </c>
      <c r="E14" s="71" t="n">
        <f aca="false">SUM(E11:E13)</f>
        <v>4704.16666666667</v>
      </c>
      <c r="F14" s="71" t="n">
        <f aca="false">SUM(F11:F13)</f>
        <v>807.5</v>
      </c>
      <c r="G14" s="71" t="n">
        <f aca="false">SUM(G11:G13)</f>
        <v>687.5</v>
      </c>
      <c r="H14" s="71" t="n">
        <f aca="false">SUM(H11:H13)</f>
        <v>407.5</v>
      </c>
      <c r="I14" s="71" t="n">
        <f aca="false">SUM(I11:I13)</f>
        <v>637.5</v>
      </c>
      <c r="J14" s="71" t="n">
        <f aca="false">SUM(J11:J13)</f>
        <v>3407.5</v>
      </c>
      <c r="K14" s="71" t="n">
        <f aca="false">SUM(K11:K13)</f>
        <v>637.5</v>
      </c>
      <c r="L14" s="71" t="n">
        <f aca="false">SUM(L11:L13)</f>
        <v>707.5</v>
      </c>
      <c r="M14" s="71" t="n">
        <f aca="false">SUM(M11:M13)</f>
        <v>787.5</v>
      </c>
      <c r="N14" s="71" t="n">
        <f aca="false">SUM(N11:N13)</f>
        <v>4457.5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68</v>
      </c>
      <c r="B16" s="71" t="n">
        <f aca="false">B9-B14</f>
        <v>322496.666666666</v>
      </c>
      <c r="C16" s="71" t="n">
        <f aca="false">C9-C14</f>
        <v>27095.8333333333</v>
      </c>
      <c r="D16" s="71" t="n">
        <f aca="false">D9-D14</f>
        <v>26625.8333333333</v>
      </c>
      <c r="E16" s="71" t="n">
        <f aca="false">E9-E14</f>
        <v>24629.1666666666</v>
      </c>
      <c r="F16" s="71" t="n">
        <f aca="false">F9-F14</f>
        <v>27325.8333333333</v>
      </c>
      <c r="G16" s="71" t="n">
        <f aca="false">G9-G14</f>
        <v>29329.1666666666</v>
      </c>
      <c r="H16" s="71" t="n">
        <f aca="false">H9-H14</f>
        <v>27725.8333333333</v>
      </c>
      <c r="I16" s="71" t="n">
        <f aca="false">I9-I14</f>
        <v>28995.8333333333</v>
      </c>
      <c r="J16" s="71" t="n">
        <f aca="false">J9-J14</f>
        <v>26025.8333333333</v>
      </c>
      <c r="K16" s="71" t="n">
        <f aca="false">K9-K14</f>
        <v>26695.8333333333</v>
      </c>
      <c r="L16" s="71" t="n">
        <f aca="false">L9-L14</f>
        <v>28825.8333333333</v>
      </c>
      <c r="M16" s="71" t="n">
        <f aca="false">M9-M14</f>
        <v>27845.8333333333</v>
      </c>
      <c r="N16" s="71" t="n">
        <f aca="false">N9-N14</f>
        <v>21375.8333333333</v>
      </c>
      <c r="O16" s="75"/>
    </row>
    <row r="17" s="76" customFormat="true" ht="10.5" hidden="false" customHeight="true" outlineLevel="0" collapsed="false">
      <c r="A17" s="77" t="s">
        <v>69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70</v>
      </c>
      <c r="B18" s="71" t="n">
        <f aca="false">SUM(C18:N18)</f>
        <v>81642.6666666667</v>
      </c>
      <c r="C18" s="72" t="n">
        <f aca="false">TrialBalance!O64+TrialBalance!O65-0</f>
        <v>6748</v>
      </c>
      <c r="D18" s="72" t="n">
        <f aca="false">TrialBalance!Z64+TrialBalance!Z65-C18</f>
        <v>6748</v>
      </c>
      <c r="E18" s="72" t="n">
        <f aca="false">TrialBalance!AK64+TrialBalance!AK65-SUM(C18:D18)</f>
        <v>6748</v>
      </c>
      <c r="F18" s="72" t="n">
        <f aca="false">TrialBalance!AV64+TrialBalance!AV65-SUM(C18:E18)</f>
        <v>6748</v>
      </c>
      <c r="G18" s="72" t="n">
        <f aca="false">TrialBalance!BG64+TrialBalance!BG65-SUM(C18:F18)</f>
        <v>7414.66666666666</v>
      </c>
      <c r="H18" s="72" t="n">
        <f aca="false">TrialBalance!BR64+TrialBalance!BR65-SUM(C18:G18)</f>
        <v>6748</v>
      </c>
      <c r="I18" s="72" t="n">
        <f aca="false">TrialBalance!CC64+TrialBalance!CC65-SUM(C18:H18)</f>
        <v>6748</v>
      </c>
      <c r="J18" s="72" t="n">
        <f aca="false">TrialBalance!CN64+TrialBalance!CN65-SUM(C18:I18)</f>
        <v>6748</v>
      </c>
      <c r="K18" s="72" t="n">
        <f aca="false">TrialBalance!CY64+TrialBalance!CY65-SUM(C18:J18)</f>
        <v>6748</v>
      </c>
      <c r="L18" s="72" t="n">
        <f aca="false">TrialBalance!DJ64+TrialBalance!DJ65-SUM(C18:K18)</f>
        <v>6748.00000000001</v>
      </c>
      <c r="M18" s="72" t="n">
        <f aca="false">TrialBalance!DU64+TrialBalance!DU65-SUM(C18:L18)</f>
        <v>6748</v>
      </c>
      <c r="N18" s="72" t="n">
        <f aca="false">TrialBalance!EF64+TrialBalance!EF65-SUM(C18:M18)</f>
        <v>6748</v>
      </c>
      <c r="O18" s="68"/>
    </row>
    <row r="19" customFormat="false" ht="12" hidden="false" customHeight="false" outlineLevel="0" collapsed="false">
      <c r="A19" s="70" t="s">
        <v>71</v>
      </c>
      <c r="B19" s="71" t="n">
        <f aca="false">SUM(C19:N19)</f>
        <v>4166.66666666667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4166.66666666667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197</v>
      </c>
      <c r="B20" s="71" t="n">
        <f aca="false">SUM(C20:N20)</f>
        <v>6926.4</v>
      </c>
      <c r="C20" s="72" t="n">
        <f aca="false">TrialBalance!O67-0</f>
        <v>577.2</v>
      </c>
      <c r="D20" s="72" t="n">
        <f aca="false">TrialBalance!Z67-C20</f>
        <v>577.2</v>
      </c>
      <c r="E20" s="72" t="n">
        <f aca="false">TrialBalance!AK67-SUM(C20:D20)</f>
        <v>577.2</v>
      </c>
      <c r="F20" s="72" t="n">
        <f aca="false">TrialBalance!AV67-SUM(C20:E20)</f>
        <v>577.2</v>
      </c>
      <c r="G20" s="72" t="n">
        <f aca="false">TrialBalance!BG67-SUM(C20:F20)</f>
        <v>577.2</v>
      </c>
      <c r="H20" s="72" t="n">
        <f aca="false">TrialBalance!BR67-SUM(C20:G20)</f>
        <v>577.2</v>
      </c>
      <c r="I20" s="72" t="n">
        <f aca="false">TrialBalance!CC67-SUM(C20:H20)</f>
        <v>577.2</v>
      </c>
      <c r="J20" s="72" t="n">
        <f aca="false">TrialBalance!CN67-SUM(C20:I20)</f>
        <v>577.2</v>
      </c>
      <c r="K20" s="72" t="n">
        <f aca="false">TrialBalance!CY67-SUM(C20:J20)</f>
        <v>577.2</v>
      </c>
      <c r="L20" s="72" t="n">
        <f aca="false">TrialBalance!DJ67-SUM(C20:K20)</f>
        <v>577.2</v>
      </c>
      <c r="M20" s="72" t="n">
        <f aca="false">TrialBalance!DU67-SUM(C20:L20)</f>
        <v>577.2</v>
      </c>
      <c r="N20" s="72" t="n">
        <f aca="false">TrialBalance!EF67-SUM(C20:M20)</f>
        <v>577.2</v>
      </c>
      <c r="O20" s="68"/>
    </row>
    <row r="21" customFormat="false" ht="12" hidden="false" customHeight="false" outlineLevel="0" collapsed="false">
      <c r="A21" s="81" t="s">
        <v>73</v>
      </c>
      <c r="B21" s="71" t="n">
        <f aca="false">SUM(C21:N21)</f>
        <v>12000</v>
      </c>
      <c r="C21" s="72" t="n">
        <f aca="false">TrialBalance!O68-0</f>
        <v>1000</v>
      </c>
      <c r="D21" s="72" t="n">
        <f aca="false">TrialBalance!Z68-C21</f>
        <v>1000</v>
      </c>
      <c r="E21" s="72" t="n">
        <f aca="false">TrialBalance!AK68-SUM(C21:D21)</f>
        <v>1000</v>
      </c>
      <c r="F21" s="72" t="n">
        <f aca="false">TrialBalance!AV68-SUM(C21:E21)</f>
        <v>1000</v>
      </c>
      <c r="G21" s="72" t="n">
        <f aca="false">TrialBalance!BG68-SUM(C21:F21)</f>
        <v>1000</v>
      </c>
      <c r="H21" s="72" t="n">
        <f aca="false">TrialBalance!BR68-SUM(C21:G21)</f>
        <v>1000</v>
      </c>
      <c r="I21" s="72" t="n">
        <f aca="false">TrialBalance!CC68-SUM(C21:H21)</f>
        <v>1000</v>
      </c>
      <c r="J21" s="72" t="n">
        <f aca="false">TrialBalance!CN68-SUM(C21:I21)</f>
        <v>1000</v>
      </c>
      <c r="K21" s="72" t="n">
        <f aca="false">TrialBalance!CY68-SUM(C21:J21)</f>
        <v>1000</v>
      </c>
      <c r="L21" s="72" t="n">
        <f aca="false">TrialBalance!DJ68-SUM(C21:K21)</f>
        <v>1000</v>
      </c>
      <c r="M21" s="72" t="n">
        <f aca="false">TrialBalance!DU68-SUM(C21:L21)</f>
        <v>1000</v>
      </c>
      <c r="N21" s="72" t="n">
        <f aca="false">TrialBalance!EF68-SUM(C21:M21)</f>
        <v>1000</v>
      </c>
      <c r="O21" s="68"/>
    </row>
    <row r="22" customFormat="false" ht="12" hidden="false" customHeight="false" outlineLevel="0" collapsed="false">
      <c r="A22" s="81" t="s">
        <v>74</v>
      </c>
      <c r="B22" s="71" t="n">
        <f aca="false">SUM(C22:N22)</f>
        <v>1200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300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250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350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300</v>
      </c>
      <c r="O22" s="68"/>
    </row>
    <row r="23" customFormat="false" ht="12" hidden="false" customHeight="false" outlineLevel="0" collapsed="false">
      <c r="A23" s="81" t="s">
        <v>75</v>
      </c>
      <c r="B23" s="71" t="n">
        <f aca="false">SUM(C23:N23)</f>
        <v>800</v>
      </c>
      <c r="C23" s="72" t="n">
        <f aca="false">TrialBalance!O70-0</f>
        <v>0</v>
      </c>
      <c r="D23" s="72" t="n">
        <f aca="false">TrialBalance!Z70-C23</f>
        <v>150</v>
      </c>
      <c r="E23" s="72" t="n">
        <f aca="false">TrialBalance!AK70-SUM(C23:D23)</f>
        <v>0</v>
      </c>
      <c r="F23" s="72" t="n">
        <f aca="false">TrialBalance!AV70-SUM(C23:E23)</f>
        <v>100</v>
      </c>
      <c r="G23" s="72" t="n">
        <f aca="false">TrialBalance!BG70-SUM(C23:F23)</f>
        <v>0</v>
      </c>
      <c r="H23" s="72" t="n">
        <f aca="false">TrialBalance!BR70-SUM(C23:G23)</f>
        <v>80</v>
      </c>
      <c r="I23" s="72" t="n">
        <f aca="false">TrialBalance!CC70-SUM(C23:H23)</f>
        <v>0</v>
      </c>
      <c r="J23" s="72" t="n">
        <f aca="false">TrialBalance!CN70-SUM(C23:I23)</f>
        <v>200</v>
      </c>
      <c r="K23" s="72" t="n">
        <f aca="false">TrialBalance!CY70-SUM(C23:J23)</f>
        <v>0</v>
      </c>
      <c r="L23" s="72" t="n">
        <f aca="false">TrialBalance!DJ70-SUM(C23:K23)</f>
        <v>150</v>
      </c>
      <c r="M23" s="72" t="n">
        <f aca="false">TrialBalance!DU70-SUM(C23:L23)</f>
        <v>0</v>
      </c>
      <c r="N23" s="72" t="n">
        <f aca="false">TrialBalance!EF70-SUM(C23:M23)</f>
        <v>120</v>
      </c>
      <c r="O23" s="68"/>
    </row>
    <row r="24" customFormat="false" ht="12" hidden="false" customHeight="false" outlineLevel="0" collapsed="false">
      <c r="A24" s="81" t="s">
        <v>76</v>
      </c>
      <c r="B24" s="71" t="n">
        <f aca="false">SUM(C24:N24)</f>
        <v>1350</v>
      </c>
      <c r="C24" s="72" t="n">
        <f aca="false">TrialBalance!O71-0</f>
        <v>0</v>
      </c>
      <c r="D24" s="72" t="n">
        <f aca="false">TrialBalance!Z71-C24</f>
        <v>200</v>
      </c>
      <c r="E24" s="72" t="n">
        <f aca="false">TrialBalance!AK71-SUM(C24:D24)</f>
        <v>0</v>
      </c>
      <c r="F24" s="72" t="n">
        <f aca="false">TrialBalance!AV71-SUM(C24:E24)</f>
        <v>400</v>
      </c>
      <c r="G24" s="72" t="n">
        <f aca="false">TrialBalance!BG71-SUM(C24:F24)</f>
        <v>0</v>
      </c>
      <c r="H24" s="72" t="n">
        <f aca="false">TrialBalance!BR71-SUM(C24:G24)</f>
        <v>300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150</v>
      </c>
      <c r="M24" s="72" t="n">
        <f aca="false">TrialBalance!DU71-SUM(C24:L24)</f>
        <v>300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77</v>
      </c>
      <c r="B25" s="71" t="n">
        <f aca="false">SUM(C25:N25)</f>
        <v>950</v>
      </c>
      <c r="C25" s="72" t="n">
        <f aca="false">TrialBalance!O72-0</f>
        <v>100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150</v>
      </c>
      <c r="G25" s="72" t="n">
        <f aca="false">TrialBalance!BG72-SUM(C25:F25)</f>
        <v>200</v>
      </c>
      <c r="H25" s="72" t="n">
        <f aca="false">TrialBalance!BR72-SUM(C25:G25)</f>
        <v>0</v>
      </c>
      <c r="I25" s="72" t="n">
        <f aca="false">TrialBalance!CC72-SUM(C25:H25)</f>
        <v>80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120</v>
      </c>
      <c r="M25" s="72" t="n">
        <f aca="false">TrialBalance!DU72-SUM(C25:L25)</f>
        <v>300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78</v>
      </c>
      <c r="B26" s="71" t="n">
        <f aca="false">SUM(C26:N26)</f>
        <v>1315</v>
      </c>
      <c r="C26" s="72" t="n">
        <f aca="false">TrialBalance!O73-0</f>
        <v>130.833333333333</v>
      </c>
      <c r="D26" s="72" t="n">
        <f aca="false">TrialBalance!Z73-C26</f>
        <v>95.8333333333333</v>
      </c>
      <c r="E26" s="72" t="n">
        <f aca="false">TrialBalance!AK73-SUM(C26:D26)</f>
        <v>120.833333333333</v>
      </c>
      <c r="F26" s="72" t="n">
        <f aca="false">TrialBalance!AV73-SUM(C26:E26)</f>
        <v>95.8333333333333</v>
      </c>
      <c r="G26" s="72" t="n">
        <f aca="false">TrialBalance!BG73-SUM(C26:F26)</f>
        <v>135.833333333333</v>
      </c>
      <c r="H26" s="72" t="n">
        <f aca="false">TrialBalance!BR73-SUM(C26:G26)</f>
        <v>95.8333333333333</v>
      </c>
      <c r="I26" s="72" t="n">
        <f aca="false">TrialBalance!CC73-SUM(C26:H26)</f>
        <v>125.833333333333</v>
      </c>
      <c r="J26" s="72" t="n">
        <f aca="false">TrialBalance!CN73-SUM(C26:I26)</f>
        <v>95.8333333333333</v>
      </c>
      <c r="K26" s="72" t="n">
        <f aca="false">TrialBalance!CY73-SUM(C26:J26)</f>
        <v>115.833333333333</v>
      </c>
      <c r="L26" s="72" t="n">
        <f aca="false">TrialBalance!DJ73-SUM(C26:K26)</f>
        <v>95.8333333333333</v>
      </c>
      <c r="M26" s="72" t="n">
        <f aca="false">TrialBalance!DU73-SUM(C26:L26)</f>
        <v>110.833333333333</v>
      </c>
      <c r="N26" s="72" t="n">
        <f aca="false">TrialBalance!EF73-SUM(C26:M26)</f>
        <v>95.8333333333333</v>
      </c>
      <c r="O26" s="68"/>
    </row>
    <row r="27" customFormat="false" ht="12" hidden="false" customHeight="false" outlineLevel="0" collapsed="false">
      <c r="A27" s="81" t="s">
        <v>79</v>
      </c>
      <c r="B27" s="71" t="n">
        <f aca="false">SUM(C27:N27)</f>
        <v>3800</v>
      </c>
      <c r="C27" s="72" t="n">
        <f aca="false">TrialBalance!O74-0</f>
        <v>0</v>
      </c>
      <c r="D27" s="72" t="n">
        <f aca="false">TrialBalance!Z74-C27</f>
        <v>500</v>
      </c>
      <c r="E27" s="72" t="n">
        <f aca="false">TrialBalance!AK74-SUM(C27:D27)</f>
        <v>0</v>
      </c>
      <c r="F27" s="72" t="n">
        <f aca="false">TrialBalance!AV74-SUM(C27:E27)</f>
        <v>400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2500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400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80</v>
      </c>
      <c r="B28" s="71" t="n">
        <f aca="false">SUM(C28:N28)</f>
        <v>1635</v>
      </c>
      <c r="C28" s="72" t="n">
        <f aca="false">TrialBalance!O75-0</f>
        <v>112.5</v>
      </c>
      <c r="D28" s="72" t="n">
        <f aca="false">TrialBalance!Z75-C28</f>
        <v>127.5</v>
      </c>
      <c r="E28" s="72" t="n">
        <f aca="false">TrialBalance!AK75-SUM(C28:D28)</f>
        <v>192.5</v>
      </c>
      <c r="F28" s="72" t="n">
        <f aca="false">TrialBalance!AV75-SUM(C28:E28)</f>
        <v>132.5</v>
      </c>
      <c r="G28" s="72" t="n">
        <f aca="false">TrialBalance!BG75-SUM(C28:F28)</f>
        <v>112.5</v>
      </c>
      <c r="H28" s="72" t="n">
        <f aca="false">TrialBalance!BR75-SUM(C28:G28)</f>
        <v>122.5</v>
      </c>
      <c r="I28" s="72" t="n">
        <f aca="false">TrialBalance!CC75-SUM(C28:H28)</f>
        <v>112.5</v>
      </c>
      <c r="J28" s="72" t="n">
        <f aca="false">TrialBalance!CN75-SUM(C28:I28)</f>
        <v>137.5</v>
      </c>
      <c r="K28" s="72" t="n">
        <f aca="false">TrialBalance!CY75-SUM(C28:J28)</f>
        <v>212.5</v>
      </c>
      <c r="L28" s="72" t="n">
        <f aca="false">TrialBalance!DJ75-SUM(C28:K28)</f>
        <v>127.5</v>
      </c>
      <c r="M28" s="72" t="n">
        <f aca="false">TrialBalance!DU75-SUM(C28:L28)</f>
        <v>112.5</v>
      </c>
      <c r="N28" s="72" t="n">
        <f aca="false">TrialBalance!EF75-SUM(C28:M28)</f>
        <v>132.5</v>
      </c>
      <c r="O28" s="68"/>
    </row>
    <row r="29" customFormat="false" ht="12" hidden="false" customHeight="false" outlineLevel="0" collapsed="false">
      <c r="A29" s="81" t="s">
        <v>81</v>
      </c>
      <c r="B29" s="71" t="n">
        <f aca="false">SUM(C29:N29)</f>
        <v>1550</v>
      </c>
      <c r="C29" s="72" t="n">
        <f aca="false">TrialBalance!O76-0</f>
        <v>76.6666666666667</v>
      </c>
      <c r="D29" s="72" t="n">
        <f aca="false">TrialBalance!Z76-C29</f>
        <v>126.666666666667</v>
      </c>
      <c r="E29" s="72" t="n">
        <f aca="false">TrialBalance!AK76-SUM(C29:D29)</f>
        <v>226.666666666667</v>
      </c>
      <c r="F29" s="72" t="n">
        <f aca="false">TrialBalance!AV76-SUM(C29:E29)</f>
        <v>76.6666666666667</v>
      </c>
      <c r="G29" s="72" t="n">
        <f aca="false">TrialBalance!BG76-SUM(C29:F29)</f>
        <v>116.666666666667</v>
      </c>
      <c r="H29" s="72" t="n">
        <f aca="false">TrialBalance!BR76-SUM(C29:G29)</f>
        <v>76.6666666666667</v>
      </c>
      <c r="I29" s="72" t="n">
        <f aca="false">TrialBalance!CC76-SUM(C29:H29)</f>
        <v>176.666666666667</v>
      </c>
      <c r="J29" s="72" t="n">
        <f aca="false">TrialBalance!CN76-SUM(C29:I29)</f>
        <v>136.666666666667</v>
      </c>
      <c r="K29" s="72" t="n">
        <f aca="false">TrialBalance!CY76-SUM(C29:J29)</f>
        <v>76.6666666666667</v>
      </c>
      <c r="L29" s="72" t="n">
        <f aca="false">TrialBalance!DJ76-SUM(C29:K29)</f>
        <v>76.6666666666667</v>
      </c>
      <c r="M29" s="72" t="n">
        <f aca="false">TrialBalance!DU76-SUM(C29:L29)</f>
        <v>306.666666666667</v>
      </c>
      <c r="N29" s="72" t="n">
        <f aca="false">TrialBalance!EF76-SUM(C29:M29)</f>
        <v>76.6666666666667</v>
      </c>
      <c r="O29" s="68"/>
    </row>
    <row r="30" customFormat="false" ht="12" hidden="false" customHeight="false" outlineLevel="0" collapsed="false">
      <c r="A30" s="81" t="s">
        <v>82</v>
      </c>
      <c r="B30" s="71" t="n">
        <f aca="false">SUM(C30:N30)</f>
        <v>6331.875</v>
      </c>
      <c r="C30" s="72" t="n">
        <f aca="false">TrialBalance!O77-0</f>
        <v>501.875</v>
      </c>
      <c r="D30" s="72" t="n">
        <f aca="false">TrialBalance!Z77-C30</f>
        <v>555</v>
      </c>
      <c r="E30" s="72" t="n">
        <f aca="false">TrialBalance!AK77-SUM(C30:D30)</f>
        <v>545</v>
      </c>
      <c r="F30" s="72" t="n">
        <f aca="false">TrialBalance!AV77-SUM(C30:E30)</f>
        <v>486.875</v>
      </c>
      <c r="G30" s="72" t="n">
        <f aca="false">TrialBalance!BG77-SUM(C30:F30)</f>
        <v>501.875</v>
      </c>
      <c r="H30" s="72" t="n">
        <f aca="false">TrialBalance!BR77-SUM(C30:G30)</f>
        <v>590</v>
      </c>
      <c r="I30" s="72" t="n">
        <f aca="false">TrialBalance!CC77-SUM(C30:H30)</f>
        <v>505.625</v>
      </c>
      <c r="J30" s="72" t="n">
        <f aca="false">TrialBalance!CN77-SUM(C30:I30)</f>
        <v>537.5</v>
      </c>
      <c r="K30" s="72" t="n">
        <f aca="false">TrialBalance!CY77-SUM(C30:J30)</f>
        <v>511.25</v>
      </c>
      <c r="L30" s="72" t="n">
        <f aca="false">TrialBalance!DJ77-SUM(C30:K30)</f>
        <v>531.875</v>
      </c>
      <c r="M30" s="72" t="n">
        <f aca="false">TrialBalance!DU77-SUM(C30:L30)</f>
        <v>496.25</v>
      </c>
      <c r="N30" s="72" t="n">
        <f aca="false">TrialBalance!EF77-SUM(C30:M30)</f>
        <v>568.75</v>
      </c>
      <c r="O30" s="68"/>
    </row>
    <row r="31" customFormat="false" ht="12" hidden="false" customHeight="false" outlineLevel="0" collapsed="false">
      <c r="A31" s="81" t="s">
        <v>83</v>
      </c>
      <c r="B31" s="71" t="n">
        <f aca="false">SUM(C31:N31)</f>
        <v>1500</v>
      </c>
      <c r="C31" s="72" t="n">
        <f aca="false">TrialBalance!O78-0</f>
        <v>1200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300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84</v>
      </c>
      <c r="B32" s="71" t="n">
        <f aca="false">SUM(C32:N32)</f>
        <v>600</v>
      </c>
      <c r="C32" s="72" t="n">
        <f aca="false">TrialBalance!O79-0</f>
        <v>150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150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150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150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85</v>
      </c>
      <c r="B33" s="71" t="n">
        <f aca="false">SUM(C33:N33)</f>
        <v>4425</v>
      </c>
      <c r="C33" s="72" t="n">
        <f aca="false">TrialBalance!O80-0</f>
        <v>250</v>
      </c>
      <c r="D33" s="72" t="n">
        <f aca="false">TrialBalance!Z80-C33</f>
        <v>250</v>
      </c>
      <c r="E33" s="72" t="n">
        <f aca="false">TrialBalance!AK80-SUM(C33:D33)</f>
        <v>458.333333333333</v>
      </c>
      <c r="F33" s="72" t="n">
        <f aca="false">TrialBalance!AV80-SUM(C33:E33)</f>
        <v>250</v>
      </c>
      <c r="G33" s="72" t="n">
        <f aca="false">TrialBalance!BG80-SUM(C33:F33)</f>
        <v>250</v>
      </c>
      <c r="H33" s="72" t="n">
        <f aca="false">TrialBalance!BR80-SUM(C33:G33)</f>
        <v>1223.33333333333</v>
      </c>
      <c r="I33" s="72" t="n">
        <f aca="false">TrialBalance!CC80-SUM(C33:H33)</f>
        <v>250</v>
      </c>
      <c r="J33" s="72" t="n">
        <f aca="false">TrialBalance!CN80-SUM(C33:I33)</f>
        <v>250</v>
      </c>
      <c r="K33" s="72" t="n">
        <f aca="false">TrialBalance!CY80-SUM(C33:J33)</f>
        <v>389.166666666667</v>
      </c>
      <c r="L33" s="72" t="n">
        <f aca="false">TrialBalance!DJ80-SUM(C33:K33)</f>
        <v>250</v>
      </c>
      <c r="M33" s="72" t="n">
        <f aca="false">TrialBalance!DU80-SUM(C33:L33)</f>
        <v>250</v>
      </c>
      <c r="N33" s="72" t="n">
        <f aca="false">TrialBalance!EF80-SUM(C33:M33)</f>
        <v>354.166666666667</v>
      </c>
      <c r="O33" s="68"/>
    </row>
    <row r="34" customFormat="false" ht="12" hidden="false" customHeight="false" outlineLevel="0" collapsed="false">
      <c r="A34" s="81" t="s">
        <v>86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87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88</v>
      </c>
      <c r="B36" s="71" t="n">
        <f aca="false">SUM(C36:N36)</f>
        <v>835</v>
      </c>
      <c r="C36" s="72" t="n">
        <f aca="false">TrialBalance!O83+TrialBalance!O88+TrialBalance!O89-0</f>
        <v>0</v>
      </c>
      <c r="D36" s="72" t="n">
        <f aca="false">TrialBalance!Z83+TrialBalance!Z88+TrialBalance!Z89-C36</f>
        <v>60</v>
      </c>
      <c r="E36" s="72" t="n">
        <f aca="false">TrialBalance!AK83+TrialBalance!AK88+TrialBalance!AK89-SUM(C36:D36)</f>
        <v>250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208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25</v>
      </c>
      <c r="K36" s="72" t="n">
        <f aca="false">TrialBalance!CY83+TrialBalance!CY88+TrialBalance!CY89-SUM(C36:J36)</f>
        <v>167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125</v>
      </c>
      <c r="O36" s="68"/>
    </row>
    <row r="37" customFormat="false" ht="12" hidden="false" customHeight="false" outlineLevel="0" collapsed="false">
      <c r="A37" s="81" t="s">
        <v>89</v>
      </c>
      <c r="B37" s="71" t="n">
        <f aca="false">SUM(C37:N37)</f>
        <v>416.666666666667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416.666666666667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90</v>
      </c>
      <c r="B38" s="71" t="n">
        <f aca="false">SUM(C38:N38)</f>
        <v>2500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2500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91</v>
      </c>
      <c r="B39" s="71" t="n">
        <f aca="false">SUM(C39:N39)</f>
        <v>172</v>
      </c>
      <c r="C39" s="72" t="n">
        <f aca="false">TrialBalance!O86-0</f>
        <v>14.3333333333333</v>
      </c>
      <c r="D39" s="72" t="n">
        <f aca="false">TrialBalance!Z86-C39</f>
        <v>14.3333333333333</v>
      </c>
      <c r="E39" s="72" t="n">
        <f aca="false">TrialBalance!AK86-SUM(C39:D39)</f>
        <v>14.3333333333333</v>
      </c>
      <c r="F39" s="72" t="n">
        <f aca="false">TrialBalance!AV86-SUM(C39:E39)</f>
        <v>14.3333333333333</v>
      </c>
      <c r="G39" s="72" t="n">
        <f aca="false">TrialBalance!BG86-SUM(C39:F39)</f>
        <v>14.3333333333333</v>
      </c>
      <c r="H39" s="72" t="n">
        <f aca="false">TrialBalance!BR86-SUM(C39:G39)</f>
        <v>14.3333333333333</v>
      </c>
      <c r="I39" s="72" t="n">
        <f aca="false">TrialBalance!CC86-SUM(C39:H39)</f>
        <v>14.3333333333333</v>
      </c>
      <c r="J39" s="72" t="n">
        <f aca="false">TrialBalance!CN86-SUM(C39:I39)</f>
        <v>14.3333333333333</v>
      </c>
      <c r="K39" s="72" t="n">
        <f aca="false">TrialBalance!CY86-SUM(C39:J39)</f>
        <v>14.3333333333333</v>
      </c>
      <c r="L39" s="72" t="n">
        <f aca="false">TrialBalance!DJ86-SUM(C39:K39)</f>
        <v>14.3333333333333</v>
      </c>
      <c r="M39" s="72" t="n">
        <f aca="false">TrialBalance!DU86-SUM(C39:L39)</f>
        <v>14.3333333333333</v>
      </c>
      <c r="N39" s="72" t="n">
        <f aca="false">TrialBalance!EF86-SUM(C39:M39)</f>
        <v>14.3333333333333</v>
      </c>
      <c r="O39" s="68"/>
    </row>
    <row r="40" customFormat="false" ht="12" hidden="false" customHeight="false" outlineLevel="0" collapsed="false">
      <c r="A40" s="70" t="s">
        <v>92</v>
      </c>
      <c r="B40" s="71" t="n">
        <f aca="false">SUM(C40:N40)</f>
        <v>11740</v>
      </c>
      <c r="C40" s="79" t="n">
        <f aca="false">TrialBalance!O87-0</f>
        <v>978.333333333333</v>
      </c>
      <c r="D40" s="72" t="n">
        <f aca="false">TrialBalance!Z87-C40</f>
        <v>978.333333333333</v>
      </c>
      <c r="E40" s="72" t="n">
        <f aca="false">TrialBalance!AK87-SUM(C40:D40)</f>
        <v>978.333333333333</v>
      </c>
      <c r="F40" s="72" t="n">
        <f aca="false">TrialBalance!AV87-SUM(C40:E40)</f>
        <v>978.333333333334</v>
      </c>
      <c r="G40" s="72" t="n">
        <f aca="false">TrialBalance!BG87-SUM(C40:F40)</f>
        <v>978.333333333334</v>
      </c>
      <c r="H40" s="72" t="n">
        <f aca="false">TrialBalance!BR87-SUM(C40:G40)</f>
        <v>978.333333333333</v>
      </c>
      <c r="I40" s="72" t="n">
        <f aca="false">TrialBalance!CC87-SUM(C40:H40)</f>
        <v>978.333333333333</v>
      </c>
      <c r="J40" s="72" t="n">
        <f aca="false">TrialBalance!CN87-SUM(C40:I40)</f>
        <v>978.333333333333</v>
      </c>
      <c r="K40" s="72" t="n">
        <f aca="false">TrialBalance!CY87-SUM(C40:J40)</f>
        <v>978.333333333334</v>
      </c>
      <c r="L40" s="72" t="n">
        <f aca="false">TrialBalance!DJ87-SUM(C40:K40)</f>
        <v>978.333333333334</v>
      </c>
      <c r="M40" s="72" t="n">
        <f aca="false">TrialBalance!DU87-SUM(C40:L40)</f>
        <v>978.333333333334</v>
      </c>
      <c r="N40" s="72" t="n">
        <f aca="false">TrialBalance!EF87-SUM(C40:M40)</f>
        <v>978.333333333334</v>
      </c>
      <c r="O40" s="68"/>
    </row>
    <row r="41" customFormat="false" ht="12" hidden="false" customHeight="false" outlineLevel="0" collapsed="false">
      <c r="A41" s="73" t="s">
        <v>69</v>
      </c>
      <c r="B41" s="71" t="n">
        <f aca="false">SUM(B18:B40)</f>
        <v>145556.275</v>
      </c>
      <c r="C41" s="74" t="n">
        <f aca="false">SUM(C18:C40)</f>
        <v>11839.7416666667</v>
      </c>
      <c r="D41" s="71" t="n">
        <f aca="false">SUM(D18:D40)</f>
        <v>11382.8666666667</v>
      </c>
      <c r="E41" s="71" t="n">
        <f aca="false">SUM(E18:E40)</f>
        <v>11411.2</v>
      </c>
      <c r="F41" s="71" t="n">
        <f aca="false">SUM(F18:F40)</f>
        <v>14059.7416666667</v>
      </c>
      <c r="G41" s="71" t="n">
        <f aca="false">SUM(G18:G40)</f>
        <v>11301.4083333333</v>
      </c>
      <c r="H41" s="71" t="n">
        <f aca="false">SUM(H18:H40)</f>
        <v>12264.2</v>
      </c>
      <c r="I41" s="71" t="n">
        <f aca="false">SUM(I18:I40)</f>
        <v>13518.4916666667</v>
      </c>
      <c r="J41" s="71" t="n">
        <f aca="false">SUM(J18:J40)</f>
        <v>10700.3666666667</v>
      </c>
      <c r="K41" s="71" t="n">
        <f aca="false">SUM(K18:K40)</f>
        <v>15723.6166666667</v>
      </c>
      <c r="L41" s="71" t="n">
        <f aca="false">SUM(L18:L40)</f>
        <v>11369.7416666667</v>
      </c>
      <c r="M41" s="71" t="n">
        <f aca="false">SUM(M18:M40)</f>
        <v>11194.1166666667</v>
      </c>
      <c r="N41" s="71" t="n">
        <f aca="false">SUM(N18:N40)</f>
        <v>10790.7833333333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93</v>
      </c>
      <c r="B43" s="71" t="n">
        <f aca="false">B16-B41</f>
        <v>176940.391666666</v>
      </c>
      <c r="C43" s="71" t="n">
        <f aca="false">C16-C41</f>
        <v>15256.0916666666</v>
      </c>
      <c r="D43" s="71" t="n">
        <f aca="false">D16-D41</f>
        <v>15242.9666666666</v>
      </c>
      <c r="E43" s="71" t="n">
        <f aca="false">E16-E41</f>
        <v>13217.9666666666</v>
      </c>
      <c r="F43" s="71" t="n">
        <f aca="false">F16-F41</f>
        <v>13266.0916666666</v>
      </c>
      <c r="G43" s="71" t="n">
        <f aca="false">G16-G41</f>
        <v>18027.7583333333</v>
      </c>
      <c r="H43" s="71" t="n">
        <f aca="false">H16-H41</f>
        <v>15461.6333333333</v>
      </c>
      <c r="I43" s="71" t="n">
        <f aca="false">I16-I41</f>
        <v>15477.3416666666</v>
      </c>
      <c r="J43" s="71" t="n">
        <f aca="false">J16-J41</f>
        <v>15325.4666666666</v>
      </c>
      <c r="K43" s="71" t="n">
        <f aca="false">K16-K41</f>
        <v>10972.2166666666</v>
      </c>
      <c r="L43" s="71" t="n">
        <f aca="false">L16-L41</f>
        <v>17456.0916666666</v>
      </c>
      <c r="M43" s="71" t="n">
        <f aca="false">M16-M41</f>
        <v>16651.7166666666</v>
      </c>
      <c r="N43" s="71" t="n">
        <f aca="false">N16-N41</f>
        <v>10585.05</v>
      </c>
      <c r="O43" s="68"/>
    </row>
    <row r="44" customFormat="false" ht="12" hidden="false" customHeight="false" outlineLevel="0" collapsed="false">
      <c r="A44" s="70" t="s">
        <v>220</v>
      </c>
      <c r="B44" s="71" t="n">
        <f aca="false">SUM(C44:N44)</f>
        <v>275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125</v>
      </c>
      <c r="I44" s="72" t="n">
        <f aca="false">-TrialBalance!CC58-SUM(C44:H44)</f>
        <v>0</v>
      </c>
      <c r="J44" s="72" t="n">
        <f aca="false">-TrialBalance!CN58-SUM(C44:I44)</f>
        <v>0</v>
      </c>
      <c r="K44" s="72" t="n">
        <f aca="false">-TrialBalance!CY58-SUM(C44:J44)</f>
        <v>0</v>
      </c>
      <c r="L44" s="72" t="n">
        <f aca="false">-TrialBalance!DJ58-SUM(C44:K44)</f>
        <v>0</v>
      </c>
      <c r="M44" s="72" t="n">
        <f aca="false">-TrialBalance!DU58-SUM(C44:L44)</f>
        <v>0</v>
      </c>
      <c r="N44" s="72" t="n">
        <f aca="false">-TrialBalance!EF58-SUM(C44:M44)</f>
        <v>150</v>
      </c>
      <c r="O44" s="68"/>
    </row>
    <row r="45" customFormat="false" ht="12" hidden="false" customHeight="false" outlineLevel="0" collapsed="false">
      <c r="A45" s="73" t="s">
        <v>95</v>
      </c>
      <c r="B45" s="71" t="n">
        <f aca="false">B43+B44</f>
        <v>177215.391666666</v>
      </c>
      <c r="C45" s="71" t="n">
        <f aca="false">C43+C44</f>
        <v>15256.0916666666</v>
      </c>
      <c r="D45" s="71" t="n">
        <f aca="false">D43+D44</f>
        <v>15242.9666666666</v>
      </c>
      <c r="E45" s="71" t="n">
        <f aca="false">E43+E44</f>
        <v>13217.9666666666</v>
      </c>
      <c r="F45" s="71" t="n">
        <f aca="false">F43+F44</f>
        <v>13266.0916666666</v>
      </c>
      <c r="G45" s="71" t="n">
        <f aca="false">G43+G44</f>
        <v>18027.7583333333</v>
      </c>
      <c r="H45" s="71" t="n">
        <f aca="false">H43+H44</f>
        <v>15586.6333333333</v>
      </c>
      <c r="I45" s="71" t="n">
        <f aca="false">I43+I44</f>
        <v>15477.3416666666</v>
      </c>
      <c r="J45" s="71" t="n">
        <f aca="false">J43+J44</f>
        <v>15325.4666666666</v>
      </c>
      <c r="K45" s="71" t="n">
        <f aca="false">K43+K44</f>
        <v>10972.2166666666</v>
      </c>
      <c r="L45" s="71" t="n">
        <f aca="false">L43+L44</f>
        <v>17456.0916666666</v>
      </c>
      <c r="M45" s="71" t="n">
        <f aca="false">M43+M44</f>
        <v>16651.7166666666</v>
      </c>
      <c r="N45" s="71" t="n">
        <f aca="false">N43+N44</f>
        <v>10735.05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221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222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218</v>
      </c>
      <c r="B6" s="99" t="s">
        <v>218</v>
      </c>
      <c r="C6" s="100"/>
      <c r="D6" s="100"/>
      <c r="E6" s="99" t="s">
        <v>218</v>
      </c>
      <c r="F6" s="99" t="s">
        <v>218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61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62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61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67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223</v>
      </c>
      <c r="D12" s="107" t="n">
        <f aca="false">Admin!B9</f>
        <v>46296</v>
      </c>
      <c r="E12" s="86" t="n">
        <f aca="false">TrialBalance!D19</f>
        <v>10000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64</v>
      </c>
      <c r="D13" s="101"/>
      <c r="E13" s="86" t="n">
        <f aca="false">F14-E12+E14</f>
        <v>8120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10000</v>
      </c>
      <c r="B14" s="86" t="n">
        <f aca="false">A12+A13-A14</f>
        <v>-10000</v>
      </c>
      <c r="C14" s="101" t="s">
        <v>224</v>
      </c>
      <c r="D14" s="107" t="n">
        <f aca="false">D3</f>
        <v>46660</v>
      </c>
      <c r="E14" s="86" t="n">
        <f aca="false">TrialBalance!EJ19</f>
        <v>6000</v>
      </c>
      <c r="F14" s="86" t="n">
        <f aca="false">TrialBalance!EJ60+TrialBalance!EJ62</f>
        <v>12120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66</v>
      </c>
      <c r="D15" s="101"/>
      <c r="F15" s="102" t="n">
        <f aca="false">TrialBalance!EJ61</f>
        <v>6666.66666666667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-10000</v>
      </c>
      <c r="C16" s="105" t="s">
        <v>67</v>
      </c>
      <c r="D16" s="105"/>
      <c r="E16" s="103"/>
      <c r="F16" s="104" t="n">
        <f aca="false">SUM(F14:F15)</f>
        <v>18786.6666666667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10000</v>
      </c>
      <c r="C18" s="105" t="s">
        <v>68</v>
      </c>
      <c r="D18" s="105"/>
      <c r="E18" s="103"/>
      <c r="F18" s="104" t="n">
        <f aca="false">F9-F16</f>
        <v>322496.666666666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69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70</v>
      </c>
      <c r="D21" s="101"/>
      <c r="E21" s="86" t="n">
        <f aca="false">TrialBalance!EJ64+TrialBalance!EJ65</f>
        <v>81642.6666666667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71</v>
      </c>
      <c r="D22" s="101"/>
      <c r="E22" s="86" t="n">
        <f aca="false">TrialBalance!EJ66</f>
        <v>4166.66666666667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72</v>
      </c>
      <c r="D23" s="101"/>
      <c r="E23" s="86" t="n">
        <f aca="false">TrialBalance!EJ67</f>
        <v>6926.4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73</v>
      </c>
      <c r="D24" s="88"/>
      <c r="E24" s="86" t="n">
        <f aca="false">TrialBalance!EJ68</f>
        <v>12000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74</v>
      </c>
      <c r="D25" s="88"/>
      <c r="E25" s="86" t="n">
        <f aca="false">TrialBalance!EJ69</f>
        <v>1200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75</v>
      </c>
      <c r="D26" s="88"/>
      <c r="E26" s="86" t="n">
        <f aca="false">TrialBalance!EJ70</f>
        <v>800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76</v>
      </c>
      <c r="D27" s="88"/>
      <c r="E27" s="86" t="n">
        <f aca="false">TrialBalance!EJ71</f>
        <v>1350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77</v>
      </c>
      <c r="D28" s="88"/>
      <c r="E28" s="86" t="n">
        <f aca="false">TrialBalance!EJ72</f>
        <v>950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78</v>
      </c>
      <c r="D29" s="88"/>
      <c r="E29" s="86" t="n">
        <f aca="false">TrialBalance!EJ73</f>
        <v>1315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79</v>
      </c>
      <c r="D30" s="88"/>
      <c r="E30" s="86" t="n">
        <f aca="false">TrialBalance!EJ74</f>
        <v>3800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80</v>
      </c>
      <c r="D31" s="88"/>
      <c r="E31" s="86" t="n">
        <f aca="false">TrialBalance!EJ75</f>
        <v>1635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81</v>
      </c>
      <c r="D32" s="88"/>
      <c r="E32" s="86" t="n">
        <f aca="false">TrialBalance!EJ76</f>
        <v>1550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82</v>
      </c>
      <c r="D33" s="88"/>
      <c r="E33" s="86" t="n">
        <f aca="false">TrialBalance!EJ77</f>
        <v>6331.875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83</v>
      </c>
      <c r="D34" s="88"/>
      <c r="E34" s="86" t="n">
        <f aca="false">TrialBalance!EJ78</f>
        <v>1500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84</v>
      </c>
      <c r="D35" s="88"/>
      <c r="E35" s="86" t="n">
        <f aca="false">TrialBalance!EJ79</f>
        <v>600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85</v>
      </c>
      <c r="D36" s="88"/>
      <c r="E36" s="86" t="n">
        <f aca="false">TrialBalance!EJ80</f>
        <v>4425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86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87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88</v>
      </c>
      <c r="D39" s="88"/>
      <c r="E39" s="86" t="n">
        <f aca="false">TrialBalance!EJ83+TrialBalance!EJ88+TrialBalance!EJ89</f>
        <v>835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89</v>
      </c>
      <c r="D40" s="88"/>
      <c r="E40" s="86" t="n">
        <f aca="false">TrialBalance!EJ84</f>
        <v>416.666666666667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90</v>
      </c>
      <c r="D41" s="88"/>
      <c r="E41" s="86" t="n">
        <f aca="false">TrialBalance!EJ85</f>
        <v>2500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91</v>
      </c>
      <c r="D42" s="101"/>
      <c r="E42" s="86" t="n">
        <f aca="false">TrialBalance!EJ86</f>
        <v>172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92</v>
      </c>
      <c r="D43" s="101"/>
      <c r="E43" s="86" t="n">
        <f aca="false">TrialBalance!EJ87</f>
        <v>11740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69</v>
      </c>
      <c r="D44" s="109"/>
      <c r="E44" s="103"/>
      <c r="F44" s="104" t="n">
        <f aca="false">SUM(E21:E43)</f>
        <v>145556.275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10000</v>
      </c>
      <c r="C46" s="109" t="s">
        <v>93</v>
      </c>
      <c r="D46" s="109"/>
      <c r="E46" s="103"/>
      <c r="F46" s="104" t="n">
        <f aca="false">F18-F44</f>
        <v>176940.391666666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94</v>
      </c>
      <c r="D48" s="101"/>
      <c r="F48" s="86" t="n">
        <f aca="false">-TrialBalance!EJ58</f>
        <v>339.506172839506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10000</v>
      </c>
      <c r="C49" s="106" t="s">
        <v>95</v>
      </c>
      <c r="D49" s="106"/>
      <c r="E49" s="103"/>
      <c r="F49" s="104" t="n">
        <f aca="false">F46+F48</f>
        <v>177279.897839506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96</v>
      </c>
      <c r="D50" s="101"/>
      <c r="F50" s="86" t="n">
        <f aca="false">TrialBalance!EJ47</f>
        <v>28028.7805895061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10000</v>
      </c>
      <c r="C51" s="106" t="s">
        <v>97</v>
      </c>
      <c r="D51" s="106"/>
      <c r="E51" s="103"/>
      <c r="F51" s="104" t="n">
        <f aca="false">F49-F50</f>
        <v>149251.11725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98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218</v>
      </c>
      <c r="B54" s="104" t="n">
        <f aca="false">B51-B52</f>
        <v>10000</v>
      </c>
      <c r="C54" s="106" t="s">
        <v>99</v>
      </c>
      <c r="D54" s="106"/>
      <c r="E54" s="110" t="s">
        <v>218</v>
      </c>
      <c r="F54" s="104" t="n">
        <f aca="false">F51-F52</f>
        <v>149251.11725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225</v>
      </c>
      <c r="D1" s="111"/>
      <c r="E1" s="90"/>
    </row>
    <row r="2" customFormat="false" ht="12" hidden="false" customHeight="false" outlineLevel="0" collapsed="false">
      <c r="C2" s="112" t="s">
        <v>226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218</v>
      </c>
      <c r="B4" s="99" t="s">
        <v>218</v>
      </c>
      <c r="C4" s="88"/>
      <c r="D4" s="88"/>
      <c r="E4" s="99" t="s">
        <v>218</v>
      </c>
      <c r="F4" s="99" t="s">
        <v>218</v>
      </c>
    </row>
    <row r="6" customFormat="false" ht="12" hidden="false" customHeight="false" outlineLevel="0" collapsed="false">
      <c r="A6" s="115"/>
      <c r="B6" s="116" t="n">
        <f aca="false">SUM(TrialBalance!D6:D17)</f>
        <v>22902</v>
      </c>
      <c r="C6" s="117" t="s">
        <v>30</v>
      </c>
      <c r="D6" s="117"/>
      <c r="E6" s="115"/>
      <c r="F6" s="116" t="n">
        <f aca="false">SUM(TrialBalance!EJ6:EJ17)</f>
        <v>30990</v>
      </c>
    </row>
    <row r="7" customFormat="false" ht="12" hidden="false" customHeight="false" outlineLevel="0" collapsed="false">
      <c r="A7" s="115"/>
      <c r="B7" s="118"/>
      <c r="C7" s="88" t="s">
        <v>31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32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10000</v>
      </c>
      <c r="B10" s="115"/>
      <c r="C10" s="88" t="s">
        <v>33</v>
      </c>
      <c r="E10" s="115" t="n">
        <f aca="false">TrialBalance!EJ19</f>
        <v>6000</v>
      </c>
      <c r="F10" s="115"/>
    </row>
    <row r="11" customFormat="false" ht="12" hidden="false" customHeight="false" outlineLevel="0" collapsed="false">
      <c r="A11" s="115" t="n">
        <f aca="false">TrialBalance!D20</f>
        <v>10800</v>
      </c>
      <c r="B11" s="115"/>
      <c r="C11" s="88" t="s">
        <v>34</v>
      </c>
      <c r="E11" s="115" t="n">
        <f aca="false">TrialBalance!EJ20</f>
        <v>10400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30500</v>
      </c>
      <c r="B12" s="115"/>
      <c r="C12" s="88" t="s">
        <v>227</v>
      </c>
      <c r="E12" s="119" t="n">
        <f aca="false">IF(SUM(TrialBalance!EJ22:EJ24)&gt;0,SUM(TrialBalance!EJ22:EJ24)+TrialBalance!EJ25+TrialBalance!EJ26,TrialBalance!EJ25)</f>
        <v>250544</v>
      </c>
      <c r="F12" s="115"/>
    </row>
    <row r="13" s="120" customFormat="true" ht="12" hidden="false" customHeight="false" outlineLevel="0" collapsed="false">
      <c r="A13" s="116" t="n">
        <f aca="false">SUM(A10:A12)</f>
        <v>51300</v>
      </c>
      <c r="B13" s="118"/>
      <c r="C13" s="117" t="s">
        <v>32</v>
      </c>
      <c r="D13" s="117"/>
      <c r="E13" s="116" t="n">
        <f aca="false">SUM(E10:E12)</f>
        <v>266944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228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2400</v>
      </c>
      <c r="B16" s="115"/>
      <c r="C16" s="88" t="s">
        <v>42</v>
      </c>
      <c r="E16" s="115" t="n">
        <f aca="false">-SUM(TrialBalance!EJ28:EJ31)</f>
        <v>13432.25</v>
      </c>
      <c r="F16" s="115"/>
    </row>
    <row r="17" customFormat="false" ht="12" hidden="false" customHeight="false" outlineLevel="0" collapsed="false">
      <c r="A17" s="115" t="n">
        <f aca="false">-TrialBalance!D35</f>
        <v>4500</v>
      </c>
      <c r="B17" s="115"/>
      <c r="C17" s="88" t="s">
        <v>46</v>
      </c>
      <c r="E17" s="115" t="n">
        <f aca="false">-TrialBalance!EJ35</f>
        <v>32464.2744166666</v>
      </c>
      <c r="F17" s="115"/>
    </row>
    <row r="18" customFormat="false" ht="12" hidden="false" customHeight="false" outlineLevel="0" collapsed="false">
      <c r="A18" s="115" t="n">
        <f aca="false">-SUM(TrialBalance!D32:D34)</f>
        <v>1500</v>
      </c>
      <c r="B18" s="115"/>
      <c r="C18" s="88" t="s">
        <v>50</v>
      </c>
      <c r="E18" s="115" t="n">
        <f aca="false">-SUM(TrialBalance!EJ32:EJ34)</f>
        <v>43984.3583333334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229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8400</v>
      </c>
      <c r="B20" s="118"/>
      <c r="C20" s="117" t="s">
        <v>41</v>
      </c>
      <c r="D20" s="117"/>
      <c r="E20" s="116" t="n">
        <f aca="false">SUM(E16:E19)</f>
        <v>89880.88275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42900</v>
      </c>
      <c r="C22" s="117" t="s">
        <v>230</v>
      </c>
      <c r="D22" s="117"/>
      <c r="E22" s="118"/>
      <c r="F22" s="116" t="n">
        <f aca="false">E13-E20</f>
        <v>177063.11725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231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65802</v>
      </c>
      <c r="C26" s="117" t="s">
        <v>232</v>
      </c>
      <c r="D26" s="117"/>
      <c r="E26" s="118"/>
      <c r="F26" s="116" t="n">
        <f aca="false">SUM(F6:F25)</f>
        <v>208053.11725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52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20000</v>
      </c>
      <c r="B29" s="115"/>
      <c r="C29" s="88" t="s">
        <v>53</v>
      </c>
      <c r="D29" s="88"/>
      <c r="E29" s="115" t="n">
        <f aca="false">-TrialBalance!EJ39</f>
        <v>13000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233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20000</v>
      </c>
      <c r="E31" s="115"/>
      <c r="F31" s="116" t="n">
        <f aca="false">SUM(E29:E30)</f>
        <v>13000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218</v>
      </c>
      <c r="B33" s="116" t="n">
        <f aca="false">B26-B31</f>
        <v>45802</v>
      </c>
      <c r="C33" s="117" t="s">
        <v>234</v>
      </c>
      <c r="D33" s="117"/>
      <c r="E33" s="118" t="s">
        <v>218</v>
      </c>
      <c r="F33" s="116" t="n">
        <f aca="false">F26-F31</f>
        <v>195053.11725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55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100</v>
      </c>
      <c r="C36" s="88" t="s">
        <v>235</v>
      </c>
      <c r="E36" s="115"/>
      <c r="F36" s="115" t="n">
        <f aca="false">-TrialBalance!EJ42</f>
        <v>100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45702</v>
      </c>
      <c r="C37" s="88" t="s">
        <v>57</v>
      </c>
      <c r="D37" s="88"/>
      <c r="E37" s="115"/>
      <c r="F37" s="115" t="n">
        <f aca="false">-TrialBalance!EJ43</f>
        <v>194953.11725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58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218</v>
      </c>
      <c r="B39" s="116" t="n">
        <f aca="false">SUM(B36:B38)</f>
        <v>45802</v>
      </c>
      <c r="C39" s="117" t="s">
        <v>236</v>
      </c>
      <c r="D39" s="117"/>
      <c r="E39" s="118" t="s">
        <v>218</v>
      </c>
      <c r="F39" s="116" t="n">
        <f aca="false">SUM(F36:F38)</f>
        <v>195053.11725</v>
      </c>
      <c r="G39" s="120"/>
    </row>
    <row r="41" s="87" customFormat="true" ht="12" hidden="false" customHeight="true" outlineLevel="0" collapsed="false">
      <c r="A41" s="121" t="s">
        <v>237</v>
      </c>
      <c r="B41" s="122" t="n">
        <f aca="false">D2</f>
        <v>46660</v>
      </c>
      <c r="C41" s="123" t="s">
        <v>238</v>
      </c>
      <c r="D41" s="123"/>
      <c r="E41" s="123"/>
    </row>
    <row r="42" s="87" customFormat="true" ht="12" hidden="false" customHeight="true" outlineLevel="0" collapsed="false">
      <c r="A42" s="124" t="s">
        <v>239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240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241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242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243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244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245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246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247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248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249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250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251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252</v>
      </c>
      <c r="B56" s="129"/>
      <c r="C56" s="88" t="str">
        <f aca="false">OpenAccounts!E5</f>
        <v>Carol Smith</v>
      </c>
    </row>
    <row r="57" customFormat="false" ht="12" hidden="false" customHeight="true" outlineLevel="0" collapsed="false">
      <c r="A57" s="129" t="s">
        <v>253</v>
      </c>
      <c r="B57" s="129"/>
      <c r="C57" s="130" t="n">
        <f aca="true">TODAY()</f>
        <v>46263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254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255</v>
      </c>
      <c r="B60" s="129"/>
      <c r="C60" s="88" t="str">
        <f aca="false">OpenAccounts!J3</f>
        <v>123 High Street</v>
      </c>
    </row>
    <row r="61" customFormat="false" ht="12" hidden="false" customHeight="false" outlineLevel="0" collapsed="false">
      <c r="A61" s="115"/>
      <c r="B61" s="115"/>
      <c r="C61" s="88" t="str">
        <f aca="false">OpenAccounts!J4</f>
        <v>Manchester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256</v>
      </c>
    </row>
    <row r="3" customFormat="false" ht="12" hidden="false" customHeight="false" outlineLevel="0" collapsed="false">
      <c r="A3" s="106" t="s">
        <v>257</v>
      </c>
    </row>
    <row r="4" s="114" customFormat="true" ht="17.25" hidden="false" customHeight="true" outlineLevel="0" collapsed="false">
      <c r="A4" s="131"/>
      <c r="B4" s="132" t="s">
        <v>258</v>
      </c>
      <c r="C4" s="132" t="s">
        <v>259</v>
      </c>
      <c r="D4" s="132" t="s">
        <v>27</v>
      </c>
      <c r="E4" s="132" t="s">
        <v>260</v>
      </c>
      <c r="F4" s="132" t="s">
        <v>261</v>
      </c>
      <c r="G4" s="132" t="s">
        <v>262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218</v>
      </c>
      <c r="C6" s="131" t="s">
        <v>218</v>
      </c>
      <c r="D6" s="131" t="s">
        <v>218</v>
      </c>
      <c r="E6" s="131" t="s">
        <v>218</v>
      </c>
      <c r="F6" s="131" t="s">
        <v>218</v>
      </c>
      <c r="G6" s="131" t="s">
        <v>218</v>
      </c>
    </row>
    <row r="7" customFormat="false" ht="12" hidden="false" customHeight="false" outlineLevel="0" collapsed="false">
      <c r="A7" s="106" t="s">
        <v>263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3000</v>
      </c>
      <c r="F8" s="108" t="n">
        <f aca="false">IF([1]Schedule!$E$55&gt;0,[1]Schedule!$E$55,0)</f>
        <v>30000</v>
      </c>
      <c r="G8" s="108" t="n">
        <f aca="false">SUM(B8:F8)</f>
        <v>33000</v>
      </c>
    </row>
    <row r="9" customFormat="false" ht="12" hidden="false" customHeight="false" outlineLevel="0" collapsed="false">
      <c r="A9" s="101" t="s">
        <v>264</v>
      </c>
      <c r="B9" s="108" t="n">
        <f aca="false">IF([1]Schedule!$E$64&gt;0,[1]Schedule!$E$64,0)</f>
        <v>0</v>
      </c>
      <c r="C9" s="108" t="n">
        <f aca="false">IF([1]Schedule!$E$75&gt;0,[1]Schedule!$E$75,0)</f>
        <v>32500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32500</v>
      </c>
    </row>
    <row r="10" customFormat="false" ht="12" hidden="false" customHeight="false" outlineLevel="0" collapsed="false">
      <c r="A10" s="101" t="s">
        <v>265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30000</v>
      </c>
      <c r="G10" s="108" t="n">
        <f aca="false">SUM(B10:F10)</f>
        <v>30000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32500</v>
      </c>
      <c r="D11" s="108" t="n">
        <f aca="false">D8+D9-D10</f>
        <v>0</v>
      </c>
      <c r="E11" s="108" t="n">
        <f aca="false">E8+E9-E10</f>
        <v>3000</v>
      </c>
      <c r="F11" s="108" t="n">
        <f aca="false">F8+F9-F10</f>
        <v>0</v>
      </c>
      <c r="G11" s="108" t="n">
        <f aca="false">G8+G9-G10</f>
        <v>35500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92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270</v>
      </c>
      <c r="F14" s="108" t="n">
        <f aca="false">IF([1]Schedule!$F$55&gt;0,[1]Schedule!$F$55,0)</f>
        <v>9828</v>
      </c>
      <c r="G14" s="108" t="n">
        <f aca="false">SUM(B14:F14)</f>
        <v>10098</v>
      </c>
    </row>
    <row r="15" customFormat="false" ht="12" hidden="false" customHeight="false" outlineLevel="0" collapsed="false">
      <c r="A15" s="101" t="s">
        <v>266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3250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990</v>
      </c>
      <c r="F15" s="108" t="n">
        <f aca="false">IF(([1]Schedule!$I$55+[1]Schedule!$I$108)&gt;0,[1]Schedule!$I$55+[1]Schedule!$I$108,0)</f>
        <v>7500</v>
      </c>
      <c r="G15" s="108" t="n">
        <f aca="false">SUM(B15:F15)</f>
        <v>11740</v>
      </c>
    </row>
    <row r="16" customFormat="false" ht="12" hidden="false" customHeight="false" outlineLevel="0" collapsed="false">
      <c r="A16" s="101" t="s">
        <v>267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17328</v>
      </c>
      <c r="G16" s="108" t="n">
        <f aca="false">SUM(B16:F16)</f>
        <v>17328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3250</v>
      </c>
      <c r="D17" s="108" t="n">
        <f aca="false">D14-D16+D15</f>
        <v>0</v>
      </c>
      <c r="E17" s="108" t="n">
        <f aca="false">E14-E16+E15</f>
        <v>1260</v>
      </c>
      <c r="F17" s="108" t="n">
        <f aca="false">F14-F16+F15</f>
        <v>0</v>
      </c>
      <c r="G17" s="108" t="n">
        <f aca="false">SUM(B17:F17)</f>
        <v>4510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268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29250</v>
      </c>
      <c r="D20" s="134" t="n">
        <f aca="false">D11-D17</f>
        <v>0</v>
      </c>
      <c r="E20" s="134" t="n">
        <f aca="false">E11-E17</f>
        <v>1740</v>
      </c>
      <c r="F20" s="134" t="n">
        <f aca="false">F11-F17</f>
        <v>0</v>
      </c>
      <c r="G20" s="134" t="n">
        <f aca="false">G11-G17</f>
        <v>30990</v>
      </c>
    </row>
    <row r="23" customFormat="false" ht="12" hidden="false" customHeight="false" outlineLevel="0" collapsed="false">
      <c r="A23" s="101" t="s">
        <v>269</v>
      </c>
    </row>
    <row r="24" customFormat="false" ht="12" hidden="false" customHeight="false" outlineLevel="0" collapsed="false">
      <c r="A24" s="101" t="s">
        <v>270</v>
      </c>
    </row>
    <row r="25" customFormat="false" ht="12" hidden="false" customHeight="false" outlineLevel="0" collapsed="false">
      <c r="A25" s="101" t="s">
        <v>271</v>
      </c>
    </row>
    <row r="27" customFormat="false" ht="12" hidden="false" customHeight="false" outlineLevel="0" collapsed="false">
      <c r="A27" s="101" t="s">
        <v>25</v>
      </c>
      <c r="B27" s="135" t="n">
        <f aca="false">[1]Schedule!$H$7</f>
        <v>0</v>
      </c>
      <c r="C27" s="89" t="s">
        <v>272</v>
      </c>
    </row>
    <row r="28" customFormat="false" ht="12" hidden="false" customHeight="false" outlineLevel="0" collapsed="false">
      <c r="A28" s="101" t="s">
        <v>273</v>
      </c>
      <c r="B28" s="135" t="n">
        <f aca="false">[1]Schedule!$H$13</f>
        <v>0.1</v>
      </c>
      <c r="C28" s="89" t="s">
        <v>272</v>
      </c>
    </row>
    <row r="29" customFormat="false" ht="12" hidden="false" customHeight="false" outlineLevel="0" collapsed="false">
      <c r="A29" s="101" t="s">
        <v>27</v>
      </c>
      <c r="B29" s="135" t="n">
        <f aca="false">[1]Schedule!$H$24</f>
        <v>0.2</v>
      </c>
      <c r="C29" s="89" t="s">
        <v>272</v>
      </c>
    </row>
    <row r="30" customFormat="false" ht="12" hidden="false" customHeight="false" outlineLevel="0" collapsed="false">
      <c r="A30" s="101" t="s">
        <v>274</v>
      </c>
      <c r="B30" s="135" t="n">
        <f aca="false">[1]Schedule!$H$32</f>
        <v>0.33</v>
      </c>
      <c r="C30" s="89" t="s">
        <v>272</v>
      </c>
      <c r="D30" s="120"/>
    </row>
    <row r="31" customFormat="false" ht="12" hidden="false" customHeight="false" outlineLevel="0" collapsed="false">
      <c r="A31" s="101" t="s">
        <v>29</v>
      </c>
      <c r="B31" s="135" t="n">
        <f aca="false">[1]Schedule!$H$43</f>
        <v>0.25</v>
      </c>
      <c r="C31" s="89" t="s">
        <v>272</v>
      </c>
    </row>
    <row r="34" customFormat="false" ht="12" hidden="false" customHeight="false" outlineLevel="0" collapsed="false">
      <c r="A34" s="106" t="s">
        <v>275</v>
      </c>
    </row>
    <row r="35" customFormat="false" ht="12" hidden="false" customHeight="false" outlineLevel="0" collapsed="false">
      <c r="A35" s="101" t="s">
        <v>276</v>
      </c>
      <c r="D35" s="136" t="n">
        <f aca="false">TrialBalance!EJ66</f>
        <v>4166.66666666667</v>
      </c>
      <c r="E35" s="87"/>
    </row>
    <row r="37" customFormat="false" ht="12" hidden="false" customHeight="false" outlineLevel="0" collapsed="false">
      <c r="A37" s="106" t="s">
        <v>277</v>
      </c>
    </row>
    <row r="38" customFormat="false" ht="12" hidden="false" customHeight="false" outlineLevel="0" collapsed="false">
      <c r="A38" s="101" t="s">
        <v>278</v>
      </c>
      <c r="B38" s="87"/>
      <c r="D38" s="137" t="n">
        <f aca="false">'PubP&amp;L'!D3</f>
        <v>46660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279</v>
      </c>
    </row>
    <row r="41" s="87" customFormat="true" ht="12" hidden="false" customHeight="false" outlineLevel="0" collapsed="false">
      <c r="A41" s="101" t="s">
        <v>280</v>
      </c>
      <c r="B41" s="137" t="n">
        <f aca="false">'PubP&amp;L'!D3</f>
        <v>46660</v>
      </c>
      <c r="C41" s="137"/>
      <c r="D41" s="136" t="n">
        <f aca="false">CorporationTax!K35</f>
        <v>28028.7805895061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281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282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str">
        <f aca="false">OpenAccounts!J3</f>
        <v>123 High Street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str">
        <f aca="false">OpenAccounts!J4</f>
        <v>Manchester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283</v>
      </c>
      <c r="C50" s="145" t="str">
        <f aca="false">OpenAccounts!E4</f>
        <v>0161 555 0100</v>
      </c>
      <c r="D50" s="145"/>
      <c r="E50" s="146"/>
      <c r="F50" s="147" t="s">
        <v>4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284</v>
      </c>
      <c r="E60" s="149"/>
    </row>
    <row r="62" customFormat="false" ht="12.75" hidden="false" customHeight="false" outlineLevel="0" collapsed="false">
      <c r="B62" s="0" t="s">
        <v>285</v>
      </c>
    </row>
    <row r="63" customFormat="false" ht="12.75" hidden="false" customHeight="false" outlineLevel="0" collapsed="false">
      <c r="B63" s="0" t="s">
        <v>286</v>
      </c>
    </row>
    <row r="64" customFormat="false" ht="12.75" hidden="false" customHeight="false" outlineLevel="0" collapsed="false">
      <c r="B64" s="0" t="s">
        <v>287</v>
      </c>
    </row>
    <row r="65" customFormat="false" ht="12.75" hidden="false" customHeight="false" outlineLevel="0" collapsed="false">
      <c r="B65" s="0" t="s">
        <v>288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289</v>
      </c>
    </row>
    <row r="69" customFormat="false" ht="12.75" hidden="false" customHeight="false" outlineLevel="0" collapsed="false">
      <c r="B69" s="0" t="s">
        <v>290</v>
      </c>
    </row>
    <row r="71" customFormat="false" ht="12.75" hidden="false" customHeight="false" outlineLevel="0" collapsed="false">
      <c r="B71" s="0" t="s">
        <v>291</v>
      </c>
      <c r="D71" s="151" t="str">
        <f aca="false">OpenAccounts!E5</f>
        <v>Carol Smith</v>
      </c>
      <c r="E71" s="151"/>
      <c r="F71" s="151"/>
    </row>
    <row r="74" customFormat="false" ht="12.75" hidden="false" customHeight="false" outlineLevel="0" collapsed="false">
      <c r="B74" s="0" t="s">
        <v>292</v>
      </c>
      <c r="D74" s="152" t="n">
        <f aca="true">TODAY()</f>
        <v>46263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293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294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295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17</v>
      </c>
      <c r="B84" s="160"/>
      <c r="C84" s="160"/>
      <c r="D84" s="160"/>
      <c r="E84" s="161" t="str">
        <f aca="false">OpenAccounts!E8</f>
        <v>IT consultancy and software development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296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297</v>
      </c>
      <c r="B87" s="160"/>
      <c r="C87" s="160"/>
      <c r="D87" s="160"/>
      <c r="E87" s="165" t="n">
        <f aca="false">'PubP&amp;L'!F9</f>
        <v>341283.333333333</v>
      </c>
      <c r="F87" s="166" t="s">
        <v>298</v>
      </c>
      <c r="G87" s="166"/>
      <c r="H87" s="165" t="n">
        <f aca="false">'PubP&amp;L'!B9</f>
        <v>0</v>
      </c>
      <c r="I87" s="144" t="s">
        <v>299</v>
      </c>
    </row>
    <row r="88" s="144" customFormat="true" ht="12.75" hidden="false" customHeight="true" outlineLevel="0" collapsed="false">
      <c r="A88" s="160" t="s">
        <v>300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301</v>
      </c>
      <c r="B89" s="167"/>
      <c r="C89" s="167"/>
      <c r="D89" s="168" t="n">
        <f aca="false">IF('PubP&amp;L'!F9&gt;0,'PubP&amp;L'!F18/'PubP&amp;L'!F9," ")</f>
        <v>0.944952873956146</v>
      </c>
      <c r="E89" s="169" t="s">
        <v>302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303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304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305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306</v>
      </c>
      <c r="B94" s="160"/>
      <c r="C94" s="160"/>
      <c r="D94" s="165" t="n">
        <f aca="false">[8]Boardmeeting!$E$4</f>
        <v>0</v>
      </c>
      <c r="E94" s="170" t="s">
        <v>307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308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100</v>
      </c>
    </row>
    <row r="96" s="144" customFormat="true" ht="12.75" hidden="false" customHeight="false" outlineLevel="0" collapsed="false">
      <c r="A96" s="167" t="s">
        <v>309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310</v>
      </c>
      <c r="E97" s="147"/>
      <c r="F97" s="173" t="n">
        <f aca="false">[8]RegisterofMembers!$G$3</f>
        <v>100</v>
      </c>
      <c r="G97" s="174" t="s">
        <v>311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310</v>
      </c>
      <c r="E98" s="147"/>
      <c r="F98" s="173" t="n">
        <f aca="false">[8]RegisterofMembers!$G$4</f>
        <v>0</v>
      </c>
      <c r="G98" s="174" t="s">
        <v>311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312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313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314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315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316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317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318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319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320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321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322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323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324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325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326</v>
      </c>
    </row>
    <row r="119" s="144" customFormat="true" ht="12.75" hidden="false" customHeight="false" outlineLevel="0" collapsed="false">
      <c r="B119" s="170" t="str">
        <f aca="false">OpenAccounts!E5</f>
        <v>Carol Smith</v>
      </c>
      <c r="C119" s="170"/>
      <c r="D119" s="144" t="s">
        <v>327</v>
      </c>
      <c r="F119" s="144" t="s">
        <v>328</v>
      </c>
      <c r="G119" s="159" t="n">
        <f aca="true">TODAY()</f>
        <v>46263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329</v>
      </c>
      <c r="F2" s="182"/>
      <c r="G2" s="182"/>
      <c r="H2" s="182"/>
      <c r="I2" s="182"/>
      <c r="J2" s="183"/>
      <c r="K2" s="184" t="s">
        <v>330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218</v>
      </c>
      <c r="J3" s="186"/>
      <c r="K3" s="186" t="s">
        <v>218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331</v>
      </c>
      <c r="C5" s="188"/>
      <c r="D5" s="188"/>
      <c r="E5" s="189" t="n">
        <f aca="false">Admin!L6</f>
        <v>46296</v>
      </c>
      <c r="F5" s="189"/>
      <c r="G5" s="190" t="s">
        <v>332</v>
      </c>
      <c r="H5" s="189" t="n">
        <f aca="false">Admin!N7</f>
        <v>47026</v>
      </c>
      <c r="I5" s="189"/>
      <c r="J5" s="178"/>
      <c r="K5" s="191" t="n">
        <f aca="false">'PubP&amp;L'!F46</f>
        <v>176940.391666666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333</v>
      </c>
      <c r="D7" s="193"/>
      <c r="E7" s="193"/>
      <c r="F7" s="193"/>
      <c r="G7" s="178"/>
      <c r="H7" s="179"/>
      <c r="I7" s="194" t="n">
        <f aca="false">IF(TrialBalance!EJ85&gt;0,TrialBalance!EJ85," ")</f>
        <v>2500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334</v>
      </c>
      <c r="D8" s="193"/>
      <c r="E8" s="193"/>
      <c r="F8" s="193"/>
      <c r="G8" s="178"/>
      <c r="H8" s="179"/>
      <c r="I8" s="194" t="n">
        <f aca="false">IF(TrialBalance!EJ87&gt;0,TrialBalance!EJ87," ")</f>
        <v>11740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335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14240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336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191180.391666666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337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338</v>
      </c>
      <c r="C15" s="197"/>
      <c r="D15" s="197"/>
      <c r="E15" s="198" t="n">
        <f aca="false">E5</f>
        <v>46296</v>
      </c>
      <c r="F15" s="198" t="n">
        <f aca="false">H5</f>
        <v>47026</v>
      </c>
      <c r="G15" s="199" t="n">
        <f aca="false">Admin!G5</f>
        <v>100</v>
      </c>
      <c r="H15" s="199"/>
      <c r="I15" s="200" t="n">
        <f aca="false">IF(K79&gt;0,K79,0)</f>
        <v>32500</v>
      </c>
      <c r="J15" s="178"/>
      <c r="K15" s="201" t="s">
        <v>339</v>
      </c>
      <c r="L15" s="202"/>
    </row>
    <row r="16" s="120" customFormat="true" ht="12.65" hidden="false" customHeight="true" outlineLevel="0" collapsed="false">
      <c r="A16" s="187"/>
      <c r="B16" s="193" t="s">
        <v>340</v>
      </c>
      <c r="C16" s="193"/>
      <c r="D16" s="193"/>
      <c r="E16" s="198" t="n">
        <f aca="false">E5</f>
        <v>46296</v>
      </c>
      <c r="F16" s="198" t="n">
        <f aca="false">H5</f>
        <v>47026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341</v>
      </c>
      <c r="L16" s="202"/>
    </row>
    <row r="17" s="120" customFormat="true" ht="12.65" hidden="false" customHeight="true" outlineLevel="0" collapsed="false">
      <c r="A17" s="187"/>
      <c r="B17" s="193" t="s">
        <v>342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3000</v>
      </c>
      <c r="J17" s="178"/>
      <c r="K17" s="201" t="s">
        <v>343</v>
      </c>
      <c r="L17" s="202"/>
    </row>
    <row r="18" s="120" customFormat="true" ht="12.65" hidden="false" customHeight="false" outlineLevel="0" collapsed="false">
      <c r="A18" s="187"/>
      <c r="B18" s="193" t="s">
        <v>344</v>
      </c>
      <c r="C18" s="193"/>
      <c r="D18" s="193"/>
      <c r="E18" s="198" t="n">
        <f aca="false">E5</f>
        <v>46296</v>
      </c>
      <c r="F18" s="198" t="n">
        <f aca="false">H5</f>
        <v>47026</v>
      </c>
      <c r="G18" s="204"/>
      <c r="H18" s="205"/>
      <c r="I18" s="206" t="n">
        <f aca="false">IF(K102&lt;&gt;0,-K102,0)</f>
        <v>8500</v>
      </c>
      <c r="J18" s="178"/>
      <c r="K18" s="201" t="s">
        <v>345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337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44000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346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147180.391666666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347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339.506172839506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348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349</v>
      </c>
      <c r="C28" s="188"/>
      <c r="D28" s="188"/>
      <c r="E28" s="213" t="n">
        <f aca="false">H5</f>
        <v>47026</v>
      </c>
      <c r="F28" s="213"/>
      <c r="G28" s="178"/>
      <c r="H28" s="179"/>
      <c r="I28" s="178"/>
      <c r="J28" s="178"/>
      <c r="K28" s="209" t="n">
        <f aca="false">K22+K24-K26</f>
        <v>147519.897839506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350</v>
      </c>
      <c r="B31" s="217" t="s">
        <v>330</v>
      </c>
      <c r="C31" s="218" t="s">
        <v>351</v>
      </c>
      <c r="D31" s="218" t="s">
        <v>352</v>
      </c>
      <c r="E31" s="218" t="s">
        <v>353</v>
      </c>
      <c r="F31" s="219" t="s">
        <v>354</v>
      </c>
      <c r="G31" s="219" t="s">
        <v>355</v>
      </c>
      <c r="H31" s="219"/>
      <c r="I31" s="219" t="s">
        <v>356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46</v>
      </c>
      <c r="C33" s="222" t="n">
        <f aca="false">Admin!L6</f>
        <v>46296</v>
      </c>
      <c r="D33" s="222" t="n">
        <f aca="false">Admin!N6</f>
        <v>46660</v>
      </c>
      <c r="E33" s="223" t="n">
        <f aca="false">Admin!K6</f>
        <v>2026</v>
      </c>
      <c r="F33" s="186" t="n">
        <f aca="false">IF(K28&gt;0,K28*A33/A35,0)</f>
        <v>73659.0461168531</v>
      </c>
      <c r="G33" s="224" t="n">
        <f aca="false">Admin!P6</f>
        <v>19</v>
      </c>
      <c r="H33" s="224"/>
      <c r="I33" s="225" t="n">
        <f aca="false">F33*G33/100</f>
        <v>13995.2187622021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46</v>
      </c>
      <c r="C34" s="222" t="n">
        <f aca="false">Admin!L7</f>
        <v>46661</v>
      </c>
      <c r="D34" s="222" t="n">
        <f aca="false">Admin!N7</f>
        <v>47026</v>
      </c>
      <c r="E34" s="223" t="n">
        <f aca="false">Admin!K7</f>
        <v>2027</v>
      </c>
      <c r="F34" s="186" t="n">
        <f aca="false">IF(K28&gt;0,K28*A34/A35,0)</f>
        <v>73860.8517226527</v>
      </c>
      <c r="G34" s="224" t="n">
        <f aca="false">Admin!P7</f>
        <v>19</v>
      </c>
      <c r="H34" s="224"/>
      <c r="I34" s="225" t="n">
        <f aca="false">F34*G34/100</f>
        <v>14033.561827304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357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28028.7805895061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358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64.5061728395062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359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27964.2744166666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360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361</v>
      </c>
      <c r="G45" s="178"/>
      <c r="H45" s="179"/>
      <c r="I45" s="233" t="s">
        <v>362</v>
      </c>
      <c r="J45" s="178"/>
      <c r="K45" s="178"/>
      <c r="L45" s="177"/>
    </row>
    <row r="46" customFormat="false" ht="25.5" hidden="false" customHeight="true" outlineLevel="0" collapsed="false">
      <c r="A46" s="234" t="s">
        <v>363</v>
      </c>
      <c r="B46" s="235" t="s">
        <v>362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218</v>
      </c>
      <c r="G47" s="178"/>
      <c r="H47" s="179"/>
      <c r="I47" s="238" t="s">
        <v>218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364</v>
      </c>
      <c r="C48" s="239"/>
      <c r="D48" s="240" t="n">
        <f aca="false">E5</f>
        <v>46296</v>
      </c>
      <c r="E48" s="240" t="n">
        <f aca="false">H5</f>
        <v>47026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n">
        <f aca="false">IF([1]Schedule!$E$67&gt;0,[1]Schedule!$B$67," ")</f>
        <v>45976</v>
      </c>
      <c r="B49" s="87" t="str">
        <f aca="false">IF([1]Schedule!$E$67&gt;0,[1]Schedule!$C$67," ")</f>
        <v>Dell</v>
      </c>
      <c r="E49" s="242"/>
      <c r="F49" s="194" t="n">
        <f aca="false">IF([1]Schedule!$E$67&gt;0,[1]Schedule!$E$67," ")</f>
        <v>1500</v>
      </c>
      <c r="G49" s="178"/>
      <c r="H49" s="179"/>
      <c r="I49" s="89" t="n">
        <f aca="false">IF([1]Schedule!$E$67&gt;0,[1]Schedule!$Q$67," ")</f>
        <v>1500</v>
      </c>
      <c r="J49" s="178"/>
      <c r="K49" s="178"/>
      <c r="L49" s="185"/>
    </row>
    <row r="50" s="120" customFormat="true" ht="12" hidden="false" customHeight="false" outlineLevel="0" collapsed="false">
      <c r="A50" s="241" t="n">
        <f aca="false">IF([1]Schedule!$E$68&gt;0,[1]Schedule!$B$68," ")</f>
        <v>46037</v>
      </c>
      <c r="B50" s="87" t="str">
        <f aca="false">IF([1]Schedule!$E$68&gt;0,[1]Schedule!$C$68," ")</f>
        <v>IKEA</v>
      </c>
      <c r="E50" s="242"/>
      <c r="F50" s="194" t="n">
        <f aca="false">IF([1]Schedule!$E$68&gt;0,[1]Schedule!$E$68," ")</f>
        <v>1000</v>
      </c>
      <c r="G50" s="178"/>
      <c r="H50" s="179"/>
      <c r="I50" s="89" t="n">
        <f aca="false">IF([1]Schedule!$E$68&gt;0,[1]Schedule!$Q$68," ")</f>
        <v>1000</v>
      </c>
      <c r="J50" s="178"/>
      <c r="K50" s="178"/>
      <c r="L50" s="185"/>
    </row>
    <row r="51" s="120" customFormat="true" ht="12" hidden="false" customHeight="false" outlineLevel="0" collapsed="false">
      <c r="A51" s="241" t="n">
        <f aca="false">IF([1]Schedule!$E$69&gt;0,[1]Schedule!$B$69," ")</f>
        <v>46137</v>
      </c>
      <c r="B51" s="87" t="str">
        <f aca="false">IF([1]Schedule!$E$69&gt;0,[1]Schedule!$C$69," ")</f>
        <v>Ford</v>
      </c>
      <c r="E51" s="242"/>
      <c r="F51" s="194" t="n">
        <f aca="false">IF([1]Schedule!$E$69&gt;0,[1]Schedule!$E$69," ")</f>
        <v>30000</v>
      </c>
      <c r="G51" s="178"/>
      <c r="H51" s="179"/>
      <c r="I51" s="89" t="n">
        <f aca="false">IF([1]Schedule!$E$69&gt;0,[1]Schedule!$Q$69," ")</f>
        <v>30000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365</v>
      </c>
      <c r="C57" s="239"/>
      <c r="D57" s="240" t="n">
        <f aca="false">E5</f>
        <v>46296</v>
      </c>
      <c r="E57" s="240" t="n">
        <f aca="false">H5</f>
        <v>47026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366</v>
      </c>
      <c r="B63" s="243"/>
      <c r="C63" s="243"/>
      <c r="D63" s="240" t="n">
        <f aca="false">E5</f>
        <v>46296</v>
      </c>
      <c r="E63" s="240" t="n">
        <f aca="false">H5</f>
        <v>47026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367</v>
      </c>
      <c r="C72" s="193"/>
      <c r="D72" s="240" t="n">
        <f aca="false">E5</f>
        <v>46296</v>
      </c>
      <c r="E72" s="240" t="n">
        <f aca="false">H5</f>
        <v>47026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368</v>
      </c>
      <c r="C79" s="244"/>
      <c r="D79" s="222" t="n">
        <f aca="false">E5</f>
        <v>46296</v>
      </c>
      <c r="E79" s="245" t="n">
        <f aca="false">H5</f>
        <v>47026</v>
      </c>
      <c r="F79" s="246" t="n">
        <f aca="false">SUM(F48:F78)</f>
        <v>32500</v>
      </c>
      <c r="G79" s="178"/>
      <c r="H79" s="179"/>
      <c r="I79" s="194" t="n">
        <f aca="false">SUM(I48:I78)</f>
        <v>32500</v>
      </c>
      <c r="J79" s="178"/>
      <c r="K79" s="194" t="n">
        <f aca="false">I79</f>
        <v>32500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361</v>
      </c>
      <c r="G81" s="178"/>
      <c r="H81" s="179"/>
      <c r="I81" s="233" t="s">
        <v>369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370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218</v>
      </c>
      <c r="G83" s="178"/>
      <c r="H83" s="179"/>
      <c r="I83" s="238" t="s">
        <v>218</v>
      </c>
      <c r="J83" s="178"/>
      <c r="K83" s="178"/>
      <c r="L83" s="185"/>
    </row>
    <row r="84" customFormat="false" ht="12" hidden="false" customHeight="true" outlineLevel="0" collapsed="false">
      <c r="A84" s="247" t="s">
        <v>371</v>
      </c>
      <c r="B84" s="243" t="s">
        <v>372</v>
      </c>
      <c r="C84" s="243"/>
      <c r="D84" s="248" t="n">
        <f aca="false">E5</f>
        <v>46296</v>
      </c>
      <c r="E84" s="248" t="n">
        <f aca="false">H5</f>
        <v>47026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373</v>
      </c>
      <c r="C91" s="249"/>
      <c r="D91" s="250" t="n">
        <f aca="false">E5</f>
        <v>46296</v>
      </c>
      <c r="E91" s="250" t="n">
        <f aca="false">H5</f>
        <v>47026</v>
      </c>
      <c r="F91" s="251" t="s">
        <v>374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375</v>
      </c>
      <c r="B93" s="196" t="s">
        <v>376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377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378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379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380</v>
      </c>
      <c r="C97" s="255"/>
      <c r="D97" s="256" t="n">
        <f aca="false">E5</f>
        <v>46296</v>
      </c>
      <c r="E97" s="177"/>
      <c r="F97" s="204"/>
      <c r="G97" s="178"/>
      <c r="H97" s="179"/>
      <c r="I97" s="89" t="n">
        <f aca="false">IF([1]Schedule!$R$55&gt;0,[1]Schedule!$R$55," ")</f>
        <v>3000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376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3000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n">
        <f aca="false">IF([1]Schedule!$W$1&gt;0,[1]Schedule!$Z$1-[1]Schedule!$Y$1," ")</f>
        <v>-8500</v>
      </c>
      <c r="J101" s="178"/>
      <c r="K101" s="178"/>
      <c r="L101" s="177"/>
    </row>
    <row r="102" customFormat="false" ht="12" hidden="false" customHeight="true" outlineLevel="0" collapsed="false">
      <c r="A102" s="247" t="s">
        <v>381</v>
      </c>
      <c r="B102" s="196" t="s">
        <v>344</v>
      </c>
      <c r="C102" s="196"/>
      <c r="D102" s="196"/>
      <c r="E102" s="253" t="n">
        <f aca="false">E5</f>
        <v>46296</v>
      </c>
      <c r="F102" s="253" t="n">
        <f aca="false">H5</f>
        <v>47026</v>
      </c>
      <c r="G102" s="257"/>
      <c r="H102" s="257"/>
      <c r="I102" s="257"/>
      <c r="J102" s="178"/>
      <c r="K102" s="194" t="n">
        <f aca="false">SUM(I100:I101)</f>
        <v>-8500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382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44000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383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384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385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386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387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388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389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390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391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392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393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394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395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396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397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4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398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399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1234567890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400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123 High Street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Manchester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15</v>
      </c>
      <c r="AF26" s="283"/>
      <c r="AG26" s="283"/>
      <c r="AH26" s="283"/>
      <c r="AI26" s="283"/>
      <c r="AJ26" s="283"/>
      <c r="AK26" s="284" t="str">
        <f aca="false">IF(OpenAccounts!$N$6&gt;0,OpenAccounts!N6," ")</f>
        <v>M1 1AA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401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402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403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404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405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406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47026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407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213</v>
      </c>
      <c r="AR34" s="272"/>
    </row>
    <row r="35" s="87" customFormat="true" ht="12.75" hidden="false" customHeight="false" outlineLevel="0" collapsed="false">
      <c r="A35" s="272"/>
      <c r="B35" s="292" t="s">
        <v>408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409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410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411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412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413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414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415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416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417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418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419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420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421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422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423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424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425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426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427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428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429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430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431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432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433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434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435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218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436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437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218</v>
      </c>
      <c r="Z70" s="302" t="n">
        <f aca="false">IF(CorporationTax!K22&gt;0,CorporationTax!K22," ")</f>
        <v>147180.391666666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438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218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439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440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218</v>
      </c>
      <c r="AJ74" s="302" t="n">
        <f aca="false">SUM(Z69:AF70)-SUM(Z72:AF73)</f>
        <v>147180.391666666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441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442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218</v>
      </c>
      <c r="AJ76" s="302" t="n">
        <f aca="false">IF(-TrialBalance!EJ58&gt;0,-TrialBalance!EJ58," ")</f>
        <v>339.506172839506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443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218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444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218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445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446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218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447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218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448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449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218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450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451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218</v>
      </c>
      <c r="AJ92" s="302" t="n">
        <f aca="false">IF(AJ74&gt;0,AJ74+SUM(AJ76:AJ80)+AJ88,0)</f>
        <v>147519.897839506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452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453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218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454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218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455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456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457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458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218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459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218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460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461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218</v>
      </c>
      <c r="AJ110" s="302" t="n">
        <f aca="false">AJ92-Z96-Z98-Z104-Z106</f>
        <v>147519.897839506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462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463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218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464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465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466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467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468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213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469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470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471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472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473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474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218</v>
      </c>
      <c r="N126" s="328" t="n">
        <f aca="false">CorporationTax!F33</f>
        <v>73659.0461168531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218</v>
      </c>
      <c r="AJ126" s="330" t="n">
        <f aca="false">CorporationTax!I33</f>
        <v>13995.2187622021</v>
      </c>
      <c r="AK126" s="330"/>
      <c r="AL126" s="330"/>
      <c r="AM126" s="330"/>
      <c r="AN126" s="330"/>
      <c r="AO126" s="330"/>
      <c r="AP126" s="330"/>
      <c r="AQ126" s="331" t="s">
        <v>475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218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218</v>
      </c>
      <c r="AJ128" s="330"/>
      <c r="AK128" s="330"/>
      <c r="AL128" s="330"/>
      <c r="AM128" s="330"/>
      <c r="AN128" s="330"/>
      <c r="AO128" s="330"/>
      <c r="AP128" s="330"/>
      <c r="AQ128" s="331" t="s">
        <v>475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476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96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218</v>
      </c>
      <c r="AJ131" s="330" t="n">
        <f aca="false">AJ126+AJ128</f>
        <v>13995.2187622021</v>
      </c>
      <c r="AK131" s="330"/>
      <c r="AL131" s="330"/>
      <c r="AM131" s="330"/>
      <c r="AN131" s="330"/>
      <c r="AO131" s="330"/>
      <c r="AP131" s="330"/>
      <c r="AQ131" s="331" t="s">
        <v>475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477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218</v>
      </c>
      <c r="X133" s="333"/>
      <c r="Y133" s="333"/>
      <c r="Z133" s="333"/>
      <c r="AA133" s="333"/>
      <c r="AB133" s="333"/>
      <c r="AC133" s="333"/>
      <c r="AD133" s="333"/>
      <c r="AE133" s="331" t="s">
        <v>475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478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218</v>
      </c>
      <c r="X135" s="333"/>
      <c r="Y135" s="333"/>
      <c r="Z135" s="333"/>
      <c r="AA135" s="333"/>
      <c r="AB135" s="333"/>
      <c r="AC135" s="333"/>
      <c r="AD135" s="333"/>
      <c r="AE135" s="331" t="s">
        <v>475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479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355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480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481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218</v>
      </c>
      <c r="X141" s="333"/>
      <c r="Y141" s="333"/>
      <c r="Z141" s="333"/>
      <c r="AA141" s="333"/>
      <c r="AB141" s="333"/>
      <c r="AC141" s="333"/>
      <c r="AD141" s="333"/>
      <c r="AE141" s="331" t="s">
        <v>475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482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218</v>
      </c>
      <c r="X143" s="333"/>
      <c r="Y143" s="333"/>
      <c r="Z143" s="333"/>
      <c r="AA143" s="333"/>
      <c r="AB143" s="333"/>
      <c r="AC143" s="333"/>
      <c r="AD143" s="333"/>
      <c r="AE143" s="331" t="s">
        <v>475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483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484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218</v>
      </c>
      <c r="AJ145" s="330" t="n">
        <f aca="false">AJ131</f>
        <v>13995.2187622021</v>
      </c>
      <c r="AK145" s="330"/>
      <c r="AL145" s="330"/>
      <c r="AM145" s="330"/>
      <c r="AN145" s="330"/>
      <c r="AO145" s="330"/>
      <c r="AP145" s="330"/>
      <c r="AQ145" s="331" t="s">
        <v>475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485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486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218</v>
      </c>
      <c r="AJ149" s="333"/>
      <c r="AK149" s="333"/>
      <c r="AL149" s="333"/>
      <c r="AM149" s="333"/>
      <c r="AN149" s="333"/>
      <c r="AO149" s="333"/>
      <c r="AP149" s="333"/>
      <c r="AQ149" s="331" t="s">
        <v>475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487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488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489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218</v>
      </c>
      <c r="AJ154" s="330" t="n">
        <f aca="false">IF(TrialBalance!EH35&gt;0,TrialBalance!EH35,0)</f>
        <v>64.5061728395062</v>
      </c>
      <c r="AK154" s="330"/>
      <c r="AL154" s="330"/>
      <c r="AM154" s="330"/>
      <c r="AN154" s="330"/>
      <c r="AO154" s="330"/>
      <c r="AP154" s="330"/>
      <c r="AQ154" s="331" t="s">
        <v>475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490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218</v>
      </c>
      <c r="AJ156" s="333"/>
      <c r="AK156" s="333"/>
      <c r="AL156" s="333"/>
      <c r="AM156" s="333"/>
      <c r="AN156" s="333"/>
      <c r="AO156" s="333"/>
      <c r="AP156" s="333"/>
      <c r="AQ156" s="331" t="s">
        <v>475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491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492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218</v>
      </c>
      <c r="AJ159" s="330" t="n">
        <f aca="false">IF(AJ145&gt;0,AJ145+AJ149-AJ154,0)</f>
        <v>13930.7125893626</v>
      </c>
      <c r="AK159" s="330"/>
      <c r="AL159" s="330"/>
      <c r="AM159" s="330"/>
      <c r="AN159" s="330"/>
      <c r="AO159" s="330"/>
      <c r="AP159" s="330"/>
      <c r="AQ159" s="331" t="s">
        <v>475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493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494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218</v>
      </c>
      <c r="AJ163" s="330"/>
      <c r="AK163" s="330"/>
      <c r="AL163" s="330"/>
      <c r="AM163" s="330"/>
      <c r="AN163" s="330"/>
      <c r="AO163" s="330"/>
      <c r="AP163" s="330"/>
      <c r="AQ163" s="331" t="s">
        <v>475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495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496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218</v>
      </c>
      <c r="AJ166" s="330" t="n">
        <f aca="false">IF(AJ159&gt;0,AJ159-AJ163,0)</f>
        <v>13930.7125893626</v>
      </c>
      <c r="AK166" s="330"/>
      <c r="AL166" s="330"/>
      <c r="AM166" s="330"/>
      <c r="AN166" s="330"/>
      <c r="AO166" s="330"/>
      <c r="AP166" s="330"/>
      <c r="AQ166" s="331" t="s">
        <v>475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497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498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218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475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499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500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501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502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503</v>
      </c>
      <c r="C175" s="274"/>
      <c r="D175" s="274"/>
      <c r="E175" s="274"/>
      <c r="F175" s="276"/>
      <c r="G175" s="276"/>
      <c r="H175" s="276" t="s">
        <v>504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218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218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505</v>
      </c>
      <c r="C177" s="274"/>
      <c r="D177" s="274"/>
      <c r="E177" s="274"/>
      <c r="F177" s="276"/>
      <c r="G177" s="276"/>
      <c r="H177" s="276" t="s">
        <v>506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218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218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507</v>
      </c>
      <c r="C179" s="274"/>
      <c r="D179" s="274"/>
      <c r="E179" s="274"/>
      <c r="F179" s="276"/>
      <c r="G179" s="276"/>
      <c r="H179" s="276" t="s">
        <v>508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218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218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509</v>
      </c>
      <c r="C181" s="274"/>
      <c r="D181" s="274"/>
      <c r="E181" s="274"/>
      <c r="F181" s="276"/>
      <c r="G181" s="276"/>
      <c r="H181" s="276" t="s">
        <v>510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218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218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511</v>
      </c>
      <c r="C183" s="274"/>
      <c r="D183" s="274"/>
      <c r="E183" s="274"/>
      <c r="F183" s="276"/>
      <c r="G183" s="276"/>
      <c r="H183" s="276" t="s">
        <v>512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218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218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513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501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502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514</v>
      </c>
      <c r="C187" s="274"/>
      <c r="D187" s="274"/>
      <c r="E187" s="274"/>
      <c r="F187" s="276"/>
      <c r="G187" s="276"/>
      <c r="H187" s="276" t="s">
        <v>515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218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218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516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517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518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519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218</v>
      </c>
      <c r="AL194" s="328" t="n">
        <f aca="false">IF(CorporationTax!F79&gt;0,CorporationTax!F79," ")</f>
        <v>32500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520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521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522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218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523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218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524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525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526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527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528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218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529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218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530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531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532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533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534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218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218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535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536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537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538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539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540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218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218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541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542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543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544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218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545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218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546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547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548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549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550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551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552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218</v>
      </c>
      <c r="AD224" s="309"/>
      <c r="AE224" s="309"/>
      <c r="AF224" s="309"/>
      <c r="AG224" s="309"/>
      <c r="AH224" s="309"/>
      <c r="AI224" s="276" t="s">
        <v>553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554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555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556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557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558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559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560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561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562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563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564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565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566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567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15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568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569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290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570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571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572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573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571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574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575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290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570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576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str">
        <f aca="false">OpenAccounts!E5</f>
        <v>Carol Smith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577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291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578</v>
      </c>
      <c r="C2" s="388" t="s">
        <v>579</v>
      </c>
      <c r="D2" s="388" t="s">
        <v>580</v>
      </c>
      <c r="E2" s="388" t="s">
        <v>581</v>
      </c>
      <c r="F2" s="388" t="s">
        <v>582</v>
      </c>
      <c r="G2" s="388" t="s">
        <v>583</v>
      </c>
      <c r="H2" s="388" t="s">
        <v>197</v>
      </c>
      <c r="I2" s="388" t="s">
        <v>584</v>
      </c>
      <c r="J2" s="47"/>
      <c r="K2" s="387" t="s">
        <v>585</v>
      </c>
      <c r="L2" s="389"/>
    </row>
    <row r="3" s="53" customFormat="true" ht="15" hidden="false" customHeight="true" outlineLevel="0" collapsed="false">
      <c r="A3" s="386"/>
      <c r="B3" s="390" t="s">
        <v>586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6748</v>
      </c>
      <c r="D4" s="36" t="n">
        <f aca="false">[9]Oct!$N$1-D17</f>
        <v>800</v>
      </c>
      <c r="E4" s="36" t="n">
        <f aca="false">[9]Oct!$O$1-E17</f>
        <v>296</v>
      </c>
      <c r="F4" s="36" t="n">
        <f aca="false">[9]Oct!$P$1+[9]Oct!$Q$1-F17</f>
        <v>0</v>
      </c>
      <c r="G4" s="36" t="n">
        <f aca="false">C4-SUM(D4:F4)</f>
        <v>5652</v>
      </c>
      <c r="H4" s="36" t="n">
        <f aca="false">[9]Oct!$T$1-H17</f>
        <v>577.2</v>
      </c>
      <c r="I4" s="36" t="n">
        <f aca="false">[9]Oct!$G$1</f>
        <v>0</v>
      </c>
      <c r="J4" s="54"/>
      <c r="K4" s="393" t="s">
        <v>587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6748</v>
      </c>
      <c r="D5" s="36" t="n">
        <f aca="false">[9]Nov!$N$1-D18</f>
        <v>800</v>
      </c>
      <c r="E5" s="36" t="n">
        <f aca="false">[9]Nov!$O$1-E18</f>
        <v>296</v>
      </c>
      <c r="F5" s="36" t="n">
        <f aca="false">[9]Nov!$P$1+[9]Nov!$Q$1-F18</f>
        <v>0</v>
      </c>
      <c r="G5" s="36" t="n">
        <f aca="false">C5-SUM(D5:F5)</f>
        <v>5652</v>
      </c>
      <c r="H5" s="36" t="n">
        <f aca="false">[9]Nov!$T$1-H18</f>
        <v>577.2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6748</v>
      </c>
      <c r="D6" s="36" t="n">
        <f aca="false">[9]Dec!$N$1-D19</f>
        <v>800</v>
      </c>
      <c r="E6" s="36" t="n">
        <f aca="false">[9]Dec!$O$1-E19</f>
        <v>296</v>
      </c>
      <c r="F6" s="36" t="n">
        <f aca="false">[9]Dec!$P$1+[9]Dec!$Q$1-F19</f>
        <v>0</v>
      </c>
      <c r="G6" s="36" t="n">
        <f aca="false">C6-SUM(D6:F6)</f>
        <v>5652</v>
      </c>
      <c r="H6" s="36" t="n">
        <f aca="false">[9]Dec!$T$1-H19</f>
        <v>577.2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6748</v>
      </c>
      <c r="D7" s="36" t="n">
        <f aca="false">[9]Jan!$N$1-D20</f>
        <v>800</v>
      </c>
      <c r="E7" s="36" t="n">
        <f aca="false">[9]Jan!$O$1-E20</f>
        <v>296</v>
      </c>
      <c r="F7" s="36" t="n">
        <f aca="false">[9]Jan!$P$1+[9]Jan!$Q$1-F20</f>
        <v>0</v>
      </c>
      <c r="G7" s="36" t="n">
        <f aca="false">C7-SUM(D7:F7)</f>
        <v>5652</v>
      </c>
      <c r="H7" s="36" t="n">
        <f aca="false">[9]Jan!$T$1-H20</f>
        <v>577.2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6748</v>
      </c>
      <c r="D8" s="36" t="n">
        <f aca="false">[9]Feb!$N$1-D21</f>
        <v>800</v>
      </c>
      <c r="E8" s="36" t="n">
        <f aca="false">[9]Feb!$O$1-E21</f>
        <v>296</v>
      </c>
      <c r="F8" s="36" t="n">
        <f aca="false">[9]Feb!$P$1+[9]Feb!$Q$1-F21</f>
        <v>0</v>
      </c>
      <c r="G8" s="36" t="n">
        <f aca="false">C8-SUM(D8:F8)</f>
        <v>5652</v>
      </c>
      <c r="H8" s="36" t="n">
        <f aca="false">[9]Feb!$T$1-H21</f>
        <v>577.2</v>
      </c>
      <c r="I8" s="36" t="n">
        <f aca="false">[9]Feb!$G$1</f>
        <v>0</v>
      </c>
      <c r="J8" s="54"/>
      <c r="K8" s="393" t="s">
        <v>588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6748</v>
      </c>
      <c r="D9" s="36" t="n">
        <f aca="false">[9]Mar!$N$1-D22</f>
        <v>800</v>
      </c>
      <c r="E9" s="36" t="n">
        <f aca="false">[9]Mar!$O$1-E22</f>
        <v>296</v>
      </c>
      <c r="F9" s="36" t="n">
        <f aca="false">[9]Mar!$P$1+[9]Mar!$Q$1-F22</f>
        <v>0</v>
      </c>
      <c r="G9" s="36" t="n">
        <f aca="false">C9-SUM(D9:F9)</f>
        <v>5652</v>
      </c>
      <c r="H9" s="36" t="n">
        <f aca="false">[9]Mar!$T$1-H22</f>
        <v>577.2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6748</v>
      </c>
      <c r="D10" s="36" t="n">
        <f aca="false">[9]Apr!$N$1-D23</f>
        <v>800</v>
      </c>
      <c r="E10" s="36" t="n">
        <f aca="false">[9]Apr!$O$1-E23</f>
        <v>296</v>
      </c>
      <c r="F10" s="36" t="n">
        <f aca="false">[9]Apr!$P$1+[9]Apr!$Q$1-F23</f>
        <v>0</v>
      </c>
      <c r="G10" s="36" t="n">
        <f aca="false">C10-SUM(D10:F10)</f>
        <v>5652</v>
      </c>
      <c r="H10" s="36" t="n">
        <f aca="false">[9]Apr!$T$1-H23</f>
        <v>577.2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6748</v>
      </c>
      <c r="D11" s="36" t="n">
        <f aca="false">[9]May!$N$1-D24</f>
        <v>800</v>
      </c>
      <c r="E11" s="36" t="n">
        <f aca="false">[9]May!$O$1-E24</f>
        <v>296</v>
      </c>
      <c r="F11" s="36" t="n">
        <f aca="false">[9]May!$P$1+[9]May!$Q$1-F24</f>
        <v>0</v>
      </c>
      <c r="G11" s="36" t="n">
        <f aca="false">C11-SUM(D11:F11)</f>
        <v>5652</v>
      </c>
      <c r="H11" s="36" t="n">
        <f aca="false">[9]May!$T$1-H24</f>
        <v>577.2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6748</v>
      </c>
      <c r="D12" s="36" t="n">
        <f aca="false">[9]Jun!$N$1-D25</f>
        <v>800</v>
      </c>
      <c r="E12" s="36" t="n">
        <f aca="false">[9]Jun!$O$1-E25</f>
        <v>296</v>
      </c>
      <c r="F12" s="36" t="n">
        <f aca="false">[9]Jun!$P$1+[9]Jun!$Q$1-F25</f>
        <v>0</v>
      </c>
      <c r="G12" s="36" t="n">
        <f aca="false">C12-SUM(D12:F12)</f>
        <v>5652</v>
      </c>
      <c r="H12" s="36" t="n">
        <f aca="false">[9]Jun!$T$1-H25</f>
        <v>577.2</v>
      </c>
      <c r="I12" s="36" t="n">
        <f aca="false">[9]Jun!$G$1</f>
        <v>0</v>
      </c>
      <c r="J12" s="54"/>
      <c r="K12" s="393" t="s">
        <v>589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6748</v>
      </c>
      <c r="D13" s="36" t="n">
        <f aca="false">[9]Jul!$N$1-D26</f>
        <v>800</v>
      </c>
      <c r="E13" s="36" t="n">
        <f aca="false">[9]Jul!$O$1-E26</f>
        <v>296</v>
      </c>
      <c r="F13" s="36" t="n">
        <f aca="false">[9]Jul!$P$1+[9]Jul!$Q$1-F26</f>
        <v>0</v>
      </c>
      <c r="G13" s="36" t="n">
        <f aca="false">C13-SUM(D13:F13)</f>
        <v>5652</v>
      </c>
      <c r="H13" s="36" t="n">
        <f aca="false">[9]Jul!$T$1-H26</f>
        <v>577.2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6748</v>
      </c>
      <c r="D14" s="36" t="n">
        <f aca="false">[9]Aug!$N$1-D27</f>
        <v>800</v>
      </c>
      <c r="E14" s="36" t="n">
        <f aca="false">[9]Aug!$O$1-E27</f>
        <v>296</v>
      </c>
      <c r="F14" s="36" t="n">
        <f aca="false">[9]Aug!$P$1+[9]Aug!$Q$1-F27</f>
        <v>0</v>
      </c>
      <c r="G14" s="36" t="n">
        <f aca="false">C14-SUM(D14:F14)</f>
        <v>5652</v>
      </c>
      <c r="H14" s="36" t="n">
        <f aca="false">[9]Aug!$T$1-H27</f>
        <v>577.2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6748</v>
      </c>
      <c r="D15" s="36" t="n">
        <f aca="false">[9]Sep!$N$1-D28</f>
        <v>800</v>
      </c>
      <c r="E15" s="36" t="n">
        <f aca="false">[9]Sep!$O$1-E28</f>
        <v>296</v>
      </c>
      <c r="F15" s="36" t="n">
        <f aca="false">[9]Sep!$P$1+[9]Sep!$Q$1-F28</f>
        <v>0</v>
      </c>
      <c r="G15" s="36" t="n">
        <f aca="false">C15-SUM(D15:F15)</f>
        <v>5652</v>
      </c>
      <c r="H15" s="36" t="n">
        <f aca="false">[9]Sep!$T$1-H28</f>
        <v>577.2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590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591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592</v>
      </c>
      <c r="I1" s="406"/>
      <c r="J1" s="406"/>
      <c r="K1" s="406"/>
      <c r="L1" s="406"/>
      <c r="M1" s="405"/>
      <c r="N1" s="406" t="s">
        <v>592</v>
      </c>
      <c r="O1" s="406"/>
      <c r="P1" s="406"/>
      <c r="Q1" s="406"/>
      <c r="R1" s="406"/>
      <c r="S1" s="405"/>
      <c r="T1" s="406" t="s">
        <v>592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593</v>
      </c>
      <c r="C2" s="412"/>
      <c r="D2" s="413" t="s">
        <v>594</v>
      </c>
      <c r="E2" s="414"/>
      <c r="F2" s="413" t="s">
        <v>595</v>
      </c>
      <c r="G2" s="414"/>
      <c r="H2" s="415" t="s">
        <v>596</v>
      </c>
      <c r="I2" s="414"/>
      <c r="J2" s="413" t="s">
        <v>597</v>
      </c>
      <c r="K2" s="414"/>
      <c r="L2" s="413" t="s">
        <v>598</v>
      </c>
      <c r="M2" s="414"/>
      <c r="N2" s="415" t="s">
        <v>599</v>
      </c>
      <c r="O2" s="414"/>
      <c r="P2" s="413" t="s">
        <v>600</v>
      </c>
      <c r="Q2" s="414"/>
      <c r="R2" s="413" t="s">
        <v>598</v>
      </c>
      <c r="S2" s="414"/>
      <c r="T2" s="415" t="s">
        <v>601</v>
      </c>
      <c r="U2" s="414"/>
      <c r="V2" s="413" t="s">
        <v>602</v>
      </c>
      <c r="W2" s="414"/>
      <c r="X2" s="416" t="s">
        <v>598</v>
      </c>
      <c r="Y2" s="417"/>
      <c r="Z2" s="413" t="s">
        <v>603</v>
      </c>
      <c r="AA2" s="414"/>
      <c r="AB2" s="413" t="s">
        <v>604</v>
      </c>
      <c r="AC2" s="418"/>
      <c r="AD2" s="419" t="s">
        <v>605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606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607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/>
      <c r="C5" s="430"/>
      <c r="D5" s="78"/>
      <c r="E5" s="78"/>
      <c r="F5" s="78"/>
      <c r="G5" s="78"/>
      <c r="H5" s="431"/>
      <c r="I5" s="78"/>
      <c r="J5" s="78"/>
      <c r="K5" s="78"/>
      <c r="L5" s="432"/>
      <c r="M5" s="78"/>
      <c r="N5" s="431"/>
      <c r="O5" s="78"/>
      <c r="P5" s="78"/>
      <c r="Q5" s="78"/>
      <c r="R5" s="432"/>
      <c r="S5" s="78"/>
      <c r="T5" s="431"/>
      <c r="U5" s="78"/>
      <c r="V5" s="78"/>
      <c r="W5" s="78"/>
      <c r="X5" s="78"/>
      <c r="Y5" s="433"/>
      <c r="Z5" s="78"/>
      <c r="AA5" s="78"/>
      <c r="AB5" s="78"/>
      <c r="AC5" s="68"/>
      <c r="AD5" s="427"/>
      <c r="AE5" s="427"/>
      <c r="AF5" s="427"/>
      <c r="AG5" s="427"/>
      <c r="AH5" s="68"/>
    </row>
    <row r="6" customFormat="false" ht="12" hidden="false" customHeight="false" outlineLevel="0" collapsed="false">
      <c r="A6" s="391"/>
      <c r="B6" s="434" t="n">
        <f aca="false">Admin!B9</f>
        <v>46296</v>
      </c>
      <c r="C6" s="435"/>
      <c r="D6" s="436" t="n">
        <f aca="false">OpenAccounts!$E$15</f>
        <v>10000</v>
      </c>
      <c r="E6" s="78"/>
      <c r="F6" s="78"/>
      <c r="G6" s="78"/>
      <c r="H6" s="431"/>
      <c r="I6" s="78"/>
      <c r="J6" s="78"/>
      <c r="K6" s="78"/>
      <c r="L6" s="432"/>
      <c r="M6" s="78"/>
      <c r="N6" s="431"/>
      <c r="O6" s="78"/>
      <c r="P6" s="78"/>
      <c r="Q6" s="78"/>
      <c r="R6" s="432"/>
      <c r="S6" s="78"/>
      <c r="T6" s="431"/>
      <c r="U6" s="78"/>
      <c r="V6" s="78"/>
      <c r="W6" s="78"/>
      <c r="X6" s="78"/>
      <c r="Y6" s="433"/>
      <c r="Z6" s="78"/>
      <c r="AA6" s="78"/>
      <c r="AB6" s="436" t="n">
        <f aca="false">OpenAccounts!$E$15</f>
        <v>10000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5"/>
      <c r="C7" s="435"/>
      <c r="D7" s="78"/>
      <c r="E7" s="78"/>
      <c r="F7" s="78"/>
      <c r="G7" s="78"/>
      <c r="H7" s="431"/>
      <c r="I7" s="78"/>
      <c r="J7" s="78"/>
      <c r="K7" s="78"/>
      <c r="L7" s="432"/>
      <c r="M7" s="78"/>
      <c r="N7" s="431"/>
      <c r="O7" s="78"/>
      <c r="P7" s="78"/>
      <c r="Q7" s="78"/>
      <c r="R7" s="432"/>
      <c r="S7" s="78"/>
      <c r="T7" s="431"/>
      <c r="U7" s="78"/>
      <c r="V7" s="78"/>
      <c r="W7" s="78"/>
      <c r="X7" s="78"/>
      <c r="Y7" s="433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4" t="n">
        <f aca="false">Admin!B10</f>
        <v>46326</v>
      </c>
      <c r="C8" s="435"/>
      <c r="D8" s="436" t="n">
        <f aca="false">D6+F8-L8-R8-X8+Z6</f>
        <v>10000</v>
      </c>
      <c r="E8" s="78"/>
      <c r="F8" s="78" t="n">
        <f aca="false">IF((H$4+N$4+T$4)=0,0,[2]Oct!O$1)</f>
        <v>0</v>
      </c>
      <c r="G8" s="78"/>
      <c r="H8" s="437" t="n">
        <f aca="false">H4</f>
        <v>0</v>
      </c>
      <c r="I8" s="78"/>
      <c r="J8" s="78" t="n">
        <f aca="false">[3]Oct!$O$1</f>
        <v>25333.3333333333</v>
      </c>
      <c r="K8" s="78"/>
      <c r="L8" s="432" t="n">
        <f aca="false">J8*H8</f>
        <v>0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2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3"/>
      <c r="Z8" s="78" t="n">
        <f aca="false">IF(AB8&lt;&gt;D8,AB8-D8,0)</f>
        <v>0</v>
      </c>
      <c r="AA8" s="78"/>
      <c r="AB8" s="71" t="n">
        <f aca="false">AB6+F8-L8-R8-X8</f>
        <v>10000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5"/>
      <c r="C9" s="435"/>
      <c r="D9" s="78"/>
      <c r="E9" s="78"/>
      <c r="F9" s="78"/>
      <c r="G9" s="78"/>
      <c r="H9" s="431"/>
      <c r="I9" s="78"/>
      <c r="J9" s="78"/>
      <c r="K9" s="78"/>
      <c r="L9" s="432"/>
      <c r="M9" s="78"/>
      <c r="N9" s="431"/>
      <c r="O9" s="78"/>
      <c r="P9" s="78"/>
      <c r="Q9" s="78"/>
      <c r="R9" s="432"/>
      <c r="S9" s="78"/>
      <c r="T9" s="431"/>
      <c r="U9" s="78"/>
      <c r="V9" s="78"/>
      <c r="W9" s="78"/>
      <c r="X9" s="78"/>
      <c r="Y9" s="433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4" t="n">
        <f aca="false">Admin!B12</f>
        <v>46356</v>
      </c>
      <c r="C10" s="435"/>
      <c r="D10" s="436" t="n">
        <f aca="false">D8+F10-L10-R10-X10+Z8</f>
        <v>10000</v>
      </c>
      <c r="E10" s="78"/>
      <c r="F10" s="78" t="n">
        <f aca="false">IF((H$4+N$4+T$4)=0,0,[2]Nov!O$1)</f>
        <v>0</v>
      </c>
      <c r="G10" s="78"/>
      <c r="H10" s="437" t="n">
        <f aca="false">H8</f>
        <v>0</v>
      </c>
      <c r="I10" s="78"/>
      <c r="J10" s="78" t="n">
        <f aca="false">[3]Nov!$O$1</f>
        <v>25633.3333333333</v>
      </c>
      <c r="K10" s="78"/>
      <c r="L10" s="432" t="n">
        <f aca="false">J10*H10</f>
        <v>0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2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3"/>
      <c r="Z10" s="78" t="n">
        <f aca="false">IF(AB10&lt;&gt;D10,AB10-D10,0)</f>
        <v>0</v>
      </c>
      <c r="AA10" s="78"/>
      <c r="AB10" s="71" t="n">
        <f aca="false">AB8+F10-L10-R10-X10</f>
        <v>10000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5"/>
      <c r="C11" s="435"/>
      <c r="D11" s="78"/>
      <c r="E11" s="78"/>
      <c r="F11" s="78"/>
      <c r="G11" s="78"/>
      <c r="H11" s="431"/>
      <c r="I11" s="78"/>
      <c r="J11" s="78"/>
      <c r="K11" s="78"/>
      <c r="L11" s="432"/>
      <c r="M11" s="78"/>
      <c r="N11" s="431"/>
      <c r="O11" s="78"/>
      <c r="P11" s="78"/>
      <c r="Q11" s="78"/>
      <c r="R11" s="432"/>
      <c r="S11" s="78"/>
      <c r="T11" s="431"/>
      <c r="U11" s="78"/>
      <c r="V11" s="78"/>
      <c r="W11" s="78"/>
      <c r="X11" s="78"/>
      <c r="Y11" s="433"/>
      <c r="Z11" s="78"/>
      <c r="AA11" s="78"/>
      <c r="AB11" s="78"/>
      <c r="AC11" s="68"/>
      <c r="AD11" s="427" t="s">
        <v>608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4" t="n">
        <f aca="false">Admin!B14</f>
        <v>46387</v>
      </c>
      <c r="C12" s="435"/>
      <c r="D12" s="436" t="n">
        <f aca="false">D10+F12-L12-R12-X12+Z10</f>
        <v>10000</v>
      </c>
      <c r="E12" s="78"/>
      <c r="F12" s="78" t="n">
        <f aca="false">IF((H$4+N$4+T$4)=0,0,[2]Dec!O$1)</f>
        <v>0</v>
      </c>
      <c r="G12" s="78"/>
      <c r="H12" s="437" t="n">
        <f aca="false">H10</f>
        <v>0</v>
      </c>
      <c r="I12" s="78"/>
      <c r="J12" s="78" t="n">
        <f aca="false">[3]Dec!$O$1</f>
        <v>26533.3333333333</v>
      </c>
      <c r="K12" s="78"/>
      <c r="L12" s="432" t="n">
        <f aca="false">J12*H12</f>
        <v>0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2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3"/>
      <c r="Z12" s="78" t="n">
        <f aca="false">IF(AB12&lt;&gt;D12,AB12-D12,0)</f>
        <v>0</v>
      </c>
      <c r="AA12" s="78"/>
      <c r="AB12" s="71" t="n">
        <f aca="false">AB10+F12-L12-R12-X12</f>
        <v>10000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5"/>
      <c r="C13" s="435"/>
      <c r="D13" s="78"/>
      <c r="E13" s="78"/>
      <c r="F13" s="78"/>
      <c r="G13" s="78"/>
      <c r="H13" s="431"/>
      <c r="I13" s="78"/>
      <c r="J13" s="78"/>
      <c r="K13" s="78"/>
      <c r="L13" s="432"/>
      <c r="M13" s="78"/>
      <c r="N13" s="431"/>
      <c r="O13" s="78"/>
      <c r="P13" s="78"/>
      <c r="Q13" s="78"/>
      <c r="R13" s="432"/>
      <c r="S13" s="78"/>
      <c r="T13" s="431"/>
      <c r="U13" s="78"/>
      <c r="V13" s="78"/>
      <c r="W13" s="78"/>
      <c r="X13" s="78"/>
      <c r="Y13" s="433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4" t="n">
        <f aca="false">Admin!B16</f>
        <v>46418</v>
      </c>
      <c r="C14" s="435"/>
      <c r="D14" s="436" t="n">
        <f aca="false">D12+F14-L14-R14-X14+Z12</f>
        <v>10000</v>
      </c>
      <c r="E14" s="78"/>
      <c r="F14" s="78" t="n">
        <f aca="false">IF((H$4+N$4+T$4)=0,0,[2]Jan!O$1)</f>
        <v>0</v>
      </c>
      <c r="G14" s="78"/>
      <c r="H14" s="437" t="n">
        <f aca="false">H12</f>
        <v>0</v>
      </c>
      <c r="I14" s="78"/>
      <c r="J14" s="78" t="n">
        <f aca="false">[3]Jan!$O$1</f>
        <v>25633.3333333333</v>
      </c>
      <c r="K14" s="78"/>
      <c r="L14" s="432" t="n">
        <f aca="false">J14*H14</f>
        <v>0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2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3"/>
      <c r="Z14" s="78" t="n">
        <f aca="false">IF(AB14&lt;&gt;D14,AB14-D14,0)</f>
        <v>0</v>
      </c>
      <c r="AA14" s="78"/>
      <c r="AB14" s="71" t="n">
        <f aca="false">AB12+F14-L14-R14-X14</f>
        <v>10000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5"/>
      <c r="C15" s="435"/>
      <c r="D15" s="78"/>
      <c r="E15" s="78"/>
      <c r="F15" s="78"/>
      <c r="G15" s="78"/>
      <c r="H15" s="431"/>
      <c r="I15" s="78"/>
      <c r="J15" s="78"/>
      <c r="K15" s="78"/>
      <c r="L15" s="432"/>
      <c r="M15" s="78"/>
      <c r="N15" s="431"/>
      <c r="O15" s="78"/>
      <c r="P15" s="78"/>
      <c r="Q15" s="78"/>
      <c r="R15" s="432"/>
      <c r="S15" s="78"/>
      <c r="T15" s="431"/>
      <c r="U15" s="78"/>
      <c r="V15" s="78"/>
      <c r="W15" s="78"/>
      <c r="X15" s="78"/>
      <c r="Y15" s="433"/>
      <c r="Z15" s="78"/>
      <c r="AA15" s="78"/>
      <c r="AB15" s="78"/>
      <c r="AC15" s="68"/>
      <c r="AD15" s="427" t="s">
        <v>609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4" t="n">
        <f aca="false">Admin!B18</f>
        <v>46446</v>
      </c>
      <c r="C16" s="435"/>
      <c r="D16" s="436" t="n">
        <f aca="false">D14+F16-L16-R16-X16+Z14</f>
        <v>10000</v>
      </c>
      <c r="E16" s="78"/>
      <c r="F16" s="78" t="n">
        <f aca="false">IF((H$4+N$4+T$4)=0,0,[2]Feb!O$1)</f>
        <v>0</v>
      </c>
      <c r="G16" s="78"/>
      <c r="H16" s="437" t="n">
        <f aca="false">H14</f>
        <v>0</v>
      </c>
      <c r="I16" s="78"/>
      <c r="J16" s="78" t="n">
        <f aca="false">[3]Feb!$O$1</f>
        <v>27133.3333333333</v>
      </c>
      <c r="K16" s="78"/>
      <c r="L16" s="432" t="n">
        <f aca="false">J16*H16</f>
        <v>0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2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3"/>
      <c r="Z16" s="78" t="n">
        <f aca="false">IF(AB16&lt;&gt;D16,AB16-D16,0)</f>
        <v>0</v>
      </c>
      <c r="AA16" s="78"/>
      <c r="AB16" s="71" t="n">
        <f aca="false">AB14+F16-L16-R16-X16</f>
        <v>10000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5"/>
      <c r="C17" s="435"/>
      <c r="D17" s="78"/>
      <c r="E17" s="78"/>
      <c r="F17" s="78"/>
      <c r="G17" s="78"/>
      <c r="H17" s="431"/>
      <c r="I17" s="78"/>
      <c r="J17" s="78"/>
      <c r="K17" s="78"/>
      <c r="L17" s="432"/>
      <c r="M17" s="78"/>
      <c r="N17" s="431"/>
      <c r="O17" s="78"/>
      <c r="P17" s="78"/>
      <c r="Q17" s="78"/>
      <c r="R17" s="432"/>
      <c r="S17" s="78"/>
      <c r="T17" s="431"/>
      <c r="U17" s="78"/>
      <c r="V17" s="78"/>
      <c r="W17" s="78"/>
      <c r="X17" s="78"/>
      <c r="Y17" s="433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4" t="n">
        <f aca="false">Admin!B20</f>
        <v>46477</v>
      </c>
      <c r="C18" s="435"/>
      <c r="D18" s="436" t="n">
        <f aca="false">D16+F18-L18-R18-X18+Z16</f>
        <v>10000</v>
      </c>
      <c r="E18" s="78"/>
      <c r="F18" s="78" t="n">
        <f aca="false">IF((H$4+N$4+T$4)=0,0,[2]Mar!O$1)</f>
        <v>0</v>
      </c>
      <c r="G18" s="78"/>
      <c r="H18" s="437" t="n">
        <f aca="false">H16</f>
        <v>0</v>
      </c>
      <c r="I18" s="78"/>
      <c r="J18" s="78" t="n">
        <f aca="false">[3]Mar!$O$1</f>
        <v>25033.3333333333</v>
      </c>
      <c r="K18" s="78"/>
      <c r="L18" s="432" t="n">
        <f aca="false">J18*H18</f>
        <v>0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2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3"/>
      <c r="Z18" s="78" t="n">
        <f aca="false">IF(AB18&lt;&gt;D18,AB18-D18,0)</f>
        <v>0</v>
      </c>
      <c r="AA18" s="78"/>
      <c r="AB18" s="71" t="n">
        <f aca="false">AB16+F18-L18-R18-X18</f>
        <v>10000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5"/>
      <c r="C19" s="435"/>
      <c r="D19" s="78"/>
      <c r="E19" s="78"/>
      <c r="F19" s="78"/>
      <c r="G19" s="78"/>
      <c r="H19" s="431"/>
      <c r="I19" s="78"/>
      <c r="J19" s="78"/>
      <c r="K19" s="78"/>
      <c r="L19" s="432"/>
      <c r="M19" s="78"/>
      <c r="N19" s="431"/>
      <c r="O19" s="78"/>
      <c r="P19" s="78"/>
      <c r="Q19" s="78"/>
      <c r="R19" s="432"/>
      <c r="S19" s="78"/>
      <c r="T19" s="431"/>
      <c r="U19" s="78"/>
      <c r="V19" s="78"/>
      <c r="W19" s="78"/>
      <c r="X19" s="78"/>
      <c r="Y19" s="433"/>
      <c r="Z19" s="78"/>
      <c r="AA19" s="78"/>
      <c r="AB19" s="78"/>
      <c r="AC19" s="68"/>
      <c r="AD19" s="427" t="s">
        <v>610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4" t="n">
        <f aca="false">Admin!B22</f>
        <v>46507</v>
      </c>
      <c r="C20" s="435"/>
      <c r="D20" s="436" t="n">
        <f aca="false">D18+F20-L20-R20-X20+Z18</f>
        <v>10000</v>
      </c>
      <c r="E20" s="78"/>
      <c r="F20" s="78" t="n">
        <f aca="false">IF((H$4+N$4+T$4)=0,0,[2]Apr!O$1)</f>
        <v>0</v>
      </c>
      <c r="G20" s="78"/>
      <c r="H20" s="437" t="n">
        <f aca="false">H18</f>
        <v>0</v>
      </c>
      <c r="I20" s="78"/>
      <c r="J20" s="78" t="n">
        <f aca="false">[3]Apr!$O$1</f>
        <v>27133.3333333333</v>
      </c>
      <c r="K20" s="78"/>
      <c r="L20" s="432" t="n">
        <f aca="false">J20*H20</f>
        <v>0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2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3"/>
      <c r="Z20" s="78" t="n">
        <f aca="false">IF(AB20&lt;&gt;D20,AB20-D20,0)</f>
        <v>0</v>
      </c>
      <c r="AA20" s="78"/>
      <c r="AB20" s="71" t="n">
        <f aca="false">AB18+F20-L20-R20-X20</f>
        <v>10000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5"/>
      <c r="C21" s="435"/>
      <c r="D21" s="78"/>
      <c r="E21" s="78"/>
      <c r="F21" s="78"/>
      <c r="G21" s="78"/>
      <c r="H21" s="431"/>
      <c r="I21" s="78"/>
      <c r="J21" s="78"/>
      <c r="K21" s="78"/>
      <c r="L21" s="432"/>
      <c r="M21" s="78"/>
      <c r="N21" s="431"/>
      <c r="O21" s="78"/>
      <c r="P21" s="78"/>
      <c r="Q21" s="78"/>
      <c r="R21" s="432"/>
      <c r="S21" s="78"/>
      <c r="T21" s="431"/>
      <c r="U21" s="78"/>
      <c r="V21" s="78"/>
      <c r="W21" s="78"/>
      <c r="X21" s="78"/>
      <c r="Y21" s="433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4" t="n">
        <f aca="false">Admin!B24</f>
        <v>46538</v>
      </c>
      <c r="C22" s="435"/>
      <c r="D22" s="436" t="n">
        <f aca="false">D20+F22-L22-R22-X22+Z20</f>
        <v>10000</v>
      </c>
      <c r="E22" s="78"/>
      <c r="F22" s="78" t="n">
        <f aca="false">IF((H$4+N$4+T$4)=0,0,[2]May!O$1)</f>
        <v>0</v>
      </c>
      <c r="G22" s="78"/>
      <c r="H22" s="437" t="n">
        <f aca="false">H20</f>
        <v>0</v>
      </c>
      <c r="I22" s="78"/>
      <c r="J22" s="78" t="n">
        <f aca="false">[3]May!$O$1</f>
        <v>25633.3333333333</v>
      </c>
      <c r="K22" s="78"/>
      <c r="L22" s="432" t="n">
        <f aca="false">J22*H22</f>
        <v>0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2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3"/>
      <c r="Z22" s="78" t="n">
        <f aca="false">IF(AB22&lt;&gt;D22,AB22-D22,0)</f>
        <v>0</v>
      </c>
      <c r="AA22" s="78"/>
      <c r="AB22" s="71" t="n">
        <f aca="false">AB20+F22-L22-R22-X22</f>
        <v>10000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5"/>
      <c r="C23" s="435"/>
      <c r="D23" s="78"/>
      <c r="E23" s="78"/>
      <c r="F23" s="78"/>
      <c r="G23" s="78"/>
      <c r="H23" s="431"/>
      <c r="I23" s="78"/>
      <c r="J23" s="78"/>
      <c r="K23" s="78"/>
      <c r="L23" s="432"/>
      <c r="M23" s="78"/>
      <c r="N23" s="431"/>
      <c r="O23" s="78"/>
      <c r="P23" s="78"/>
      <c r="Q23" s="78"/>
      <c r="R23" s="432"/>
      <c r="S23" s="78"/>
      <c r="T23" s="431"/>
      <c r="U23" s="78"/>
      <c r="V23" s="78"/>
      <c r="W23" s="78"/>
      <c r="X23" s="78"/>
      <c r="Y23" s="433"/>
      <c r="Z23" s="78"/>
      <c r="AA23" s="78"/>
      <c r="AB23" s="78"/>
      <c r="AC23" s="68"/>
      <c r="AD23" s="427" t="s">
        <v>611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4" t="n">
        <f aca="false">Admin!B26</f>
        <v>46568</v>
      </c>
      <c r="C24" s="435"/>
      <c r="D24" s="436" t="n">
        <f aca="false">D22+F24-L24-R24-X24+Z22</f>
        <v>10000</v>
      </c>
      <c r="E24" s="78"/>
      <c r="F24" s="78" t="n">
        <f aca="false">IF((H$4+N$4+T$4)=0,0,[2]Jun!O$1)</f>
        <v>0</v>
      </c>
      <c r="G24" s="78"/>
      <c r="H24" s="437" t="n">
        <f aca="false">H22</f>
        <v>0</v>
      </c>
      <c r="I24" s="78"/>
      <c r="J24" s="78" t="n">
        <f aca="false">[3]Jun!$O$1</f>
        <v>26533.3333333333</v>
      </c>
      <c r="K24" s="78"/>
      <c r="L24" s="432" t="n">
        <f aca="false">J24*H24</f>
        <v>0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2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3"/>
      <c r="Z24" s="78" t="n">
        <f aca="false">IF(AB24&lt;&gt;D24,AB24-D24,0)</f>
        <v>0</v>
      </c>
      <c r="AA24" s="78"/>
      <c r="AB24" s="71" t="n">
        <f aca="false">AB22+F24-L24-R24-X24</f>
        <v>10000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5"/>
      <c r="C25" s="435"/>
      <c r="D25" s="78"/>
      <c r="E25" s="78"/>
      <c r="F25" s="78"/>
      <c r="G25" s="78"/>
      <c r="H25" s="431"/>
      <c r="I25" s="78"/>
      <c r="J25" s="78"/>
      <c r="K25" s="78"/>
      <c r="L25" s="432"/>
      <c r="M25" s="78"/>
      <c r="N25" s="431"/>
      <c r="O25" s="78"/>
      <c r="P25" s="78"/>
      <c r="Q25" s="78"/>
      <c r="R25" s="432"/>
      <c r="S25" s="78"/>
      <c r="T25" s="431"/>
      <c r="U25" s="78"/>
      <c r="V25" s="78"/>
      <c r="W25" s="78"/>
      <c r="X25" s="78"/>
      <c r="Y25" s="433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4" t="n">
        <f aca="false">Admin!B28</f>
        <v>46599</v>
      </c>
      <c r="C26" s="435"/>
      <c r="D26" s="436" t="n">
        <f aca="false">D24+F26-L26-R26-X26+Z24</f>
        <v>10000</v>
      </c>
      <c r="E26" s="78"/>
      <c r="F26" s="78" t="n">
        <f aca="false">IF((H$4+N$4+T$4)=0,0,[2]Jul!O$1)</f>
        <v>0</v>
      </c>
      <c r="G26" s="78"/>
      <c r="H26" s="437" t="n">
        <f aca="false">H24</f>
        <v>0</v>
      </c>
      <c r="I26" s="78"/>
      <c r="J26" s="78" t="n">
        <f aca="false">[3]Jul!$O$1</f>
        <v>25633.3333333333</v>
      </c>
      <c r="K26" s="78"/>
      <c r="L26" s="432" t="n">
        <f aca="false">J26*H26</f>
        <v>0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2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3"/>
      <c r="Z26" s="78" t="n">
        <f aca="false">IF(AB26&lt;&gt;D26,AB26-D26,0)</f>
        <v>0</v>
      </c>
      <c r="AA26" s="78"/>
      <c r="AB26" s="71" t="n">
        <f aca="false">AB24+F26-L26-R26-X26</f>
        <v>10000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5"/>
      <c r="C27" s="435"/>
      <c r="D27" s="78"/>
      <c r="E27" s="78"/>
      <c r="F27" s="78"/>
      <c r="G27" s="78"/>
      <c r="H27" s="431"/>
      <c r="I27" s="78"/>
      <c r="J27" s="78"/>
      <c r="K27" s="78"/>
      <c r="L27" s="432"/>
      <c r="M27" s="78"/>
      <c r="N27" s="431"/>
      <c r="O27" s="78"/>
      <c r="P27" s="78"/>
      <c r="Q27" s="78"/>
      <c r="R27" s="432"/>
      <c r="S27" s="78"/>
      <c r="T27" s="431"/>
      <c r="U27" s="78"/>
      <c r="V27" s="78"/>
      <c r="W27" s="78"/>
      <c r="X27" s="78"/>
      <c r="Y27" s="433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4" t="n">
        <f aca="false">Admin!B30</f>
        <v>46630</v>
      </c>
      <c r="C28" s="435"/>
      <c r="D28" s="436" t="n">
        <f aca="false">D26+F28-L28-R28-X28+Z26</f>
        <v>10000</v>
      </c>
      <c r="E28" s="78"/>
      <c r="F28" s="78" t="n">
        <f aca="false">IF((H$4+N$4+T$4)=0,0,[2]Aug!O$1)</f>
        <v>0</v>
      </c>
      <c r="G28" s="78"/>
      <c r="H28" s="437" t="n">
        <f aca="false">H26</f>
        <v>0</v>
      </c>
      <c r="I28" s="78"/>
      <c r="J28" s="78" t="n">
        <f aca="false">[3]Aug!$O$1</f>
        <v>26333.3333333333</v>
      </c>
      <c r="K28" s="78"/>
      <c r="L28" s="432" t="n">
        <f aca="false">J28*H28</f>
        <v>0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2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3"/>
      <c r="Z28" s="78" t="n">
        <f aca="false">IF(AB28&lt;&gt;D28,AB28-D28,0)</f>
        <v>0</v>
      </c>
      <c r="AA28" s="78"/>
      <c r="AB28" s="71" t="n">
        <f aca="false">AB26+F28-L28-R28-X28</f>
        <v>10000</v>
      </c>
      <c r="AC28" s="68"/>
      <c r="AD28" s="427" t="s">
        <v>612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5"/>
      <c r="C29" s="435"/>
      <c r="D29" s="78"/>
      <c r="E29" s="78"/>
      <c r="F29" s="78"/>
      <c r="G29" s="78"/>
      <c r="H29" s="431"/>
      <c r="I29" s="78"/>
      <c r="J29" s="78"/>
      <c r="K29" s="78"/>
      <c r="L29" s="432"/>
      <c r="M29" s="78"/>
      <c r="N29" s="431"/>
      <c r="O29" s="78"/>
      <c r="P29" s="78"/>
      <c r="Q29" s="78"/>
      <c r="R29" s="432"/>
      <c r="S29" s="78"/>
      <c r="T29" s="431"/>
      <c r="U29" s="78"/>
      <c r="V29" s="78"/>
      <c r="W29" s="78"/>
      <c r="X29" s="78"/>
      <c r="Y29" s="433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4" t="n">
        <f aca="false">Admin!B32</f>
        <v>46660</v>
      </c>
      <c r="C30" s="435"/>
      <c r="D30" s="436" t="n">
        <f aca="false">D28+F30-L30-R30-X30+Z28</f>
        <v>10000</v>
      </c>
      <c r="E30" s="78"/>
      <c r="F30" s="78" t="n">
        <f aca="false">IF((H$4+N$4+T$4)=0,0,[2]Sep!O$1)</f>
        <v>0</v>
      </c>
      <c r="G30" s="78"/>
      <c r="H30" s="437" t="n">
        <f aca="false">H28</f>
        <v>0</v>
      </c>
      <c r="I30" s="78"/>
      <c r="J30" s="78" t="n">
        <f aca="false">[3]Sep!$O$1</f>
        <v>25033.3333333333</v>
      </c>
      <c r="K30" s="78"/>
      <c r="L30" s="432" t="n">
        <f aca="false">J30*H30</f>
        <v>0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2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3"/>
      <c r="Z30" s="78" t="n">
        <f aca="false">IF(AB30&lt;&gt;D30,AB30-D30,0)</f>
        <v>-4000</v>
      </c>
      <c r="AA30" s="78"/>
      <c r="AB30" s="71" t="n">
        <v>6000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613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614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615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616</v>
      </c>
      <c r="G4" s="453" t="s">
        <v>355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617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618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619</v>
      </c>
      <c r="E6" s="451"/>
      <c r="F6" s="463" t="n">
        <f aca="false">B8</f>
        <v>46295</v>
      </c>
      <c r="G6" s="464" t="n">
        <v>14</v>
      </c>
      <c r="H6" s="451"/>
      <c r="I6" s="465" t="s">
        <v>46</v>
      </c>
      <c r="J6" s="465"/>
      <c r="K6" s="465" t="n">
        <f aca="false">YEAR(L6)</f>
        <v>2026</v>
      </c>
      <c r="L6" s="466" t="n">
        <f aca="false">B9</f>
        <v>46296</v>
      </c>
      <c r="M6" s="466"/>
      <c r="N6" s="467" t="n">
        <f aca="false">B32</f>
        <v>46660</v>
      </c>
      <c r="O6" s="467"/>
      <c r="P6" s="464" t="n">
        <v>19</v>
      </c>
      <c r="Q6" s="453" t="s">
        <v>355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617</v>
      </c>
      <c r="E7" s="451"/>
      <c r="F7" s="463" t="n">
        <f aca="false">B32</f>
        <v>46660</v>
      </c>
      <c r="G7" s="464" t="n">
        <v>100</v>
      </c>
      <c r="H7" s="451"/>
      <c r="I7" s="465" t="s">
        <v>46</v>
      </c>
      <c r="J7" s="465"/>
      <c r="K7" s="465" t="n">
        <f aca="false">YEAR(L7)</f>
        <v>2027</v>
      </c>
      <c r="L7" s="466" t="n">
        <f aca="false">B33</f>
        <v>46661</v>
      </c>
      <c r="M7" s="466"/>
      <c r="N7" s="467" t="n">
        <f aca="false">B56</f>
        <v>47026</v>
      </c>
      <c r="O7" s="467"/>
      <c r="P7" s="464" t="n">
        <v>19</v>
      </c>
      <c r="Q7" s="453" t="s">
        <v>355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619</v>
      </c>
      <c r="E8" s="451"/>
      <c r="F8" s="463" t="n">
        <f aca="false">B32</f>
        <v>46660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593</v>
      </c>
      <c r="M9" s="451"/>
      <c r="N9" s="469" t="s">
        <v>620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2" t="s">
        <v>621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46295</v>
      </c>
      <c r="M10" s="453" t="s">
        <v>622</v>
      </c>
      <c r="N10" s="473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623</v>
      </c>
      <c r="E11" s="468" t="n">
        <v>12000</v>
      </c>
      <c r="F11" s="451" t="s">
        <v>624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4" t="s">
        <v>622</v>
      </c>
      <c r="N11" s="473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625</v>
      </c>
      <c r="E13" s="458"/>
      <c r="F13" s="458"/>
      <c r="G13" s="453" t="s">
        <v>355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626</v>
      </c>
      <c r="J14" s="458"/>
      <c r="K14" s="458"/>
      <c r="L14" s="456"/>
      <c r="M14" s="451"/>
      <c r="N14" s="453" t="s">
        <v>627</v>
      </c>
      <c r="O14" s="453" t="s">
        <v>628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2" t="s">
        <v>629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2" t="s">
        <v>26</v>
      </c>
      <c r="E16" s="472"/>
      <c r="F16" s="472"/>
      <c r="G16" s="475" t="n">
        <v>0.1</v>
      </c>
      <c r="H16" s="451"/>
      <c r="I16" s="476" t="s">
        <v>630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2" t="s">
        <v>27</v>
      </c>
      <c r="E17" s="472"/>
      <c r="F17" s="472"/>
      <c r="G17" s="475" t="n">
        <v>0.2</v>
      </c>
      <c r="H17" s="451"/>
      <c r="I17" s="476" t="s">
        <v>631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2" t="s">
        <v>260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2" t="s">
        <v>29</v>
      </c>
      <c r="E19" s="472"/>
      <c r="F19" s="472"/>
      <c r="G19" s="475" t="n">
        <v>0.25</v>
      </c>
      <c r="H19" s="451"/>
      <c r="I19" s="458" t="s">
        <v>632</v>
      </c>
      <c r="J19" s="458"/>
      <c r="K19" s="458"/>
      <c r="L19" s="451"/>
      <c r="M19" s="478" t="n">
        <v>20</v>
      </c>
      <c r="N19" s="452" t="n">
        <f aca="false">B9</f>
        <v>46296</v>
      </c>
      <c r="O19" s="479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2" t="s">
        <v>616</v>
      </c>
      <c r="E21" s="2"/>
      <c r="F21" s="482" t="n">
        <v>46660</v>
      </c>
      <c r="G21" s="453"/>
      <c r="H21" s="451"/>
      <c r="I21" s="458" t="s">
        <v>632</v>
      </c>
      <c r="J21" s="458"/>
      <c r="K21" s="458"/>
      <c r="L21" s="451"/>
      <c r="M21" s="461" t="n">
        <v>20</v>
      </c>
      <c r="N21" s="452" t="n">
        <f aca="false">B27</f>
        <v>46569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5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