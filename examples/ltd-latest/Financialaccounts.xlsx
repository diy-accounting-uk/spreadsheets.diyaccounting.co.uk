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<sst xmlns="http://schemas.openxmlformats.org/spreadsheetml/2006/main" count="1041" uniqueCount="637">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</sst>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3000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45976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45992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46037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46082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46137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3173.2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27575.2</v>
          </cell>
          <cell r="Y1">
            <v>0</v>
          </cell>
          <cell r="Z1">
            <v>0</v>
          </cell>
          <cell r="AA1">
            <v>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15481.37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16129.7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12590.7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22902</v>
      </c>
      <c r="F13" s="2"/>
      <c r="G13" s="8"/>
      <c r="H13" s="8"/>
      <c r="I13" s="8"/>
      <c r="J13" s="8" t="n">
        <v>3000</v>
      </c>
      <c r="K13" s="8" t="n">
        <v>30000</v>
      </c>
      <c r="L13" s="2"/>
      <c r="M13" s="8"/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20702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102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[2]Dec!$AI$1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[2]Jan!$AI$1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[2]Mar!$AI$1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[2]Apr!$AI$1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[3]Oct!$F$1-[3]Oct!$V$1</f>
        <v>33400</v>
      </c>
      <c r="G20" s="36"/>
      <c r="H20" s="36" t="n">
        <f aca="false">-[4]Oct!$J$1</f>
        <v>-44200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0</v>
      </c>
      <c r="P20" s="57"/>
      <c r="Q20" s="36" t="n">
        <f aca="false">[3]Nov!$F$1-[3]Nov!$V$1</f>
        <v>32920</v>
      </c>
      <c r="R20" s="36"/>
      <c r="S20" s="36" t="n">
        <f aca="false">-[4]Nov!$J$1</f>
        <v>-32920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[3]Dec!$F$1-[3]Dec!$V$1</f>
        <v>35200</v>
      </c>
      <c r="AC20" s="36"/>
      <c r="AD20" s="36" t="n">
        <f aca="false">-[4]Dec!$J$1</f>
        <v>-35200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[3]Jan!$F$1-[3]Jan!$V$1</f>
        <v>33760</v>
      </c>
      <c r="AN20" s="36"/>
      <c r="AO20" s="36" t="n">
        <f aca="false">-[4]Jan!$J$1</f>
        <v>-33760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[3]Feb!$F$1-[3]Feb!$V$1</f>
        <v>36020</v>
      </c>
      <c r="AY20" s="36"/>
      <c r="AZ20" s="36" t="n">
        <f aca="false">-[4]Feb!$J$1</f>
        <v>-38520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[3]Mar!$F$1-[3]Mar!$V$1</f>
        <v>33760</v>
      </c>
      <c r="BJ20" s="36"/>
      <c r="BK20" s="36" t="n">
        <f aca="false">-[4]Mar!$J$1</f>
        <v>-33760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[3]Apr!$F$1-[3]Apr!$V$1</f>
        <v>50560</v>
      </c>
      <c r="BU20" s="36"/>
      <c r="BV20" s="36" t="n">
        <f aca="false">-[4]Apr!$J$1</f>
        <v>-50560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[3]May!$F$1-[3]May!$V$1</f>
        <v>35320</v>
      </c>
      <c r="CF20" s="36"/>
      <c r="CG20" s="36" t="n">
        <f aca="false">-[4]May!$J$1</f>
        <v>-35320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[3]Jun!$F$1-[3]Jun!$V$1</f>
        <v>32800</v>
      </c>
      <c r="CQ20" s="36"/>
      <c r="CR20" s="36" t="n">
        <f aca="false">-[4]Jun!$J$1</f>
        <v>-32800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[3]Jul!$F$1-[3]Jul!$V$1</f>
        <v>35440</v>
      </c>
      <c r="DB20" s="36"/>
      <c r="DC20" s="36" t="n">
        <f aca="false">-[4]Jul!$J$1</f>
        <v>-35440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[3]Aug!$F$1-[3]Aug!$V$1</f>
        <v>34360</v>
      </c>
      <c r="DM20" s="36"/>
      <c r="DN20" s="36" t="n">
        <f aca="false">-[4]Aug!$J$1</f>
        <v>-34360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[3]Sep!$F$1-[3]Sep!$V$1</f>
        <v>31360</v>
      </c>
      <c r="DX20" s="36"/>
      <c r="DY20" s="36" t="n">
        <f aca="false">-[4]Sep!$J$1</f>
        <v>-20960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[4]Oct!$F$1-[4]Oct!$X$1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[4]Nov!$F$1-[4]Nov!$X$1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[4]Dec!$F$1-[4]Dec!$X$1</f>
        <v>7624.8</v>
      </c>
      <c r="AE22" s="36"/>
      <c r="AF22" s="36"/>
      <c r="AG22" s="36"/>
      <c r="AH22" s="36"/>
      <c r="AI22" s="36"/>
      <c r="AJ22" s="54"/>
      <c r="AK22" s="36" t="n">
        <f aca="false">SUM(Z22:AJ22)</f>
        <v>83069.4</v>
      </c>
      <c r="AL22" s="57"/>
      <c r="AM22" s="36"/>
      <c r="AN22" s="36"/>
      <c r="AO22" s="36" t="n">
        <f aca="false">[4]Jan!$F$1-[4]Jan!$X$1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100404.2</v>
      </c>
      <c r="AW22" s="57"/>
      <c r="AX22" s="36"/>
      <c r="AY22" s="36"/>
      <c r="AZ22" s="36" t="n">
        <f aca="false">[4]Feb!$F$1-[4]Feb!$X$1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112690.83</v>
      </c>
      <c r="BH22" s="57"/>
      <c r="BI22" s="36"/>
      <c r="BJ22" s="36"/>
      <c r="BK22" s="36" t="n">
        <f aca="false">[4]Mar!$F$1-[4]Mar!$X$1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126217.63</v>
      </c>
      <c r="BS22" s="57"/>
      <c r="BT22" s="36"/>
      <c r="BU22" s="36"/>
      <c r="BV22" s="36" t="n">
        <f aca="false">[4]Apr!$F$1-[4]Apr!$X$1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119952.43</v>
      </c>
      <c r="CD22" s="57"/>
      <c r="CE22" s="36"/>
      <c r="CF22" s="36"/>
      <c r="CG22" s="36" t="n">
        <f aca="false">[4]May!$F$1-[4]May!$X$1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128565.73</v>
      </c>
      <c r="CO22" s="57"/>
      <c r="CP22" s="36"/>
      <c r="CQ22" s="36"/>
      <c r="CR22" s="36" t="n">
        <f aca="false">[4]Jun!$F$1-[4]Jun!$X$1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148073.53</v>
      </c>
      <c r="CZ22" s="57"/>
      <c r="DA22" s="36"/>
      <c r="DB22" s="36"/>
      <c r="DC22" s="36" t="n">
        <f aca="false">[4]Jul!$F$1-[4]Jul!$X$1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172888.33</v>
      </c>
      <c r="DK22" s="57"/>
      <c r="DL22" s="36"/>
      <c r="DM22" s="36"/>
      <c r="DN22" s="36" t="n">
        <f aca="false">[4]Aug!$F$1-[4]Aug!$X$1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183605.63</v>
      </c>
      <c r="DV22" s="57"/>
      <c r="DW22" s="36"/>
      <c r="DX22" s="36"/>
      <c r="DY22" s="36" t="n">
        <f aca="false">[4]Sep!$F$1-[4]Sep!$X$1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181315.43</v>
      </c>
      <c r="EG22" s="54"/>
      <c r="EI22" s="54"/>
      <c r="EJ22" s="36" t="n">
        <f aca="false">SUM(EF22:EH22)</f>
        <v>181315.43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[6]Dec!$F$1-[6]Dec!$X$1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[6]Apr!$F$1-[6]Apr!$X$1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[6]Aug!$F$1-[6]Aug!$X$1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[7]Oct!$F$1-[7]Oct!$U$1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[7]Dec!$F$1-[7]Dec!$U$1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[7]Mar!$F$1-[7]Mar!$U$1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[7]Jun!$F$1-[7]Jun!$U$1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[7]Sep!$F$1-[7]Sep!$U$1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-[2]Oct!$F$1+[2]Oct!$AK$1</f>
        <v>-5111.25</v>
      </c>
      <c r="H28" s="36" t="n">
        <f aca="false">[4]Oct!$AB$1</f>
        <v>3700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-[2]Nov!$F$1+[2]Nov!$AK$1</f>
        <v>-6375</v>
      </c>
      <c r="S28" s="36" t="n">
        <f aca="false">[4]Nov!$AB$1</f>
        <v>4300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-[2]Dec!$F$1+[2]Dec!$AK$1</f>
        <v>-24657</v>
      </c>
      <c r="AD28" s="36" t="n">
        <f aca="false">[4]Dec!$AB$1</f>
        <v>17000</v>
      </c>
      <c r="AE28" s="36" t="n">
        <f aca="false">[5]Dec!$AB$1</f>
        <v>0</v>
      </c>
      <c r="AF28" s="36" t="n">
        <f aca="false">[6]Dec!$AB$1</f>
        <v>180</v>
      </c>
      <c r="AG28" s="36" t="n">
        <f aca="false">[7]Dec!$Y$1</f>
        <v>25</v>
      </c>
      <c r="AH28" s="36"/>
      <c r="AI28" s="36"/>
      <c r="AJ28" s="54"/>
      <c r="AK28" s="36" t="n">
        <f aca="false">SUM(Z28:AJ28)</f>
        <v>-13323.25</v>
      </c>
      <c r="AL28" s="57"/>
      <c r="AM28" s="36"/>
      <c r="AN28" s="36" t="n">
        <f aca="false">-[2]Jan!$F$1+[2]Jan!$AK$1</f>
        <v>-9059.25</v>
      </c>
      <c r="AO28" s="36" t="n">
        <f aca="false">[4]Jan!$AB$1</f>
        <v>3800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-18582.5</v>
      </c>
      <c r="AW28" s="57"/>
      <c r="AX28" s="36"/>
      <c r="AY28" s="36" t="n">
        <f aca="false">-[2]Feb!$F$1+[2]Feb!$AK$1</f>
        <v>-4405.25</v>
      </c>
      <c r="AZ28" s="36" t="n">
        <f aca="false">[4]Feb!$AB$1</f>
        <v>4100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-18887.75</v>
      </c>
      <c r="BH28" s="57"/>
      <c r="BI28" s="36"/>
      <c r="BJ28" s="36" t="n">
        <f aca="false">-[2]Mar!$F$1+[2]Mar!$AK$1</f>
        <v>-13375</v>
      </c>
      <c r="BK28" s="36" t="n">
        <f aca="false">[4]Mar!$AB$1</f>
        <v>10600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18</v>
      </c>
      <c r="BO28" s="36"/>
      <c r="BP28" s="36"/>
      <c r="BQ28" s="54"/>
      <c r="BR28" s="36" t="n">
        <f aca="false">SUM(BG28:BQ28)</f>
        <v>-21644.75</v>
      </c>
      <c r="BS28" s="57"/>
      <c r="BT28" s="36"/>
      <c r="BU28" s="36" t="n">
        <f aca="false">-[2]Apr!$F$1+[2]Apr!$AK$1</f>
        <v>-43005.75</v>
      </c>
      <c r="BV28" s="36" t="n">
        <f aca="false">[4]Apr!$AB$1</f>
        <v>40500</v>
      </c>
      <c r="BW28" s="36" t="n">
        <f aca="false">[5]Apr!$AB$1</f>
        <v>0</v>
      </c>
      <c r="BX28" s="36" t="n">
        <f aca="false">[6]Apr!$AB$1</f>
        <v>120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-24030.5</v>
      </c>
      <c r="CD28" s="57"/>
      <c r="CE28" s="36"/>
      <c r="CF28" s="36" t="n">
        <f aca="false">-[2]May!$F$1+[2]May!$AK$1</f>
        <v>-6918</v>
      </c>
      <c r="CG28" s="36" t="n">
        <f aca="false">[4]May!$AB$1</f>
        <v>3900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-27048.5</v>
      </c>
      <c r="CO28" s="57"/>
      <c r="CP28" s="36"/>
      <c r="CQ28" s="36" t="n">
        <f aca="false">-[2]Jun!$F$1+[2]Jun!$AK$1</f>
        <v>-9451.5</v>
      </c>
      <c r="CR28" s="36" t="n">
        <f aca="false">[4]Jun!$AB$1</f>
        <v>4200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50</v>
      </c>
      <c r="CV28" s="36"/>
      <c r="CW28" s="36"/>
      <c r="CX28" s="54"/>
      <c r="CY28" s="36" t="n">
        <f aca="false">SUM(CN28:CX28)</f>
        <v>-32250</v>
      </c>
      <c r="CZ28" s="57"/>
      <c r="DA28" s="36"/>
      <c r="DB28" s="36" t="n">
        <f aca="false">-[2]Jul!$F$1+[2]Jul!$AK$1</f>
        <v>-4511.25</v>
      </c>
      <c r="DC28" s="36" t="n">
        <f aca="false">[4]Jul!$AB$1</f>
        <v>4000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-32761.25</v>
      </c>
      <c r="DK28" s="57"/>
      <c r="DL28" s="36"/>
      <c r="DM28" s="36" t="n">
        <f aca="false">-[2]Aug!$F$1+[2]Aug!$AK$1</f>
        <v>-4396.5</v>
      </c>
      <c r="DN28" s="36" t="n">
        <f aca="false">[4]Aug!$AB$1</f>
        <v>4400</v>
      </c>
      <c r="DO28" s="36" t="n">
        <f aca="false">[5]Aug!$AB$1</f>
        <v>0</v>
      </c>
      <c r="DP28" s="36" t="n">
        <f aca="false">[6]Aug!$AB$1</f>
        <v>240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-32517.75</v>
      </c>
      <c r="DV28" s="57"/>
      <c r="DW28" s="36"/>
      <c r="DX28" s="36" t="n">
        <f aca="false">-[2]Sep!$F$1+[2]Sep!$AK$1</f>
        <v>-3726.5</v>
      </c>
      <c r="DY28" s="36" t="n">
        <f aca="false">[4]Sep!$AB$1</f>
        <v>3800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12</v>
      </c>
      <c r="EC28" s="36"/>
      <c r="ED28" s="36"/>
      <c r="EE28" s="54"/>
      <c r="EF28" s="36" t="n">
        <f aca="false">SUM(DU28:EE28)</f>
        <v>-32432.25</v>
      </c>
      <c r="EG28" s="54"/>
      <c r="EH28" s="36" t="n">
        <f aca="false">[1]HPfinance!$E$2</f>
        <v>20000</v>
      </c>
      <c r="EI28" s="54"/>
      <c r="EJ28" s="36" t="n">
        <f aca="false">SUM(EF28:EH28)</f>
        <v>-12432.25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5652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5652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5652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5652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5652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5652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5652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5652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5652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5652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5652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5652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3000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[4]Apr!$AL$1</f>
        <v>3000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[4]Jul!$AL$1</f>
        <v>3000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[4]Sep!$AL$1</f>
        <v>6000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1000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1000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1000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1000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1000</v>
      </c>
      <c r="CD32" s="57"/>
      <c r="CE32" s="36" t="n">
        <f aca="false">[3]May!$V$1</f>
        <v>0</v>
      </c>
      <c r="CF32" s="36" t="n">
        <f aca="false">-[2]May!$AK$1</f>
        <v>-0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1000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600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1600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1600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1600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1600</v>
      </c>
      <c r="EG32" s="54"/>
      <c r="EI32" s="54"/>
      <c r="EJ32" s="36" t="n">
        <f aca="false">SUM(EF32:EH32)</f>
        <v>1600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-[3]Oct!$G$1</f>
        <v>-5566.66666666667</v>
      </c>
      <c r="G33" s="36" t="n">
        <f aca="false">[2]Oct!$G$1</f>
        <v>851.875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-[3]Nov!$G$1</f>
        <v>-5486.66666666667</v>
      </c>
      <c r="R33" s="36" t="n">
        <f aca="false">[2]Nov!$G$1</f>
        <v>1062.5</v>
      </c>
      <c r="S33" s="36" t="n">
        <f aca="false">-[4]Nov!$N$1+[4]Nov!$AI$1</f>
        <v>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-10638.9583333333</v>
      </c>
      <c r="AA33" s="57"/>
      <c r="AB33" s="36" t="n">
        <f aca="false">-[3]Dec!$G$1</f>
        <v>-5866.66666666667</v>
      </c>
      <c r="AC33" s="36" t="n">
        <f aca="false">[2]Dec!$G$1</f>
        <v>4109.5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-12396.125</v>
      </c>
      <c r="AL33" s="57"/>
      <c r="AM33" s="36" t="n">
        <f aca="false">-[3]Jan!$G$1</f>
        <v>-5626.66666666667</v>
      </c>
      <c r="AN33" s="36" t="n">
        <f aca="false">[2]Jan!$G$1</f>
        <v>1509.875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-16512.9166666667</v>
      </c>
      <c r="AW33" s="57"/>
      <c r="AX33" s="36" t="n">
        <f aca="false">-[3]Feb!$G$1</f>
        <v>-6003.33333333333</v>
      </c>
      <c r="AY33" s="36" t="n">
        <f aca="false">[2]Feb!$G$1</f>
        <v>734.208333333333</v>
      </c>
      <c r="AZ33" s="36" t="n">
        <f aca="false">-[4]Feb!$N$1+[4]Feb!$AI$1</f>
        <v>0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-21782.0416666667</v>
      </c>
      <c r="BH33" s="57"/>
      <c r="BI33" s="36" t="n">
        <f aca="false">-[3]Mar!$G$1</f>
        <v>-5626.66666666667</v>
      </c>
      <c r="BJ33" s="36" t="n">
        <f aca="false">[2]Mar!$G$1</f>
        <v>2229.16666666667</v>
      </c>
      <c r="BK33" s="36" t="n">
        <f aca="false">-[4]Mar!$N$1+[4]Mar!$AI$1</f>
        <v>0</v>
      </c>
      <c r="BL33" s="36" t="n">
        <f aca="false">-[5]Mar!$N$1+[5]Mar!$AI$1</f>
        <v>0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-25179.5416666667</v>
      </c>
      <c r="BS33" s="57"/>
      <c r="BT33" s="36" t="n">
        <f aca="false">-[3]Apr!$G$1</f>
        <v>-8426.66666666667</v>
      </c>
      <c r="BU33" s="36" t="n">
        <f aca="false">[2]Apr!$G$1</f>
        <v>7167.625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-26438.5833333333</v>
      </c>
      <c r="CD33" s="57"/>
      <c r="CE33" s="36" t="n">
        <f aca="false">-[3]May!$G$1</f>
        <v>-5886.66666666667</v>
      </c>
      <c r="CF33" s="36" t="n">
        <f aca="false">[2]May!$G$1</f>
        <v>1153</v>
      </c>
      <c r="CG33" s="36" t="n">
        <f aca="false">-[4]May!$N$1+[4]May!$AI$1</f>
        <v>0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-31172.25</v>
      </c>
      <c r="CO33" s="57"/>
      <c r="CP33" s="36" t="n">
        <f aca="false">-[3]Jun!$G$1</f>
        <v>-5466.66666666667</v>
      </c>
      <c r="CQ33" s="36" t="n">
        <f aca="false">[2]Jun!$G$1</f>
        <v>1575.25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-35063.6666666667</v>
      </c>
      <c r="CZ33" s="57"/>
      <c r="DA33" s="36" t="n">
        <f aca="false">-[3]Jul!$G$1</f>
        <v>-5906.66666666667</v>
      </c>
      <c r="DB33" s="36" t="n">
        <f aca="false">[2]Jul!$G$1</f>
        <v>751.875</v>
      </c>
      <c r="DC33" s="36" t="n">
        <f aca="false">-[4]Jul!$N$1+[4]Jul!$AI$1</f>
        <v>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-40218.4583333334</v>
      </c>
      <c r="DK33" s="57"/>
      <c r="DL33" s="36" t="n">
        <f aca="false">-[3]Aug!$G$1</f>
        <v>-5726.66666666667</v>
      </c>
      <c r="DM33" s="36" t="n">
        <f aca="false">[2]Aug!$G$1</f>
        <v>732.75</v>
      </c>
      <c r="DN33" s="36" t="n">
        <f aca="false">-[4]Aug!$N$1+[4]Aug!$AI$1</f>
        <v>0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-45212.375</v>
      </c>
      <c r="DV33" s="57"/>
      <c r="DW33" s="36" t="n">
        <f aca="false">-[3]Sep!$G$1</f>
        <v>-5226.66666666667</v>
      </c>
      <c r="DX33" s="36" t="n">
        <f aca="false">[2]Sep!$G$1</f>
        <v>621.083333333333</v>
      </c>
      <c r="DY33" s="36" t="n">
        <f aca="false">-[4]Sep!$N$1+[4]Sep!$AI$1</f>
        <v>0</v>
      </c>
      <c r="DZ33" s="36" t="n">
        <f aca="false">-[5]Sep!$N$1+[5]Sep!$AI$1</f>
        <v>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-49817.9583333334</v>
      </c>
      <c r="EG33" s="54"/>
      <c r="EI33" s="54"/>
      <c r="EJ33" s="36" t="n">
        <f aca="false">SUM(EF33:EH33)</f>
        <v>-49817.9583333334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1673.2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[4]Nov!$AH$1</f>
        <v>3173.2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1500</v>
      </c>
      <c r="AA34" s="57"/>
      <c r="AB34" s="36"/>
      <c r="AC34" s="36"/>
      <c r="AD34" s="36" t="n">
        <f aca="false">[4]Dec!$AH$1</f>
        <v>1673.2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1500</v>
      </c>
      <c r="AL34" s="57"/>
      <c r="AM34" s="36"/>
      <c r="AN34" s="36"/>
      <c r="AO34" s="36" t="n">
        <f aca="false">[4]Jan!$AH$1</f>
        <v>1673.2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1500</v>
      </c>
      <c r="AW34" s="57"/>
      <c r="AX34" s="36"/>
      <c r="AY34" s="36"/>
      <c r="AZ34" s="36" t="n">
        <f aca="false">[4]Feb!$AH$1</f>
        <v>15481.37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15308.17</v>
      </c>
      <c r="BH34" s="57"/>
      <c r="BI34" s="36"/>
      <c r="BJ34" s="36"/>
      <c r="BK34" s="36" t="n">
        <f aca="false">[4]Mar!$AH$1</f>
        <v>1673.2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15308.17</v>
      </c>
      <c r="BS34" s="57"/>
      <c r="BT34" s="36"/>
      <c r="BU34" s="36"/>
      <c r="BV34" s="36" t="n">
        <f aca="false">[4]Apr!$AH$1</f>
        <v>1673.2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15308.17</v>
      </c>
      <c r="CD34" s="57"/>
      <c r="CE34" s="36"/>
      <c r="CF34" s="36"/>
      <c r="CG34" s="36" t="n">
        <f aca="false">[4]May!$AH$1</f>
        <v>16129.7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29764.67</v>
      </c>
      <c r="CO34" s="57"/>
      <c r="CP34" s="36"/>
      <c r="CQ34" s="36"/>
      <c r="CR34" s="36" t="n">
        <f aca="false">[4]Jun!$AH$1</f>
        <v>1673.2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29764.67</v>
      </c>
      <c r="CZ34" s="57"/>
      <c r="DA34" s="36"/>
      <c r="DB34" s="36"/>
      <c r="DC34" s="36" t="n">
        <f aca="false">[4]Jul!$AH$1</f>
        <v>1673.2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29764.67</v>
      </c>
      <c r="DK34" s="57"/>
      <c r="DL34" s="36"/>
      <c r="DM34" s="36"/>
      <c r="DN34" s="36" t="n">
        <f aca="false">[4]Aug!$AH$1</f>
        <v>12590.7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40682.17</v>
      </c>
      <c r="DV34" s="57"/>
      <c r="DW34" s="36"/>
      <c r="DX34" s="36"/>
      <c r="DY34" s="36" t="n">
        <f aca="false">[4]Sep!$AH$1</f>
        <v>1673.2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40682.17</v>
      </c>
      <c r="EG34" s="54"/>
      <c r="EI34" s="54"/>
      <c r="EJ34" s="36" t="n">
        <f aca="false">SUM(EF34:EH34)</f>
        <v>40682.17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[4]Apr!$AK$1</f>
        <v>4500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-[4]Oct!$P$1+[4]Oct!$AM$1</f>
        <v>1000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-[4]Nov!$P$1+[4]Nov!$AM$1</f>
        <v>1000</v>
      </c>
      <c r="T39" s="36" t="n">
        <f aca="false">-[5]Nov!$P$1+[5]Nov!$AM$1</f>
        <v>0</v>
      </c>
      <c r="U39" s="36" t="n">
        <f aca="false">-[6]Nov!$P$1+[6]Nov!$AM$1</f>
        <v>0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-[4]Dec!$P$1+[4]Dec!$AM$1</f>
        <v>1000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-[4]Jan!$P$1+[4]Jan!$AM$1</f>
        <v>1000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-[4]Feb!$P$1+[4]Feb!$AM$1</f>
        <v>1000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-[4]Mar!$P$1+[4]Mar!$AM$1</f>
        <v>1000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-[4]Apr!$P$1+[4]Apr!$AM$1</f>
        <v>1000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-[4]May!$P$1+[4]May!$AM$1</f>
        <v>1000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-[4]Jun!$P$1+[4]Jun!$AM$1</f>
        <v>1000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-[4]Jul!$P$1+[4]Jul!$AM$1</f>
        <v>-4000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-[4]Aug!$P$1+[4]Aug!$AM$1</f>
        <v>1000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-[4]Sep!$P$1+[4]Sep!$AM$1</f>
        <v>1000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-20702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-20702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-20702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-20702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-20702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-20702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-20702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-20702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-20702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-20702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-20702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-20702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-20702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-148660.624912037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-125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-150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[2]Oct!$O$1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[2]Nov!$O$1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[2]Dec!$O$1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[2]Jan!$O$1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[2]Feb!$O$1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[2]Mar!$O$1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[2]Apr!$O$1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[2]May!$O$1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[2]Jun!$O$1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[2]Jul!$O$1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[2]Aug!$O$1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[2]Sep!$O$1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[2]May!$P$1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[2]Oct!$Q$1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[2]Nov!$Q$1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[2]Dec!$Q$1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[2]Jan!$Q$1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[2]Feb!$Q$1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[2]Mar!$Q$1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[2]Apr!$Q$1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[2]May!$Q$1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[2]Jun!$Q$1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[2]Jul!$Q$1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[2]Aug!$Q$1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[2]Sep!$Q$1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6748</v>
      </c>
      <c r="N64" s="57"/>
      <c r="O64" s="36" t="n">
        <f aca="false">SUM(D64:N64)</f>
        <v>6748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6748</v>
      </c>
      <c r="X64" s="36"/>
      <c r="Y64" s="54"/>
      <c r="Z64" s="36" t="n">
        <f aca="false">SUM(O64:Y64)</f>
        <v>13496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6748</v>
      </c>
      <c r="AI64" s="36"/>
      <c r="AJ64" s="54"/>
      <c r="AK64" s="36" t="n">
        <f aca="false">SUM(Z64:AJ64)</f>
        <v>20244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6748</v>
      </c>
      <c r="AT64" s="36"/>
      <c r="AU64" s="54"/>
      <c r="AV64" s="36" t="n">
        <f aca="false">SUM(AK64:AU64)</f>
        <v>26992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6748</v>
      </c>
      <c r="BE64" s="36"/>
      <c r="BF64" s="54"/>
      <c r="BG64" s="36" t="n">
        <f aca="false">SUM(AV64:BF64)</f>
        <v>33740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6748</v>
      </c>
      <c r="BP64" s="36"/>
      <c r="BQ64" s="54"/>
      <c r="BR64" s="36" t="n">
        <f aca="false">SUM(BG64:BQ64)</f>
        <v>40488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6748</v>
      </c>
      <c r="CA64" s="36"/>
      <c r="CB64" s="54"/>
      <c r="CC64" s="36" t="n">
        <f aca="false">SUM(BR64:CB64)</f>
        <v>47236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6748</v>
      </c>
      <c r="CL64" s="36"/>
      <c r="CM64" s="54"/>
      <c r="CN64" s="36" t="n">
        <f aca="false">SUM(CC64:CM64)</f>
        <v>53984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6748</v>
      </c>
      <c r="CW64" s="36"/>
      <c r="CX64" s="54"/>
      <c r="CY64" s="36" t="n">
        <f aca="false">SUM(CN64:CX64)</f>
        <v>60732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6748</v>
      </c>
      <c r="DH64" s="36"/>
      <c r="DI64" s="54"/>
      <c r="DJ64" s="36" t="n">
        <f aca="false">SUM(CY64:DI64)</f>
        <v>67480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6748</v>
      </c>
      <c r="DS64" s="36"/>
      <c r="DT64" s="54"/>
      <c r="DU64" s="36" t="n">
        <f aca="false">SUM(DJ64:DT64)</f>
        <v>74228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6748</v>
      </c>
      <c r="ED64" s="36"/>
      <c r="EE64" s="54"/>
      <c r="EF64" s="36" t="n">
        <f aca="false">SUM(DU64:EE64)</f>
        <v>80976</v>
      </c>
      <c r="EG64" s="54"/>
      <c r="EI64" s="54"/>
      <c r="EJ64" s="36" t="n">
        <f aca="false">SUM(EF64:EH64)</f>
        <v>80976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4166.66666666667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4166.66666666667</v>
      </c>
      <c r="CZ66" s="57"/>
      <c r="DA66" s="36"/>
      <c r="DB66" s="36" t="n">
        <f aca="false">[2]Jul!$R$1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4166.66666666667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4166.66666666667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4166.66666666667</v>
      </c>
      <c r="EG66" s="54"/>
      <c r="EI66" s="54"/>
      <c r="EJ66" s="36" t="n">
        <f aca="false">SUM(EF66:EH66)</f>
        <v>4166.66666666667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[2]Oct!$T$1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[2]Nov!$T$1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[2]Dec!$T$1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[2]Jan!$T$1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[2]Feb!$T$1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[2]Mar!$T$1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[2]Apr!$T$1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[2]May!$T$1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[2]Jun!$T$1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[2]Jul!$T$1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[2]Aug!$T$1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[2]Sep!$T$1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[2]Mar!$U$1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[2]Jun!$U$1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[2]Sep!$U$1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[2]Jan!$V$1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[2]Mar!$V$1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[2]May!$V$1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[2]Jul!$V$1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[2]Sep!$V$1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[2]Jan!$W$1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[2]Mar!$W$1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[2]Jul!$W$1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[2]Aug!$W$1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[2]Oct!$X$1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[2]Jan!$X$1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[2]Feb!$X$1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[2]Apr!$X$1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[2]Jul!$X$1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[2]Aug!$X$1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[2]Oct!$Y$1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[2]Nov!$Y$1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[2]Dec!$Y$1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[2]Jan!$Y$1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[2]Feb!$Y$1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[2]Mar!$Y$1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[2]Apr!$Y$1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[2]May!$Y$1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[2]Jun!$Y$1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[2]Jul!$Y$1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[2]Aug!$Y$1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[2]Sep!$Y$1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[2]Jan!$Z$1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[2]Apr!$Z$1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[2]Jul!$Z$1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[2]Oct!$AA$1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[2]Nov!$AA$1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[2]Dec!$AA$1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[2]Jan!$AA$1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[2]Feb!$AA$1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[2]Mar!$AA$1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[2]Apr!$AA$1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[2]May!$AA$1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[2]Jun!$AA$1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[2]Jul!$AA$1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[2]Aug!$AA$1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[2]Sep!$AA$1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[2]Oct!$AB$1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[2]Nov!$AB$1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[2]Dec!$AB$1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[2]Jan!$AB$1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[2]Feb!$AB$1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[2]Mar!$AB$1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[2]Apr!$AB$1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[2]May!$AB$1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[2]Jun!$AB$1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[2]Jul!$AB$1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[2]Aug!$AB$1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[2]Sep!$AB$1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[2]Oct!$AC$1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[2]Nov!$AC$1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[2]Dec!$AC$1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[2]Jan!$AC$1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[2]Feb!$AC$1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[2]Mar!$AC$1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[2]Apr!$AC$1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[2]May!$AC$1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[2]Jun!$AC$1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[2]Jul!$AC$1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[2]Aug!$AC$1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[2]Sep!$AC$1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[2]Oct!$AD$1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[2]Apr!$AD$1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[2]Oct!$AE$1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[2]Jan!$AE$1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[2]Apr!$AE$1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[2]Jul!$AE$1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[2]Oct!$AF$1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[2]Nov!$AF$1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[2]Dec!$AF$1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[2]Jan!$AF$1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[2]Feb!$AF$1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[2]Mar!$AF$1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[2]Apr!$AF$1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[2]May!$AF$1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[2]Jun!$AF$1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[2]Jul!$AF$1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[2]Aug!$AF$1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[2]Sep!$AF$1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-[3]Oct!$T$1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-[3]Sep!$T$1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25</v>
      </c>
      <c r="T83" s="36" t="n">
        <f aca="false">[5]Nov!$AD$1</f>
        <v>0</v>
      </c>
      <c r="U83" s="36" t="n">
        <f aca="false">[6]Nov!$AD$1</f>
        <v>35</v>
      </c>
      <c r="V83" s="36" t="n">
        <f aca="false">[7]Nov!$AA$1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[4]Dec!$AD$1</f>
        <v>2250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[4]Mar!$AD$1</f>
        <v>1308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[4]May!$AD$1</f>
        <v>25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[4]Jun!$AD$1</f>
        <v>167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[4]Sep!$AD$1</f>
        <v>125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[4]Oct!$AN$1</f>
        <v>500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[4]Jan!$AN$1</f>
        <v>300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[4]Apr!$AN$1</f>
        <v>500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[4]Jul!$AN$1</f>
        <v>300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[4]Sep!$AN$1</f>
        <v>5000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-9.09494701772928E-013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6.93489710101858E-011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1.08684616861865E-010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1.41653799801134E-010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1.86901161214337E-010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2.24190443987027E-010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2.86945578409359E-010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3.06954461848363E-010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3.09228198602796E-010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3.10365066980012E-010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3.15594661515206E-010</v>
      </c>
      <c r="EG91" s="54"/>
      <c r="EH91" s="36" t="n">
        <f aca="false">SUM(EH4:EH90)</f>
        <v>0</v>
      </c>
      <c r="EI91" s="54"/>
      <c r="EJ91" s="36" t="n">
        <f aca="false">SUM(EJ4:EJ90)</f>
        <v>3.17413650918752E-010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81642.6666666667</v>
      </c>
      <c r="C18" s="72" t="n">
        <f aca="false">TrialBalance!O64+TrialBalance!O65-0</f>
        <v>6748</v>
      </c>
      <c r="D18" s="72" t="n">
        <f aca="false">TrialBalance!Z64+TrialBalance!Z65-C18</f>
        <v>6748</v>
      </c>
      <c r="E18" s="72" t="n">
        <f aca="false">TrialBalance!AK64+TrialBalance!AK65-SUM(C18:D18)</f>
        <v>6748</v>
      </c>
      <c r="F18" s="72" t="n">
        <f aca="false">TrialBalance!AV64+TrialBalance!AV65-SUM(C18:E18)</f>
        <v>6748</v>
      </c>
      <c r="G18" s="72" t="n">
        <f aca="false">TrialBalance!BG64+TrialBalance!BG65-SUM(C18:F18)</f>
        <v>7414.66666666666</v>
      </c>
      <c r="H18" s="72" t="n">
        <f aca="false">TrialBalance!BR64+TrialBalance!BR65-SUM(C18:G18)</f>
        <v>6748</v>
      </c>
      <c r="I18" s="72" t="n">
        <f aca="false">TrialBalance!CC64+TrialBalance!CC65-SUM(C18:H18)</f>
        <v>6748</v>
      </c>
      <c r="J18" s="72" t="n">
        <f aca="false">TrialBalance!CN64+TrialBalance!CN65-SUM(C18:I18)</f>
        <v>6748</v>
      </c>
      <c r="K18" s="72" t="n">
        <f aca="false">TrialBalance!CY64+TrialBalance!CY65-SUM(C18:J18)</f>
        <v>6748</v>
      </c>
      <c r="L18" s="72" t="n">
        <f aca="false">TrialBalance!DJ64+TrialBalance!DJ65-SUM(C18:K18)</f>
        <v>6748.00000000001</v>
      </c>
      <c r="M18" s="72" t="n">
        <f aca="false">TrialBalance!DU64+TrialBalance!DU65-SUM(C18:L18)</f>
        <v>6748</v>
      </c>
      <c r="N18" s="72" t="n">
        <f aca="false">TrialBalance!EF64+TrialBalance!EF65-SUM(C18:M18)</f>
        <v>6748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4166.66666666667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4166.66666666667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46296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46660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81642.6666666667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4166.66666666667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22902</v>
      </c>
      <c r="C6" s="117" t="s">
        <v>30</v>
      </c>
      <c r="D6" s="117"/>
      <c r="E6" s="115"/>
      <c r="F6" s="116" t="n">
        <f aca="false">SUM(TrialBalance!EJ6:EJ17)</f>
        <v>48990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12432.25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7535.78833333337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65802</v>
      </c>
      <c r="C26" s="117" t="s">
        <v>232</v>
      </c>
      <c r="D26" s="117"/>
      <c r="E26" s="118"/>
      <c r="F26" s="116" t="n">
        <f aca="false">SUM(F6:F25)</f>
        <v>206760.624912037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20802</v>
      </c>
      <c r="C33" s="117" t="s">
        <v>234</v>
      </c>
      <c r="D33" s="117"/>
      <c r="E33" s="118" t="s">
        <v>218</v>
      </c>
      <c r="F33" s="116" t="n">
        <f aca="false">F26-F31</f>
        <v>148760.624912037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20702</v>
      </c>
      <c r="C37" s="88" t="s">
        <v>57</v>
      </c>
      <c r="D37" s="88"/>
      <c r="E37" s="115"/>
      <c r="F37" s="115" t="n">
        <f aca="false">-TrialBalance!EJ43</f>
        <v>148660.624912037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20802</v>
      </c>
      <c r="C39" s="117" t="s">
        <v>236</v>
      </c>
      <c r="D39" s="117"/>
      <c r="E39" s="118" t="s">
        <v>218</v>
      </c>
      <c r="F39" s="116" t="n">
        <f aca="false">SUM(F36:F38)</f>
        <v>148760.624912037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46660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46263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48990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4166.66666666667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46660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46660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46263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46263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46296</v>
      </c>
      <c r="F5" s="189"/>
      <c r="G5" s="190" t="s">
        <v>332</v>
      </c>
      <c r="H5" s="189" t="n">
        <f aca="false">Admin!N7</f>
        <v>46660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46296</v>
      </c>
      <c r="F15" s="198" t="n">
        <f aca="false">H5</f>
        <v>46660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46296</v>
      </c>
      <c r="F16" s="198" t="n">
        <f aca="false">H5</f>
        <v>46660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3000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46296</v>
      </c>
      <c r="F18" s="198" t="n">
        <f aca="false">H5</f>
        <v>46660</v>
      </c>
      <c r="G18" s="204"/>
      <c r="H18" s="205"/>
      <c r="I18" s="206" t="n">
        <f aca="false">IF(K102&lt;&gt;0,-K102,0)</f>
        <v>8500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46660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182</v>
      </c>
      <c r="B33" s="204" t="s">
        <v>46</v>
      </c>
      <c r="C33" s="222" t="n">
        <f aca="false">Admin!L6</f>
        <v>46296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62039.5107035344</v>
      </c>
      <c r="G33" s="224" t="n">
        <f aca="false">IF(F33&lt;=Admin!$P$12*A33/A35,Admin!P6,Admin!$P$8)</f>
        <v>25</v>
      </c>
      <c r="H33" s="224"/>
      <c r="I33" s="225" t="n">
        <f aca="false">J33-L33</f>
        <v>14570.607322738</v>
      </c>
      <c r="J33" s="226" t="n">
        <f aca="false">F33*G33/100</f>
        <v>15509.8776758836</v>
      </c>
      <c r="K33" s="178"/>
      <c r="L33" s="177" t="n">
        <f aca="false">IF(AND(F33&gt;Admin!$P$12*A33/A35,F33&lt;Admin!$P$13*A33/A35),(Admin!$P$13*A33/A35-F33)*Admin!$P$9,0)</f>
        <v>939.270353145614</v>
      </c>
    </row>
    <row r="34" customFormat="false" ht="15" hidden="false" customHeight="true" outlineLevel="0" collapsed="false">
      <c r="A34" s="221" t="n">
        <f aca="false">MAX(0,D34-C34+1)</f>
        <v>183</v>
      </c>
      <c r="B34" s="204" t="s">
        <v>46</v>
      </c>
      <c r="C34" s="222" t="n">
        <f aca="false">Admin!L7</f>
        <v>46478</v>
      </c>
      <c r="D34" s="222" t="n">
        <f aca="false">Admin!N7</f>
        <v>46660</v>
      </c>
      <c r="E34" s="223" t="n">
        <f aca="false">Admin!K7</f>
        <v>2027</v>
      </c>
      <c r="F34" s="186" t="n">
        <f aca="false">IF(K28&gt;0,K28*A34/A35,0)</f>
        <v>62380.3871359714</v>
      </c>
      <c r="G34" s="224" t="n">
        <f aca="false">IF(F34&lt;=Admin!$P$12*A34/A35,Admin!P7,Admin!$P$8)</f>
        <v>25</v>
      </c>
      <c r="H34" s="224"/>
      <c r="I34" s="225" t="n">
        <f aca="false">J34-L34</f>
        <v>14650.6656047311</v>
      </c>
      <c r="J34" s="226" t="n">
        <f aca="false">F34*G34/100</f>
        <v>15595.0967839928</v>
      </c>
      <c r="K34" s="178"/>
      <c r="L34" s="177" t="n">
        <f aca="false">IF(AND(F34&gt;Admin!$P$12*A34/A35,F34&lt;Admin!$P$13*A34/A35),(Admin!$P$13*A34/A35-F34)*Admin!$P$9,0)</f>
        <v>944.431179261799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46296</v>
      </c>
      <c r="E48" s="240" t="n">
        <f aca="false">H5</f>
        <v>46660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45976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45992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46037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46082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46137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46296</v>
      </c>
      <c r="E57" s="240" t="n">
        <f aca="false">H5</f>
        <v>46660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46296</v>
      </c>
      <c r="E63" s="240" t="n">
        <f aca="false">H5</f>
        <v>46660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46296</v>
      </c>
      <c r="E72" s="240" t="n">
        <f aca="false">H5</f>
        <v>46660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46296</v>
      </c>
      <c r="E79" s="245" t="n">
        <f aca="false">H5</f>
        <v>46660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46296</v>
      </c>
      <c r="E84" s="248" t="n">
        <f aca="false">H5</f>
        <v>46660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46296</v>
      </c>
      <c r="E91" s="250" t="n">
        <f aca="false">H5</f>
        <v>46660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46296</v>
      </c>
      <c r="E97" s="177"/>
      <c r="F97" s="204"/>
      <c r="G97" s="178"/>
      <c r="H97" s="179"/>
      <c r="I97" s="89" t="n">
        <f aca="false">IF([1]Schedule!$R$55&gt;0,[1]Schedule!$R$55," ")</f>
        <v>3000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3000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-8500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46296</v>
      </c>
      <c r="F102" s="253" t="n">
        <f aca="false">H5</f>
        <v>46660</v>
      </c>
      <c r="G102" s="257"/>
      <c r="H102" s="257"/>
      <c r="I102" s="257"/>
      <c r="J102" s="178"/>
      <c r="K102" s="194" t="n">
        <f aca="false">SUM(I100:I101)</f>
        <v>-8500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46660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62039.5107035344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15509.8776758836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62380.3871359714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15595.0967839928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6748</v>
      </c>
      <c r="D4" s="36" t="n">
        <f aca="false">[9]Oct!$N$1-D17</f>
        <v>800</v>
      </c>
      <c r="E4" s="36" t="n">
        <f aca="false">[9]Oct!$O$1-E17</f>
        <v>296</v>
      </c>
      <c r="F4" s="36" t="n">
        <f aca="false">[9]Oct!$P$1+[9]Oct!$Q$1-F17</f>
        <v>0</v>
      </c>
      <c r="G4" s="36" t="n">
        <f aca="false">C4-SUM(D4:F4)</f>
        <v>5652</v>
      </c>
      <c r="H4" s="36" t="n">
        <f aca="false">[9]Oct!$T$1-H17</f>
        <v>577.2</v>
      </c>
      <c r="I4" s="36" t="n">
        <f aca="false">[9]Oct!$G$1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6748</v>
      </c>
      <c r="D5" s="36" t="n">
        <f aca="false">[9]Nov!$N$1-D18</f>
        <v>800</v>
      </c>
      <c r="E5" s="36" t="n">
        <f aca="false">[9]Nov!$O$1-E18</f>
        <v>296</v>
      </c>
      <c r="F5" s="36" t="n">
        <f aca="false">[9]Nov!$P$1+[9]Nov!$Q$1-F18</f>
        <v>0</v>
      </c>
      <c r="G5" s="36" t="n">
        <f aca="false">C5-SUM(D5:F5)</f>
        <v>5652</v>
      </c>
      <c r="H5" s="36" t="n">
        <f aca="false">[9]Nov!$T$1-H18</f>
        <v>577.2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6748</v>
      </c>
      <c r="D6" s="36" t="n">
        <f aca="false">[9]Dec!$N$1-D19</f>
        <v>800</v>
      </c>
      <c r="E6" s="36" t="n">
        <f aca="false">[9]Dec!$O$1-E19</f>
        <v>296</v>
      </c>
      <c r="F6" s="36" t="n">
        <f aca="false">[9]Dec!$P$1+[9]Dec!$Q$1-F19</f>
        <v>0</v>
      </c>
      <c r="G6" s="36" t="n">
        <f aca="false">C6-SUM(D6:F6)</f>
        <v>5652</v>
      </c>
      <c r="H6" s="36" t="n">
        <f aca="false">[9]Dec!$T$1-H19</f>
        <v>577.2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6748</v>
      </c>
      <c r="D7" s="36" t="n">
        <f aca="false">[9]Jan!$N$1-D20</f>
        <v>800</v>
      </c>
      <c r="E7" s="36" t="n">
        <f aca="false">[9]Jan!$O$1-E20</f>
        <v>296</v>
      </c>
      <c r="F7" s="36" t="n">
        <f aca="false">[9]Jan!$P$1+[9]Jan!$Q$1-F20</f>
        <v>0</v>
      </c>
      <c r="G7" s="36" t="n">
        <f aca="false">C7-SUM(D7:F7)</f>
        <v>5652</v>
      </c>
      <c r="H7" s="36" t="n">
        <f aca="false">[9]Jan!$T$1-H20</f>
        <v>577.2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6748</v>
      </c>
      <c r="D8" s="36" t="n">
        <f aca="false">[9]Feb!$N$1-D21</f>
        <v>800</v>
      </c>
      <c r="E8" s="36" t="n">
        <f aca="false">[9]Feb!$O$1-E21</f>
        <v>296</v>
      </c>
      <c r="F8" s="36" t="n">
        <f aca="false">[9]Feb!$P$1+[9]Feb!$Q$1-F21</f>
        <v>0</v>
      </c>
      <c r="G8" s="36" t="n">
        <f aca="false">C8-SUM(D8:F8)</f>
        <v>5652</v>
      </c>
      <c r="H8" s="36" t="n">
        <f aca="false">[9]Feb!$T$1-H21</f>
        <v>577.2</v>
      </c>
      <c r="I8" s="36" t="n">
        <f aca="false">[9]Feb!$G$1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6748</v>
      </c>
      <c r="D9" s="36" t="n">
        <f aca="false">[9]Mar!$N$1-D22</f>
        <v>800</v>
      </c>
      <c r="E9" s="36" t="n">
        <f aca="false">[9]Mar!$O$1-E22</f>
        <v>296</v>
      </c>
      <c r="F9" s="36" t="n">
        <f aca="false">[9]Mar!$P$1+[9]Mar!$Q$1-F22</f>
        <v>0</v>
      </c>
      <c r="G9" s="36" t="n">
        <f aca="false">C9-SUM(D9:F9)</f>
        <v>5652</v>
      </c>
      <c r="H9" s="36" t="n">
        <f aca="false">[9]Mar!$T$1-H22</f>
        <v>577.2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6748</v>
      </c>
      <c r="D10" s="36" t="n">
        <f aca="false">[9]Apr!$N$1-D23</f>
        <v>800</v>
      </c>
      <c r="E10" s="36" t="n">
        <f aca="false">[9]Apr!$O$1-E23</f>
        <v>296</v>
      </c>
      <c r="F10" s="36" t="n">
        <f aca="false">[9]Apr!$P$1+[9]Apr!$Q$1-F23</f>
        <v>0</v>
      </c>
      <c r="G10" s="36" t="n">
        <f aca="false">C10-SUM(D10:F10)</f>
        <v>5652</v>
      </c>
      <c r="H10" s="36" t="n">
        <f aca="false">[9]Apr!$T$1-H23</f>
        <v>577.2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6748</v>
      </c>
      <c r="D11" s="36" t="n">
        <f aca="false">[9]May!$N$1-D24</f>
        <v>800</v>
      </c>
      <c r="E11" s="36" t="n">
        <f aca="false">[9]May!$O$1-E24</f>
        <v>296</v>
      </c>
      <c r="F11" s="36" t="n">
        <f aca="false">[9]May!$P$1+[9]May!$Q$1-F24</f>
        <v>0</v>
      </c>
      <c r="G11" s="36" t="n">
        <f aca="false">C11-SUM(D11:F11)</f>
        <v>5652</v>
      </c>
      <c r="H11" s="36" t="n">
        <f aca="false">[9]May!$T$1-H24</f>
        <v>577.2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6748</v>
      </c>
      <c r="D12" s="36" t="n">
        <f aca="false">[9]Jun!$N$1-D25</f>
        <v>800</v>
      </c>
      <c r="E12" s="36" t="n">
        <f aca="false">[9]Jun!$O$1-E25</f>
        <v>296</v>
      </c>
      <c r="F12" s="36" t="n">
        <f aca="false">[9]Jun!$P$1+[9]Jun!$Q$1-F25</f>
        <v>0</v>
      </c>
      <c r="G12" s="36" t="n">
        <f aca="false">C12-SUM(D12:F12)</f>
        <v>5652</v>
      </c>
      <c r="H12" s="36" t="n">
        <f aca="false">[9]Jun!$T$1-H25</f>
        <v>577.2</v>
      </c>
      <c r="I12" s="36" t="n">
        <f aca="false">[9]Jun!$G$1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6748</v>
      </c>
      <c r="D13" s="36" t="n">
        <f aca="false">[9]Jul!$N$1-D26</f>
        <v>800</v>
      </c>
      <c r="E13" s="36" t="n">
        <f aca="false">[9]Jul!$O$1-E26</f>
        <v>296</v>
      </c>
      <c r="F13" s="36" t="n">
        <f aca="false">[9]Jul!$P$1+[9]Jul!$Q$1-F26</f>
        <v>0</v>
      </c>
      <c r="G13" s="36" t="n">
        <f aca="false">C13-SUM(D13:F13)</f>
        <v>5652</v>
      </c>
      <c r="H13" s="36" t="n">
        <f aca="false">[9]Jul!$T$1-H26</f>
        <v>577.2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6748</v>
      </c>
      <c r="D14" s="36" t="n">
        <f aca="false">[9]Aug!$N$1-D27</f>
        <v>800</v>
      </c>
      <c r="E14" s="36" t="n">
        <f aca="false">[9]Aug!$O$1-E27</f>
        <v>296</v>
      </c>
      <c r="F14" s="36" t="n">
        <f aca="false">[9]Aug!$P$1+[9]Aug!$Q$1-F27</f>
        <v>0</v>
      </c>
      <c r="G14" s="36" t="n">
        <f aca="false">C14-SUM(D14:F14)</f>
        <v>5652</v>
      </c>
      <c r="H14" s="36" t="n">
        <f aca="false">[9]Aug!$T$1-H27</f>
        <v>577.2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6748</v>
      </c>
      <c r="D15" s="36" t="n">
        <f aca="false">[9]Sep!$N$1-D28</f>
        <v>800</v>
      </c>
      <c r="E15" s="36" t="n">
        <f aca="false">[9]Sep!$O$1-E28</f>
        <v>296</v>
      </c>
      <c r="F15" s="36" t="n">
        <f aca="false">[9]Sep!$P$1+[9]Sep!$Q$1-F28</f>
        <v>0</v>
      </c>
      <c r="G15" s="36" t="n">
        <f aca="false">C15-SUM(D15:F15)</f>
        <v>5652</v>
      </c>
      <c r="H15" s="36" t="n">
        <f aca="false">[9]Sep!$T$1-H28</f>
        <v>577.2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46296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46326</v>
      </c>
      <c r="C8" s="435"/>
      <c r="D8" s="436" t="n">
        <f aca="false">D6+F8-L8-R8-X8+Z6</f>
        <v>9740</v>
      </c>
      <c r="E8" s="78"/>
      <c r="F8" s="78" t="n">
        <f aca="false">IF((H$4+N$4+T$4)=0,0,[2]Oct!O$1)</f>
        <v>500</v>
      </c>
      <c r="G8" s="78"/>
      <c r="H8" s="437" t="n">
        <f aca="false">H4</f>
        <v>0.03</v>
      </c>
      <c r="I8" s="78"/>
      <c r="J8" s="78" t="n">
        <f aca="false">[3]Oct!$O$1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46356</v>
      </c>
      <c r="C10" s="435"/>
      <c r="D10" s="436" t="n">
        <f aca="false">D8+F10-L10-R10-X10+Z8</f>
        <v>9571</v>
      </c>
      <c r="E10" s="78"/>
      <c r="F10" s="78" t="n">
        <f aca="false">IF((H$4+N$4+T$4)=0,0,[2]Nov!O$1)</f>
        <v>600</v>
      </c>
      <c r="G10" s="78"/>
      <c r="H10" s="437" t="n">
        <f aca="false">H8</f>
        <v>0.03</v>
      </c>
      <c r="I10" s="78"/>
      <c r="J10" s="78" t="n">
        <f aca="false">[3]Nov!$O$1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46387</v>
      </c>
      <c r="C12" s="435"/>
      <c r="D12" s="436" t="n">
        <f aca="false">D10+F12-L12-R12-X12+Z10</f>
        <v>9075.00000000001</v>
      </c>
      <c r="E12" s="78"/>
      <c r="F12" s="78" t="n">
        <f aca="false">IF((H$4+N$4+T$4)=0,0,[2]Dec!O$1)</f>
        <v>300</v>
      </c>
      <c r="G12" s="78"/>
      <c r="H12" s="437" t="n">
        <f aca="false">H10</f>
        <v>0.03</v>
      </c>
      <c r="I12" s="78"/>
      <c r="J12" s="78" t="n">
        <f aca="false">[3]Dec!$O$1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46418</v>
      </c>
      <c r="C14" s="435"/>
      <c r="D14" s="436" t="n">
        <f aca="false">D12+F14-L14-R14-X14+Z12</f>
        <v>8906.00000000001</v>
      </c>
      <c r="E14" s="78"/>
      <c r="F14" s="78" t="n">
        <f aca="false">IF((H$4+N$4+T$4)=0,0,[2]Jan!O$1)</f>
        <v>600</v>
      </c>
      <c r="G14" s="78"/>
      <c r="H14" s="437" t="n">
        <f aca="false">H12</f>
        <v>0.03</v>
      </c>
      <c r="I14" s="78"/>
      <c r="J14" s="78" t="n">
        <f aca="false">[3]Jan!$O$1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46446</v>
      </c>
      <c r="C16" s="435"/>
      <c r="D16" s="436" t="n">
        <f aca="false">D14+F16-L16-R16-X16+Z14</f>
        <v>8542.00000000001</v>
      </c>
      <c r="E16" s="78"/>
      <c r="F16" s="78" t="n">
        <f aca="false">IF((H$4+N$4+T$4)=0,0,[2]Feb!O$1)</f>
        <v>450</v>
      </c>
      <c r="G16" s="78"/>
      <c r="H16" s="437" t="n">
        <f aca="false">H14</f>
        <v>0.03</v>
      </c>
      <c r="I16" s="78"/>
      <c r="J16" s="78" t="n">
        <f aca="false">[3]Feb!$O$1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46477</v>
      </c>
      <c r="C18" s="435"/>
      <c r="D18" s="436" t="n">
        <f aca="false">D16+F18-L18-R18-X18+Z16</f>
        <v>7991.00000000001</v>
      </c>
      <c r="E18" s="78"/>
      <c r="F18" s="78" t="n">
        <f aca="false">IF((H$4+N$4+T$4)=0,0,[2]Mar!O$1)</f>
        <v>200</v>
      </c>
      <c r="G18" s="78"/>
      <c r="H18" s="437" t="n">
        <f aca="false">H16</f>
        <v>0.03</v>
      </c>
      <c r="I18" s="78"/>
      <c r="J18" s="78" t="n">
        <f aca="false">[3]Mar!$O$1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46507</v>
      </c>
      <c r="C20" s="435"/>
      <c r="D20" s="436" t="n">
        <f aca="false">D18+F20-L20-R20-X20+Z18</f>
        <v>7577.00000000001</v>
      </c>
      <c r="E20" s="78"/>
      <c r="F20" s="78" t="n">
        <f aca="false">IF((H$4+N$4+T$4)=0,0,[2]Apr!O$1)</f>
        <v>400</v>
      </c>
      <c r="G20" s="78"/>
      <c r="H20" s="437" t="n">
        <f aca="false">H18</f>
        <v>0.03</v>
      </c>
      <c r="I20" s="78"/>
      <c r="J20" s="78" t="n">
        <f aca="false">[3]Apr!$O$1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46538</v>
      </c>
      <c r="C22" s="435"/>
      <c r="D22" s="436" t="n">
        <f aca="false">D20+F22-L22-R22-X22+Z20</f>
        <v>7508.00000000001</v>
      </c>
      <c r="E22" s="78"/>
      <c r="F22" s="78" t="n">
        <f aca="false">IF((H$4+N$4+T$4)=0,0,[2]May!O$1)</f>
        <v>700</v>
      </c>
      <c r="G22" s="78"/>
      <c r="H22" s="437" t="n">
        <f aca="false">H20</f>
        <v>0.03</v>
      </c>
      <c r="I22" s="78"/>
      <c r="J22" s="78" t="n">
        <f aca="false">[3]May!$O$1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46568</v>
      </c>
      <c r="C24" s="435"/>
      <c r="D24" s="436" t="n">
        <f aca="false">D22+F24-L24-R24-X24+Z22</f>
        <v>7112.00000000001</v>
      </c>
      <c r="E24" s="78"/>
      <c r="F24" s="78" t="n">
        <f aca="false">IF((H$4+N$4+T$4)=0,0,[2]Jun!O$1)</f>
        <v>400</v>
      </c>
      <c r="G24" s="78"/>
      <c r="H24" s="437" t="n">
        <f aca="false">H22</f>
        <v>0.03</v>
      </c>
      <c r="I24" s="78"/>
      <c r="J24" s="78" t="n">
        <f aca="false">[3]Jun!$O$1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46599</v>
      </c>
      <c r="C26" s="435"/>
      <c r="D26" s="436" t="n">
        <f aca="false">D24+F26-L26-R26-X26+Z24</f>
        <v>6843.00000000001</v>
      </c>
      <c r="E26" s="78"/>
      <c r="F26" s="78" t="n">
        <f aca="false">IF((H$4+N$4+T$4)=0,0,[2]Jul!O$1)</f>
        <v>500</v>
      </c>
      <c r="G26" s="78"/>
      <c r="H26" s="437" t="n">
        <f aca="false">H24</f>
        <v>0.03</v>
      </c>
      <c r="I26" s="78"/>
      <c r="J26" s="78" t="n">
        <f aca="false">[3]Jul!$O$1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46630</v>
      </c>
      <c r="C28" s="435"/>
      <c r="D28" s="436" t="n">
        <f aca="false">D26+F28-L28-R28-X28+Z26</f>
        <v>6603.00000000002</v>
      </c>
      <c r="E28" s="78"/>
      <c r="F28" s="78" t="n">
        <f aca="false">IF((H$4+N$4+T$4)=0,0,[2]Aug!O$1)</f>
        <v>550</v>
      </c>
      <c r="G28" s="78"/>
      <c r="H28" s="437" t="n">
        <f aca="false">H26</f>
        <v>0.03</v>
      </c>
      <c r="I28" s="78"/>
      <c r="J28" s="78" t="n">
        <f aca="false">[3]Aug!$O$1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46660</v>
      </c>
      <c r="C30" s="435"/>
      <c r="D30" s="436" t="n">
        <f aca="false">D28+F30-L30-R30-X30+Z28</f>
        <v>6102.00000000002</v>
      </c>
      <c r="E30" s="78"/>
      <c r="F30" s="78" t="n">
        <f aca="false">IF((H$4+N$4+T$4)=0,0,[2]Sep!O$1)</f>
        <v>250</v>
      </c>
      <c r="G30" s="78"/>
      <c r="H30" s="437" t="n">
        <f aca="false">H28</f>
        <v>0.03</v>
      </c>
      <c r="I30" s="78"/>
      <c r="J30" s="78" t="n">
        <f aca="false">[3]Sep!$O$1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617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619</v>
      </c>
      <c r="E6" s="451"/>
      <c r="F6" s="463" t="n">
        <f aca="false">B8</f>
        <v>46295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46296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617</v>
      </c>
      <c r="E7" s="451"/>
      <c r="F7" s="463" t="n">
        <f aca="false">B32</f>
        <v>46660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46660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619</v>
      </c>
      <c r="E8" s="451"/>
      <c r="F8" s="463" t="n">
        <f aca="false">B32</f>
        <v>46660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46295</v>
      </c>
      <c r="M10" s="453" t="s">
        <v>624</v>
      </c>
      <c r="N10" s="472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 t="s">
        <v>625</v>
      </c>
      <c r="E11" s="468" t="n">
        <v>12000</v>
      </c>
      <c r="F11" s="451" t="s">
        <v>626</v>
      </c>
      <c r="G11" s="468" t="n">
        <v>3000</v>
      </c>
      <c r="H11" s="451"/>
      <c r="I11" s="451"/>
      <c r="J11" s="451"/>
      <c r="K11" s="451"/>
      <c r="L11" s="463" t="n">
        <f aca="false">B32</f>
        <v>46660</v>
      </c>
      <c r="M11" s="473" t="s">
        <v>624</v>
      </c>
      <c r="N11" s="472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65" t="s">
        <v>627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628</v>
      </c>
      <c r="E13" s="458"/>
      <c r="F13" s="458"/>
      <c r="G13" s="453" t="s">
        <v>355</v>
      </c>
      <c r="H13" s="451"/>
      <c r="I13" s="465" t="s">
        <v>629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630</v>
      </c>
      <c r="J14" s="458"/>
      <c r="K14" s="458"/>
      <c r="L14" s="456"/>
      <c r="M14" s="451"/>
      <c r="N14" s="453" t="s">
        <v>631</v>
      </c>
      <c r="O14" s="453" t="s">
        <v>632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1" t="s">
        <v>633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634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635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636</v>
      </c>
      <c r="J19" s="458"/>
      <c r="K19" s="458"/>
      <c r="L19" s="451"/>
      <c r="M19" s="477" t="n">
        <v>20</v>
      </c>
      <c r="N19" s="452" t="n">
        <f aca="false">B9</f>
        <v>46296</v>
      </c>
      <c r="O19" s="478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2" t="s">
        <v>616</v>
      </c>
      <c r="E21" s="2"/>
      <c r="F21" s="481" t="n">
        <v>46660</v>
      </c>
      <c r="G21" s="453"/>
      <c r="H21" s="451"/>
      <c r="I21" s="458" t="s">
        <v>636</v>
      </c>
      <c r="J21" s="458"/>
      <c r="K21" s="458"/>
      <c r="L21" s="451"/>
      <c r="M21" s="461" t="n">
        <v>20</v>
      </c>
      <c r="N21" s="452" t="n">
        <f aca="false">B27</f>
        <v>46569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4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