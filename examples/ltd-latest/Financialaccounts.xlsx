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<sst xmlns="http://schemas.openxmlformats.org/spreadsheetml/2006/main" count="1017" uniqueCount="620">
  <si>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</si>
  <si>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</si>
  <si>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</si>
  <si>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</si>
  <si>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</si>
  <si>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</si>
  <si>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</si>
  <si>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</si>
  <si>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</si>
  <si>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</si>
  <si>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</si>
  <si>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</si>
  <si>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</si>
  <si>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</si>
  <si>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</si>
  <si>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</si>
  <si>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</si>
  <si>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</si>
  <si>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</si>
  <si>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</si>
  <si>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</si>
  <si>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</si>
  <si>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</si>
  <si>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Stock at cost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</si>
  <si>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</si>
  <si>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</si>
  <si>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</si>
  <si>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</si>
  <si>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Current Liabilities</t>
  </si>
  <si>
    <t xml:space="preserve">Trade Creditors</t>
  </si>
  <si>
    <t xml:space="preserve">Wage deductions due</t>
  </si>
  <si>
    <t xml:space="preserve">Dividends due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</si>
  <si>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</si>
  <si>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</si>
  <si>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</si>
  <si>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</si>
  <si>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Other Creditors</t>
  </si>
  <si>
    <t xml:space="preserve">Directors Loan Account</t>
  </si>
  <si>
    <t xml:space="preserve">Capital and Reserves</t>
  </si>
  <si>
    <t xml:space="preserve">Called up share capital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</si>
  <si>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</si>
  <si>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</si>
  <si>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</si>
  <si>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</si>
  <si>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</si>
  <si>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</si>
  <si>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</si>
  <si>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</si>
  <si>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</si>
  <si>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</si>
  <si>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</si>
  <si>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</si>
  <si>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</si>
  <si>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</si>
  <si>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</si>
  <si>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</si>
  <si>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</si>
  <si>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</si>
  <si>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</si>
  <si>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</si>
  <si>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</si>
  <si>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</si>
  <si>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</si>
  <si>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</si>
  <si>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</si>
  <si>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</si>
  <si>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</si>
  <si>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</si>
  <si>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</si>
  <si>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</si>
  <si>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</si>
  <si>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</si>
  <si>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</si>
  <si>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</si>
  <si>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</si>
  <si>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</si>
  <si>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</si>
  <si>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</si>
  <si>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</si>
  <si>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</si>
  <si>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</si>
  <si>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</si>
  <si>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</si>
  <si>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</si>
  <si>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</si>
  <si>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</si>
  <si>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</si>
  <si>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</si>
  <si>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</si>
  <si>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</si>
  <si>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</si>
  <si>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</si>
  <si>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</si>
  <si>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</si>
  <si>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</si>
  <si>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</si>
  <si>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</si>
  <si>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</si>
  <si>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</si>
  <si>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</si>
  <si>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</si>
  <si>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</si>
  <si>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</si>
  <si>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</si>
  <si>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</si>
  <si>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</si>
  <si>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</si>
  <si>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</si>
  <si>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</si>
  <si>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</si>
  <si>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</si>
  <si>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</si>
  <si>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</si>
  <si>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</si>
  <si>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</si>
  <si>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</si>
  <si>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</si>
  <si>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</si>
  <si>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</si>
  <si>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</si>
  <si>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</si>
  <si>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</si>
  <si>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</si>
  <si>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</si>
  <si>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</si>
  <si>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</si>
  <si>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</si>
  <si>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</si>
  <si>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</si>
  <si>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</si>
  <si>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</si>
  <si>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</si>
  <si>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</si>
  <si>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</si>
  <si>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</si>
  <si>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</si>
  <si>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</si>
  <si>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</si>
  <si>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</si>
  <si>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</si>
  <si>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</si>
  <si>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</si>
  <si>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</si>
  <si>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</si>
  <si>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</si>
  <si>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</si>
  <si>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</si>
  <si>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</si>
  <si>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</si>
  <si>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</si>
  <si>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</si>
  <si>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</si>
  <si>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</si>
  <si>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</si>
  <si>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</si>
  <si>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</si>
  <si>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</si>
  <si>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</si>
  <si>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</si>
  <si>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</si>
  <si>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</si>
  <si>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</si>
  <si>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</si>
  <si>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</si>
  <si>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</si>
  <si>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</si>
  <si>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</si>
  <si>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</si>
  <si>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</si>
  <si>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</si>
  <si>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</si>
  <si>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</si>
  <si>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</si>
  <si>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</si>
  <si>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</si>
  <si>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</si>
  <si>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</si>
  <si>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</si>
  <si>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</si>
  <si>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</si>
  <si>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</si>
  <si>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</si>
  <si>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</si>
  <si>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</si>
  <si>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</si>
  <si>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</si>
  <si>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</si>
  <si>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</si>
  <si>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</si>
  <si>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</si>
  <si>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</si>
  <si>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</si>
  <si>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</si>
  <si>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</si>
  <si>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</si>
  <si>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</si>
  <si>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</si>
  <si>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</si>
  <si>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</si>
  <si>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</si>
  <si>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</si>
  <si>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</si>
  <si>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</si>
  <si>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</si>
  <si>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</si>
  <si>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</si>
  <si>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</si>
  <si>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</si>
  <si>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</si>
  <si>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Current Assets</t>
  </si>
  <si>
    <t xml:space="preserve">Cash at bank and in hand</t>
  </si>
  <si>
    <t xml:space="preserve">Current Liabilities (due within one year)</t>
  </si>
  <si>
    <t xml:space="preserve">Corporation Tax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</si>
  <si>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</si>
  <si>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</si>
  <si>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</si>
  <si>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</si>
  <si>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</si>
  <si>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</si>
  <si>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</si>
  <si>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Retained Profit and Loss account</t>
  </si>
  <si>
    <t xml:space="preserve">Capital Reserves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</si>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</sst>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270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9828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6618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9751.5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5000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767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4211.25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4696.5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137927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137679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137777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229738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230180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184421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92331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184801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2.65" hidden="false" customHeight="false" outlineLevel="0" collapsed="false">
      <c r="A12" s="2"/>
      <c r="B12" s="2"/>
      <c r="C12" s="23" t="s">
        <v>21</v>
      </c>
      <c r="D12" s="23"/>
      <c r="E12" s="2"/>
      <c r="F12" s="2"/>
      <c r="G12" s="24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5" t="n">
        <f aca="false">E13-G13-H13-I13-J13-K13+M13+N13+O13+P13+Q13</f>
        <v>-43989</v>
      </c>
      <c r="C13" s="2" t="s">
        <v>22</v>
      </c>
      <c r="D13" s="2"/>
      <c r="E13" s="9"/>
      <c r="F13" s="2"/>
      <c r="G13" s="9" t="n">
        <v>21087</v>
      </c>
      <c r="J13" s="1" t="n">
        <v>3000</v>
      </c>
      <c r="K13" s="1" t="n">
        <v>30000</v>
      </c>
      <c r="P13" s="1" t="n">
        <v>270</v>
      </c>
      <c r="Q13" s="1" t="n">
        <v>9828</v>
      </c>
    </row>
    <row r="14" customFormat="false" ht="10.5" hidden="false" customHeight="false" outlineLevel="0" collapsed="false">
      <c r="D14" s="2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23</v>
      </c>
      <c r="D15" s="2"/>
      <c r="E15" s="9" t="n">
        <v>10000</v>
      </c>
    </row>
    <row r="16" customFormat="false" ht="10.5" hidden="false" customHeight="false" outlineLevel="0" collapsed="false">
      <c r="D16" s="2"/>
      <c r="E16" s="9" t="n">
        <v>10800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false" outlineLevel="0" collapsed="false">
      <c r="A18" s="2"/>
      <c r="B18" s="25" t="n">
        <f aca="false">E18-G18-H18-I18-J18</f>
        <v>-30500</v>
      </c>
      <c r="C18" s="2" t="s">
        <v>27</v>
      </c>
      <c r="D18" s="2"/>
      <c r="E18" s="9"/>
      <c r="F18" s="2"/>
      <c r="G18" s="9" t="n">
        <v>25000</v>
      </c>
      <c r="H18" s="1" t="n">
        <v>5000</v>
      </c>
      <c r="J18" s="1" t="n">
        <v>500</v>
      </c>
      <c r="K18" s="6"/>
      <c r="L18" s="6"/>
      <c r="M18" s="6"/>
      <c r="N18" s="6"/>
      <c r="O18" s="6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28</v>
      </c>
      <c r="D19" s="23"/>
      <c r="E19" s="2"/>
      <c r="F19" s="2"/>
      <c r="G19" s="2"/>
      <c r="H19" s="2"/>
      <c r="I19" s="2"/>
      <c r="J19" s="2"/>
      <c r="K19" s="6"/>
      <c r="L19" s="6"/>
      <c r="M19" s="6"/>
      <c r="N19" s="6"/>
      <c r="O19" s="6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29</v>
      </c>
      <c r="D20" s="2"/>
      <c r="E20" s="9" t="n">
        <v>2400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 t="n">
        <v>4500</v>
      </c>
    </row>
    <row r="24" customFormat="false" ht="10.5" hidden="false" customHeight="false" outlineLevel="0" collapsed="false">
      <c r="D24" s="2"/>
      <c r="E24" s="9"/>
      <c r="F24" s="2"/>
      <c r="G24" s="19"/>
      <c r="H24" s="19"/>
      <c r="I24" s="19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32</v>
      </c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5" t="n">
        <f aca="false">E26-G26-H26-I26</f>
        <v>-1500</v>
      </c>
      <c r="C26" s="2" t="s">
        <v>35</v>
      </c>
      <c r="D26" s="2"/>
      <c r="E26" s="9"/>
      <c r="F26" s="2"/>
      <c r="G26" s="9"/>
      <c r="H26" s="9" t="n">
        <v>1500</v>
      </c>
    </row>
    <row r="28" customFormat="false" ht="10.5" hidden="false" customHeight="false" outlineLevel="0" collapsed="false"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36</v>
      </c>
      <c r="D29" s="2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37</v>
      </c>
      <c r="D30" s="2"/>
      <c r="E30" s="9" t="n">
        <v>20000</v>
      </c>
    </row>
    <row r="31" customFormat="false" ht="10.5" hidden="false" customHeight="false" outlineLevel="0" collapsed="false">
      <c r="D31" s="23"/>
      <c r="E31" s="9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3" t="s">
        <v>38</v>
      </c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39</v>
      </c>
      <c r="D33" s="2"/>
      <c r="E33" s="9" t="n">
        <v>100</v>
      </c>
    </row>
    <row r="34" customFormat="false" ht="10.5" hidden="false" customHeight="false" outlineLevel="0" collapsed="false">
      <c r="D34" s="2"/>
      <c r="E34" s="9" t="n">
        <v>45702</v>
      </c>
    </row>
    <row r="35" customFormat="false" ht="10.5" hidden="false" customHeight="false" outlineLevel="0" collapsed="false"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40</v>
      </c>
      <c r="D37" s="26"/>
      <c r="E37" s="25" t="n">
        <f aca="false">E13+E15+E16+E18-E20-E21-E22-E23-E24-E26+E28-E30-E31-E33-E34-E35</f>
        <v>-51902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41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42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43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42</v>
      </c>
      <c r="D45" s="2"/>
      <c r="E45" s="2"/>
      <c r="F45" s="2"/>
      <c r="G45" s="25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44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45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46</v>
      </c>
      <c r="D48" s="2"/>
      <c r="E48" s="9" t="n">
        <f aca="false">E15</f>
        <v>10000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47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48</v>
      </c>
      <c r="D50" s="2"/>
      <c r="E50" s="2"/>
      <c r="F50" s="2"/>
      <c r="G50" s="25" t="n">
        <f aca="false">E46+E47-E48+E49</f>
        <v>-10000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49</v>
      </c>
      <c r="D52" s="2"/>
      <c r="E52" s="2"/>
      <c r="F52" s="2"/>
      <c r="G52" s="25" t="n">
        <f aca="false">G45-G50</f>
        <v>10000</v>
      </c>
      <c r="H52" s="2"/>
    </row>
    <row r="53" customFormat="false" ht="10.5" hidden="false" customHeight="false" outlineLevel="0" collapsed="false">
      <c r="A53" s="2"/>
      <c r="B53" s="2"/>
      <c r="C53" s="32" t="s">
        <v>50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51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52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53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54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55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56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57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58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59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60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61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62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63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64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65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66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67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68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69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70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71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72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73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50</v>
      </c>
      <c r="D77" s="2"/>
      <c r="E77" s="2"/>
      <c r="F77" s="2"/>
      <c r="G77" s="25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74</v>
      </c>
      <c r="D79" s="2"/>
      <c r="E79" s="2"/>
      <c r="F79" s="2"/>
      <c r="G79" s="25" t="n">
        <f aca="false">G52-G77</f>
        <v>10000</v>
      </c>
      <c r="H79" s="2"/>
    </row>
    <row r="80" customFormat="false" ht="10.5" hidden="false" customHeight="false" outlineLevel="0" collapsed="false">
      <c r="B80" s="2"/>
      <c r="C80" s="30" t="s">
        <v>75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76</v>
      </c>
      <c r="D81" s="2"/>
      <c r="E81" s="2"/>
      <c r="F81" s="2"/>
      <c r="G81" s="25" t="n">
        <f aca="false">G79+E80</f>
        <v>10000</v>
      </c>
      <c r="H81" s="2"/>
    </row>
    <row r="82" customFormat="false" ht="10.5" hidden="false" customHeight="false" outlineLevel="0" collapsed="false">
      <c r="B82" s="2"/>
      <c r="C82" s="30" t="s">
        <v>77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78</v>
      </c>
      <c r="D83" s="2"/>
      <c r="E83" s="2"/>
      <c r="F83" s="2"/>
      <c r="G83" s="25" t="n">
        <f aca="false">G81-E82</f>
        <v>10000</v>
      </c>
      <c r="H83" s="2"/>
    </row>
    <row r="84" customFormat="false" ht="10.5" hidden="false" customHeight="false" outlineLevel="0" collapsed="false">
      <c r="B84" s="2"/>
      <c r="C84" s="30" t="s">
        <v>79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80</v>
      </c>
      <c r="D85" s="2"/>
      <c r="E85" s="2"/>
      <c r="F85" s="2"/>
      <c r="G85" s="25" t="n">
        <f aca="false">G83-E84</f>
        <v>10000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81</v>
      </c>
      <c r="C1" s="39" t="s">
        <v>82</v>
      </c>
      <c r="D1" s="40" t="n">
        <f aca="false">Admin!B9</f>
        <v>46204</v>
      </c>
      <c r="E1" s="39"/>
      <c r="F1" s="41" t="n">
        <f aca="false">Admin!B10</f>
        <v>46234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46234</v>
      </c>
      <c r="P1" s="39"/>
      <c r="Q1" s="39" t="n">
        <f aca="false">Admin!B12</f>
        <v>46265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46265</v>
      </c>
      <c r="AA1" s="39"/>
      <c r="AB1" s="39" t="n">
        <f aca="false">Admin!B14</f>
        <v>46295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46295</v>
      </c>
      <c r="AL1" s="39"/>
      <c r="AM1" s="39" t="n">
        <f aca="false">Admin!B16</f>
        <v>46326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46326</v>
      </c>
      <c r="AW1" s="39"/>
      <c r="AX1" s="39" t="n">
        <f aca="false">Admin!B18</f>
        <v>46356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46356</v>
      </c>
      <c r="BH1" s="39"/>
      <c r="BI1" s="39" t="n">
        <f aca="false">Admin!B20</f>
        <v>46387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46387</v>
      </c>
      <c r="BS1" s="39"/>
      <c r="BT1" s="39" t="n">
        <f aca="false">Admin!B22</f>
        <v>46418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46418</v>
      </c>
      <c r="CD1" s="39"/>
      <c r="CE1" s="39" t="n">
        <f aca="false">Admin!B24</f>
        <v>46446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46446</v>
      </c>
      <c r="CO1" s="39"/>
      <c r="CP1" s="39" t="n">
        <f aca="false">Admin!B26</f>
        <v>46477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46477</v>
      </c>
      <c r="CZ1" s="39"/>
      <c r="DA1" s="39" t="n">
        <f aca="false">Admin!B28</f>
        <v>46507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46507</v>
      </c>
      <c r="DK1" s="39"/>
      <c r="DL1" s="39" t="n">
        <f aca="false">Admin!B30</f>
        <v>46538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46538</v>
      </c>
      <c r="DV1" s="39"/>
      <c r="DW1" s="39" t="n">
        <f aca="false">Admin!B32</f>
        <v>46568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46568</v>
      </c>
      <c r="EG1" s="39"/>
      <c r="EH1" s="39" t="s">
        <v>83</v>
      </c>
      <c r="EI1" s="39"/>
      <c r="EJ1" s="40" t="n">
        <f aca="false">EF1</f>
        <v>46568</v>
      </c>
      <c r="EK1" s="39"/>
    </row>
    <row r="2" s="46" customFormat="true" ht="22.35" hidden="false" customHeight="false" outlineLevel="0" collapsed="false">
      <c r="A2" s="43"/>
      <c r="B2" s="44" t="s">
        <v>84</v>
      </c>
      <c r="C2" s="39"/>
      <c r="D2" s="45" t="s">
        <v>85</v>
      </c>
      <c r="E2" s="39"/>
      <c r="F2" s="39" t="s">
        <v>86</v>
      </c>
      <c r="G2" s="39" t="s">
        <v>45</v>
      </c>
      <c r="H2" s="39" t="s">
        <v>87</v>
      </c>
      <c r="I2" s="39" t="s">
        <v>88</v>
      </c>
      <c r="J2" s="39" t="s">
        <v>89</v>
      </c>
      <c r="K2" s="39" t="s">
        <v>26</v>
      </c>
      <c r="L2" s="39" t="s">
        <v>90</v>
      </c>
      <c r="M2" s="39" t="s">
        <v>91</v>
      </c>
      <c r="N2" s="39"/>
      <c r="O2" s="45" t="s">
        <v>92</v>
      </c>
      <c r="P2" s="39"/>
      <c r="Q2" s="39" t="s">
        <v>86</v>
      </c>
      <c r="R2" s="39" t="s">
        <v>45</v>
      </c>
      <c r="S2" s="39" t="s">
        <v>87</v>
      </c>
      <c r="T2" s="39" t="s">
        <v>88</v>
      </c>
      <c r="U2" s="39" t="s">
        <v>89</v>
      </c>
      <c r="V2" s="39" t="s">
        <v>26</v>
      </c>
      <c r="W2" s="39" t="s">
        <v>90</v>
      </c>
      <c r="X2" s="39" t="s">
        <v>91</v>
      </c>
      <c r="Y2" s="39"/>
      <c r="Z2" s="45" t="s">
        <v>92</v>
      </c>
      <c r="AA2" s="39"/>
      <c r="AB2" s="39" t="s">
        <v>86</v>
      </c>
      <c r="AC2" s="39" t="s">
        <v>45</v>
      </c>
      <c r="AD2" s="39" t="s">
        <v>87</v>
      </c>
      <c r="AE2" s="39" t="s">
        <v>88</v>
      </c>
      <c r="AF2" s="39" t="s">
        <v>89</v>
      </c>
      <c r="AG2" s="39" t="s">
        <v>26</v>
      </c>
      <c r="AH2" s="39" t="s">
        <v>90</v>
      </c>
      <c r="AI2" s="39" t="s">
        <v>91</v>
      </c>
      <c r="AJ2" s="39"/>
      <c r="AK2" s="45" t="s">
        <v>92</v>
      </c>
      <c r="AL2" s="39"/>
      <c r="AM2" s="39" t="s">
        <v>86</v>
      </c>
      <c r="AN2" s="39" t="s">
        <v>45</v>
      </c>
      <c r="AO2" s="39" t="s">
        <v>87</v>
      </c>
      <c r="AP2" s="39" t="s">
        <v>88</v>
      </c>
      <c r="AQ2" s="39" t="s">
        <v>89</v>
      </c>
      <c r="AR2" s="39" t="s">
        <v>26</v>
      </c>
      <c r="AS2" s="39" t="s">
        <v>90</v>
      </c>
      <c r="AT2" s="39" t="s">
        <v>91</v>
      </c>
      <c r="AU2" s="39"/>
      <c r="AV2" s="45" t="s">
        <v>92</v>
      </c>
      <c r="AW2" s="39"/>
      <c r="AX2" s="39" t="s">
        <v>86</v>
      </c>
      <c r="AY2" s="39" t="s">
        <v>45</v>
      </c>
      <c r="AZ2" s="39" t="s">
        <v>87</v>
      </c>
      <c r="BA2" s="39" t="s">
        <v>88</v>
      </c>
      <c r="BB2" s="39" t="s">
        <v>89</v>
      </c>
      <c r="BC2" s="39" t="s">
        <v>26</v>
      </c>
      <c r="BD2" s="39" t="s">
        <v>90</v>
      </c>
      <c r="BE2" s="39" t="s">
        <v>91</v>
      </c>
      <c r="BF2" s="39"/>
      <c r="BG2" s="45" t="s">
        <v>92</v>
      </c>
      <c r="BH2" s="39"/>
      <c r="BI2" s="39" t="s">
        <v>86</v>
      </c>
      <c r="BJ2" s="39" t="s">
        <v>45</v>
      </c>
      <c r="BK2" s="39" t="s">
        <v>87</v>
      </c>
      <c r="BL2" s="39" t="s">
        <v>88</v>
      </c>
      <c r="BM2" s="39" t="s">
        <v>89</v>
      </c>
      <c r="BN2" s="39" t="s">
        <v>26</v>
      </c>
      <c r="BO2" s="39" t="s">
        <v>90</v>
      </c>
      <c r="BP2" s="39" t="s">
        <v>91</v>
      </c>
      <c r="BQ2" s="39"/>
      <c r="BR2" s="45" t="s">
        <v>92</v>
      </c>
      <c r="BS2" s="39"/>
      <c r="BT2" s="39" t="s">
        <v>86</v>
      </c>
      <c r="BU2" s="39" t="s">
        <v>45</v>
      </c>
      <c r="BV2" s="39" t="s">
        <v>87</v>
      </c>
      <c r="BW2" s="39" t="s">
        <v>88</v>
      </c>
      <c r="BX2" s="39" t="s">
        <v>89</v>
      </c>
      <c r="BY2" s="39" t="s">
        <v>26</v>
      </c>
      <c r="BZ2" s="39" t="s">
        <v>90</v>
      </c>
      <c r="CA2" s="39" t="s">
        <v>91</v>
      </c>
      <c r="CB2" s="39"/>
      <c r="CC2" s="45" t="s">
        <v>92</v>
      </c>
      <c r="CD2" s="39"/>
      <c r="CE2" s="39" t="s">
        <v>86</v>
      </c>
      <c r="CF2" s="39" t="s">
        <v>45</v>
      </c>
      <c r="CG2" s="39" t="s">
        <v>87</v>
      </c>
      <c r="CH2" s="39" t="s">
        <v>88</v>
      </c>
      <c r="CI2" s="39" t="s">
        <v>89</v>
      </c>
      <c r="CJ2" s="39" t="s">
        <v>26</v>
      </c>
      <c r="CK2" s="39" t="s">
        <v>90</v>
      </c>
      <c r="CL2" s="39" t="s">
        <v>91</v>
      </c>
      <c r="CM2" s="39"/>
      <c r="CN2" s="45" t="s">
        <v>92</v>
      </c>
      <c r="CO2" s="39"/>
      <c r="CP2" s="39" t="s">
        <v>86</v>
      </c>
      <c r="CQ2" s="39" t="s">
        <v>45</v>
      </c>
      <c r="CR2" s="39" t="s">
        <v>87</v>
      </c>
      <c r="CS2" s="39" t="s">
        <v>88</v>
      </c>
      <c r="CT2" s="39" t="s">
        <v>89</v>
      </c>
      <c r="CU2" s="39" t="s">
        <v>26</v>
      </c>
      <c r="CV2" s="39" t="s">
        <v>90</v>
      </c>
      <c r="CW2" s="39" t="s">
        <v>91</v>
      </c>
      <c r="CX2" s="39"/>
      <c r="CY2" s="45" t="s">
        <v>92</v>
      </c>
      <c r="CZ2" s="39"/>
      <c r="DA2" s="39" t="s">
        <v>86</v>
      </c>
      <c r="DB2" s="39" t="s">
        <v>45</v>
      </c>
      <c r="DC2" s="39" t="s">
        <v>87</v>
      </c>
      <c r="DD2" s="39" t="s">
        <v>88</v>
      </c>
      <c r="DE2" s="39" t="s">
        <v>89</v>
      </c>
      <c r="DF2" s="39" t="s">
        <v>26</v>
      </c>
      <c r="DG2" s="39" t="s">
        <v>90</v>
      </c>
      <c r="DH2" s="39" t="s">
        <v>91</v>
      </c>
      <c r="DI2" s="39"/>
      <c r="DJ2" s="45" t="s">
        <v>92</v>
      </c>
      <c r="DK2" s="39"/>
      <c r="DL2" s="39" t="s">
        <v>86</v>
      </c>
      <c r="DM2" s="39" t="s">
        <v>45</v>
      </c>
      <c r="DN2" s="39" t="s">
        <v>87</v>
      </c>
      <c r="DO2" s="39" t="s">
        <v>88</v>
      </c>
      <c r="DP2" s="39" t="s">
        <v>89</v>
      </c>
      <c r="DQ2" s="39" t="s">
        <v>26</v>
      </c>
      <c r="DR2" s="39" t="s">
        <v>90</v>
      </c>
      <c r="DS2" s="39" t="s">
        <v>91</v>
      </c>
      <c r="DT2" s="39"/>
      <c r="DU2" s="45" t="s">
        <v>92</v>
      </c>
      <c r="DV2" s="39"/>
      <c r="DW2" s="39" t="s">
        <v>86</v>
      </c>
      <c r="DX2" s="39" t="s">
        <v>45</v>
      </c>
      <c r="DY2" s="39" t="s">
        <v>87</v>
      </c>
      <c r="DZ2" s="39" t="s">
        <v>88</v>
      </c>
      <c r="EA2" s="39" t="s">
        <v>89</v>
      </c>
      <c r="EB2" s="39" t="s">
        <v>26</v>
      </c>
      <c r="EC2" s="39" t="s">
        <v>90</v>
      </c>
      <c r="ED2" s="39" t="s">
        <v>91</v>
      </c>
      <c r="EE2" s="39"/>
      <c r="EF2" s="45" t="s">
        <v>92</v>
      </c>
      <c r="EG2" s="39"/>
      <c r="EH2" s="39"/>
      <c r="EI2" s="39"/>
      <c r="EJ2" s="45" t="s">
        <v>93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94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95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96</v>
      </c>
      <c r="C6" s="56" t="s">
        <v>97</v>
      </c>
      <c r="D6" s="36" t="n">
        <f aca="false">OpenAccounts!G13</f>
        <v>21087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21087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21087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21087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21087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21087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21087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21087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21087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21087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21087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21087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21087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21087</v>
      </c>
      <c r="EK6" s="54"/>
    </row>
    <row r="7" customFormat="false" ht="12" hidden="false" customHeight="false" outlineLevel="0" collapsed="false">
      <c r="A7" s="54"/>
      <c r="B7" s="54" t="s">
        <v>98</v>
      </c>
      <c r="C7" s="56" t="s">
        <v>99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100</v>
      </c>
      <c r="C8" s="56" t="s">
        <v>101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102</v>
      </c>
      <c r="C9" s="56" t="s">
        <v>103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104</v>
      </c>
      <c r="C10" s="56" t="s">
        <v>105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30000</v>
      </c>
      <c r="EK10" s="54"/>
    </row>
    <row r="11" customFormat="false" ht="12" hidden="false" customHeight="false" outlineLevel="0" collapsed="false">
      <c r="A11" s="54"/>
      <c r="B11" s="54" t="s">
        <v>106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107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108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109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-270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-270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-270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-270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-270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-270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-270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-270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-270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-270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-270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-270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-270</v>
      </c>
      <c r="EK14" s="54"/>
    </row>
    <row r="15" customFormat="false" ht="12" hidden="false" customHeight="false" outlineLevel="0" collapsed="false">
      <c r="A15" s="54"/>
      <c r="B15" s="54" t="s">
        <v>110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-9828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-9828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-9828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-9828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-9828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-9828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-9828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-9828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-9828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-9828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-9828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-9828</v>
      </c>
      <c r="EG15" s="54"/>
      <c r="EH15" s="36" t="n">
        <f aca="false">[1]Schedule!$X$55+[1]Schedule!$X$108</f>
        <v>0</v>
      </c>
      <c r="EI15" s="54"/>
      <c r="EJ15" s="36" t="n">
        <f aca="false">SUM(EF15:EH15)</f>
        <v>-9828</v>
      </c>
      <c r="EK15" s="54"/>
    </row>
    <row r="16" customFormat="false" ht="12" hidden="false" customHeight="false" outlineLevel="0" collapsed="false">
      <c r="A16" s="54"/>
      <c r="B16" s="54" t="s">
        <v>111</v>
      </c>
      <c r="C16" s="56"/>
      <c r="D16" s="36"/>
      <c r="E16" s="57"/>
      <c r="F16" s="36"/>
      <c r="G16" s="36" t="n">
        <f aca="false">[2]Jul!$AI$1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[2]Aug!$AI$1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[2]Sep!$AI$1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[2]Oct!$AI$1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[2]Nov!$AI$1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[2]Dec!$AI$1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[2]Jan!$AI$1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[2]Feb!$AI$1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[2]Mar!$AI$1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[2]Apr!$AI$1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[2]May!$AI$1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[2]Jun!$AI$1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112</v>
      </c>
      <c r="C17" s="56" t="s">
        <v>113</v>
      </c>
      <c r="D17" s="36"/>
      <c r="E17" s="57"/>
      <c r="F17" s="36" t="n">
        <f aca="false">-[3]Jul!$U$1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-[3]Aug!$U$1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-[3]Sep!$U$1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-[3]Oct!$U$1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-[3]Nov!$U$1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-[3]Dec!$U$1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-[3]Jan!$U$1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-[3]Feb!$U$1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-[3]Mar!$U$1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-[3]Apr!$U$1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-[3]May!$U$1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-[3]Jun!$U$1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114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115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10000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10000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10000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10000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10000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10000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10000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10000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10000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10000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10000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10000</v>
      </c>
      <c r="EG19" s="54"/>
      <c r="EI19" s="54"/>
      <c r="EJ19" s="36" t="n">
        <f aca="false">SUM(EF19:EH19)</f>
        <v>10000</v>
      </c>
      <c r="EK19" s="54"/>
    </row>
    <row r="20" customFormat="false" ht="12" hidden="false" customHeight="false" outlineLevel="0" collapsed="false">
      <c r="A20" s="54"/>
      <c r="B20" s="54" t="s">
        <v>116</v>
      </c>
      <c r="C20" s="56" t="s">
        <v>117</v>
      </c>
      <c r="D20" s="36" t="n">
        <f aca="false">OpenAccounts!E16</f>
        <v>10800</v>
      </c>
      <c r="E20" s="57"/>
      <c r="F20" s="36" t="n">
        <f aca="false">[3]Jul!$F$1-[3]Jul!$V$1</f>
        <v>33760</v>
      </c>
      <c r="G20" s="36"/>
      <c r="H20" s="36" t="n">
        <f aca="false">-[4]Jul!$J$1</f>
        <v>-24400</v>
      </c>
      <c r="I20" s="36" t="n">
        <f aca="false">-[5]Jul!$J$1</f>
        <v>-0</v>
      </c>
      <c r="J20" s="36" t="n">
        <f aca="false">-[6]Jul!$J$1</f>
        <v>-0</v>
      </c>
      <c r="K20" s="36" t="n">
        <f aca="false">-[7]Jul!$J$1</f>
        <v>-0</v>
      </c>
      <c r="L20" s="36"/>
      <c r="N20" s="57"/>
      <c r="O20" s="36" t="n">
        <f aca="false">SUM(D20:N20)</f>
        <v>20160</v>
      </c>
      <c r="P20" s="57"/>
      <c r="Q20" s="36" t="n">
        <f aca="false">[3]Aug!$F$1-[3]Aug!$V$1</f>
        <v>32920</v>
      </c>
      <c r="R20" s="36"/>
      <c r="S20" s="36" t="n">
        <f aca="false">-[4]Aug!$J$1</f>
        <v>-14200</v>
      </c>
      <c r="T20" s="36" t="n">
        <f aca="false">-[5]Aug!$J$1</f>
        <v>-0</v>
      </c>
      <c r="U20" s="36" t="n">
        <f aca="false">-[6]Aug!$J$1</f>
        <v>-0</v>
      </c>
      <c r="V20" s="36" t="n">
        <f aca="false">-[7]Aug!$J$1</f>
        <v>-0</v>
      </c>
      <c r="W20" s="36"/>
      <c r="X20" s="36" t="s">
        <v>118</v>
      </c>
      <c r="Y20" s="54"/>
      <c r="Z20" s="36" t="n">
        <f aca="false">SUM(O20:Y20)</f>
        <v>38880</v>
      </c>
      <c r="AA20" s="57"/>
      <c r="AB20" s="36" t="n">
        <f aca="false">[3]Sep!$F$1-[3]Sep!$V$1</f>
        <v>35200</v>
      </c>
      <c r="AC20" s="36"/>
      <c r="AD20" s="36" t="n">
        <f aca="false">-[4]Sep!$J$1</f>
        <v>-14900</v>
      </c>
      <c r="AE20" s="36" t="n">
        <f aca="false">-[5]Sep!$J$1</f>
        <v>-0</v>
      </c>
      <c r="AF20" s="36" t="n">
        <f aca="false">-[6]Sep!$J$1</f>
        <v>-0</v>
      </c>
      <c r="AG20" s="36" t="n">
        <f aca="false">-[7]Sep!$J$1</f>
        <v>-0</v>
      </c>
      <c r="AH20" s="36"/>
      <c r="AI20" s="36"/>
      <c r="AJ20" s="54"/>
      <c r="AK20" s="36" t="n">
        <f aca="false">SUM(Z20:AJ20)</f>
        <v>59180</v>
      </c>
      <c r="AL20" s="57"/>
      <c r="AM20" s="36" t="n">
        <f aca="false">[3]Oct!$F$1-[3]Oct!$V$1</f>
        <v>33760</v>
      </c>
      <c r="AN20" s="36"/>
      <c r="AO20" s="36" t="n">
        <f aca="false">-[4]Oct!$J$1</f>
        <v>-14000</v>
      </c>
      <c r="AP20" s="36" t="n">
        <f aca="false">-[5]Oct!$J$1</f>
        <v>-0</v>
      </c>
      <c r="AQ20" s="36" t="n">
        <f aca="false">-[6]Oct!$J$1</f>
        <v>-0</v>
      </c>
      <c r="AR20" s="36" t="n">
        <f aca="false">-[7]Oct!$J$1</f>
        <v>-0</v>
      </c>
      <c r="AS20" s="36"/>
      <c r="AT20" s="36"/>
      <c r="AU20" s="54"/>
      <c r="AV20" s="36" t="n">
        <f aca="false">SUM(AK20:AU20)</f>
        <v>78940</v>
      </c>
      <c r="AW20" s="57"/>
      <c r="AX20" s="36" t="n">
        <f aca="false">[3]Nov!$F$1-[3]Nov!$V$1</f>
        <v>36020</v>
      </c>
      <c r="AY20" s="36"/>
      <c r="AZ20" s="36" t="n">
        <f aca="false">-[4]Nov!$J$1</f>
        <v>-14600</v>
      </c>
      <c r="BA20" s="36" t="n">
        <f aca="false">-[5]Nov!$J$1</f>
        <v>-0</v>
      </c>
      <c r="BB20" s="36" t="n">
        <f aca="false">-[6]Nov!$J$1</f>
        <v>-0</v>
      </c>
      <c r="BC20" s="36" t="n">
        <f aca="false">-[7]Nov!$J$1</f>
        <v>-0</v>
      </c>
      <c r="BD20" s="36"/>
      <c r="BE20" s="36"/>
      <c r="BF20" s="54"/>
      <c r="BG20" s="36" t="n">
        <f aca="false">SUM(AV20:BF20)</f>
        <v>100360</v>
      </c>
      <c r="BH20" s="57"/>
      <c r="BI20" s="36" t="n">
        <f aca="false">[3]Dec!$F$1-[3]Dec!$V$1</f>
        <v>33760</v>
      </c>
      <c r="BJ20" s="36"/>
      <c r="BK20" s="36" t="n">
        <f aca="false">-[4]Dec!$J$1</f>
        <v>-13400</v>
      </c>
      <c r="BL20" s="36" t="n">
        <f aca="false">-[5]Dec!$J$1</f>
        <v>-0</v>
      </c>
      <c r="BM20" s="36" t="n">
        <f aca="false">-[6]Dec!$J$1</f>
        <v>-0</v>
      </c>
      <c r="BN20" s="36" t="n">
        <f aca="false">-[7]Dec!$J$1</f>
        <v>-0</v>
      </c>
      <c r="BO20" s="36"/>
      <c r="BP20" s="36"/>
      <c r="BQ20" s="54"/>
      <c r="BR20" s="36" t="n">
        <f aca="false">SUM(BG20:BQ20)</f>
        <v>120720</v>
      </c>
      <c r="BS20" s="57"/>
      <c r="BT20" s="36" t="n">
        <f aca="false">[3]Jan!$F$1-[3]Jan!$V$1</f>
        <v>50560</v>
      </c>
      <c r="BU20" s="36"/>
      <c r="BV20" s="36" t="n">
        <f aca="false">-[4]Jan!$J$1</f>
        <v>-30400</v>
      </c>
      <c r="BW20" s="36" t="n">
        <f aca="false">-[5]Jan!$J$1</f>
        <v>-0</v>
      </c>
      <c r="BX20" s="36" t="n">
        <f aca="false">-[6]Jan!$J$1</f>
        <v>-0</v>
      </c>
      <c r="BY20" s="36" t="n">
        <f aca="false">-[7]Jan!$J$1</f>
        <v>-0</v>
      </c>
      <c r="BZ20" s="36"/>
      <c r="CA20" s="36"/>
      <c r="CB20" s="54"/>
      <c r="CC20" s="36" t="n">
        <f aca="false">SUM(BR20:CB20)</f>
        <v>140880</v>
      </c>
      <c r="CD20" s="57"/>
      <c r="CE20" s="36" t="n">
        <f aca="false">[3]Feb!$F$1-[3]Feb!$V$1</f>
        <v>35320</v>
      </c>
      <c r="CF20" s="36"/>
      <c r="CG20" s="36" t="n">
        <f aca="false">-[4]Feb!$J$1</f>
        <v>-14500</v>
      </c>
      <c r="CH20" s="36" t="n">
        <f aca="false">-[5]Feb!$J$1</f>
        <v>-0</v>
      </c>
      <c r="CI20" s="36" t="n">
        <f aca="false">-[6]Feb!$J$1</f>
        <v>-0</v>
      </c>
      <c r="CJ20" s="36" t="n">
        <f aca="false">-[7]Feb!$J$1</f>
        <v>-0</v>
      </c>
      <c r="CK20" s="36"/>
      <c r="CL20" s="36"/>
      <c r="CM20" s="54"/>
      <c r="CN20" s="36" t="n">
        <f aca="false">SUM(CC20:CM20)</f>
        <v>161700</v>
      </c>
      <c r="CO20" s="57"/>
      <c r="CP20" s="36" t="n">
        <f aca="false">[3]Mar!$F$1-[3]Mar!$V$1</f>
        <v>32800</v>
      </c>
      <c r="CQ20" s="36"/>
      <c r="CR20" s="36" t="n">
        <f aca="false">-[4]Mar!$J$1</f>
        <v>-13900</v>
      </c>
      <c r="CS20" s="36" t="n">
        <f aca="false">-[5]Mar!$J$1</f>
        <v>-0</v>
      </c>
      <c r="CT20" s="36" t="n">
        <f aca="false">-[6]Mar!$J$1</f>
        <v>-0</v>
      </c>
      <c r="CU20" s="36" t="n">
        <f aca="false">-[7]Mar!$J$1</f>
        <v>-0</v>
      </c>
      <c r="CV20" s="36"/>
      <c r="CW20" s="36"/>
      <c r="CX20" s="54"/>
      <c r="CY20" s="36" t="n">
        <f aca="false">SUM(CN20:CX20)</f>
        <v>180600</v>
      </c>
      <c r="CZ20" s="57"/>
      <c r="DA20" s="36" t="n">
        <f aca="false">[3]Apr!$F$1-[3]Apr!$V$1</f>
        <v>35440</v>
      </c>
      <c r="DB20" s="36"/>
      <c r="DC20" s="36" t="n">
        <f aca="false">-[4]Apr!$J$1</f>
        <v>-15200</v>
      </c>
      <c r="DD20" s="36" t="n">
        <f aca="false">-[5]Apr!$J$1</f>
        <v>-0</v>
      </c>
      <c r="DE20" s="36" t="n">
        <f aca="false">-[6]Apr!$J$1</f>
        <v>-0</v>
      </c>
      <c r="DF20" s="36" t="n">
        <f aca="false">-[7]Apr!$J$1</f>
        <v>-0</v>
      </c>
      <c r="DG20" s="36"/>
      <c r="DH20" s="36"/>
      <c r="DI20" s="54"/>
      <c r="DJ20" s="36" t="n">
        <f aca="false">SUM(CY20:DI20)</f>
        <v>200840</v>
      </c>
      <c r="DK20" s="57"/>
      <c r="DL20" s="36" t="n">
        <f aca="false">[3]May!$F$1-[3]May!$V$1</f>
        <v>34360</v>
      </c>
      <c r="DM20" s="36"/>
      <c r="DN20" s="36" t="n">
        <f aca="false">-[4]May!$J$1</f>
        <v>-14300</v>
      </c>
      <c r="DO20" s="36" t="n">
        <f aca="false">-[5]May!$J$1</f>
        <v>-0</v>
      </c>
      <c r="DP20" s="36" t="n">
        <f aca="false">-[6]May!$J$1</f>
        <v>-0</v>
      </c>
      <c r="DQ20" s="36" t="n">
        <f aca="false">-[7]May!$J$1</f>
        <v>-0</v>
      </c>
      <c r="DR20" s="36"/>
      <c r="DS20" s="36"/>
      <c r="DT20" s="54"/>
      <c r="DU20" s="36" t="n">
        <f aca="false">SUM(DJ20:DT20)</f>
        <v>220900</v>
      </c>
      <c r="DV20" s="57"/>
      <c r="DW20" s="36" t="n">
        <f aca="false">[3]Jun!$F$1-[3]Jun!$V$1</f>
        <v>31000</v>
      </c>
      <c r="DX20" s="36"/>
      <c r="DY20" s="36" t="n">
        <f aca="false">-[4]Jun!$J$1</f>
        <v>-14800</v>
      </c>
      <c r="DZ20" s="36" t="n">
        <f aca="false">-[5]Jun!$J$1</f>
        <v>-0</v>
      </c>
      <c r="EA20" s="36" t="n">
        <f aca="false">-[6]Jun!$J$1</f>
        <v>-0</v>
      </c>
      <c r="EB20" s="36" t="n">
        <f aca="false">-[7]Jun!$J$1</f>
        <v>-0</v>
      </c>
      <c r="EC20" s="36"/>
      <c r="ED20" s="36"/>
      <c r="EE20" s="54"/>
      <c r="EF20" s="36" t="n">
        <f aca="false">SUM(DU20:EE20)</f>
        <v>237100</v>
      </c>
      <c r="EG20" s="54"/>
      <c r="EI20" s="54"/>
      <c r="EJ20" s="36" t="n">
        <f aca="false">SUM(EF20:EH20)</f>
        <v>237100</v>
      </c>
      <c r="EK20" s="54"/>
    </row>
    <row r="21" s="57" customFormat="true" ht="12" hidden="false" customHeight="false" outlineLevel="0" collapsed="false">
      <c r="A21" s="54"/>
      <c r="B21" s="58" t="s">
        <v>119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120</v>
      </c>
      <c r="C22" s="56" t="s">
        <v>121</v>
      </c>
      <c r="D22" s="36" t="n">
        <f aca="false">OpenAccounts!G18</f>
        <v>25000</v>
      </c>
      <c r="E22" s="57"/>
      <c r="F22" s="36"/>
      <c r="G22" s="36"/>
      <c r="H22" s="36" t="n">
        <f aca="false">[4]Jul!$F$1-[4]Jul!$X$1</f>
        <v>29600</v>
      </c>
      <c r="I22" s="36"/>
      <c r="J22" s="36"/>
      <c r="K22" s="36"/>
      <c r="L22" s="36"/>
      <c r="N22" s="57"/>
      <c r="O22" s="36" t="n">
        <f aca="false">SUM(D22:N22)</f>
        <v>54600</v>
      </c>
      <c r="P22" s="57"/>
      <c r="Q22" s="36"/>
      <c r="R22" s="36"/>
      <c r="S22" s="36" t="n">
        <f aca="false">[4]Aug!$F$1-[4]Aug!$X$1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74100</v>
      </c>
      <c r="AA22" s="57"/>
      <c r="AB22" s="36"/>
      <c r="AC22" s="36"/>
      <c r="AD22" s="36" t="n">
        <f aca="false">[4]Sep!$F$1-[4]Sep!$X$1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94000</v>
      </c>
      <c r="AL22" s="57"/>
      <c r="AM22" s="36"/>
      <c r="AN22" s="36"/>
      <c r="AO22" s="36" t="n">
        <f aca="false">[4]Oct!$F$1-[4]Oct!$X$1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113100</v>
      </c>
      <c r="AW22" s="57"/>
      <c r="AX22" s="36"/>
      <c r="AY22" s="36"/>
      <c r="AZ22" s="36" t="n">
        <f aca="false">[4]Nov!$F$1-[4]Nov!$X$1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135300</v>
      </c>
      <c r="BH22" s="57"/>
      <c r="BI22" s="36"/>
      <c r="BJ22" s="36"/>
      <c r="BK22" s="36" t="n">
        <f aca="false">[4]Dec!$F$1-[4]Dec!$X$1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153300</v>
      </c>
      <c r="BS22" s="57"/>
      <c r="BT22" s="36"/>
      <c r="BU22" s="36"/>
      <c r="BV22" s="36" t="n">
        <f aca="false">[4]Jan!$F$1-[4]Jan!$X$1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225700</v>
      </c>
      <c r="CD22" s="57"/>
      <c r="CE22" s="36"/>
      <c r="CF22" s="36"/>
      <c r="CG22" s="36" t="n">
        <f aca="false">[4]Feb!$F$1-[4]Feb!$X$1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245100</v>
      </c>
      <c r="CO22" s="57"/>
      <c r="CP22" s="36"/>
      <c r="CQ22" s="36"/>
      <c r="CR22" s="36" t="n">
        <f aca="false">[4]Mar!$F$1-[4]Mar!$X$1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264200</v>
      </c>
      <c r="CZ22" s="57"/>
      <c r="DA22" s="36"/>
      <c r="DB22" s="36"/>
      <c r="DC22" s="36" t="n">
        <f aca="false">[4]Apr!$F$1-[4]Apr!$X$1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291200</v>
      </c>
      <c r="DK22" s="57"/>
      <c r="DL22" s="36"/>
      <c r="DM22" s="36"/>
      <c r="DN22" s="36" t="n">
        <f aca="false">[4]May!$F$1-[4]May!$X$1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310900</v>
      </c>
      <c r="DV22" s="57"/>
      <c r="DW22" s="36"/>
      <c r="DX22" s="36"/>
      <c r="DY22" s="36" t="n">
        <f aca="false">[4]Jun!$F$1-[4]Jun!$X$1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335500</v>
      </c>
      <c r="EG22" s="54"/>
      <c r="EI22" s="54"/>
      <c r="EJ22" s="36" t="n">
        <f aca="false">SUM(EF22:EH22)</f>
        <v>335500</v>
      </c>
      <c r="EK22" s="54"/>
    </row>
    <row r="23" customFormat="false" ht="12" hidden="false" customHeight="false" outlineLevel="0" collapsed="false">
      <c r="A23" s="54"/>
      <c r="B23" s="54" t="s">
        <v>122</v>
      </c>
      <c r="C23" s="56" t="s">
        <v>123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[5]Jul!$F$1-[5]Jul!$X$1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[5]Aug!$F$1-[5]Aug!$X$1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[5]Sep!$F$1-[5]Sep!$X$1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[5]Oct!$F$1-[5]Oct!$X$1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[5]Nov!$F$1-[5]Nov!$X$1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[5]Dec!$F$1-[5]Dec!$X$1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[5]Jan!$F$1-[5]Jan!$X$1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[5]Feb!$F$1-[5]Feb!$X$1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[5]Mar!$F$1-[5]Mar!$X$1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[5]Apr!$F$1-[5]Apr!$X$1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[5]May!$F$1-[5]May!$X$1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[5]Jun!$F$1-[5]Jun!$X$1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124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[6]Jul!$F$1-[6]Jul!$X$1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[6]Aug!$F$1-[6]Aug!$X$1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[6]Sep!$F$1-[6]Sep!$X$1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[6]Oct!$F$1-[6]Oct!$X$1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[6]Nov!$F$1-[6]Nov!$X$1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[6]Dec!$F$1-[6]Dec!$X$1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[6]Jan!$F$1-[6]Jan!$X$1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[6]Feb!$F$1-[6]Feb!$X$1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[6]Mar!$F$1-[6]Mar!$X$1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[6]Apr!$F$1-[6]Apr!$X$1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[6]May!$F$1-[6]May!$X$1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[6]Jun!$F$1-[6]Jun!$X$1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125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[7]Jul!$F$1-[7]Jul!$U$1</f>
        <v>15</v>
      </c>
      <c r="L25" s="36"/>
      <c r="N25" s="57"/>
      <c r="O25" s="36" t="n">
        <f aca="false">SUM(D25:N25)</f>
        <v>515</v>
      </c>
      <c r="P25" s="57"/>
      <c r="Q25" s="36"/>
      <c r="R25" s="36"/>
      <c r="S25" s="36"/>
      <c r="T25" s="36"/>
      <c r="U25" s="36"/>
      <c r="V25" s="36" t="n">
        <f aca="false">[7]Aug!$F$1-[7]Aug!$U$1</f>
        <v>0</v>
      </c>
      <c r="W25" s="36"/>
      <c r="X25" s="36"/>
      <c r="Y25" s="54"/>
      <c r="Z25" s="36" t="n">
        <f aca="false">SUM(O25:Y25)</f>
        <v>515</v>
      </c>
      <c r="AA25" s="57"/>
      <c r="AB25" s="36"/>
      <c r="AC25" s="36"/>
      <c r="AD25" s="36"/>
      <c r="AE25" s="36"/>
      <c r="AF25" s="36"/>
      <c r="AG25" s="36" t="n">
        <f aca="false">[7]Sep!$F$1-[7]Sep!$U$1</f>
        <v>125</v>
      </c>
      <c r="AH25" s="36"/>
      <c r="AI25" s="36"/>
      <c r="AJ25" s="54"/>
      <c r="AK25" s="36" t="n">
        <f aca="false">SUM(Z25:AJ25)</f>
        <v>640</v>
      </c>
      <c r="AL25" s="57"/>
      <c r="AM25" s="36"/>
      <c r="AN25" s="36"/>
      <c r="AO25" s="36"/>
      <c r="AP25" s="36"/>
      <c r="AQ25" s="36"/>
      <c r="AR25" s="36" t="n">
        <f aca="false">[7]Oct!$F$1-[7]Oct!$U$1</f>
        <v>0</v>
      </c>
      <c r="AS25" s="36"/>
      <c r="AT25" s="36"/>
      <c r="AU25" s="54"/>
      <c r="AV25" s="36" t="n">
        <f aca="false">SUM(AK25:AU25)</f>
        <v>640</v>
      </c>
      <c r="AW25" s="57"/>
      <c r="AX25" s="36"/>
      <c r="AY25" s="36"/>
      <c r="AZ25" s="36"/>
      <c r="BA25" s="36"/>
      <c r="BB25" s="36"/>
      <c r="BC25" s="36" t="n">
        <f aca="false">[7]Nov!$F$1-[7]Nov!$U$1</f>
        <v>0</v>
      </c>
      <c r="BD25" s="36"/>
      <c r="BE25" s="36"/>
      <c r="BF25" s="54"/>
      <c r="BG25" s="36" t="n">
        <f aca="false">SUM(AV25:BF25)</f>
        <v>640</v>
      </c>
      <c r="BH25" s="57"/>
      <c r="BI25" s="36"/>
      <c r="BJ25" s="36"/>
      <c r="BK25" s="36"/>
      <c r="BL25" s="36"/>
      <c r="BM25" s="36"/>
      <c r="BN25" s="36" t="n">
        <f aca="false">[7]Dec!$F$1-[7]Dec!$U$1</f>
        <v>18</v>
      </c>
      <c r="BO25" s="36"/>
      <c r="BP25" s="36"/>
      <c r="BQ25" s="54"/>
      <c r="BR25" s="36" t="n">
        <f aca="false">SUM(BG25:BQ25)</f>
        <v>658</v>
      </c>
      <c r="BS25" s="57"/>
      <c r="BT25" s="36"/>
      <c r="BU25" s="36"/>
      <c r="BV25" s="36"/>
      <c r="BW25" s="36"/>
      <c r="BX25" s="36"/>
      <c r="BY25" s="36" t="n">
        <f aca="false">[7]Jan!$F$1-[7]Jan!$U$1</f>
        <v>0</v>
      </c>
      <c r="BZ25" s="36"/>
      <c r="CA25" s="36"/>
      <c r="CB25" s="54"/>
      <c r="CC25" s="36" t="n">
        <f aca="false">SUM(BR25:CB25)</f>
        <v>658</v>
      </c>
      <c r="CD25" s="57"/>
      <c r="CE25" s="36"/>
      <c r="CF25" s="36"/>
      <c r="CG25" s="36"/>
      <c r="CH25" s="36"/>
      <c r="CI25" s="36"/>
      <c r="CJ25" s="36" t="n">
        <f aca="false">[7]Feb!$F$1-[7]Feb!$U$1</f>
        <v>0</v>
      </c>
      <c r="CK25" s="36"/>
      <c r="CL25" s="36"/>
      <c r="CM25" s="54"/>
      <c r="CN25" s="36" t="n">
        <f aca="false">SUM(CC25:CM25)</f>
        <v>658</v>
      </c>
      <c r="CO25" s="57"/>
      <c r="CP25" s="36"/>
      <c r="CQ25" s="36"/>
      <c r="CR25" s="36"/>
      <c r="CS25" s="36"/>
      <c r="CT25" s="36"/>
      <c r="CU25" s="36" t="n">
        <f aca="false">[7]Mar!$F$1-[7]Mar!$U$1</f>
        <v>50</v>
      </c>
      <c r="CV25" s="36"/>
      <c r="CW25" s="36"/>
      <c r="CX25" s="54"/>
      <c r="CY25" s="36" t="n">
        <f aca="false">SUM(CN25:CX25)</f>
        <v>708</v>
      </c>
      <c r="CZ25" s="57"/>
      <c r="DA25" s="36"/>
      <c r="DB25" s="36"/>
      <c r="DC25" s="36"/>
      <c r="DD25" s="36"/>
      <c r="DE25" s="36"/>
      <c r="DF25" s="36" t="n">
        <f aca="false">[7]Apr!$F$1-[7]Apr!$U$1</f>
        <v>0</v>
      </c>
      <c r="DG25" s="36"/>
      <c r="DH25" s="36"/>
      <c r="DI25" s="54"/>
      <c r="DJ25" s="36" t="n">
        <f aca="false">SUM(CY25:DI25)</f>
        <v>708</v>
      </c>
      <c r="DK25" s="57"/>
      <c r="DL25" s="36"/>
      <c r="DM25" s="36"/>
      <c r="DN25" s="36"/>
      <c r="DO25" s="36"/>
      <c r="DP25" s="36"/>
      <c r="DQ25" s="36" t="n">
        <f aca="false">[7]May!$F$1-[7]May!$U$1</f>
        <v>0</v>
      </c>
      <c r="DR25" s="36"/>
      <c r="DS25" s="36"/>
      <c r="DT25" s="54"/>
      <c r="DU25" s="36" t="n">
        <f aca="false">SUM(DJ25:DT25)</f>
        <v>708</v>
      </c>
      <c r="DV25" s="57"/>
      <c r="DW25" s="36"/>
      <c r="DX25" s="36"/>
      <c r="DY25" s="36"/>
      <c r="DZ25" s="36"/>
      <c r="EA25" s="36"/>
      <c r="EB25" s="36" t="n">
        <f aca="false">[7]Jun!$F$1-[7]Jun!$U$1</f>
        <v>12</v>
      </c>
      <c r="EC25" s="36"/>
      <c r="ED25" s="36"/>
      <c r="EE25" s="54"/>
      <c r="EF25" s="36" t="n">
        <f aca="false">SUM(DU25:EE25)</f>
        <v>720</v>
      </c>
      <c r="EG25" s="54"/>
      <c r="EH25" s="36" t="n">
        <f aca="false">[8]Boardmeeting!$E$6</f>
        <v>0</v>
      </c>
      <c r="EI25" s="54"/>
      <c r="EJ25" s="36" t="n">
        <f aca="false">SUM(EF25:EH25)</f>
        <v>720</v>
      </c>
      <c r="EK25" s="54"/>
    </row>
    <row r="26" customFormat="false" ht="12" hidden="false" customHeight="false" outlineLevel="0" collapsed="false">
      <c r="A26" s="54"/>
      <c r="B26" s="54" t="s">
        <v>126</v>
      </c>
      <c r="C26" s="56"/>
      <c r="D26" s="36" t="n">
        <v>0</v>
      </c>
      <c r="E26" s="57"/>
      <c r="F26" s="36"/>
      <c r="G26" s="36"/>
      <c r="H26" s="36" t="n">
        <f aca="false">-[4]Jul!$G$1-[4]Jul!$H$1-[4]Jul!$I$1+[4]Jul!$Y$1+[4]Jul!$Z$1+[4]Jul!$AA$1</f>
        <v>0</v>
      </c>
      <c r="I26" s="36" t="n">
        <f aca="false">-[5]Jul!$G$1-[5]Jul!$H$1-[5]Jul!$I$1+[5]Jul!$Y$1+[5]Jul!$Z$1+[5]Jul!$AA$1</f>
        <v>0</v>
      </c>
      <c r="J26" s="36" t="n">
        <f aca="false">-[6]Jul!$G$1-[6]Jul!$H$1-[6]Jul!$I$1+[6]Jul!$Y$1+[6]Jul!$Z$1+[6]Jul!$AA$1</f>
        <v>0</v>
      </c>
      <c r="K26" s="36" t="n">
        <f aca="false">-[7]Jul!$G$1-[7]Jul!$H$1-[7]Jul!$I$1+[7]Jul!$V$1+[7]Jul!$W$1+[7]Jul!$X$1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-[4]Aug!$G$1-[4]Aug!$H$1-[4]Aug!$I$1+[4]Aug!$Y$1+[4]Aug!$Z$1+[4]Aug!$AA$1</f>
        <v>0</v>
      </c>
      <c r="T26" s="36" t="n">
        <f aca="false">-[5]Aug!$G$1-[5]Aug!$H$1-[5]Aug!$I$1+[5]Aug!$Y$1+[5]Aug!$Z$1+[5]Aug!$AA$1</f>
        <v>0</v>
      </c>
      <c r="U26" s="36" t="n">
        <f aca="false">-[6]Aug!$G$1-[6]Aug!$H$1-[6]Aug!$I$1+[6]Aug!$Y$1+[6]Aug!$Z$1+[6]Aug!$AA$1</f>
        <v>0</v>
      </c>
      <c r="V26" s="36" t="n">
        <f aca="false">-[7]Aug!$G$1-[7]Aug!$H$1-[7]Aug!$I$1+[7]Aug!$V$1+[7]Aug!$W$1+[7]Aug!$X$1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-[4]Sep!$G$1-[4]Sep!$H$1-[4]Sep!$I$1+[4]Sep!$Y$1+[4]Sep!$Z$1+[4]Sep!$AA$1</f>
        <v>0</v>
      </c>
      <c r="AE26" s="36" t="n">
        <f aca="false">-[5]Sep!$G$1-[5]Sep!$H$1-[5]Sep!$I$1+[5]Sep!$Y$1+[5]Sep!$Z$1+[5]Sep!$AA$1</f>
        <v>0</v>
      </c>
      <c r="AF26" s="36" t="n">
        <f aca="false">-[6]Sep!$G$1-[6]Sep!$H$1-[6]Sep!$I$1+[6]Sep!$Y$1+[6]Sep!$Z$1+[6]Sep!$AA$1</f>
        <v>0</v>
      </c>
      <c r="AG26" s="36" t="n">
        <f aca="false">-[7]Sep!$G$1-[7]Sep!$H$1-[7]Sep!$I$1+[7]Sep!$V$1+[7]Sep!$W$1+[7]Sep!$X$1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-[4]Oct!$G$1-[4]Oct!$H$1-[4]Oct!$I$1+[4]Oct!$Y$1+[4]Oct!$Z$1+[4]Oct!$AA$1</f>
        <v>0</v>
      </c>
      <c r="AP26" s="36" t="n">
        <f aca="false">-[5]Oct!$G$1-[5]Oct!$H$1-[5]Oct!$I$1+[5]Oct!$Y$1+[5]Oct!$Z$1+[5]Oct!$AA$1</f>
        <v>0</v>
      </c>
      <c r="AQ26" s="36" t="n">
        <f aca="false">-[6]Oct!$G$1-[6]Oct!$H$1-[6]Oct!$I$1+[6]Oct!$Y$1+[6]Oct!$Z$1+[6]Oct!$AA$1</f>
        <v>0</v>
      </c>
      <c r="AR26" s="36" t="n">
        <f aca="false">-[7]Oct!$G$1-[7]Oct!$H$1-[7]Oct!$I$1+[7]Oct!$V$1+[7]Oct!$W$1+[7]Oct!$X$1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-[4]Nov!$G$1-[4]Nov!$H$1-[4]Nov!$I$1+[4]Nov!$Y$1+[4]Nov!$Z$1+[4]Nov!$AA$1</f>
        <v>0</v>
      </c>
      <c r="BA26" s="36" t="n">
        <f aca="false">-[5]Nov!$G$1-[5]Nov!$H$1-[5]Nov!$I$1+[5]Nov!$Y$1+[5]Nov!$Z$1+[5]Nov!$AA$1</f>
        <v>0</v>
      </c>
      <c r="BB26" s="36" t="n">
        <f aca="false">-[6]Nov!$G$1-[6]Nov!$H$1-[6]Nov!$I$1+[6]Nov!$Y$1+[6]Nov!$Z$1+[6]Nov!$AA$1</f>
        <v>0</v>
      </c>
      <c r="BC26" s="36" t="n">
        <f aca="false">-[7]Nov!$G$1-[7]Nov!$H$1-[7]Nov!$I$1+[7]Nov!$V$1+[7]Nov!$W$1+[7]Nov!$X$1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-[4]Dec!$G$1-[4]Dec!$H$1-[4]Dec!$I$1+[4]Dec!$Y$1+[4]Dec!$Z$1+[4]Dec!$AA$1</f>
        <v>0</v>
      </c>
      <c r="BL26" s="36" t="n">
        <f aca="false">-[5]Dec!$G$1-[5]Dec!$H$1-[5]Dec!$I$1+[5]Dec!$Y$1+[5]Dec!$Z$1+[5]Dec!$AA$1</f>
        <v>0</v>
      </c>
      <c r="BM26" s="36" t="n">
        <f aca="false">-[6]Dec!$G$1-[6]Dec!$H$1-[6]Dec!$I$1+[6]Dec!$Y$1+[6]Dec!$Z$1+[6]Dec!$AA$1</f>
        <v>0</v>
      </c>
      <c r="BN26" s="36" t="n">
        <f aca="false">-[7]Dec!$G$1-[7]Dec!$H$1-[7]Dec!$I$1+[7]Dec!$V$1+[7]Dec!$W$1+[7]Dec!$X$1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-[4]Jan!$G$1-[4]Jan!$H$1-[4]Jan!$I$1+[4]Jan!$Y$1+[4]Jan!$Z$1+[4]Jan!$AA$1</f>
        <v>0</v>
      </c>
      <c r="BW26" s="36" t="n">
        <f aca="false">-[5]Jan!$G$1-[5]Jan!$H$1-[5]Jan!$I$1+[5]Jan!$Y$1+[5]Jan!$Z$1+[5]Jan!$AA$1</f>
        <v>0</v>
      </c>
      <c r="BX26" s="36" t="n">
        <f aca="false">-[6]Jan!$G$1-[6]Jan!$H$1-[6]Jan!$I$1+[6]Jan!$Y$1+[6]Jan!$Z$1+[6]Jan!$AA$1</f>
        <v>0</v>
      </c>
      <c r="BY26" s="36" t="n">
        <f aca="false">-[7]Jan!$G$1-[7]Jan!$H$1-[7]Jan!$I$1+[7]Jan!$V$1+[7]Jan!$W$1+[7]Jan!$X$1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-[4]Feb!$G$1-[4]Feb!$H$1-[4]Feb!$I$1+[4]Feb!$Y$1+[4]Feb!$Z$1+[4]Feb!$AA$1</f>
        <v>0</v>
      </c>
      <c r="CH26" s="36" t="n">
        <f aca="false">-[5]Feb!$G$1-[5]Feb!$H$1-[5]Feb!$I$1+[5]Feb!$Y$1+[5]Feb!$Z$1+[5]Feb!$AA$1</f>
        <v>0</v>
      </c>
      <c r="CI26" s="36" t="n">
        <f aca="false">-[6]Feb!$G$1-[6]Feb!$H$1-[6]Feb!$I$1+[6]Feb!$Y$1+[6]Feb!$Z$1+[6]Feb!$AA$1</f>
        <v>0</v>
      </c>
      <c r="CJ26" s="36" t="n">
        <f aca="false">-[7]Feb!$G$1-[7]Feb!$H$1-[7]Feb!$I$1+[7]Feb!$V$1+[7]Feb!$W$1+[7]Feb!$X$1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-[4]Mar!$G$1-[4]Mar!$H$1-[4]Mar!$I$1+[4]Mar!$Y$1+[4]Mar!$Z$1+[4]Mar!$AA$1</f>
        <v>0</v>
      </c>
      <c r="CS26" s="36" t="n">
        <f aca="false">-[5]Mar!$G$1-[5]Mar!$H$1-[5]Mar!$I$1+[5]Mar!$Y$1+[5]Mar!$Z$1+[5]Mar!$AA$1</f>
        <v>0</v>
      </c>
      <c r="CT26" s="36" t="n">
        <f aca="false">-[6]Mar!$G$1-[6]Mar!$H$1-[6]Mar!$I$1+[6]Mar!$Y$1+[6]Mar!$Z$1+[6]Mar!$AA$1</f>
        <v>0</v>
      </c>
      <c r="CU26" s="36" t="n">
        <f aca="false">-[7]Mar!$G$1-[7]Mar!$H$1-[7]Mar!$I$1+[7]Mar!$V$1+[7]Mar!$W$1+[7]Mar!$X$1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-[4]Apr!$G$1-[4]Apr!$H$1-[4]Apr!$I$1+[4]Apr!$Y$1+[4]Apr!$Z$1+[4]Apr!$AA$1</f>
        <v>0</v>
      </c>
      <c r="DD26" s="36" t="n">
        <f aca="false">-[5]Apr!$G$1-[5]Apr!$H$1-[5]Apr!$I$1+[5]Apr!$Y$1+[5]Apr!$Z$1+[5]Apr!$AA$1</f>
        <v>0</v>
      </c>
      <c r="DE26" s="36" t="n">
        <f aca="false">-[6]Apr!$G$1-[6]Apr!$H$1-[6]Apr!$I$1+[6]Apr!$Y$1+[6]Apr!$Z$1+[6]Apr!$AA$1</f>
        <v>0</v>
      </c>
      <c r="DF26" s="36" t="n">
        <f aca="false">-[7]Apr!$G$1-[7]Apr!$H$1-[7]Apr!$I$1+[7]Apr!$V$1+[7]Apr!$W$1+[7]Apr!$X$1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-[4]May!$G$1-[4]May!$H$1-[4]May!$I$1+[4]May!$Y$1+[4]May!$Z$1+[4]May!$AA$1</f>
        <v>0</v>
      </c>
      <c r="DO26" s="36" t="n">
        <f aca="false">-[5]May!$G$1-[5]May!$H$1-[5]May!$I$1+[5]May!$Y$1+[5]May!$Z$1+[5]May!$AA$1</f>
        <v>0</v>
      </c>
      <c r="DP26" s="36" t="n">
        <f aca="false">-[6]May!$G$1-[6]May!$H$1-[6]May!$I$1+[6]May!$Y$1+[6]May!$Z$1+[6]May!$AA$1</f>
        <v>0</v>
      </c>
      <c r="DQ26" s="36" t="n">
        <f aca="false">-[7]May!$G$1-[7]May!$H$1-[7]May!$I$1+[7]May!$V$1+[7]May!$W$1+[7]May!$X$1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-[4]Jun!$G$1-[4]Jun!$H$1-[4]Jun!$I$1+[4]Jun!$Y$1+[4]Jun!$Z$1+[4]Jun!$AA$1</f>
        <v>0</v>
      </c>
      <c r="DZ26" s="36" t="n">
        <f aca="false">-[5]Jun!$G$1-[5]Jun!$H$1-[5]Jun!$I$1+[5]Jun!$Y$1+[5]Jun!$Z$1+[5]Jun!$AA$1</f>
        <v>0</v>
      </c>
      <c r="EA26" s="36" t="n">
        <f aca="false">-[6]Jun!$G$1-[6]Jun!$H$1-[6]Jun!$I$1+[6]Jun!$Y$1+[6]Jun!$Z$1+[6]Jun!$AA$1</f>
        <v>0</v>
      </c>
      <c r="EB26" s="36" t="n">
        <f aca="false">-[7]Jun!$G$1-[7]Jun!$H$1-[7]Jun!$I$1+[7]Jun!$V$1+[7]Jun!$W$1+[7]Jun!$X$1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127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29</v>
      </c>
      <c r="C28" s="56" t="s">
        <v>128</v>
      </c>
      <c r="D28" s="36" t="n">
        <f aca="false">-OpenAccounts!E20</f>
        <v>-2400</v>
      </c>
      <c r="E28" s="57"/>
      <c r="F28" s="36"/>
      <c r="G28" s="36" t="n">
        <f aca="false">-[2]Jul!$F$1+[2]Jul!$AK$1</f>
        <v>-5536.25</v>
      </c>
      <c r="H28" s="36" t="n">
        <f aca="false">[4]Jul!$AB$1</f>
        <v>0</v>
      </c>
      <c r="I28" s="36" t="n">
        <f aca="false">[5]Jul!$AB$1</f>
        <v>0</v>
      </c>
      <c r="J28" s="36" t="n">
        <f aca="false">[6]Jul!$AB$1</f>
        <v>0</v>
      </c>
      <c r="K28" s="36" t="n">
        <f aca="false">[7]Jul!$Y$1</f>
        <v>0</v>
      </c>
      <c r="L28" s="36"/>
      <c r="N28" s="57"/>
      <c r="O28" s="36" t="n">
        <f aca="false">SUM(D28:N28)</f>
        <v>-7936.25</v>
      </c>
      <c r="P28" s="57"/>
      <c r="Q28" s="36"/>
      <c r="R28" s="36" t="n">
        <f aca="false">-[2]Aug!$F$1+[2]Aug!$AK$1</f>
        <v>-6375</v>
      </c>
      <c r="S28" s="36" t="n">
        <f aca="false">[4]Aug!$AB$1</f>
        <v>0</v>
      </c>
      <c r="T28" s="36" t="n">
        <f aca="false">[5]Aug!$AB$1</f>
        <v>0</v>
      </c>
      <c r="U28" s="36" t="n">
        <f aca="false">[6]Aug!$AB$1</f>
        <v>0</v>
      </c>
      <c r="V28" s="36" t="n">
        <f aca="false">[7]Aug!$Y$1</f>
        <v>0</v>
      </c>
      <c r="W28" s="36"/>
      <c r="X28" s="36"/>
      <c r="Y28" s="54"/>
      <c r="Z28" s="36" t="n">
        <f aca="false">SUM(O28:Y28)</f>
        <v>-14311.25</v>
      </c>
      <c r="AA28" s="57"/>
      <c r="AB28" s="36"/>
      <c r="AC28" s="36" t="n">
        <f aca="false">-[2]Sep!$F$1+[2]Sep!$AK$1</f>
        <v>-9057</v>
      </c>
      <c r="AD28" s="36" t="n">
        <f aca="false">[4]Sep!$AB$1</f>
        <v>0</v>
      </c>
      <c r="AE28" s="36" t="n">
        <f aca="false">[5]Sep!$AB$1</f>
        <v>0</v>
      </c>
      <c r="AF28" s="36" t="n">
        <f aca="false">[6]Sep!$AB$1</f>
        <v>0</v>
      </c>
      <c r="AG28" s="36" t="n">
        <f aca="false">[7]Sep!$Y$1</f>
        <v>0</v>
      </c>
      <c r="AH28" s="36"/>
      <c r="AI28" s="36"/>
      <c r="AJ28" s="54"/>
      <c r="AK28" s="36" t="n">
        <f aca="false">SUM(Z28:AJ28)</f>
        <v>-23368.25</v>
      </c>
      <c r="AL28" s="57"/>
      <c r="AM28" s="36"/>
      <c r="AN28" s="36" t="n">
        <f aca="false">-[2]Oct!$F$1+[2]Oct!$AK$1</f>
        <v>-9059.25</v>
      </c>
      <c r="AO28" s="36" t="n">
        <f aca="false">[4]Oct!$AB$1</f>
        <v>0</v>
      </c>
      <c r="AP28" s="36" t="n">
        <f aca="false">[5]Oct!$AB$1</f>
        <v>0</v>
      </c>
      <c r="AQ28" s="36" t="n">
        <f aca="false">[6]Oct!$AB$1</f>
        <v>0</v>
      </c>
      <c r="AR28" s="36" t="n">
        <f aca="false">[7]Oct!$Y$1</f>
        <v>0</v>
      </c>
      <c r="AS28" s="36"/>
      <c r="AT28" s="36"/>
      <c r="AU28" s="54"/>
      <c r="AV28" s="36" t="n">
        <f aca="false">SUM(AK28:AU28)</f>
        <v>-32427.5</v>
      </c>
      <c r="AW28" s="57"/>
      <c r="AX28" s="36"/>
      <c r="AY28" s="36" t="n">
        <f aca="false">-[2]Nov!$F$1+[2]Nov!$AK$1</f>
        <v>-4105.25</v>
      </c>
      <c r="AZ28" s="36" t="n">
        <f aca="false">[4]Nov!$AB$1</f>
        <v>0</v>
      </c>
      <c r="BA28" s="36" t="n">
        <f aca="false">[5]Nov!$AB$1</f>
        <v>0</v>
      </c>
      <c r="BB28" s="36" t="n">
        <f aca="false">[6]Nov!$AB$1</f>
        <v>0</v>
      </c>
      <c r="BC28" s="36" t="n">
        <f aca="false">[7]Nov!$Y$1</f>
        <v>0</v>
      </c>
      <c r="BD28" s="36"/>
      <c r="BE28" s="36"/>
      <c r="BF28" s="54"/>
      <c r="BG28" s="36" t="n">
        <f aca="false">SUM(AV28:BF28)</f>
        <v>-36532.75</v>
      </c>
      <c r="BH28" s="57"/>
      <c r="BI28" s="36"/>
      <c r="BJ28" s="36" t="n">
        <f aca="false">-[2]Dec!$F$1+[2]Dec!$AK$1</f>
        <v>-5275</v>
      </c>
      <c r="BK28" s="36" t="n">
        <f aca="false">[4]Dec!$AB$1</f>
        <v>0</v>
      </c>
      <c r="BL28" s="36" t="n">
        <f aca="false">[5]Dec!$AB$1</f>
        <v>0</v>
      </c>
      <c r="BM28" s="36" t="n">
        <f aca="false">[6]Dec!$AB$1</f>
        <v>0</v>
      </c>
      <c r="BN28" s="36" t="n">
        <f aca="false">[7]Dec!$Y$1</f>
        <v>0</v>
      </c>
      <c r="BO28" s="36"/>
      <c r="BP28" s="36"/>
      <c r="BQ28" s="54"/>
      <c r="BR28" s="36" t="n">
        <f aca="false">SUM(BG28:BQ28)</f>
        <v>-41807.75</v>
      </c>
      <c r="BS28" s="57"/>
      <c r="BT28" s="36"/>
      <c r="BU28" s="36" t="n">
        <f aca="false">-[2]Jan!$F$1+[2]Jan!$AK$1</f>
        <v>-43005.75</v>
      </c>
      <c r="BV28" s="36" t="n">
        <f aca="false">[4]Jan!$AB$1</f>
        <v>0</v>
      </c>
      <c r="BW28" s="36" t="n">
        <f aca="false">[5]Jan!$AB$1</f>
        <v>0</v>
      </c>
      <c r="BX28" s="36" t="n">
        <f aca="false">[6]Jan!$AB$1</f>
        <v>0</v>
      </c>
      <c r="BY28" s="36" t="n">
        <f aca="false">[7]Jan!$Y$1</f>
        <v>0</v>
      </c>
      <c r="BZ28" s="36"/>
      <c r="CA28" s="36"/>
      <c r="CB28" s="54"/>
      <c r="CC28" s="36" t="n">
        <f aca="false">SUM(BR28:CB28)</f>
        <v>-84813.5</v>
      </c>
      <c r="CD28" s="57"/>
      <c r="CE28" s="36"/>
      <c r="CF28" s="36" t="n">
        <f aca="false">-[2]Feb!$F$1+[2]Feb!$AK$1</f>
        <v>-6618</v>
      </c>
      <c r="CG28" s="36" t="n">
        <f aca="false">[4]Feb!$AB$1</f>
        <v>0</v>
      </c>
      <c r="CH28" s="36" t="n">
        <f aca="false">[5]Feb!$AB$1</f>
        <v>0</v>
      </c>
      <c r="CI28" s="36" t="n">
        <f aca="false">[6]Feb!$AB$1</f>
        <v>0</v>
      </c>
      <c r="CJ28" s="36" t="n">
        <f aca="false">[7]Feb!$Y$1</f>
        <v>0</v>
      </c>
      <c r="CK28" s="36"/>
      <c r="CL28" s="36"/>
      <c r="CM28" s="54"/>
      <c r="CN28" s="36" t="n">
        <f aca="false">SUM(CC28:CM28)</f>
        <v>-91431.5</v>
      </c>
      <c r="CO28" s="57"/>
      <c r="CP28" s="36"/>
      <c r="CQ28" s="36" t="n">
        <f aca="false">-[2]Mar!$F$1+[2]Mar!$AK$1</f>
        <v>-9751.5</v>
      </c>
      <c r="CR28" s="36" t="n">
        <f aca="false">[4]Mar!$AB$1</f>
        <v>0</v>
      </c>
      <c r="CS28" s="36" t="n">
        <f aca="false">[5]Mar!$AB$1</f>
        <v>0</v>
      </c>
      <c r="CT28" s="36" t="n">
        <f aca="false">[6]Mar!$AB$1</f>
        <v>0</v>
      </c>
      <c r="CU28" s="36" t="n">
        <f aca="false">[7]Mar!$Y$1</f>
        <v>0</v>
      </c>
      <c r="CV28" s="36"/>
      <c r="CW28" s="36"/>
      <c r="CX28" s="54"/>
      <c r="CY28" s="36" t="n">
        <f aca="false">SUM(CN28:CX28)</f>
        <v>-101183</v>
      </c>
      <c r="CZ28" s="57"/>
      <c r="DA28" s="36"/>
      <c r="DB28" s="36" t="n">
        <f aca="false">-[2]Apr!$F$1+[2]Apr!$AK$1</f>
        <v>-4211.25</v>
      </c>
      <c r="DC28" s="36" t="n">
        <f aca="false">[4]Apr!$AB$1</f>
        <v>0</v>
      </c>
      <c r="DD28" s="36" t="n">
        <f aca="false">[5]Apr!$AB$1</f>
        <v>0</v>
      </c>
      <c r="DE28" s="36" t="n">
        <f aca="false">[6]Apr!$AB$1</f>
        <v>0</v>
      </c>
      <c r="DF28" s="36" t="n">
        <f aca="false">[7]Apr!$Y$1</f>
        <v>0</v>
      </c>
      <c r="DG28" s="36"/>
      <c r="DH28" s="36"/>
      <c r="DI28" s="54"/>
      <c r="DJ28" s="36" t="n">
        <f aca="false">SUM(CY28:DI28)</f>
        <v>-105394.25</v>
      </c>
      <c r="DK28" s="57"/>
      <c r="DL28" s="36"/>
      <c r="DM28" s="36" t="n">
        <f aca="false">-[2]May!$F$1+[2]May!$AK$1</f>
        <v>-4696.5</v>
      </c>
      <c r="DN28" s="36" t="n">
        <f aca="false">[4]May!$AB$1</f>
        <v>0</v>
      </c>
      <c r="DO28" s="36" t="n">
        <f aca="false">[5]May!$AB$1</f>
        <v>0</v>
      </c>
      <c r="DP28" s="36" t="n">
        <f aca="false">[6]May!$AB$1</f>
        <v>0</v>
      </c>
      <c r="DQ28" s="36" t="n">
        <f aca="false">[7]May!$Y$1</f>
        <v>0</v>
      </c>
      <c r="DR28" s="36"/>
      <c r="DS28" s="36"/>
      <c r="DT28" s="54"/>
      <c r="DU28" s="36" t="n">
        <f aca="false">SUM(DJ28:DT28)</f>
        <v>-110090.75</v>
      </c>
      <c r="DV28" s="57"/>
      <c r="DW28" s="36"/>
      <c r="DX28" s="36" t="n">
        <f aca="false">-[2]Jun!$F$1+[2]Jun!$AK$1</f>
        <v>-3301.5</v>
      </c>
      <c r="DY28" s="36" t="n">
        <f aca="false">[4]Jun!$AB$1</f>
        <v>0</v>
      </c>
      <c r="DZ28" s="36" t="n">
        <f aca="false">[5]Jun!$AB$1</f>
        <v>0</v>
      </c>
      <c r="EA28" s="36" t="n">
        <f aca="false">[6]Jun!$AB$1</f>
        <v>0</v>
      </c>
      <c r="EB28" s="36" t="n">
        <f aca="false">[7]Jun!$Y$1</f>
        <v>0</v>
      </c>
      <c r="EC28" s="36"/>
      <c r="ED28" s="36"/>
      <c r="EE28" s="54"/>
      <c r="EF28" s="36" t="n">
        <f aca="false">SUM(DU28:EE28)</f>
        <v>-113392.25</v>
      </c>
      <c r="EG28" s="54"/>
      <c r="EH28" s="36" t="n">
        <f aca="false">[1]HPfinance!$E$2</f>
        <v>0</v>
      </c>
      <c r="EI28" s="54"/>
      <c r="EJ28" s="36" t="n">
        <f aca="false">SUM(EF28:EH28)</f>
        <v>-113392.25</v>
      </c>
      <c r="EK28" s="54"/>
    </row>
    <row r="29" customFormat="false" ht="12" hidden="false" customHeight="false" outlineLevel="0" collapsed="false">
      <c r="A29" s="54"/>
      <c r="B29" s="54" t="s">
        <v>129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[4]Jul!$AC$1</f>
        <v>0</v>
      </c>
      <c r="I29" s="36" t="n">
        <f aca="false">[5]Jul!$AC$1</f>
        <v>0</v>
      </c>
      <c r="J29" s="36" t="n">
        <f aca="false">[6]Jul!$AC$1</f>
        <v>0</v>
      </c>
      <c r="K29" s="36" t="n">
        <f aca="false">[7]Jul!$Z$1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[4]Aug!$AC$1</f>
        <v>0</v>
      </c>
      <c r="T29" s="36" t="n">
        <f aca="false">[5]Aug!$AC$1</f>
        <v>0</v>
      </c>
      <c r="U29" s="36" t="n">
        <f aca="false">[6]Aug!$AC$1</f>
        <v>0</v>
      </c>
      <c r="V29" s="36" t="n">
        <f aca="false">[7]Aug!$Z$1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[4]Sep!$AC$1</f>
        <v>0</v>
      </c>
      <c r="AE29" s="36" t="n">
        <f aca="false">[5]Sep!$AC$1</f>
        <v>0</v>
      </c>
      <c r="AF29" s="36" t="n">
        <f aca="false">[6]Sep!$AC$1</f>
        <v>0</v>
      </c>
      <c r="AG29" s="36" t="n">
        <f aca="false">[7]Sep!$Z$1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[4]Oct!$AC$1</f>
        <v>0</v>
      </c>
      <c r="AP29" s="36" t="n">
        <f aca="false">[5]Oct!$AC$1</f>
        <v>0</v>
      </c>
      <c r="AQ29" s="36" t="n">
        <f aca="false">[6]Oct!$AC$1</f>
        <v>0</v>
      </c>
      <c r="AR29" s="36" t="n">
        <f aca="false">[7]Oct!$Z$1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[4]Nov!$AC$1</f>
        <v>0</v>
      </c>
      <c r="BA29" s="36" t="n">
        <f aca="false">[5]Nov!$AC$1</f>
        <v>0</v>
      </c>
      <c r="BB29" s="36" t="n">
        <f aca="false">[6]Nov!$AC$1</f>
        <v>0</v>
      </c>
      <c r="BC29" s="36" t="n">
        <f aca="false">[7]Nov!$Z$1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[4]Dec!$AC$1</f>
        <v>0</v>
      </c>
      <c r="BL29" s="36" t="n">
        <f aca="false">[5]Dec!$AC$1</f>
        <v>0</v>
      </c>
      <c r="BM29" s="36" t="n">
        <f aca="false">[6]Dec!$AC$1</f>
        <v>0</v>
      </c>
      <c r="BN29" s="36" t="n">
        <f aca="false">[7]Dec!$Z$1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[4]Jan!$AC$1</f>
        <v>0</v>
      </c>
      <c r="BW29" s="36" t="n">
        <f aca="false">[5]Jan!$AC$1</f>
        <v>0</v>
      </c>
      <c r="BX29" s="36" t="n">
        <f aca="false">[6]Jan!$AC$1</f>
        <v>0</v>
      </c>
      <c r="BY29" s="36" t="n">
        <f aca="false">[7]Jan!$Z$1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[4]Feb!$AC$1</f>
        <v>0</v>
      </c>
      <c r="CH29" s="36" t="n">
        <f aca="false">[5]Feb!$AC$1</f>
        <v>0</v>
      </c>
      <c r="CI29" s="36" t="n">
        <f aca="false">[6]Feb!$AC$1</f>
        <v>0</v>
      </c>
      <c r="CJ29" s="36" t="n">
        <f aca="false">[7]Feb!$Z$1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[4]Mar!$AC$1</f>
        <v>0</v>
      </c>
      <c r="CS29" s="36" t="n">
        <f aca="false">[5]Mar!$AC$1</f>
        <v>0</v>
      </c>
      <c r="CT29" s="36" t="n">
        <f aca="false">[6]Mar!$AC$1</f>
        <v>0</v>
      </c>
      <c r="CU29" s="36" t="n">
        <f aca="false">[7]Mar!$Z$1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[4]Apr!$AC$1</f>
        <v>0</v>
      </c>
      <c r="DD29" s="36" t="n">
        <f aca="false">[5]Apr!$AC$1</f>
        <v>0</v>
      </c>
      <c r="DE29" s="36" t="n">
        <f aca="false">[6]Apr!$AC$1</f>
        <v>0</v>
      </c>
      <c r="DF29" s="36" t="n">
        <f aca="false">[7]Apr!$Z$1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[4]May!$AC$1</f>
        <v>0</v>
      </c>
      <c r="DO29" s="36" t="n">
        <f aca="false">[5]May!$AC$1</f>
        <v>0</v>
      </c>
      <c r="DP29" s="36" t="n">
        <f aca="false">[6]May!$AC$1</f>
        <v>0</v>
      </c>
      <c r="DQ29" s="36" t="n">
        <f aca="false">[7]May!$Z$1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[4]Jun!$AC$1</f>
        <v>0</v>
      </c>
      <c r="DZ29" s="36" t="n">
        <f aca="false">[5]Jun!$AC$1</f>
        <v>0</v>
      </c>
      <c r="EA29" s="36" t="n">
        <f aca="false">[6]Jun!$AC$1</f>
        <v>0</v>
      </c>
      <c r="EB29" s="36" t="n">
        <f aca="false">[7]Jun!$Z$1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130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131</v>
      </c>
      <c r="C31" s="56" t="s">
        <v>132</v>
      </c>
      <c r="D31" s="36" t="n">
        <f aca="false">-OpenAccounts!E23</f>
        <v>-4500</v>
      </c>
      <c r="E31" s="57"/>
      <c r="F31" s="36"/>
      <c r="G31" s="36"/>
      <c r="H31" s="36" t="n">
        <f aca="false">[4]Jul!$AL$1</f>
        <v>0</v>
      </c>
      <c r="I31" s="36" t="n">
        <f aca="false">[5]Jul!$AL$1</f>
        <v>0</v>
      </c>
      <c r="J31" s="36" t="n">
        <f aca="false">[6]Jul!$AL$1</f>
        <v>0</v>
      </c>
      <c r="K31" s="36" t="n">
        <f aca="false">[7]Jul!$AI$1</f>
        <v>0</v>
      </c>
      <c r="L31" s="36"/>
      <c r="N31" s="57"/>
      <c r="O31" s="36" t="n">
        <f aca="false">SUM(D31:N31)</f>
        <v>-4500</v>
      </c>
      <c r="P31" s="57"/>
      <c r="Q31" s="36"/>
      <c r="R31" s="36"/>
      <c r="S31" s="36" t="n">
        <f aca="false">[4]Aug!$AL$1</f>
        <v>0</v>
      </c>
      <c r="T31" s="36" t="n">
        <f aca="false">[5]Aug!$AL$1</f>
        <v>0</v>
      </c>
      <c r="U31" s="36" t="n">
        <f aca="false">[6]Aug!$AL$1</f>
        <v>0</v>
      </c>
      <c r="V31" s="36" t="n">
        <f aca="false">[7]Aug!$AI$1</f>
        <v>0</v>
      </c>
      <c r="W31" s="36"/>
      <c r="X31" s="36"/>
      <c r="Y31" s="54"/>
      <c r="Z31" s="36" t="n">
        <f aca="false">SUM(O31:Y31)</f>
        <v>-4500</v>
      </c>
      <c r="AA31" s="57"/>
      <c r="AB31" s="36"/>
      <c r="AC31" s="36"/>
      <c r="AD31" s="36" t="n">
        <f aca="false">[4]Sep!$AL$1</f>
        <v>0</v>
      </c>
      <c r="AE31" s="36" t="n">
        <f aca="false">[5]Sep!$AL$1</f>
        <v>0</v>
      </c>
      <c r="AF31" s="36" t="n">
        <f aca="false">[6]Sep!$AL$1</f>
        <v>0</v>
      </c>
      <c r="AG31" s="36" t="n">
        <f aca="false">[7]Sep!$AI$1</f>
        <v>0</v>
      </c>
      <c r="AH31" s="36"/>
      <c r="AI31" s="36"/>
      <c r="AJ31" s="54"/>
      <c r="AK31" s="36" t="n">
        <f aca="false">SUM(Z31:AJ31)</f>
        <v>-4500</v>
      </c>
      <c r="AL31" s="57"/>
      <c r="AM31" s="36"/>
      <c r="AN31" s="36"/>
      <c r="AO31" s="36" t="n">
        <f aca="false">[4]Oct!$AL$1</f>
        <v>0</v>
      </c>
      <c r="AP31" s="36" t="n">
        <f aca="false">[5]Oct!$AL$1</f>
        <v>0</v>
      </c>
      <c r="AQ31" s="36" t="n">
        <f aca="false">[6]Oct!$AL$1</f>
        <v>0</v>
      </c>
      <c r="AR31" s="36" t="n">
        <f aca="false">[7]Oct!$AI$1</f>
        <v>0</v>
      </c>
      <c r="AS31" s="36"/>
      <c r="AT31" s="36"/>
      <c r="AU31" s="54"/>
      <c r="AV31" s="36" t="n">
        <f aca="false">SUM(AK31:AU31)</f>
        <v>-4500</v>
      </c>
      <c r="AW31" s="57"/>
      <c r="AX31" s="36"/>
      <c r="AY31" s="36"/>
      <c r="AZ31" s="36" t="n">
        <f aca="false">[4]Nov!$AL$1</f>
        <v>0</v>
      </c>
      <c r="BA31" s="36" t="n">
        <f aca="false">[5]Nov!$AL$1</f>
        <v>0</v>
      </c>
      <c r="BB31" s="36" t="n">
        <f aca="false">[6]Nov!$AL$1</f>
        <v>0</v>
      </c>
      <c r="BC31" s="36" t="n">
        <f aca="false">[7]Nov!$AI$1</f>
        <v>0</v>
      </c>
      <c r="BD31" s="36"/>
      <c r="BE31" s="36"/>
      <c r="BF31" s="54"/>
      <c r="BG31" s="36" t="n">
        <f aca="false">SUM(AV31:BF31)</f>
        <v>-4500</v>
      </c>
      <c r="BH31" s="57"/>
      <c r="BI31" s="36"/>
      <c r="BJ31" s="36"/>
      <c r="BK31" s="36" t="n">
        <f aca="false">[4]Dec!$AL$1</f>
        <v>0</v>
      </c>
      <c r="BL31" s="36" t="n">
        <f aca="false">[5]Dec!$AL$1</f>
        <v>0</v>
      </c>
      <c r="BM31" s="36" t="n">
        <f aca="false">[6]Dec!$AL$1</f>
        <v>0</v>
      </c>
      <c r="BN31" s="36" t="n">
        <f aca="false">[7]Dec!$AI$1</f>
        <v>0</v>
      </c>
      <c r="BO31" s="36"/>
      <c r="BP31" s="36"/>
      <c r="BQ31" s="54"/>
      <c r="BR31" s="36" t="n">
        <f aca="false">SUM(BG31:BQ31)</f>
        <v>-4500</v>
      </c>
      <c r="BS31" s="57"/>
      <c r="BT31" s="36"/>
      <c r="BU31" s="36"/>
      <c r="BV31" s="36" t="n">
        <f aca="false">[4]Jan!$AL$1</f>
        <v>0</v>
      </c>
      <c r="BW31" s="36" t="n">
        <f aca="false">[5]Jan!$AL$1</f>
        <v>0</v>
      </c>
      <c r="BX31" s="36" t="n">
        <f aca="false">[6]Jan!$AL$1</f>
        <v>0</v>
      </c>
      <c r="BY31" s="36" t="n">
        <f aca="false">[7]Jan!$AI$1</f>
        <v>0</v>
      </c>
      <c r="BZ31" s="36"/>
      <c r="CA31" s="36"/>
      <c r="CB31" s="54"/>
      <c r="CC31" s="36" t="n">
        <f aca="false">SUM(BR31:CB31)</f>
        <v>-4500</v>
      </c>
      <c r="CD31" s="57"/>
      <c r="CE31" s="36"/>
      <c r="CF31" s="36"/>
      <c r="CG31" s="36" t="n">
        <f aca="false">[4]Feb!$AL$1</f>
        <v>0</v>
      </c>
      <c r="CH31" s="36" t="n">
        <f aca="false">[5]Feb!$AL$1</f>
        <v>0</v>
      </c>
      <c r="CI31" s="36" t="n">
        <f aca="false">[6]Feb!$AL$1</f>
        <v>0</v>
      </c>
      <c r="CJ31" s="36" t="n">
        <f aca="false">[7]Feb!$AI$1</f>
        <v>0</v>
      </c>
      <c r="CK31" s="36"/>
      <c r="CL31" s="36"/>
      <c r="CM31" s="54"/>
      <c r="CN31" s="36" t="n">
        <f aca="false">SUM(CC31:CM31)</f>
        <v>-4500</v>
      </c>
      <c r="CO31" s="57"/>
      <c r="CP31" s="36"/>
      <c r="CQ31" s="36"/>
      <c r="CR31" s="36" t="n">
        <f aca="false">[4]Mar!$AL$1</f>
        <v>0</v>
      </c>
      <c r="CS31" s="36" t="n">
        <f aca="false">[5]Mar!$AL$1</f>
        <v>0</v>
      </c>
      <c r="CT31" s="36" t="n">
        <f aca="false">[6]Mar!$AL$1</f>
        <v>0</v>
      </c>
      <c r="CU31" s="36" t="n">
        <f aca="false">[7]Mar!$AI$1</f>
        <v>0</v>
      </c>
      <c r="CV31" s="36"/>
      <c r="CW31" s="36"/>
      <c r="CX31" s="54"/>
      <c r="CY31" s="36" t="n">
        <f aca="false">SUM(CN31:CX31)</f>
        <v>-4500</v>
      </c>
      <c r="CZ31" s="57"/>
      <c r="DA31" s="36"/>
      <c r="DB31" s="36"/>
      <c r="DC31" s="36" t="n">
        <f aca="false">[4]Apr!$AL$1</f>
        <v>0</v>
      </c>
      <c r="DD31" s="36" t="n">
        <f aca="false">[5]Apr!$AL$1</f>
        <v>0</v>
      </c>
      <c r="DE31" s="36" t="n">
        <f aca="false">[6]Apr!$AL$1</f>
        <v>0</v>
      </c>
      <c r="DF31" s="36" t="n">
        <f aca="false">[7]Apr!$AI$1</f>
        <v>0</v>
      </c>
      <c r="DG31" s="36"/>
      <c r="DH31" s="36"/>
      <c r="DI31" s="54"/>
      <c r="DJ31" s="36" t="n">
        <f aca="false">SUM(CY31:DI31)</f>
        <v>-4500</v>
      </c>
      <c r="DK31" s="57"/>
      <c r="DL31" s="36"/>
      <c r="DM31" s="36"/>
      <c r="DN31" s="36" t="n">
        <f aca="false">[4]May!$AL$1</f>
        <v>0</v>
      </c>
      <c r="DO31" s="36" t="n">
        <f aca="false">[5]May!$AL$1</f>
        <v>0</v>
      </c>
      <c r="DP31" s="36" t="n">
        <f aca="false">[6]May!$AL$1</f>
        <v>0</v>
      </c>
      <c r="DQ31" s="36" t="n">
        <f aca="false">[7]May!$AI$1</f>
        <v>0</v>
      </c>
      <c r="DR31" s="36"/>
      <c r="DS31" s="36"/>
      <c r="DT31" s="54"/>
      <c r="DU31" s="36" t="n">
        <f aca="false">SUM(DJ31:DT31)</f>
        <v>-4500</v>
      </c>
      <c r="DV31" s="57"/>
      <c r="DW31" s="36"/>
      <c r="DX31" s="36"/>
      <c r="DY31" s="36" t="n">
        <f aca="false">[4]Jun!$AL$1</f>
        <v>0</v>
      </c>
      <c r="DZ31" s="36" t="n">
        <f aca="false">[5]Jun!$AL$1</f>
        <v>0</v>
      </c>
      <c r="EA31" s="36" t="n">
        <f aca="false">[6]Jun!$AL$1</f>
        <v>0</v>
      </c>
      <c r="EB31" s="36" t="n">
        <f aca="false">[7]Jun!$AI$1</f>
        <v>0</v>
      </c>
      <c r="EC31" s="36"/>
      <c r="ED31" s="36"/>
      <c r="EE31" s="54"/>
      <c r="EF31" s="36" t="n">
        <f aca="false">SUM(DU31:EE31)</f>
        <v>-4500</v>
      </c>
      <c r="EG31" s="54"/>
      <c r="EH31" s="36" t="n">
        <f aca="false">-[8]Boardmeeting!$E$4</f>
        <v>-0</v>
      </c>
      <c r="EI31" s="54"/>
      <c r="EJ31" s="36" t="n">
        <f aca="false">SUM(EF31:EH31)</f>
        <v>-4500</v>
      </c>
      <c r="EK31" s="54"/>
    </row>
    <row r="32" customFormat="false" ht="12" hidden="false" customHeight="false" outlineLevel="0" collapsed="false">
      <c r="A32" s="54"/>
      <c r="B32" s="54" t="s">
        <v>133</v>
      </c>
      <c r="C32" s="56" t="s">
        <v>134</v>
      </c>
      <c r="D32" s="36" t="n">
        <f aca="false">-OpenAccounts!I26</f>
        <v>-0</v>
      </c>
      <c r="E32" s="57"/>
      <c r="F32" s="36" t="n">
        <f aca="false">[3]Jul!$V$1</f>
        <v>0</v>
      </c>
      <c r="G32" s="36" t="n">
        <f aca="false">-[2]Jul!$AK$1</f>
        <v>-0</v>
      </c>
      <c r="H32" s="36" t="n">
        <f aca="false">-[4]Jul!$O$1+[4]Jul!$AJ$1</f>
        <v>0</v>
      </c>
      <c r="I32" s="36" t="n">
        <f aca="false">-[5]Jul!$O$1+[5]Jul!$AJ$1</f>
        <v>0</v>
      </c>
      <c r="J32" s="36" t="n">
        <f aca="false">-[6]Jul!$O$1+[6]Jul!$AJ$1</f>
        <v>0</v>
      </c>
      <c r="K32" s="36" t="n">
        <f aca="false">[7]Jul!$AG$1</f>
        <v>0</v>
      </c>
      <c r="L32" s="36"/>
      <c r="N32" s="57"/>
      <c r="O32" s="36" t="n">
        <f aca="false">SUM(D32:N32)</f>
        <v>0</v>
      </c>
      <c r="P32" s="57"/>
      <c r="Q32" s="36" t="n">
        <f aca="false">[3]Aug!$V$1</f>
        <v>0</v>
      </c>
      <c r="R32" s="36" t="n">
        <f aca="false">-[2]Aug!$AK$1</f>
        <v>-0</v>
      </c>
      <c r="S32" s="36" t="n">
        <f aca="false">-[4]Aug!$O$1+[4]Aug!$AJ$1</f>
        <v>0</v>
      </c>
      <c r="T32" s="36" t="n">
        <f aca="false">-[5]Aug!$O$1+[5]Aug!$AJ$1</f>
        <v>0</v>
      </c>
      <c r="U32" s="36" t="n">
        <f aca="false">-[6]Aug!$O$1+[6]Aug!$AJ$1</f>
        <v>0</v>
      </c>
      <c r="V32" s="36" t="n">
        <f aca="false">[7]Aug!$AG$1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[3]Sep!$V$1</f>
        <v>0</v>
      </c>
      <c r="AC32" s="36" t="n">
        <f aca="false">-[2]Sep!$AK$1</f>
        <v>-0</v>
      </c>
      <c r="AD32" s="36" t="n">
        <f aca="false">-[4]Sep!$O$1+[4]Sep!$AJ$1</f>
        <v>0</v>
      </c>
      <c r="AE32" s="36" t="n">
        <f aca="false">-[5]Sep!$O$1+[5]Sep!$AJ$1</f>
        <v>0</v>
      </c>
      <c r="AF32" s="36" t="n">
        <f aca="false">-[6]Sep!$O$1+[6]Sep!$AJ$1</f>
        <v>0</v>
      </c>
      <c r="AG32" s="36" t="n">
        <f aca="false">[7]Sep!$AG$1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[3]Oct!$V$1</f>
        <v>0</v>
      </c>
      <c r="AN32" s="36" t="n">
        <f aca="false">-[2]Oct!$AK$1</f>
        <v>-0</v>
      </c>
      <c r="AO32" s="36" t="n">
        <f aca="false">-[4]Oct!$O$1+[4]Oct!$AJ$1</f>
        <v>0</v>
      </c>
      <c r="AP32" s="36" t="n">
        <f aca="false">-[5]Oct!$O$1+[5]Oct!$AJ$1</f>
        <v>0</v>
      </c>
      <c r="AQ32" s="36" t="n">
        <f aca="false">-[6]Oct!$O$1+[6]Oct!$AJ$1</f>
        <v>0</v>
      </c>
      <c r="AR32" s="36" t="n">
        <f aca="false">[7]Oct!$AG$1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[3]Nov!$V$1</f>
        <v>0</v>
      </c>
      <c r="AY32" s="36" t="n">
        <f aca="false">-[2]Nov!$AK$1</f>
        <v>-0</v>
      </c>
      <c r="AZ32" s="36" t="n">
        <f aca="false">-[4]Nov!$O$1+[4]Nov!$AJ$1</f>
        <v>0</v>
      </c>
      <c r="BA32" s="36" t="n">
        <f aca="false">-[5]Nov!$O$1+[5]Nov!$AJ$1</f>
        <v>0</v>
      </c>
      <c r="BB32" s="36" t="n">
        <f aca="false">-[6]Nov!$O$1+[6]Nov!$AJ$1</f>
        <v>0</v>
      </c>
      <c r="BC32" s="36" t="n">
        <f aca="false">[7]Nov!$AG$1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[3]Dec!$V$1</f>
        <v>0</v>
      </c>
      <c r="BJ32" s="36" t="n">
        <f aca="false">-[2]Dec!$AK$1</f>
        <v>-0</v>
      </c>
      <c r="BK32" s="36" t="n">
        <f aca="false">-[4]Dec!$O$1+[4]Dec!$AJ$1</f>
        <v>0</v>
      </c>
      <c r="BL32" s="36" t="n">
        <f aca="false">-[5]Dec!$O$1+[5]Dec!$AJ$1</f>
        <v>0</v>
      </c>
      <c r="BM32" s="36" t="n">
        <f aca="false">-[6]Dec!$O$1+[6]Dec!$AJ$1</f>
        <v>0</v>
      </c>
      <c r="BN32" s="36" t="n">
        <f aca="false">[7]Dec!$AG$1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[3]Jan!$V$1</f>
        <v>0</v>
      </c>
      <c r="BU32" s="36" t="n">
        <f aca="false">-[2]Jan!$AK$1</f>
        <v>-0</v>
      </c>
      <c r="BV32" s="36" t="n">
        <f aca="false">-[4]Jan!$O$1+[4]Jan!$AJ$1</f>
        <v>0</v>
      </c>
      <c r="BW32" s="36" t="n">
        <f aca="false">-[5]Jan!$O$1+[5]Jan!$AJ$1</f>
        <v>0</v>
      </c>
      <c r="BX32" s="36" t="n">
        <f aca="false">-[6]Jan!$O$1+[6]Jan!$AJ$1</f>
        <v>0</v>
      </c>
      <c r="BY32" s="36" t="n">
        <f aca="false">[7]Jan!$AG$1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[3]Feb!$V$1</f>
        <v>0</v>
      </c>
      <c r="CF32" s="36" t="n">
        <f aca="false">-[2]Feb!$AK$1</f>
        <v>-0</v>
      </c>
      <c r="CG32" s="36" t="n">
        <f aca="false">-[4]Feb!$O$1+[4]Feb!$AJ$1</f>
        <v>0</v>
      </c>
      <c r="CH32" s="36" t="n">
        <f aca="false">-[5]Feb!$O$1+[5]Feb!$AJ$1</f>
        <v>0</v>
      </c>
      <c r="CI32" s="36" t="n">
        <f aca="false">-[6]Feb!$O$1+[6]Feb!$AJ$1</f>
        <v>0</v>
      </c>
      <c r="CJ32" s="36" t="n">
        <f aca="false">[7]Feb!$AG$1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[3]Mar!$V$1</f>
        <v>0</v>
      </c>
      <c r="CQ32" s="36" t="n">
        <f aca="false">-[2]Mar!$AK$1</f>
        <v>-0</v>
      </c>
      <c r="CR32" s="36" t="n">
        <f aca="false">-[4]Mar!$O$1+[4]Mar!$AJ$1</f>
        <v>0</v>
      </c>
      <c r="CS32" s="36" t="n">
        <f aca="false">-[5]Mar!$O$1+[5]Mar!$AJ$1</f>
        <v>0</v>
      </c>
      <c r="CT32" s="36" t="n">
        <f aca="false">-[6]Mar!$O$1+[6]Mar!$AJ$1</f>
        <v>0</v>
      </c>
      <c r="CU32" s="36" t="n">
        <f aca="false">[7]Mar!$AG$1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[3]Apr!$V$1</f>
        <v>0</v>
      </c>
      <c r="DB32" s="36" t="n">
        <f aca="false">-[2]Apr!$AK$1</f>
        <v>-0</v>
      </c>
      <c r="DC32" s="36" t="n">
        <f aca="false">-[4]Apr!$O$1+[4]Apr!$AJ$1</f>
        <v>0</v>
      </c>
      <c r="DD32" s="36" t="n">
        <f aca="false">-[5]Apr!$O$1+[5]Apr!$AJ$1</f>
        <v>0</v>
      </c>
      <c r="DE32" s="36" t="n">
        <f aca="false">-[6]Apr!$O$1+[6]Apr!$AJ$1</f>
        <v>0</v>
      </c>
      <c r="DF32" s="36" t="n">
        <f aca="false">[7]Apr!$AG$1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[3]May!$V$1</f>
        <v>0</v>
      </c>
      <c r="DM32" s="36" t="n">
        <f aca="false">-[2]May!$AK$1</f>
        <v>-0</v>
      </c>
      <c r="DN32" s="36" t="n">
        <f aca="false">-[4]May!$O$1+[4]May!$AJ$1</f>
        <v>0</v>
      </c>
      <c r="DO32" s="36" t="n">
        <f aca="false">-[5]May!$O$1+[5]May!$AJ$1</f>
        <v>0</v>
      </c>
      <c r="DP32" s="36" t="n">
        <f aca="false">-[6]May!$O$1+[6]May!$AJ$1</f>
        <v>0</v>
      </c>
      <c r="DQ32" s="36" t="n">
        <f aca="false">[7]May!$AG$1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[3]Jun!$V$1</f>
        <v>0</v>
      </c>
      <c r="DX32" s="36" t="n">
        <f aca="false">-[2]Jun!$AK$1</f>
        <v>-0</v>
      </c>
      <c r="DY32" s="36" t="n">
        <f aca="false">-[4]Jun!$O$1+[4]Jun!$AJ$1</f>
        <v>0</v>
      </c>
      <c r="DZ32" s="36" t="n">
        <f aca="false">-[5]Jun!$O$1+[5]Jun!$AJ$1</f>
        <v>0</v>
      </c>
      <c r="EA32" s="36" t="n">
        <f aca="false">-[6]Jun!$O$1+[6]Jun!$AJ$1</f>
        <v>0</v>
      </c>
      <c r="EB32" s="36" t="n">
        <f aca="false">[7]Jun!$AG$1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135</v>
      </c>
      <c r="C33" s="56" t="s">
        <v>136</v>
      </c>
      <c r="D33" s="36" t="n">
        <f aca="false">-OpenAccounts!H26</f>
        <v>-1500</v>
      </c>
      <c r="E33" s="57"/>
      <c r="F33" s="36" t="n">
        <f aca="false">-[3]Jul!$G$1</f>
        <v>-5626.66666666667</v>
      </c>
      <c r="G33" s="36" t="n">
        <f aca="false">[2]Jul!$G$1</f>
        <v>0</v>
      </c>
      <c r="H33" s="36" t="n">
        <f aca="false">-[4]Jul!$N$1+[4]Jul!$AI$1</f>
        <v>0</v>
      </c>
      <c r="I33" s="36" t="n">
        <f aca="false">-[5]Jul!$N$1+[5]Jul!$AI$1</f>
        <v>0</v>
      </c>
      <c r="J33" s="36" t="n">
        <f aca="false">-[6]Jul!$N$1+[6]Jul!$AI$1</f>
        <v>0</v>
      </c>
      <c r="K33" s="36" t="n">
        <f aca="false">[7]Jul!$AF$1</f>
        <v>0</v>
      </c>
      <c r="L33" s="36"/>
      <c r="N33" s="57"/>
      <c r="O33" s="36" t="n">
        <f aca="false">SUM(D33:N33)</f>
        <v>-7126.66666666667</v>
      </c>
      <c r="P33" s="57"/>
      <c r="Q33" s="36" t="n">
        <f aca="false">-[3]Aug!$G$1</f>
        <v>-5486.66666666667</v>
      </c>
      <c r="R33" s="36" t="n">
        <f aca="false">[2]Aug!$G$1</f>
        <v>0</v>
      </c>
      <c r="S33" s="36" t="n">
        <f aca="false">-[4]Aug!$N$1+[4]Aug!$AI$1</f>
        <v>0</v>
      </c>
      <c r="T33" s="36" t="n">
        <f aca="false">-[5]Aug!$N$1+[5]Aug!$AI$1</f>
        <v>0</v>
      </c>
      <c r="U33" s="36" t="n">
        <f aca="false">-[6]Aug!$N$1+[6]Aug!$AI$1</f>
        <v>0</v>
      </c>
      <c r="V33" s="36" t="n">
        <f aca="false">[7]Aug!$AF$1</f>
        <v>0</v>
      </c>
      <c r="W33" s="36"/>
      <c r="X33" s="36"/>
      <c r="Y33" s="54"/>
      <c r="Z33" s="36" t="n">
        <f aca="false">SUM(O33:Y33)</f>
        <v>-12613.3333333333</v>
      </c>
      <c r="AA33" s="57"/>
      <c r="AB33" s="36" t="n">
        <f aca="false">-[3]Sep!$G$1</f>
        <v>-5866.66666666667</v>
      </c>
      <c r="AC33" s="36" t="n">
        <f aca="false">[2]Sep!$G$1</f>
        <v>0</v>
      </c>
      <c r="AD33" s="36" t="n">
        <f aca="false">-[4]Sep!$N$1+[4]Sep!$AI$1</f>
        <v>0</v>
      </c>
      <c r="AE33" s="36" t="n">
        <f aca="false">-[5]Sep!$N$1+[5]Sep!$AI$1</f>
        <v>0</v>
      </c>
      <c r="AF33" s="36" t="n">
        <f aca="false">-[6]Sep!$N$1+[6]Sep!$AI$1</f>
        <v>0</v>
      </c>
      <c r="AG33" s="36" t="n">
        <f aca="false">[7]Sep!$AF$1</f>
        <v>0</v>
      </c>
      <c r="AH33" s="36"/>
      <c r="AI33" s="36"/>
      <c r="AJ33" s="54"/>
      <c r="AK33" s="36" t="n">
        <f aca="false">SUM(Z33:AJ33)</f>
        <v>-18480</v>
      </c>
      <c r="AL33" s="57"/>
      <c r="AM33" s="36" t="n">
        <f aca="false">-[3]Oct!$G$1</f>
        <v>-5626.66666666667</v>
      </c>
      <c r="AN33" s="36" t="n">
        <f aca="false">[2]Oct!$G$1</f>
        <v>0</v>
      </c>
      <c r="AO33" s="36" t="n">
        <f aca="false">-[4]Oct!$N$1+[4]Oct!$AI$1</f>
        <v>0</v>
      </c>
      <c r="AP33" s="36" t="n">
        <f aca="false">-[5]Oct!$N$1+[5]Oct!$AI$1</f>
        <v>0</v>
      </c>
      <c r="AQ33" s="36" t="n">
        <f aca="false">-[6]Oct!$N$1+[6]Oct!$AI$1</f>
        <v>0</v>
      </c>
      <c r="AR33" s="36" t="n">
        <f aca="false">[7]Oct!$AF$1</f>
        <v>0</v>
      </c>
      <c r="AS33" s="36"/>
      <c r="AT33" s="36"/>
      <c r="AU33" s="54"/>
      <c r="AV33" s="36" t="n">
        <f aca="false">SUM(AK33:AU33)</f>
        <v>-24106.6666666667</v>
      </c>
      <c r="AW33" s="57"/>
      <c r="AX33" s="36" t="n">
        <f aca="false">-[3]Nov!$G$1</f>
        <v>-6003.33333333333</v>
      </c>
      <c r="AY33" s="36" t="n">
        <f aca="false">[2]Nov!$G$1</f>
        <v>0</v>
      </c>
      <c r="AZ33" s="36" t="n">
        <f aca="false">-[4]Nov!$N$1+[4]Nov!$AI$1</f>
        <v>-2500</v>
      </c>
      <c r="BA33" s="36" t="n">
        <f aca="false">-[5]Nov!$N$1+[5]Nov!$AI$1</f>
        <v>0</v>
      </c>
      <c r="BB33" s="36" t="n">
        <f aca="false">-[6]Nov!$N$1+[6]Nov!$AI$1</f>
        <v>0</v>
      </c>
      <c r="BC33" s="36" t="n">
        <f aca="false">[7]Nov!$AF$1</f>
        <v>0</v>
      </c>
      <c r="BD33" s="36"/>
      <c r="BE33" s="36"/>
      <c r="BF33" s="54"/>
      <c r="BG33" s="36" t="n">
        <f aca="false">SUM(AV33:BF33)</f>
        <v>-32610</v>
      </c>
      <c r="BH33" s="57"/>
      <c r="BI33" s="36" t="n">
        <f aca="false">-[3]Dec!$G$1</f>
        <v>-5626.66666666667</v>
      </c>
      <c r="BJ33" s="36" t="n">
        <f aca="false">[2]Dec!$G$1</f>
        <v>0</v>
      </c>
      <c r="BK33" s="36" t="n">
        <f aca="false">-[4]Dec!$N$1+[4]Dec!$AI$1</f>
        <v>0</v>
      </c>
      <c r="BL33" s="36" t="n">
        <f aca="false">-[5]Dec!$N$1+[5]Dec!$AI$1</f>
        <v>-125</v>
      </c>
      <c r="BM33" s="36" t="n">
        <f aca="false">-[6]Dec!$N$1+[6]Dec!$AI$1</f>
        <v>0</v>
      </c>
      <c r="BN33" s="36" t="n">
        <f aca="false">[7]Dec!$AF$1</f>
        <v>0</v>
      </c>
      <c r="BO33" s="36"/>
      <c r="BP33" s="36"/>
      <c r="BQ33" s="54"/>
      <c r="BR33" s="36" t="n">
        <f aca="false">SUM(BG33:BQ33)</f>
        <v>-38361.6666666667</v>
      </c>
      <c r="BS33" s="57"/>
      <c r="BT33" s="36" t="n">
        <f aca="false">-[3]Jan!$G$1</f>
        <v>-8426.66666666667</v>
      </c>
      <c r="BU33" s="36" t="n">
        <f aca="false">[2]Jan!$G$1</f>
        <v>0</v>
      </c>
      <c r="BV33" s="36" t="n">
        <f aca="false">-[4]Jan!$N$1+[4]Jan!$AI$1</f>
        <v>0</v>
      </c>
      <c r="BW33" s="36" t="n">
        <f aca="false">-[5]Jan!$N$1+[5]Jan!$AI$1</f>
        <v>0</v>
      </c>
      <c r="BX33" s="36" t="n">
        <f aca="false">-[6]Jan!$N$1+[6]Jan!$AI$1</f>
        <v>0</v>
      </c>
      <c r="BY33" s="36" t="n">
        <f aca="false">[7]Jan!$AF$1</f>
        <v>0</v>
      </c>
      <c r="BZ33" s="36"/>
      <c r="CA33" s="36"/>
      <c r="CB33" s="54"/>
      <c r="CC33" s="36" t="n">
        <f aca="false">SUM(BR33:CB33)</f>
        <v>-46788.3333333334</v>
      </c>
      <c r="CD33" s="57"/>
      <c r="CE33" s="36" t="n">
        <f aca="false">-[3]Feb!$G$1</f>
        <v>-5886.66666666667</v>
      </c>
      <c r="CF33" s="36" t="n">
        <f aca="false">[2]Feb!$G$1</f>
        <v>0</v>
      </c>
      <c r="CG33" s="36" t="n">
        <f aca="false">-[4]Feb!$N$1+[4]Feb!$AI$1</f>
        <v>0</v>
      </c>
      <c r="CH33" s="36" t="n">
        <f aca="false">-[5]Feb!$N$1+[5]Feb!$AI$1</f>
        <v>0</v>
      </c>
      <c r="CI33" s="36" t="n">
        <f aca="false">-[6]Feb!$N$1+[6]Feb!$AI$1</f>
        <v>0</v>
      </c>
      <c r="CJ33" s="36" t="n">
        <f aca="false">[7]Feb!$AF$1</f>
        <v>0</v>
      </c>
      <c r="CK33" s="36"/>
      <c r="CL33" s="36"/>
      <c r="CM33" s="54"/>
      <c r="CN33" s="36" t="n">
        <f aca="false">SUM(CC33:CM33)</f>
        <v>-52675</v>
      </c>
      <c r="CO33" s="57"/>
      <c r="CP33" s="36" t="n">
        <f aca="false">-[3]Mar!$G$1</f>
        <v>-5466.66666666667</v>
      </c>
      <c r="CQ33" s="36" t="n">
        <f aca="false">[2]Mar!$G$1</f>
        <v>0</v>
      </c>
      <c r="CR33" s="36" t="n">
        <f aca="false">-[4]Mar!$N$1+[4]Mar!$AI$1</f>
        <v>0</v>
      </c>
      <c r="CS33" s="36" t="n">
        <f aca="false">-[5]Mar!$N$1+[5]Mar!$AI$1</f>
        <v>0</v>
      </c>
      <c r="CT33" s="36" t="n">
        <f aca="false">-[6]Mar!$N$1+[6]Mar!$AI$1</f>
        <v>0</v>
      </c>
      <c r="CU33" s="36" t="n">
        <f aca="false">[7]Mar!$AF$1</f>
        <v>0</v>
      </c>
      <c r="CV33" s="36"/>
      <c r="CW33" s="36"/>
      <c r="CX33" s="54"/>
      <c r="CY33" s="36" t="n">
        <f aca="false">SUM(CN33:CX33)</f>
        <v>-58141.6666666667</v>
      </c>
      <c r="CZ33" s="57"/>
      <c r="DA33" s="36" t="n">
        <f aca="false">-[3]Apr!$G$1</f>
        <v>-5906.66666666667</v>
      </c>
      <c r="DB33" s="36" t="n">
        <f aca="false">[2]Apr!$G$1</f>
        <v>0</v>
      </c>
      <c r="DC33" s="36" t="n">
        <f aca="false">-[4]Apr!$N$1+[4]Apr!$AI$1</f>
        <v>-1500</v>
      </c>
      <c r="DD33" s="36" t="n">
        <f aca="false">-[5]Apr!$N$1+[5]Apr!$AI$1</f>
        <v>0</v>
      </c>
      <c r="DE33" s="36" t="n">
        <f aca="false">-[6]Apr!$N$1+[6]Apr!$AI$1</f>
        <v>0</v>
      </c>
      <c r="DF33" s="36" t="n">
        <f aca="false">[7]Apr!$AF$1</f>
        <v>0</v>
      </c>
      <c r="DG33" s="36"/>
      <c r="DH33" s="36"/>
      <c r="DI33" s="54"/>
      <c r="DJ33" s="36" t="n">
        <f aca="false">SUM(CY33:DI33)</f>
        <v>-65548.3333333334</v>
      </c>
      <c r="DK33" s="57"/>
      <c r="DL33" s="36" t="n">
        <f aca="false">-[3]May!$G$1</f>
        <v>-5726.66666666667</v>
      </c>
      <c r="DM33" s="36" t="n">
        <f aca="false">[2]May!$G$1</f>
        <v>0</v>
      </c>
      <c r="DN33" s="36" t="n">
        <f aca="false">-[4]May!$N$1+[4]May!$AI$1</f>
        <v>0</v>
      </c>
      <c r="DO33" s="36" t="n">
        <f aca="false">-[5]May!$N$1+[5]May!$AI$1</f>
        <v>0</v>
      </c>
      <c r="DP33" s="36" t="n">
        <f aca="false">-[6]May!$N$1+[6]May!$AI$1</f>
        <v>0</v>
      </c>
      <c r="DQ33" s="36" t="n">
        <f aca="false">[7]May!$AF$1</f>
        <v>0</v>
      </c>
      <c r="DR33" s="36"/>
      <c r="DS33" s="36"/>
      <c r="DT33" s="54"/>
      <c r="DU33" s="36" t="n">
        <f aca="false">SUM(DJ33:DT33)</f>
        <v>-71275</v>
      </c>
      <c r="DV33" s="57"/>
      <c r="DW33" s="36" t="n">
        <f aca="false">-[3]Jun!$G$1</f>
        <v>-5166.66666666667</v>
      </c>
      <c r="DX33" s="36" t="n">
        <f aca="false">[2]Jun!$G$1</f>
        <v>0</v>
      </c>
      <c r="DY33" s="36" t="n">
        <f aca="false">-[4]Jun!$N$1+[4]Jun!$AI$1</f>
        <v>0</v>
      </c>
      <c r="DZ33" s="36" t="n">
        <f aca="false">-[5]Jun!$N$1+[5]Jun!$AI$1</f>
        <v>-150</v>
      </c>
      <c r="EA33" s="36" t="n">
        <f aca="false">-[6]Jun!$N$1+[6]Jun!$AI$1</f>
        <v>0</v>
      </c>
      <c r="EB33" s="36" t="n">
        <f aca="false">[7]Jun!$AF$1</f>
        <v>0</v>
      </c>
      <c r="EC33" s="36"/>
      <c r="ED33" s="36"/>
      <c r="EE33" s="54"/>
      <c r="EF33" s="36" t="n">
        <f aca="false">SUM(DU33:EE33)</f>
        <v>-76591.6666666667</v>
      </c>
      <c r="EG33" s="54"/>
      <c r="EI33" s="54"/>
      <c r="EJ33" s="36" t="n">
        <f aca="false">SUM(EF33:EH33)</f>
        <v>-76591.6666666667</v>
      </c>
      <c r="EK33" s="54"/>
    </row>
    <row r="34" customFormat="false" ht="12" hidden="false" customHeight="false" outlineLevel="0" collapsed="false">
      <c r="A34" s="54"/>
      <c r="B34" s="54" t="s">
        <v>137</v>
      </c>
      <c r="C34" s="56" t="s">
        <v>138</v>
      </c>
      <c r="D34" s="36" t="n">
        <f aca="false">-OpenAccounts!G26</f>
        <v>-0</v>
      </c>
      <c r="E34" s="57"/>
      <c r="F34" s="36"/>
      <c r="G34" s="36"/>
      <c r="H34" s="36" t="n">
        <f aca="false">[4]Jul!$AH$1</f>
        <v>0</v>
      </c>
      <c r="I34" s="36" t="n">
        <f aca="false">[5]Jul!$AH$1</f>
        <v>0</v>
      </c>
      <c r="J34" s="36" t="n">
        <f aca="false">[6]Jul!$AH$1</f>
        <v>0</v>
      </c>
      <c r="K34" s="36" t="n">
        <f aca="false">[7]Jul!$AE$1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[4]Aug!$AH$1</f>
        <v>0</v>
      </c>
      <c r="T34" s="36" t="n">
        <f aca="false">[5]Aug!$AH$1</f>
        <v>0</v>
      </c>
      <c r="U34" s="36" t="n">
        <f aca="false">[6]Aug!$AH$1</f>
        <v>0</v>
      </c>
      <c r="V34" s="36" t="n">
        <f aca="false">[7]Aug!$AE$1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[4]Sep!$AH$1</f>
        <v>0</v>
      </c>
      <c r="AE34" s="36" t="n">
        <f aca="false">[5]Sep!$AH$1</f>
        <v>0</v>
      </c>
      <c r="AF34" s="36" t="n">
        <f aca="false">[6]Sep!$AH$1</f>
        <v>0</v>
      </c>
      <c r="AG34" s="36" t="n">
        <f aca="false">[7]Sep!$AE$1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[4]Oct!$AH$1</f>
        <v>0</v>
      </c>
      <c r="AP34" s="36" t="n">
        <f aca="false">[5]Oct!$AH$1</f>
        <v>0</v>
      </c>
      <c r="AQ34" s="36" t="n">
        <f aca="false">[6]Oct!$AH$1</f>
        <v>0</v>
      </c>
      <c r="AR34" s="36" t="n">
        <f aca="false">[7]Oct!$AE$1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[4]Nov!$AH$1</f>
        <v>0</v>
      </c>
      <c r="BA34" s="36" t="n">
        <f aca="false">[5]Nov!$AH$1</f>
        <v>0</v>
      </c>
      <c r="BB34" s="36" t="n">
        <f aca="false">[6]Nov!$AH$1</f>
        <v>0</v>
      </c>
      <c r="BC34" s="36" t="n">
        <f aca="false">[7]Nov!$AE$1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[4]Dec!$AH$1</f>
        <v>0</v>
      </c>
      <c r="BL34" s="36" t="n">
        <f aca="false">[5]Dec!$AH$1</f>
        <v>0</v>
      </c>
      <c r="BM34" s="36" t="n">
        <f aca="false">[6]Dec!$AH$1</f>
        <v>0</v>
      </c>
      <c r="BN34" s="36" t="n">
        <f aca="false">[7]Dec!$AE$1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[4]Jan!$AH$1</f>
        <v>0</v>
      </c>
      <c r="BW34" s="36" t="n">
        <f aca="false">[5]Jan!$AH$1</f>
        <v>0</v>
      </c>
      <c r="BX34" s="36" t="n">
        <f aca="false">[6]Jan!$AH$1</f>
        <v>0</v>
      </c>
      <c r="BY34" s="36" t="n">
        <f aca="false">[7]Jan!$AE$1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[4]Feb!$AH$1</f>
        <v>0</v>
      </c>
      <c r="CH34" s="36" t="n">
        <f aca="false">[5]Feb!$AH$1</f>
        <v>0</v>
      </c>
      <c r="CI34" s="36" t="n">
        <f aca="false">[6]Feb!$AH$1</f>
        <v>0</v>
      </c>
      <c r="CJ34" s="36" t="n">
        <f aca="false">[7]Feb!$AE$1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[4]Mar!$AH$1</f>
        <v>0</v>
      </c>
      <c r="CS34" s="36" t="n">
        <f aca="false">[5]Mar!$AH$1</f>
        <v>0</v>
      </c>
      <c r="CT34" s="36" t="n">
        <f aca="false">[6]Mar!$AH$1</f>
        <v>0</v>
      </c>
      <c r="CU34" s="36" t="n">
        <f aca="false">[7]Mar!$AE$1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[4]Apr!$AH$1</f>
        <v>0</v>
      </c>
      <c r="DD34" s="36" t="n">
        <f aca="false">[5]Apr!$AH$1</f>
        <v>0</v>
      </c>
      <c r="DE34" s="36" t="n">
        <f aca="false">[6]Apr!$AH$1</f>
        <v>0</v>
      </c>
      <c r="DF34" s="36" t="n">
        <f aca="false">[7]Apr!$AE$1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[4]May!$AH$1</f>
        <v>0</v>
      </c>
      <c r="DO34" s="36" t="n">
        <f aca="false">[5]May!$AH$1</f>
        <v>0</v>
      </c>
      <c r="DP34" s="36" t="n">
        <f aca="false">[6]May!$AH$1</f>
        <v>0</v>
      </c>
      <c r="DQ34" s="36" t="n">
        <f aca="false">[7]May!$AE$1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[4]Jun!$AH$1</f>
        <v>0</v>
      </c>
      <c r="DZ34" s="36" t="n">
        <f aca="false">[5]Jun!$AH$1</f>
        <v>0</v>
      </c>
      <c r="EA34" s="36" t="n">
        <f aca="false">[6]Jun!$AH$1</f>
        <v>0</v>
      </c>
      <c r="EB34" s="36" t="n">
        <f aca="false">[7]Jun!$AE$1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139</v>
      </c>
      <c r="C35" s="56" t="s">
        <v>140</v>
      </c>
      <c r="D35" s="36" t="n">
        <f aca="false">-OpenAccounts!E24</f>
        <v>-0</v>
      </c>
      <c r="E35" s="57"/>
      <c r="F35" s="36"/>
      <c r="G35" s="36"/>
      <c r="H35" s="36" t="n">
        <f aca="false">[4]Jul!$AK$1</f>
        <v>0</v>
      </c>
      <c r="I35" s="36" t="n">
        <f aca="false">[5]Jul!$AK$1</f>
        <v>0</v>
      </c>
      <c r="J35" s="36" t="n">
        <f aca="false">[6]Jul!$AK$1</f>
        <v>0</v>
      </c>
      <c r="K35" s="36" t="n">
        <f aca="false">[7]Jul!$AH$1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[4]Aug!$AK$1</f>
        <v>0</v>
      </c>
      <c r="T35" s="36" t="n">
        <f aca="false">[5]Aug!$AK$1</f>
        <v>0</v>
      </c>
      <c r="U35" s="36" t="n">
        <f aca="false">[6]Aug!$AK$1</f>
        <v>0</v>
      </c>
      <c r="V35" s="36" t="n">
        <f aca="false">[7]Aug!$AH$1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[4]Sep!$AK$1</f>
        <v>0</v>
      </c>
      <c r="AE35" s="36" t="n">
        <f aca="false">[5]Sep!$AK$1</f>
        <v>0</v>
      </c>
      <c r="AF35" s="36" t="n">
        <f aca="false">[6]Sep!$AK$1</f>
        <v>0</v>
      </c>
      <c r="AG35" s="36" t="n">
        <f aca="false">[7]Sep!$AH$1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[4]Oct!$AK$1</f>
        <v>0</v>
      </c>
      <c r="AP35" s="36" t="n">
        <f aca="false">[5]Oct!$AK$1</f>
        <v>0</v>
      </c>
      <c r="AQ35" s="36" t="n">
        <f aca="false">[6]Oct!$AK$1</f>
        <v>0</v>
      </c>
      <c r="AR35" s="36" t="n">
        <f aca="false">[7]Oct!$AH$1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[4]Nov!$AK$1</f>
        <v>0</v>
      </c>
      <c r="BA35" s="36" t="n">
        <f aca="false">[5]Nov!$AK$1</f>
        <v>0</v>
      </c>
      <c r="BB35" s="36" t="n">
        <f aca="false">[6]Nov!$AK$1</f>
        <v>0</v>
      </c>
      <c r="BC35" s="36" t="n">
        <f aca="false">[7]Nov!$AH$1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[4]Dec!$AK$1</f>
        <v>0</v>
      </c>
      <c r="BL35" s="36" t="n">
        <f aca="false">[5]Dec!$AK$1</f>
        <v>0</v>
      </c>
      <c r="BM35" s="36" t="n">
        <f aca="false">[6]Dec!$AK$1</f>
        <v>0</v>
      </c>
      <c r="BN35" s="36" t="n">
        <f aca="false">[7]Dec!$AH$1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[4]Jan!$AK$1</f>
        <v>0</v>
      </c>
      <c r="BW35" s="36" t="n">
        <f aca="false">[5]Jan!$AK$1</f>
        <v>0</v>
      </c>
      <c r="BX35" s="36" t="n">
        <f aca="false">[6]Jan!$AK$1</f>
        <v>0</v>
      </c>
      <c r="BY35" s="36" t="n">
        <f aca="false">[7]Jan!$AH$1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[4]Feb!$AK$1</f>
        <v>0</v>
      </c>
      <c r="CH35" s="36" t="n">
        <f aca="false">[5]Feb!$AK$1</f>
        <v>0</v>
      </c>
      <c r="CI35" s="36" t="n">
        <f aca="false">[6]Feb!$AK$1</f>
        <v>0</v>
      </c>
      <c r="CJ35" s="36" t="n">
        <f aca="false">[7]Feb!$AH$1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[4]Mar!$AK$1</f>
        <v>0</v>
      </c>
      <c r="CS35" s="36" t="n">
        <f aca="false">[5]Mar!$AK$1</f>
        <v>0</v>
      </c>
      <c r="CT35" s="36" t="n">
        <f aca="false">[6]Mar!$AK$1</f>
        <v>0</v>
      </c>
      <c r="CU35" s="36" t="n">
        <f aca="false">[7]Mar!$AH$1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[4]Apr!$AK$1</f>
        <v>0</v>
      </c>
      <c r="DD35" s="36" t="n">
        <f aca="false">[5]Apr!$AK$1</f>
        <v>0</v>
      </c>
      <c r="DE35" s="36" t="n">
        <f aca="false">[6]Apr!$AK$1</f>
        <v>0</v>
      </c>
      <c r="DF35" s="36" t="n">
        <f aca="false">[7]Apr!$AH$1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[4]May!$AK$1</f>
        <v>0</v>
      </c>
      <c r="DO35" s="36" t="n">
        <f aca="false">[5]May!$AK$1</f>
        <v>0</v>
      </c>
      <c r="DP35" s="36" t="n">
        <f aca="false">[6]May!$AK$1</f>
        <v>0</v>
      </c>
      <c r="DQ35" s="36" t="n">
        <f aca="false">[7]May!$AH$1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[4]Jun!$AK$1</f>
        <v>0</v>
      </c>
      <c r="DZ35" s="36" t="n">
        <f aca="false">[5]Jun!$AK$1</f>
        <v>0</v>
      </c>
      <c r="EA35" s="36" t="n">
        <f aca="false">[6]Jun!$AK$1</f>
        <v>0</v>
      </c>
      <c r="EB35" s="36" t="n">
        <f aca="false">[7]Jun!$AH$1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141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142</v>
      </c>
      <c r="C37" s="56" t="s">
        <v>143</v>
      </c>
      <c r="D37" s="36" t="n">
        <f aca="false">OpenAccounts!E28</f>
        <v>0</v>
      </c>
      <c r="E37" s="57"/>
      <c r="F37" s="36"/>
      <c r="G37" s="36"/>
      <c r="H37" s="36" t="n">
        <f aca="false">-[4]Jul!$L$1+[4]Jul!$AF$1</f>
        <v>0</v>
      </c>
      <c r="I37" s="36" t="n">
        <f aca="false">-[5]Jul!$L$1+[5]Jul!$AF$1</f>
        <v>0</v>
      </c>
      <c r="J37" s="36" t="n">
        <f aca="false">-[6]Jul!$L$1+[6]Jul!$AF$1</f>
        <v>0</v>
      </c>
      <c r="K37" s="36" t="n">
        <f aca="false">-[7]Jul!$L$1+[7]Jul!$AC$1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-[4]Aug!$L$1+[4]Aug!$AF$1</f>
        <v>0</v>
      </c>
      <c r="T37" s="36" t="n">
        <f aca="false">-[5]Aug!$L$1+[5]Aug!$AF$1</f>
        <v>0</v>
      </c>
      <c r="U37" s="36" t="n">
        <f aca="false">-[6]Aug!$L$1+[6]Aug!$AF$1</f>
        <v>0</v>
      </c>
      <c r="V37" s="36" t="n">
        <f aca="false">-[7]Aug!$L$1+[7]Aug!$AC$1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-[4]Sep!$L$1+[4]Sep!$AF$1</f>
        <v>0</v>
      </c>
      <c r="AE37" s="36" t="n">
        <f aca="false">-[5]Sep!$L$1+[5]Sep!$AF$1</f>
        <v>0</v>
      </c>
      <c r="AF37" s="36" t="n">
        <f aca="false">-[6]Sep!$L$1+[6]Sep!$AF$1</f>
        <v>0</v>
      </c>
      <c r="AG37" s="36" t="n">
        <f aca="false">-[7]Sep!$L$1+[7]Sep!$AC$1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-[4]Oct!$L$1+[4]Oct!$AF$1</f>
        <v>0</v>
      </c>
      <c r="AP37" s="36" t="n">
        <f aca="false">-[5]Oct!$L$1+[5]Oct!$AF$1</f>
        <v>0</v>
      </c>
      <c r="AQ37" s="36" t="n">
        <f aca="false">-[6]Oct!$L$1+[6]Oct!$AF$1</f>
        <v>0</v>
      </c>
      <c r="AR37" s="36" t="n">
        <f aca="false">-[7]Oct!$L$1+[7]Oct!$AC$1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-[4]Nov!$L$1+[4]Nov!$AF$1</f>
        <v>0</v>
      </c>
      <c r="BA37" s="36" t="n">
        <f aca="false">-[5]Nov!$L$1+[5]Nov!$AF$1</f>
        <v>0</v>
      </c>
      <c r="BB37" s="36" t="n">
        <f aca="false">-[6]Nov!$L$1+[6]Nov!$AF$1</f>
        <v>0</v>
      </c>
      <c r="BC37" s="36" t="n">
        <f aca="false">-[7]Nov!$L$1+[7]Nov!$AC$1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-[4]Dec!$L$1+[4]Dec!$AF$1</f>
        <v>0</v>
      </c>
      <c r="BL37" s="36" t="n">
        <f aca="false">-[5]Dec!$L$1+[5]Dec!$AF$1</f>
        <v>0</v>
      </c>
      <c r="BM37" s="36" t="n">
        <f aca="false">-[6]Dec!$L$1+[6]Dec!$AF$1</f>
        <v>0</v>
      </c>
      <c r="BN37" s="36" t="n">
        <f aca="false">-[7]Dec!$L$1+[7]Dec!$AC$1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-[4]Jan!$L$1+[4]Jan!$AF$1</f>
        <v>0</v>
      </c>
      <c r="BW37" s="36" t="n">
        <f aca="false">-[5]Jan!$L$1+[5]Jan!$AF$1</f>
        <v>0</v>
      </c>
      <c r="BX37" s="36" t="n">
        <f aca="false">-[6]Jan!$L$1+[6]Jan!$AF$1</f>
        <v>0</v>
      </c>
      <c r="BY37" s="36" t="n">
        <f aca="false">-[7]Jan!$L$1+[7]Jan!$AC$1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-[4]Feb!$L$1+[4]Feb!$AF$1</f>
        <v>0</v>
      </c>
      <c r="CH37" s="36" t="n">
        <f aca="false">-[5]Feb!$L$1+[5]Feb!$AF$1</f>
        <v>0</v>
      </c>
      <c r="CI37" s="36" t="n">
        <f aca="false">-[6]Feb!$L$1+[6]Feb!$AF$1</f>
        <v>0</v>
      </c>
      <c r="CJ37" s="36" t="n">
        <f aca="false">-[7]Feb!$L$1+[7]Feb!$AC$1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-[4]Mar!$L$1+[4]Mar!$AF$1</f>
        <v>0</v>
      </c>
      <c r="CS37" s="36" t="n">
        <f aca="false">-[5]Mar!$L$1+[5]Mar!$AF$1</f>
        <v>0</v>
      </c>
      <c r="CT37" s="36" t="n">
        <f aca="false">-[6]Mar!$L$1+[6]Mar!$AF$1</f>
        <v>0</v>
      </c>
      <c r="CU37" s="36" t="n">
        <f aca="false">-[7]Mar!$L$1+[7]Mar!$AC$1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-[4]Apr!$L$1+[4]Apr!$AF$1</f>
        <v>0</v>
      </c>
      <c r="DD37" s="36" t="n">
        <f aca="false">-[5]Apr!$L$1+[5]Apr!$AF$1</f>
        <v>0</v>
      </c>
      <c r="DE37" s="36" t="n">
        <f aca="false">-[6]Apr!$L$1+[6]Apr!$AF$1</f>
        <v>0</v>
      </c>
      <c r="DF37" s="36" t="n">
        <f aca="false">-[7]Apr!$L$1+[7]Apr!$AC$1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-[4]May!$L$1+[4]May!$AF$1</f>
        <v>0</v>
      </c>
      <c r="DO37" s="36" t="n">
        <f aca="false">-[5]May!$L$1+[5]May!$AF$1</f>
        <v>0</v>
      </c>
      <c r="DP37" s="36" t="n">
        <f aca="false">-[6]May!$L$1+[6]May!$AF$1</f>
        <v>0</v>
      </c>
      <c r="DQ37" s="36" t="n">
        <f aca="false">-[7]May!$L$1+[7]May!$AC$1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-[4]Jun!$L$1+[4]Jun!$AF$1</f>
        <v>0</v>
      </c>
      <c r="DZ37" s="36" t="n">
        <f aca="false">-[5]Jun!$L$1+[5]Jun!$AF$1</f>
        <v>0</v>
      </c>
      <c r="EA37" s="36" t="n">
        <f aca="false">-[6]Jun!$L$1+[6]Jun!$AF$1</f>
        <v>0</v>
      </c>
      <c r="EB37" s="36" t="n">
        <f aca="false">-[7]Jun!$L$1+[7]Jun!$AC$1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144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37</v>
      </c>
      <c r="C39" s="56" t="s">
        <v>145</v>
      </c>
      <c r="D39" s="36" t="n">
        <f aca="false">-OpenAccounts!E30</f>
        <v>-20000</v>
      </c>
      <c r="E39" s="57"/>
      <c r="F39" s="36"/>
      <c r="G39" s="36"/>
      <c r="H39" s="36" t="n">
        <f aca="false">-[4]Jul!$P$1+[4]Jul!$AM$1</f>
        <v>-137927</v>
      </c>
      <c r="I39" s="36" t="n">
        <f aca="false">-[5]Jul!$P$1+[5]Jul!$AM$1</f>
        <v>0</v>
      </c>
      <c r="J39" s="36" t="n">
        <f aca="false">-[6]Jul!$P$1+[6]Jul!$AM$1</f>
        <v>0</v>
      </c>
      <c r="K39" s="36" t="n">
        <f aca="false">-[7]Jul!$N$1+[7]Jul!$AJ$1</f>
        <v>0</v>
      </c>
      <c r="L39" s="36"/>
      <c r="N39" s="57"/>
      <c r="O39" s="36" t="n">
        <f aca="false">SUM(D39:N39)</f>
        <v>-157927</v>
      </c>
      <c r="P39" s="57"/>
      <c r="Q39" s="36"/>
      <c r="R39" s="36"/>
      <c r="S39" s="36" t="n">
        <f aca="false">-[4]Aug!$P$1+[4]Aug!$AM$1</f>
        <v>-137679</v>
      </c>
      <c r="T39" s="36" t="n">
        <f aca="false">-[5]Aug!$P$1+[5]Aug!$AM$1</f>
        <v>0</v>
      </c>
      <c r="U39" s="36" t="n">
        <f aca="false">-[6]Aug!$P$1+[6]Aug!$AM$1</f>
        <v>-45889</v>
      </c>
      <c r="V39" s="36" t="n">
        <f aca="false">-[7]Aug!$N$1+[7]Aug!$AJ$1</f>
        <v>0</v>
      </c>
      <c r="W39" s="36"/>
      <c r="X39" s="36"/>
      <c r="Y39" s="54"/>
      <c r="Z39" s="36" t="n">
        <f aca="false">SUM(O39:Y39)</f>
        <v>-341495</v>
      </c>
      <c r="AA39" s="57"/>
      <c r="AB39" s="36"/>
      <c r="AC39" s="36"/>
      <c r="AD39" s="36" t="n">
        <f aca="false">-[4]Sep!$P$1+[4]Sep!$AM$1</f>
        <v>-137777</v>
      </c>
      <c r="AE39" s="36" t="n">
        <f aca="false">-[5]Sep!$P$1+[5]Sep!$AM$1</f>
        <v>0</v>
      </c>
      <c r="AF39" s="36" t="n">
        <f aca="false">-[6]Sep!$P$1+[6]Sep!$AM$1</f>
        <v>0</v>
      </c>
      <c r="AG39" s="36" t="n">
        <f aca="false">-[7]Sep!$N$1+[7]Sep!$AJ$1</f>
        <v>0</v>
      </c>
      <c r="AH39" s="36"/>
      <c r="AI39" s="36"/>
      <c r="AJ39" s="54"/>
      <c r="AK39" s="36" t="n">
        <f aca="false">SUM(Z39:AJ39)</f>
        <v>-479272</v>
      </c>
      <c r="AL39" s="57"/>
      <c r="AM39" s="36"/>
      <c r="AN39" s="36"/>
      <c r="AO39" s="36" t="n">
        <f aca="false">-[4]Oct!$P$1+[4]Oct!$AM$1</f>
        <v>-229738</v>
      </c>
      <c r="AP39" s="36" t="n">
        <f aca="false">-[5]Oct!$P$1+[5]Oct!$AM$1</f>
        <v>0</v>
      </c>
      <c r="AQ39" s="36" t="n">
        <f aca="false">-[6]Oct!$P$1+[6]Oct!$AM$1</f>
        <v>0</v>
      </c>
      <c r="AR39" s="36" t="n">
        <f aca="false">-[7]Oct!$N$1+[7]Oct!$AJ$1</f>
        <v>0</v>
      </c>
      <c r="AS39" s="36"/>
      <c r="AT39" s="36"/>
      <c r="AU39" s="54"/>
      <c r="AV39" s="36" t="n">
        <f aca="false">SUM(AK39:AU39)</f>
        <v>-709010</v>
      </c>
      <c r="AW39" s="57"/>
      <c r="AX39" s="36"/>
      <c r="AY39" s="36"/>
      <c r="AZ39" s="36" t="n">
        <f aca="false">-[4]Nov!$P$1+[4]Nov!$AM$1</f>
        <v>-91969</v>
      </c>
      <c r="BA39" s="36" t="n">
        <f aca="false">-[5]Nov!$P$1+[5]Nov!$AM$1</f>
        <v>0</v>
      </c>
      <c r="BB39" s="36" t="n">
        <f aca="false">-[6]Nov!$P$1+[6]Nov!$AM$1</f>
        <v>0</v>
      </c>
      <c r="BC39" s="36" t="n">
        <f aca="false">-[7]Nov!$N$1+[7]Nov!$AJ$1</f>
        <v>0</v>
      </c>
      <c r="BD39" s="36"/>
      <c r="BE39" s="36"/>
      <c r="BF39" s="54"/>
      <c r="BG39" s="36" t="n">
        <f aca="false">SUM(AV39:BF39)</f>
        <v>-800979</v>
      </c>
      <c r="BH39" s="57"/>
      <c r="BI39" s="36"/>
      <c r="BJ39" s="36"/>
      <c r="BK39" s="36" t="n">
        <f aca="false">-[4]Dec!$P$1+[4]Dec!$AM$1</f>
        <v>-138050</v>
      </c>
      <c r="BL39" s="36" t="n">
        <f aca="false">-[5]Dec!$P$1+[5]Dec!$AM$1</f>
        <v>0</v>
      </c>
      <c r="BM39" s="36" t="n">
        <f aca="false">-[6]Dec!$P$1+[6]Dec!$AM$1</f>
        <v>0</v>
      </c>
      <c r="BN39" s="36" t="n">
        <f aca="false">-[7]Dec!$N$1+[7]Dec!$AJ$1</f>
        <v>0</v>
      </c>
      <c r="BO39" s="36"/>
      <c r="BP39" s="36"/>
      <c r="BQ39" s="54"/>
      <c r="BR39" s="36" t="n">
        <f aca="false">SUM(BG39:BQ39)</f>
        <v>-939029</v>
      </c>
      <c r="BS39" s="57"/>
      <c r="BT39" s="36"/>
      <c r="BU39" s="36"/>
      <c r="BV39" s="36" t="n">
        <f aca="false">-[4]Jan!$P$1+[4]Jan!$AM$1</f>
        <v>-230180</v>
      </c>
      <c r="BW39" s="36" t="n">
        <f aca="false">-[5]Jan!$P$1+[5]Jan!$AM$1</f>
        <v>0</v>
      </c>
      <c r="BX39" s="36" t="n">
        <f aca="false">-[6]Jan!$P$1+[6]Jan!$AM$1</f>
        <v>0</v>
      </c>
      <c r="BY39" s="36" t="n">
        <f aca="false">-[7]Jan!$N$1+[7]Jan!$AJ$1</f>
        <v>0</v>
      </c>
      <c r="BZ39" s="36"/>
      <c r="CA39" s="36"/>
      <c r="CB39" s="54"/>
      <c r="CC39" s="36" t="n">
        <f aca="false">SUM(BR39:CB39)</f>
        <v>-1169209</v>
      </c>
      <c r="CD39" s="57"/>
      <c r="CE39" s="36"/>
      <c r="CF39" s="36"/>
      <c r="CG39" s="36" t="n">
        <f aca="false">-[4]Feb!$P$1+[4]Feb!$AM$1</f>
        <v>-138231</v>
      </c>
      <c r="CH39" s="36" t="n">
        <f aca="false">-[5]Feb!$P$1+[5]Feb!$AM$1</f>
        <v>0</v>
      </c>
      <c r="CI39" s="36" t="n">
        <f aca="false">-[6]Feb!$P$1+[6]Feb!$AM$1</f>
        <v>0</v>
      </c>
      <c r="CJ39" s="36" t="n">
        <f aca="false">-[7]Feb!$N$1+[7]Feb!$AJ$1</f>
        <v>0</v>
      </c>
      <c r="CK39" s="36"/>
      <c r="CL39" s="36"/>
      <c r="CM39" s="54"/>
      <c r="CN39" s="36" t="n">
        <f aca="false">SUM(CC39:CM39)</f>
        <v>-1307440</v>
      </c>
      <c r="CO39" s="57"/>
      <c r="CP39" s="36"/>
      <c r="CQ39" s="36"/>
      <c r="CR39" s="36" t="n">
        <f aca="false">-[4]Mar!$P$1+[4]Mar!$AM$1</f>
        <v>-184421</v>
      </c>
      <c r="CS39" s="36" t="n">
        <f aca="false">-[5]Mar!$P$1+[5]Mar!$AM$1</f>
        <v>0</v>
      </c>
      <c r="CT39" s="36" t="n">
        <f aca="false">-[6]Mar!$P$1+[6]Mar!$AM$1</f>
        <v>0</v>
      </c>
      <c r="CU39" s="36" t="n">
        <f aca="false">-[7]Mar!$N$1+[7]Mar!$AJ$1</f>
        <v>0</v>
      </c>
      <c r="CV39" s="36"/>
      <c r="CW39" s="36"/>
      <c r="CX39" s="54"/>
      <c r="CY39" s="36" t="n">
        <f aca="false">SUM(CN39:CX39)</f>
        <v>-1491861</v>
      </c>
      <c r="CZ39" s="57"/>
      <c r="DA39" s="36"/>
      <c r="DB39" s="36"/>
      <c r="DC39" s="36" t="n">
        <f aca="false">-[4]Apr!$P$1+[4]Apr!$AM$1</f>
        <v>-138398</v>
      </c>
      <c r="DD39" s="36" t="n">
        <f aca="false">-[5]Apr!$P$1+[5]Apr!$AM$1</f>
        <v>0</v>
      </c>
      <c r="DE39" s="36" t="n">
        <f aca="false">-[6]Apr!$P$1+[6]Apr!$AM$1</f>
        <v>0</v>
      </c>
      <c r="DF39" s="36" t="n">
        <f aca="false">-[7]Apr!$N$1+[7]Apr!$AJ$1</f>
        <v>0</v>
      </c>
      <c r="DG39" s="36"/>
      <c r="DH39" s="36"/>
      <c r="DI39" s="54"/>
      <c r="DJ39" s="36" t="n">
        <f aca="false">SUM(CY39:DI39)</f>
        <v>-1630259</v>
      </c>
      <c r="DK39" s="57"/>
      <c r="DL39" s="36"/>
      <c r="DM39" s="36"/>
      <c r="DN39" s="36" t="n">
        <f aca="false">-[4]May!$P$1+[4]May!$AM$1</f>
        <v>-92331</v>
      </c>
      <c r="DO39" s="36" t="n">
        <f aca="false">-[5]May!$P$1+[5]May!$AM$1</f>
        <v>0</v>
      </c>
      <c r="DP39" s="36" t="n">
        <f aca="false">-[6]May!$P$1+[6]May!$AM$1</f>
        <v>0</v>
      </c>
      <c r="DQ39" s="36" t="n">
        <f aca="false">-[7]May!$N$1+[7]May!$AJ$1</f>
        <v>0</v>
      </c>
      <c r="DR39" s="36"/>
      <c r="DS39" s="36"/>
      <c r="DT39" s="54"/>
      <c r="DU39" s="36" t="n">
        <f aca="false">SUM(DJ39:DT39)</f>
        <v>-1722590</v>
      </c>
      <c r="DV39" s="57"/>
      <c r="DW39" s="36"/>
      <c r="DX39" s="36"/>
      <c r="DY39" s="36" t="n">
        <f aca="false">-[4]Jun!$P$1+[4]Jun!$AM$1</f>
        <v>-184801</v>
      </c>
      <c r="DZ39" s="36" t="n">
        <f aca="false">-[5]Jun!$P$1+[5]Jun!$AM$1</f>
        <v>0</v>
      </c>
      <c r="EA39" s="36" t="n">
        <f aca="false">-[6]Jun!$P$1+[6]Jun!$AM$1</f>
        <v>0</v>
      </c>
      <c r="EB39" s="36" t="n">
        <f aca="false">-[7]Jun!$N$1+[7]Jun!$AJ$1</f>
        <v>0</v>
      </c>
      <c r="EC39" s="36"/>
      <c r="ED39" s="36"/>
      <c r="EE39" s="54"/>
      <c r="EF39" s="36" t="n">
        <f aca="false">SUM(DU39:EE39)</f>
        <v>-1907391</v>
      </c>
      <c r="EG39" s="54"/>
      <c r="EI39" s="54"/>
      <c r="EJ39" s="36" t="n">
        <f aca="false">SUM(EF39:EH39)</f>
        <v>-1907391</v>
      </c>
      <c r="EK39" s="54"/>
    </row>
    <row r="40" customFormat="false" ht="12" hidden="false" customHeight="false" outlineLevel="0" collapsed="false">
      <c r="A40" s="54"/>
      <c r="B40" s="54" t="s">
        <v>146</v>
      </c>
      <c r="C40" s="56" t="s">
        <v>147</v>
      </c>
      <c r="D40" s="36" t="n">
        <f aca="false">-OpenAccounts!E31</f>
        <v>-0</v>
      </c>
      <c r="E40" s="57"/>
      <c r="F40" s="36"/>
      <c r="G40" s="36"/>
      <c r="H40" s="36" t="n">
        <f aca="false">-[4]Jul!$M$1+[4]Jul!$AG$1</f>
        <v>0</v>
      </c>
      <c r="I40" s="36" t="n">
        <f aca="false">-[5]Jul!$M$1+[5]Jul!$AG$1</f>
        <v>0</v>
      </c>
      <c r="J40" s="36" t="n">
        <f aca="false">-[6]Jul!$M$1+[6]Jul!$AG$1</f>
        <v>0</v>
      </c>
      <c r="K40" s="36" t="n">
        <f aca="false">-[7]Jul!$M$1+[7]Jul!$AD$1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-[4]Aug!$M$1+[4]Aug!$AG$1</f>
        <v>0</v>
      </c>
      <c r="T40" s="36" t="n">
        <f aca="false">-[5]Aug!$M$1+[5]Aug!$AG$1</f>
        <v>0</v>
      </c>
      <c r="U40" s="36" t="n">
        <f aca="false">-[6]Aug!$M$1+[6]Aug!$AG$1</f>
        <v>0</v>
      </c>
      <c r="V40" s="36" t="n">
        <f aca="false">-[7]Aug!$M$1+[7]Aug!$AD$1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-[4]Sep!$M$1+[4]Sep!$AG$1</f>
        <v>0</v>
      </c>
      <c r="AE40" s="36" t="n">
        <f aca="false">-[5]Sep!$M$1+[5]Sep!$AG$1</f>
        <v>0</v>
      </c>
      <c r="AF40" s="36" t="n">
        <f aca="false">-[6]Sep!$M$1+[6]Sep!$AG$1</f>
        <v>0</v>
      </c>
      <c r="AG40" s="36" t="n">
        <f aca="false">-[7]Sep!$M$1+[7]Sep!$AD$1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-[4]Oct!$M$1+[4]Oct!$AG$1</f>
        <v>0</v>
      </c>
      <c r="AP40" s="36" t="n">
        <f aca="false">-[5]Oct!$M$1+[5]Oct!$AG$1</f>
        <v>0</v>
      </c>
      <c r="AQ40" s="36" t="n">
        <f aca="false">-[6]Oct!$M$1+[6]Oct!$AG$1</f>
        <v>0</v>
      </c>
      <c r="AR40" s="36" t="n">
        <f aca="false">-[7]Oct!$M$1+[7]Oct!$AD$1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-[4]Nov!$M$1+[4]Nov!$AG$1</f>
        <v>0</v>
      </c>
      <c r="BA40" s="36" t="n">
        <f aca="false">-[5]Nov!$M$1+[5]Nov!$AG$1</f>
        <v>0</v>
      </c>
      <c r="BB40" s="36" t="n">
        <f aca="false">-[6]Nov!$M$1+[6]Nov!$AG$1</f>
        <v>0</v>
      </c>
      <c r="BC40" s="36" t="n">
        <f aca="false">-[7]Nov!$M$1+[7]Nov!$AD$1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-[4]Dec!$M$1+[4]Dec!$AG$1</f>
        <v>0</v>
      </c>
      <c r="BL40" s="36" t="n">
        <f aca="false">-[5]Dec!$M$1+[5]Dec!$AG$1</f>
        <v>0</v>
      </c>
      <c r="BM40" s="36" t="n">
        <f aca="false">-[6]Dec!$M$1+[6]Dec!$AG$1</f>
        <v>0</v>
      </c>
      <c r="BN40" s="36" t="n">
        <f aca="false">-[7]Dec!$M$1+[7]Dec!$AD$1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-[4]Jan!$M$1+[4]Jan!$AG$1</f>
        <v>0</v>
      </c>
      <c r="BW40" s="36" t="n">
        <f aca="false">-[5]Jan!$M$1+[5]Jan!$AG$1</f>
        <v>0</v>
      </c>
      <c r="BX40" s="36" t="n">
        <f aca="false">-[6]Jan!$M$1+[6]Jan!$AG$1</f>
        <v>0</v>
      </c>
      <c r="BY40" s="36" t="n">
        <f aca="false">-[7]Jan!$M$1+[7]Jan!$AD$1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-[4]Feb!$M$1+[4]Feb!$AG$1</f>
        <v>0</v>
      </c>
      <c r="CH40" s="36" t="n">
        <f aca="false">-[5]Feb!$M$1+[5]Feb!$AG$1</f>
        <v>0</v>
      </c>
      <c r="CI40" s="36" t="n">
        <f aca="false">-[6]Feb!$M$1+[6]Feb!$AG$1</f>
        <v>0</v>
      </c>
      <c r="CJ40" s="36" t="n">
        <f aca="false">-[7]Feb!$M$1+[7]Feb!$AD$1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-[4]Mar!$M$1+[4]Mar!$AG$1</f>
        <v>0</v>
      </c>
      <c r="CS40" s="36" t="n">
        <f aca="false">-[5]Mar!$M$1+[5]Mar!$AG$1</f>
        <v>0</v>
      </c>
      <c r="CT40" s="36" t="n">
        <f aca="false">-[6]Mar!$M$1+[6]Mar!$AG$1</f>
        <v>0</v>
      </c>
      <c r="CU40" s="36" t="n">
        <f aca="false">-[7]Mar!$M$1+[7]Mar!$AD$1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-[4]Apr!$M$1+[4]Apr!$AG$1</f>
        <v>0</v>
      </c>
      <c r="DD40" s="36" t="n">
        <f aca="false">-[5]Apr!$M$1+[5]Apr!$AG$1</f>
        <v>0</v>
      </c>
      <c r="DE40" s="36" t="n">
        <f aca="false">-[6]Apr!$M$1+[6]Apr!$AG$1</f>
        <v>0</v>
      </c>
      <c r="DF40" s="36" t="n">
        <f aca="false">-[7]Apr!$M$1+[7]Apr!$AD$1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-[4]May!$M$1+[4]May!$AG$1</f>
        <v>0</v>
      </c>
      <c r="DO40" s="36" t="n">
        <f aca="false">-[5]May!$M$1+[5]May!$AG$1</f>
        <v>0</v>
      </c>
      <c r="DP40" s="36" t="n">
        <f aca="false">-[6]May!$M$1+[6]May!$AG$1</f>
        <v>0</v>
      </c>
      <c r="DQ40" s="36" t="n">
        <f aca="false">-[7]May!$M$1+[7]May!$AD$1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-[4]Jun!$M$1+[4]Jun!$AG$1</f>
        <v>0</v>
      </c>
      <c r="DZ40" s="36" t="n">
        <f aca="false">-[5]Jun!$M$1+[5]Jun!$AG$1</f>
        <v>0</v>
      </c>
      <c r="EA40" s="36" t="n">
        <f aca="false">-[6]Jun!$M$1+[6]Jun!$AG$1</f>
        <v>0</v>
      </c>
      <c r="EB40" s="36" t="n">
        <f aca="false">-[7]Jun!$M$1+[7]Jun!$AD$1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148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149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150</v>
      </c>
      <c r="C43" s="56"/>
      <c r="D43" s="36" t="n">
        <f aca="false">-OpenAccounts!E34</f>
        <v>-45702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-45702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-45702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-45702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-45702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-45702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-45702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-45702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-45702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-45702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-45702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-45702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-45702</v>
      </c>
      <c r="EG43" s="54"/>
      <c r="EH43" s="36" t="n">
        <f aca="false">-'PubP&amp;L'!F54</f>
        <v>-223144.7775</v>
      </c>
      <c r="EI43" s="54"/>
      <c r="EJ43" s="36" t="n">
        <f aca="false">SUM(EF43:EH43)</f>
        <v>-268846.7775</v>
      </c>
      <c r="EK43" s="54"/>
    </row>
    <row r="44" customFormat="false" ht="12" hidden="false" customHeight="false" outlineLevel="0" collapsed="false">
      <c r="A44" s="54"/>
      <c r="B44" s="54" t="s">
        <v>151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152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153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79</v>
      </c>
      <c r="C48" s="56" t="s">
        <v>132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154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155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156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157</v>
      </c>
      <c r="C53" s="56" t="s">
        <v>158</v>
      </c>
      <c r="D53" s="57"/>
      <c r="E53" s="57"/>
      <c r="F53" s="36" t="n">
        <f aca="false">-[3]Jul!$O$1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-[3]Aug!$O$1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-[3]Sep!$O$1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-[3]Oct!$O$1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-[3]Nov!$O$1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-[3]Dec!$O$1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-[3]Jan!$O$1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-[3]Feb!$O$1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-[3]Mar!$O$1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-[3]Apr!$O$1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-[3]May!$O$1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-[3]Jun!$O$1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159</v>
      </c>
      <c r="C54" s="56" t="s">
        <v>160</v>
      </c>
      <c r="D54" s="57"/>
      <c r="E54" s="57"/>
      <c r="F54" s="36" t="n">
        <f aca="false">-[3]Jul!$P$1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-[3]Aug!$P$1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-[3]Sep!$P$1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-[3]Oct!$P$1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-[3]Nov!$P$1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-[3]Dec!$P$1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-[3]Jan!$P$1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-[3]Feb!$P$1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-[3]Mar!$P$1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-[3]Apr!$P$1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-[3]May!$P$1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-[3]Jun!$P$1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161</v>
      </c>
      <c r="C55" s="56" t="s">
        <v>162</v>
      </c>
      <c r="D55" s="57"/>
      <c r="E55" s="57"/>
      <c r="F55" s="36" t="n">
        <f aca="false">-[3]Jul!$Q$1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-[3]Aug!$Q$1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-[3]Sep!$Q$1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-[3]Oct!$Q$1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-[3]Nov!$Q$1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-[3]Dec!$Q$1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-[3]Jan!$Q$1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-[3]Feb!$Q$1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-[3]Mar!$Q$1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-[3]Apr!$Q$1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-[3]May!$Q$1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-[3]Jun!$Q$1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75</v>
      </c>
      <c r="C56" s="56" t="s">
        <v>163</v>
      </c>
      <c r="D56" s="57"/>
      <c r="E56" s="57"/>
      <c r="F56" s="36" t="n">
        <f aca="false">-[3]Jul!$R$1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-[3]Aug!$R$1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-[3]Sep!$R$1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-[3]Oct!$R$1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-[3]Nov!$R$1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-[3]Dec!$R$1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-[3]Jan!$R$1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-[3]Feb!$R$1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-[3]Mar!$R$1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-[3]Apr!$R$1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-[3]May!$R$1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-[3]Jun!$R$1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164</v>
      </c>
      <c r="C57" s="56" t="s">
        <v>165</v>
      </c>
      <c r="D57" s="57"/>
      <c r="E57" s="57"/>
      <c r="F57" s="36" t="n">
        <f aca="false">-[3]Jul!$S$1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-[3]Aug!$S$1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-[3]Sep!$S$1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-[3]Oct!$S$1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-[3]Nov!$S$1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-[3]Dec!$S$1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-[3]Jan!$S$1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-[3]Feb!$S$1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-[3]Mar!$S$1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-[3]Apr!$S$1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-[3]May!$S$1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-[3]Jun!$S$1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166</v>
      </c>
      <c r="C58" s="56" t="s">
        <v>167</v>
      </c>
      <c r="D58" s="57"/>
      <c r="E58" s="57"/>
      <c r="F58" s="36"/>
      <c r="G58" s="36"/>
      <c r="H58" s="36" t="n">
        <f aca="false">-[4]Jul!$K$1</f>
        <v>-0</v>
      </c>
      <c r="I58" s="36" t="n">
        <f aca="false">-[5]Jul!$K$1</f>
        <v>-0</v>
      </c>
      <c r="J58" s="36" t="n">
        <f aca="false">-[6]Jul!$K$1</f>
        <v>-0</v>
      </c>
      <c r="K58" s="36" t="n">
        <f aca="false">-[7]Jul!$K$1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-[4]Aug!$K$1</f>
        <v>-0</v>
      </c>
      <c r="T58" s="36" t="n">
        <f aca="false">-[5]Aug!$K$1</f>
        <v>-0</v>
      </c>
      <c r="U58" s="36" t="n">
        <f aca="false">-[6]Aug!$K$1</f>
        <v>-0</v>
      </c>
      <c r="V58" s="36" t="n">
        <f aca="false">-[7]Aug!$K$1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-[4]Sep!$K$1</f>
        <v>-0</v>
      </c>
      <c r="AE58" s="36" t="n">
        <f aca="false">-[5]Sep!$K$1</f>
        <v>-0</v>
      </c>
      <c r="AF58" s="36" t="n">
        <f aca="false">-[6]Sep!$K$1</f>
        <v>-0</v>
      </c>
      <c r="AG58" s="36" t="n">
        <f aca="false">-[7]Sep!$K$1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-[4]Oct!$K$1</f>
        <v>-0</v>
      </c>
      <c r="AP58" s="36" t="n">
        <f aca="false">-[5]Oct!$K$1</f>
        <v>-0</v>
      </c>
      <c r="AQ58" s="36" t="n">
        <f aca="false">-[6]Oct!$K$1</f>
        <v>-0</v>
      </c>
      <c r="AR58" s="36" t="n">
        <f aca="false">-[7]Oct!$K$1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-[4]Nov!$K$1</f>
        <v>-0</v>
      </c>
      <c r="BA58" s="36" t="n">
        <f aca="false">-[5]Nov!$K$1</f>
        <v>-0</v>
      </c>
      <c r="BB58" s="36" t="n">
        <f aca="false">-[6]Nov!$K$1</f>
        <v>-0</v>
      </c>
      <c r="BC58" s="36" t="n">
        <f aca="false">-[7]Nov!$K$1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-[4]Dec!$K$1</f>
        <v>-0</v>
      </c>
      <c r="BL58" s="36" t="n">
        <f aca="false">-[5]Dec!$K$1</f>
        <v>-0</v>
      </c>
      <c r="BM58" s="36" t="n">
        <f aca="false">-[6]Dec!$K$1</f>
        <v>-0</v>
      </c>
      <c r="BN58" s="36" t="n">
        <f aca="false">-[7]Dec!$K$1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-[4]Jan!$K$1</f>
        <v>-0</v>
      </c>
      <c r="BW58" s="36" t="n">
        <f aca="false">-[5]Jan!$K$1</f>
        <v>-0</v>
      </c>
      <c r="BX58" s="36" t="n">
        <f aca="false">-[6]Jan!$K$1</f>
        <v>-0</v>
      </c>
      <c r="BY58" s="36" t="n">
        <f aca="false">-[7]Jan!$K$1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-[4]Feb!$K$1</f>
        <v>-0</v>
      </c>
      <c r="CH58" s="36" t="n">
        <f aca="false">-[5]Feb!$K$1</f>
        <v>-0</v>
      </c>
      <c r="CI58" s="36" t="n">
        <f aca="false">-[6]Feb!$K$1</f>
        <v>-0</v>
      </c>
      <c r="CJ58" s="36" t="n">
        <f aca="false">-[7]Feb!$K$1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-[4]Mar!$K$1</f>
        <v>-0</v>
      </c>
      <c r="CS58" s="36" t="n">
        <f aca="false">-[5]Mar!$K$1</f>
        <v>-0</v>
      </c>
      <c r="CT58" s="36" t="n">
        <f aca="false">-[6]Mar!$K$1</f>
        <v>-0</v>
      </c>
      <c r="CU58" s="36" t="n">
        <f aca="false">-[7]Mar!$K$1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-[4]Apr!$K$1</f>
        <v>-0</v>
      </c>
      <c r="DD58" s="36" t="n">
        <f aca="false">-[5]Apr!$K$1</f>
        <v>-0</v>
      </c>
      <c r="DE58" s="36" t="n">
        <f aca="false">-[6]Apr!$K$1</f>
        <v>-0</v>
      </c>
      <c r="DF58" s="36" t="n">
        <f aca="false">-[7]Apr!$K$1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-[4]May!$K$1</f>
        <v>-0</v>
      </c>
      <c r="DO58" s="36" t="n">
        <f aca="false">-[5]May!$K$1</f>
        <v>-0</v>
      </c>
      <c r="DP58" s="36" t="n">
        <f aca="false">-[6]May!$K$1</f>
        <v>-0</v>
      </c>
      <c r="DQ58" s="36" t="n">
        <f aca="false">-[7]May!$K$1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-[4]Jun!$K$1</f>
        <v>-0</v>
      </c>
      <c r="DZ58" s="36" t="n">
        <f aca="false">-[5]Jun!$K$1</f>
        <v>-0</v>
      </c>
      <c r="EA58" s="36" t="n">
        <f aca="false">-[6]Jun!$K$1</f>
        <v>-0</v>
      </c>
      <c r="EB58" s="36" t="n">
        <f aca="false">-[7]Jun!$K$1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168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169</v>
      </c>
      <c r="C60" s="56" t="s">
        <v>170</v>
      </c>
      <c r="D60" s="57"/>
      <c r="E60" s="57"/>
      <c r="F60" s="36"/>
      <c r="G60" s="36" t="n">
        <f aca="false">[2]Jul!$O$1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[2]Aug!$O$1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[2]Sep!$O$1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[2]Oct!$O$1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[2]Nov!$O$1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[2]Dec!$O$1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[2]Jan!$O$1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[2]Feb!$O$1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[2]Mar!$O$1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[2]Apr!$O$1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[2]May!$O$1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[2]Jun!$O$1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171</v>
      </c>
      <c r="C61" s="56" t="s">
        <v>162</v>
      </c>
      <c r="D61" s="57"/>
      <c r="E61" s="57"/>
      <c r="F61" s="36"/>
      <c r="G61" s="36" t="n">
        <f aca="false">[2]Jul!$P$1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[2]Aug!$P$1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[2]Sep!$P$1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[2]Oct!$P$1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[2]Nov!$P$1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[2]Dec!$P$1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[2]Jan!$P$1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[2]Feb!$P$1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[2]Mar!$P$1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[2]Apr!$P$1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[2]May!$P$1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[2]Jun!$P$1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172</v>
      </c>
      <c r="C62" s="56" t="s">
        <v>173</v>
      </c>
      <c r="D62" s="57"/>
      <c r="E62" s="57"/>
      <c r="F62" s="36"/>
      <c r="G62" s="36" t="n">
        <f aca="false">[2]Jul!$Q$1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[2]Aug!$Q$1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[2]Sep!$Q$1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[2]Oct!$Q$1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[2]Nov!$Q$1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[2]Dec!$Q$1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[2]Jan!$Q$1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[2]Feb!$Q$1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[2]Mar!$Q$1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[2]Apr!$Q$1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[2]May!$Q$1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[2]Jun!$Q$1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174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175</v>
      </c>
      <c r="C64" s="56" t="s">
        <v>176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177</v>
      </c>
      <c r="C65" s="56" t="s">
        <v>178</v>
      </c>
      <c r="D65" s="57"/>
      <c r="E65" s="57"/>
      <c r="F65" s="36"/>
      <c r="G65" s="36" t="n">
        <f aca="false">[2]Jul!$S$1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[2]Aug!$S$1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[2]Sep!$S$1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[2]Oct!$S$1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[2]Nov!$S$1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[2]Dec!$S$1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[2]Jan!$S$1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[2]Feb!$S$1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[2]Mar!$S$1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[2]Apr!$S$1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[2]May!$S$1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[2]Jun!$S$1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52</v>
      </c>
      <c r="C66" s="56" t="s">
        <v>163</v>
      </c>
      <c r="D66" s="57"/>
      <c r="E66" s="57"/>
      <c r="F66" s="36"/>
      <c r="G66" s="36" t="n">
        <f aca="false">[2]Jul!$R$1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[2]Aug!$R$1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[2]Sep!$R$1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[2]Oct!$R$1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[2]Nov!$R$1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[2]Dec!$R$1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[2]Jan!$R$1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[2]Feb!$R$1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[2]Mar!$R$1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[2]Apr!$R$1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[2]May!$R$1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[2]Jun!$R$1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179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54</v>
      </c>
      <c r="C68" s="56" t="s">
        <v>180</v>
      </c>
      <c r="D68" s="57"/>
      <c r="E68" s="57"/>
      <c r="F68" s="36"/>
      <c r="G68" s="36" t="n">
        <f aca="false">[2]Jul!$T$1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[2]Aug!$T$1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[2]Sep!$T$1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[2]Oct!$T$1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[2]Nov!$T$1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[2]Dec!$T$1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[2]Jan!$T$1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[2]Feb!$T$1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[2]Mar!$T$1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[2]Apr!$T$1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[2]May!$T$1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[2]Jun!$T$1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55</v>
      </c>
      <c r="C69" s="56" t="s">
        <v>181</v>
      </c>
      <c r="D69" s="57"/>
      <c r="E69" s="57"/>
      <c r="F69" s="36"/>
      <c r="G69" s="36" t="n">
        <f aca="false">[2]Jul!$U$1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[2]Aug!$U$1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[2]Sep!$U$1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[2]Oct!$U$1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[2]Nov!$U$1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[2]Dec!$U$1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[2]Jan!$U$1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[2]Feb!$U$1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[2]Mar!$U$1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[2]Apr!$U$1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[2]May!$U$1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[2]Jun!$U$1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56</v>
      </c>
      <c r="C70" s="56" t="s">
        <v>182</v>
      </c>
      <c r="D70" s="57"/>
      <c r="E70" s="57"/>
      <c r="F70" s="36"/>
      <c r="G70" s="36" t="n">
        <f aca="false">[2]Jul!$V$1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[2]Aug!$V$1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[2]Sep!$V$1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[2]Oct!$V$1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[2]Nov!$V$1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[2]Dec!$V$1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[2]Jan!$V$1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[2]Feb!$V$1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[2]Mar!$V$1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[2]Apr!$V$1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[2]May!$V$1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[2]Jun!$V$1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57</v>
      </c>
      <c r="C71" s="56" t="s">
        <v>183</v>
      </c>
      <c r="D71" s="57"/>
      <c r="E71" s="57"/>
      <c r="F71" s="36"/>
      <c r="G71" s="36" t="n">
        <f aca="false">[2]Jul!$W$1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[2]Aug!$W$1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[2]Sep!$W$1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[2]Oct!$W$1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[2]Nov!$W$1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[2]Dec!$W$1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[2]Jan!$W$1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[2]Feb!$W$1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[2]Mar!$W$1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[2]Apr!$W$1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[2]May!$W$1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[2]Jun!$W$1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58</v>
      </c>
      <c r="C72" s="56" t="s">
        <v>184</v>
      </c>
      <c r="D72" s="57"/>
      <c r="E72" s="57"/>
      <c r="F72" s="36"/>
      <c r="G72" s="36" t="n">
        <f aca="false">[2]Jul!$X$1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[2]Aug!$X$1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[2]Sep!$X$1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[2]Oct!$X$1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[2]Nov!$X$1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[2]Dec!$X$1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[2]Jan!$X$1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[2]Feb!$X$1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[2]Mar!$X$1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[2]Apr!$X$1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[2]May!$X$1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[2]Jun!$X$1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59</v>
      </c>
      <c r="C73" s="56" t="s">
        <v>185</v>
      </c>
      <c r="D73" s="57"/>
      <c r="E73" s="57"/>
      <c r="F73" s="36"/>
      <c r="G73" s="36" t="n">
        <f aca="false">[2]Jul!$Y$1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[2]Aug!$Y$1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[2]Sep!$Y$1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[2]Oct!$Y$1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[2]Nov!$Y$1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[2]Dec!$Y$1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[2]Jan!$Y$1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[2]Feb!$Y$1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[2]Mar!$Y$1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[2]Apr!$Y$1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[2]May!$Y$1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[2]Jun!$Y$1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60</v>
      </c>
      <c r="C74" s="56" t="s">
        <v>158</v>
      </c>
      <c r="D74" s="57"/>
      <c r="E74" s="57"/>
      <c r="F74" s="36"/>
      <c r="G74" s="36" t="n">
        <f aca="false">[2]Jul!$Z$1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[2]Aug!$Z$1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[2]Sep!$Z$1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[2]Oct!$Z$1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[2]Nov!$Z$1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[2]Dec!$Z$1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[2]Jan!$Z$1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[2]Feb!$Z$1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[2]Mar!$Z$1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[2]Apr!$Z$1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[2]May!$Z$1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[2]Jun!$Z$1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61</v>
      </c>
      <c r="C75" s="56" t="s">
        <v>165</v>
      </c>
      <c r="D75" s="57"/>
      <c r="E75" s="57"/>
      <c r="F75" s="36"/>
      <c r="G75" s="36" t="n">
        <f aca="false">[2]Jul!$AA$1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[2]Aug!$AA$1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[2]Sep!$AA$1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[2]Oct!$AA$1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[2]Nov!$AA$1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[2]Dec!$AA$1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[2]Jan!$AA$1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[2]Feb!$AA$1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[2]Mar!$AA$1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[2]Apr!$AA$1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[2]May!$AA$1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[2]Jun!$AA$1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62</v>
      </c>
      <c r="C76" s="56" t="s">
        <v>186</v>
      </c>
      <c r="D76" s="57"/>
      <c r="E76" s="57"/>
      <c r="F76" s="36"/>
      <c r="G76" s="36" t="n">
        <f aca="false">[2]Jul!$AB$1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[2]Aug!$AB$1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[2]Sep!$AB$1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[2]Oct!$AB$1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[2]Nov!$AB$1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[2]Dec!$AB$1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[2]Jan!$AB$1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[2]Feb!$AB$1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[2]Mar!$AB$1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[2]Apr!$AB$1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[2]May!$AB$1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[2]Jun!$AB$1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63</v>
      </c>
      <c r="C77" s="56" t="s">
        <v>187</v>
      </c>
      <c r="D77" s="57"/>
      <c r="E77" s="57"/>
      <c r="F77" s="36"/>
      <c r="G77" s="36" t="n">
        <f aca="false">[2]Jul!$AC$1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[2]Aug!$AC$1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[2]Sep!$AC$1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[2]Oct!$AC$1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[2]Nov!$AC$1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[2]Dec!$AC$1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[2]Jan!$AC$1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[2]Feb!$AC$1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[2]Mar!$AC$1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[2]Apr!$AC$1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[2]May!$AC$1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[2]Jun!$AC$1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64</v>
      </c>
      <c r="C78" s="56" t="s">
        <v>188</v>
      </c>
      <c r="D78" s="57"/>
      <c r="E78" s="57"/>
      <c r="F78" s="36"/>
      <c r="G78" s="36" t="n">
        <f aca="false">[2]Jul!$AD$1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[2]Aug!$AD$1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[2]Sep!$AD$1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[2]Oct!$AD$1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[2]Nov!$AD$1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[2]Dec!$AD$1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[2]Jan!$AD$1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[2]Feb!$AD$1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[2]Mar!$AD$1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[2]Apr!$AD$1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[2]May!$AD$1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[2]Jun!$AD$1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65</v>
      </c>
      <c r="C79" s="56" t="s">
        <v>189</v>
      </c>
      <c r="D79" s="57"/>
      <c r="E79" s="57"/>
      <c r="F79" s="36"/>
      <c r="G79" s="36" t="n">
        <f aca="false">[2]Jul!$AE$1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[2]Aug!$AE$1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[2]Sep!$AE$1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[2]Oct!$AE$1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[2]Nov!$AE$1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[2]Dec!$AE$1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[2]Jan!$AE$1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[2]Feb!$AE$1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[2]Mar!$AE$1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[2]Apr!$AE$1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[2]May!$AE$1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[2]Jun!$AE$1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66</v>
      </c>
      <c r="C80" s="56" t="s">
        <v>190</v>
      </c>
      <c r="D80" s="57"/>
      <c r="E80" s="57"/>
      <c r="F80" s="36"/>
      <c r="G80" s="36" t="n">
        <f aca="false">[2]Jul!$AF$1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[2]Aug!$AF$1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1025</v>
      </c>
      <c r="AA80" s="57"/>
      <c r="AB80" s="36"/>
      <c r="AC80" s="36" t="n">
        <f aca="false">[2]Sep!$AF$1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[2]Oct!$AF$1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[2]Nov!$AF$1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[2]Dec!$AF$1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[2]Jan!$AF$1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3943</v>
      </c>
      <c r="CD80" s="57"/>
      <c r="CE80" s="36"/>
      <c r="CF80" s="36" t="n">
        <f aca="false">[2]Feb!$AF$1</f>
        <v>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3943</v>
      </c>
      <c r="CO80" s="57"/>
      <c r="CP80" s="36"/>
      <c r="CQ80" s="36" t="n">
        <f aca="false">[2]Mar!$AF$1</f>
        <v>767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4710</v>
      </c>
      <c r="CZ80" s="57"/>
      <c r="DA80" s="36"/>
      <c r="DB80" s="36" t="n">
        <f aca="false">[2]Apr!$AF$1</f>
        <v>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4710</v>
      </c>
      <c r="DK80" s="57"/>
      <c r="DL80" s="36"/>
      <c r="DM80" s="36" t="n">
        <f aca="false">[2]May!$AF$1</f>
        <v>600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[2]Jun!$AF$1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67</v>
      </c>
      <c r="C81" s="56" t="s">
        <v>173</v>
      </c>
      <c r="D81" s="57"/>
      <c r="E81" s="57"/>
      <c r="F81" s="36" t="n">
        <f aca="false">-[3]Jul!$T$1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-[3]Aug!$T$1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-[3]Sep!$T$1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-[3]Oct!$T$1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-[3]Nov!$T$1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-[3]Dec!$T$1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-[3]Jan!$T$1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-[3]Feb!$T$1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-[3]Mar!$T$1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-[3]Apr!$T$1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-[3]May!$T$1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-[3]Jun!$T$1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68</v>
      </c>
      <c r="C82" s="56" t="s">
        <v>191</v>
      </c>
      <c r="D82" s="57"/>
      <c r="E82" s="57"/>
      <c r="F82" s="36"/>
      <c r="G82" s="36"/>
      <c r="H82" s="36" t="n">
        <f aca="false">[4]Jul!$AE$1</f>
        <v>0</v>
      </c>
      <c r="I82" s="36" t="n">
        <f aca="false">[5]Jul!$AE$1</f>
        <v>0</v>
      </c>
      <c r="J82" s="36" t="n">
        <f aca="false">[6]Jul!$AE$1</f>
        <v>0</v>
      </c>
      <c r="K82" s="36" t="n">
        <f aca="false">[7]Jul!$AB$1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[4]Aug!$AE$1</f>
        <v>0</v>
      </c>
      <c r="T82" s="36" t="n">
        <f aca="false">[5]Aug!$AE$1</f>
        <v>0</v>
      </c>
      <c r="U82" s="36" t="n">
        <f aca="false">[6]Aug!$AE$1</f>
        <v>0</v>
      </c>
      <c r="V82" s="36" t="n">
        <f aca="false">[7]Aug!$AB$1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[4]Sep!$AE$1</f>
        <v>0</v>
      </c>
      <c r="AE82" s="36" t="n">
        <f aca="false">[5]Sep!$AE$1</f>
        <v>0</v>
      </c>
      <c r="AF82" s="36" t="n">
        <f aca="false">[6]Sep!$AE$1</f>
        <v>0</v>
      </c>
      <c r="AG82" s="36" t="n">
        <f aca="false">[7]Sep!$AB$1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[4]Oct!$AE$1</f>
        <v>0</v>
      </c>
      <c r="AP82" s="36" t="n">
        <f aca="false">[5]Oct!$AE$1</f>
        <v>0</v>
      </c>
      <c r="AQ82" s="36" t="n">
        <f aca="false">[6]Oct!$AE$1</f>
        <v>0</v>
      </c>
      <c r="AR82" s="36" t="n">
        <f aca="false">[7]Oct!$AB$1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[4]Nov!$AE$1</f>
        <v>0</v>
      </c>
      <c r="BA82" s="36" t="n">
        <f aca="false">[5]Nov!$AE$1</f>
        <v>0</v>
      </c>
      <c r="BB82" s="36" t="n">
        <f aca="false">[6]Nov!$AE$1</f>
        <v>0</v>
      </c>
      <c r="BC82" s="36" t="n">
        <f aca="false">[7]Nov!$AB$1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[4]Dec!$AE$1</f>
        <v>0</v>
      </c>
      <c r="BL82" s="36" t="n">
        <f aca="false">[5]Dec!$AE$1</f>
        <v>0</v>
      </c>
      <c r="BM82" s="36" t="n">
        <f aca="false">[6]Dec!$AE$1</f>
        <v>0</v>
      </c>
      <c r="BN82" s="36" t="n">
        <f aca="false">[7]Dec!$AB$1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[4]Jan!$AE$1</f>
        <v>0</v>
      </c>
      <c r="BW82" s="36" t="n">
        <f aca="false">[5]Jan!$AE$1</f>
        <v>0</v>
      </c>
      <c r="BX82" s="36" t="n">
        <f aca="false">[6]Jan!$AE$1</f>
        <v>0</v>
      </c>
      <c r="BY82" s="36" t="n">
        <f aca="false">[7]Jan!$AB$1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[4]Feb!$AE$1</f>
        <v>0</v>
      </c>
      <c r="CH82" s="36" t="n">
        <f aca="false">[5]Feb!$AE$1</f>
        <v>0</v>
      </c>
      <c r="CI82" s="36" t="n">
        <f aca="false">[6]Feb!$AE$1</f>
        <v>0</v>
      </c>
      <c r="CJ82" s="36" t="n">
        <f aca="false">[7]Feb!$AB$1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[4]Mar!$AE$1</f>
        <v>0</v>
      </c>
      <c r="CS82" s="36" t="n">
        <f aca="false">[5]Mar!$AE$1</f>
        <v>0</v>
      </c>
      <c r="CT82" s="36" t="n">
        <f aca="false">[6]Mar!$AE$1</f>
        <v>0</v>
      </c>
      <c r="CU82" s="36" t="n">
        <f aca="false">[7]Mar!$AB$1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[4]Apr!$AE$1</f>
        <v>0</v>
      </c>
      <c r="DD82" s="36" t="n">
        <f aca="false">[5]Apr!$AE$1</f>
        <v>0</v>
      </c>
      <c r="DE82" s="36" t="n">
        <f aca="false">[6]Apr!$AE$1</f>
        <v>0</v>
      </c>
      <c r="DF82" s="36" t="n">
        <f aca="false">[7]Apr!$AB$1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[4]May!$AE$1</f>
        <v>0</v>
      </c>
      <c r="DO82" s="36" t="n">
        <f aca="false">[5]May!$AE$1</f>
        <v>0</v>
      </c>
      <c r="DP82" s="36" t="n">
        <f aca="false">[6]May!$AE$1</f>
        <v>0</v>
      </c>
      <c r="DQ82" s="36" t="n">
        <f aca="false">[7]May!$AB$1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[4]Jun!$AE$1</f>
        <v>0</v>
      </c>
      <c r="DZ82" s="36" t="n">
        <f aca="false">[5]Jun!$AE$1</f>
        <v>0</v>
      </c>
      <c r="EA82" s="36" t="n">
        <f aca="false">[6]Jun!$AE$1</f>
        <v>0</v>
      </c>
      <c r="EB82" s="36" t="n">
        <f aca="false">[7]Jun!$AB$1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69</v>
      </c>
      <c r="C83" s="56" t="s">
        <v>160</v>
      </c>
      <c r="D83" s="57"/>
      <c r="E83" s="57"/>
      <c r="F83" s="36"/>
      <c r="G83" s="36"/>
      <c r="H83" s="36" t="n">
        <f aca="false">[4]Jul!$AD$1</f>
        <v>0</v>
      </c>
      <c r="I83" s="36" t="n">
        <f aca="false">[5]Jul!$AD$1</f>
        <v>0</v>
      </c>
      <c r="J83" s="36" t="n">
        <f aca="false">[6]Jul!$AD$1</f>
        <v>0</v>
      </c>
      <c r="K83" s="36" t="n">
        <f aca="false">[7]Jul!$AA$1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[4]Aug!$AD$1</f>
        <v>0</v>
      </c>
      <c r="T83" s="36" t="n">
        <f aca="false">[5]Aug!$AD$1</f>
        <v>0</v>
      </c>
      <c r="U83" s="36" t="n">
        <f aca="false">[6]Aug!$AD$1</f>
        <v>0</v>
      </c>
      <c r="V83" s="36" t="n">
        <f aca="false">[7]Aug!$AA$1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[4]Sep!$AD$1</f>
        <v>0</v>
      </c>
      <c r="AE83" s="36" t="n">
        <f aca="false">[5]Sep!$AD$1</f>
        <v>0</v>
      </c>
      <c r="AF83" s="36" t="n">
        <f aca="false">[6]Sep!$AD$1</f>
        <v>0</v>
      </c>
      <c r="AG83" s="36" t="n">
        <f aca="false">[7]Sep!$AA$1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[4]Oct!$AD$1</f>
        <v>0</v>
      </c>
      <c r="AP83" s="36" t="n">
        <f aca="false">[5]Oct!$AD$1</f>
        <v>0</v>
      </c>
      <c r="AQ83" s="36" t="n">
        <f aca="false">[6]Oct!$AD$1</f>
        <v>0</v>
      </c>
      <c r="AR83" s="36" t="n">
        <f aca="false">[7]Oct!$AA$1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[4]Nov!$AD$1</f>
        <v>0</v>
      </c>
      <c r="BA83" s="36" t="n">
        <f aca="false">[5]Nov!$AD$1</f>
        <v>0</v>
      </c>
      <c r="BB83" s="36" t="n">
        <f aca="false">[6]Nov!$AD$1</f>
        <v>0</v>
      </c>
      <c r="BC83" s="36" t="n">
        <f aca="false">[7]Nov!$AA$1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[4]Dec!$AD$1</f>
        <v>0</v>
      </c>
      <c r="BL83" s="36" t="n">
        <f aca="false">[5]Dec!$AD$1</f>
        <v>0</v>
      </c>
      <c r="BM83" s="36" t="n">
        <f aca="false">[6]Dec!$AD$1</f>
        <v>0</v>
      </c>
      <c r="BN83" s="36" t="n">
        <f aca="false">[7]Dec!$AA$1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[4]Jan!$AD$1</f>
        <v>0</v>
      </c>
      <c r="BW83" s="36" t="n">
        <f aca="false">[5]Jan!$AD$1</f>
        <v>0</v>
      </c>
      <c r="BX83" s="36" t="n">
        <f aca="false">[6]Jan!$AD$1</f>
        <v>0</v>
      </c>
      <c r="BY83" s="36" t="n">
        <f aca="false">[7]Jan!$AA$1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[4]Feb!$AD$1</f>
        <v>0</v>
      </c>
      <c r="CH83" s="36" t="n">
        <f aca="false">[5]Feb!$AD$1</f>
        <v>0</v>
      </c>
      <c r="CI83" s="36" t="n">
        <f aca="false">[6]Feb!$AD$1</f>
        <v>0</v>
      </c>
      <c r="CJ83" s="36" t="n">
        <f aca="false">[7]Feb!$AA$1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[4]Mar!$AD$1</f>
        <v>0</v>
      </c>
      <c r="CS83" s="36" t="n">
        <f aca="false">[5]Mar!$AD$1</f>
        <v>0</v>
      </c>
      <c r="CT83" s="36" t="n">
        <f aca="false">[6]Mar!$AD$1</f>
        <v>0</v>
      </c>
      <c r="CU83" s="36" t="n">
        <f aca="false">[7]Mar!$AA$1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[4]Apr!$AD$1</f>
        <v>0</v>
      </c>
      <c r="DD83" s="36" t="n">
        <f aca="false">[5]Apr!$AD$1</f>
        <v>0</v>
      </c>
      <c r="DE83" s="36" t="n">
        <f aca="false">[6]Apr!$AD$1</f>
        <v>0</v>
      </c>
      <c r="DF83" s="36" t="n">
        <f aca="false">[7]Apr!$AA$1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[4]May!$AD$1</f>
        <v>0</v>
      </c>
      <c r="DO83" s="36" t="n">
        <f aca="false">[5]May!$AD$1</f>
        <v>0</v>
      </c>
      <c r="DP83" s="36" t="n">
        <f aca="false">[6]May!$AD$1</f>
        <v>0</v>
      </c>
      <c r="DQ83" s="36" t="n">
        <f aca="false">[7]May!$AA$1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[4]Jun!$AD$1</f>
        <v>0</v>
      </c>
      <c r="DZ83" s="36" t="n">
        <f aca="false">[5]Jun!$AD$1</f>
        <v>0</v>
      </c>
      <c r="EA83" s="36" t="n">
        <f aca="false">[6]Jun!$AD$1</f>
        <v>0</v>
      </c>
      <c r="EB83" s="36" t="n">
        <f aca="false">[7]Jun!$AA$1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70</v>
      </c>
      <c r="C84" s="56" t="s">
        <v>192</v>
      </c>
      <c r="D84" s="57"/>
      <c r="E84" s="57"/>
      <c r="F84" s="36"/>
      <c r="G84" s="36" t="n">
        <f aca="false">[2]Jul!$AG$1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[2]Aug!$AG$1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[2]Sep!$AG$1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[2]Oct!$AG$1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[2]Nov!$AG$1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[2]Dec!$AG$1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[2]Jan!$AG$1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[2]Feb!$AG$1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[2]Mar!$AG$1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[2]Apr!$AG$1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[2]May!$AG$1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[2]Jun!$AG$1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71</v>
      </c>
      <c r="C85" s="56" t="s">
        <v>193</v>
      </c>
      <c r="D85" s="57"/>
      <c r="E85" s="57"/>
      <c r="F85" s="36"/>
      <c r="G85" s="36" t="n">
        <f aca="false">[2]Jul!$AH$1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[2]Aug!$AH$1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[2]Sep!$AH$1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[2]Oct!$AH$1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[2]Nov!$AH$1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[2]Dec!$AH$1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[2]Jan!$AH$1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[2]Feb!$AH$1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[2]Mar!$AH$1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[2]Apr!$AH$1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[2]May!$AH$1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[2]Jun!$AH$1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72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73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194</v>
      </c>
      <c r="C88" s="56" t="s">
        <v>195</v>
      </c>
      <c r="D88" s="57"/>
      <c r="E88" s="57"/>
      <c r="F88" s="36"/>
      <c r="G88" s="36"/>
      <c r="H88" s="36" t="n">
        <f aca="false">-[4]Jul!$Q$1</f>
        <v>-0</v>
      </c>
      <c r="I88" s="36" t="n">
        <f aca="false">-[5]Jul!$Q$1</f>
        <v>-0</v>
      </c>
      <c r="J88" s="36" t="n">
        <f aca="false">-[6]Jul!$Q$1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-[4]Aug!$Q$1</f>
        <v>-0</v>
      </c>
      <c r="T88" s="36" t="n">
        <f aca="false">-[5]Aug!$Q$1</f>
        <v>-0</v>
      </c>
      <c r="U88" s="36" t="n">
        <f aca="false">-[6]Aug!$Q$1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-[4]Sep!$Q$1</f>
        <v>-0</v>
      </c>
      <c r="AE88" s="36" t="n">
        <f aca="false">-[5]Sep!$Q$1</f>
        <v>-0</v>
      </c>
      <c r="AF88" s="36" t="n">
        <f aca="false">-[6]Sep!$Q$1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-[4]Oct!$Q$1</f>
        <v>-0</v>
      </c>
      <c r="AP88" s="36" t="n">
        <f aca="false">-[5]Oct!$Q$1</f>
        <v>-0</v>
      </c>
      <c r="AQ88" s="36" t="n">
        <f aca="false">-[6]Oct!$Q$1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-[4]Nov!$Q$1</f>
        <v>-0</v>
      </c>
      <c r="BA88" s="36" t="n">
        <f aca="false">-[5]Nov!$Q$1</f>
        <v>-0</v>
      </c>
      <c r="BB88" s="36" t="n">
        <f aca="false">-[6]Nov!$Q$1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-[4]Dec!$Q$1</f>
        <v>-0</v>
      </c>
      <c r="BL88" s="36" t="n">
        <f aca="false">-[5]Dec!$Q$1</f>
        <v>-0</v>
      </c>
      <c r="BM88" s="36" t="n">
        <f aca="false">-[6]Dec!$Q$1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-[4]Jan!$Q$1</f>
        <v>-0</v>
      </c>
      <c r="BW88" s="36" t="n">
        <f aca="false">-[5]Jan!$Q$1</f>
        <v>-0</v>
      </c>
      <c r="BX88" s="36" t="n">
        <f aca="false">-[6]Jan!$Q$1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-[4]Feb!$Q$1</f>
        <v>-0</v>
      </c>
      <c r="CH88" s="36" t="n">
        <f aca="false">-[5]Feb!$Q$1</f>
        <v>-0</v>
      </c>
      <c r="CI88" s="36" t="n">
        <f aca="false">-[6]Feb!$Q$1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-[4]Mar!$Q$1</f>
        <v>-0</v>
      </c>
      <c r="CS88" s="36" t="n">
        <f aca="false">-[5]Mar!$Q$1</f>
        <v>-0</v>
      </c>
      <c r="CT88" s="36" t="n">
        <f aca="false">-[6]Mar!$Q$1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-[4]Apr!$Q$1</f>
        <v>-0</v>
      </c>
      <c r="DD88" s="36" t="n">
        <f aca="false">-[5]Apr!$Q$1</f>
        <v>-0</v>
      </c>
      <c r="DE88" s="36" t="n">
        <f aca="false">-[6]Apr!$Q$1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-[4]May!$Q$1</f>
        <v>-0</v>
      </c>
      <c r="DO88" s="36" t="n">
        <f aca="false">-[5]May!$Q$1</f>
        <v>-0</v>
      </c>
      <c r="DP88" s="36" t="n">
        <f aca="false">-[6]May!$Q$1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-[4]Jun!$Q$1</f>
        <v>-0</v>
      </c>
      <c r="DZ88" s="36" t="n">
        <f aca="false">-[5]Jun!$Q$1</f>
        <v>-5000</v>
      </c>
      <c r="EA88" s="36" t="n">
        <f aca="false">-[6]Jun!$Q$1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196</v>
      </c>
      <c r="C89" s="56" t="s">
        <v>195</v>
      </c>
      <c r="D89" s="57"/>
      <c r="E89" s="57"/>
      <c r="F89" s="36"/>
      <c r="G89" s="36"/>
      <c r="H89" s="36" t="n">
        <f aca="false">[4]Jul!$AN$1</f>
        <v>0</v>
      </c>
      <c r="I89" s="36" t="n">
        <f aca="false">[5]Jul!$AN$1</f>
        <v>0</v>
      </c>
      <c r="J89" s="36" t="n">
        <f aca="false">[6]Jul!$AN$1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[4]Aug!$AN$1</f>
        <v>0</v>
      </c>
      <c r="T89" s="36" t="n">
        <f aca="false">[5]Aug!$AN$1</f>
        <v>0</v>
      </c>
      <c r="U89" s="36" t="n">
        <f aca="false">[6]Aug!$AN$1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[4]Sep!$AN$1</f>
        <v>0</v>
      </c>
      <c r="AE89" s="36" t="n">
        <f aca="false">[5]Sep!$AN$1</f>
        <v>0</v>
      </c>
      <c r="AF89" s="36" t="n">
        <f aca="false">[6]Sep!$AN$1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[4]Oct!$AN$1</f>
        <v>0</v>
      </c>
      <c r="AP89" s="36" t="n">
        <f aca="false">[5]Oct!$AN$1</f>
        <v>0</v>
      </c>
      <c r="AQ89" s="36" t="n">
        <f aca="false">[6]Oct!$AN$1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[4]Nov!$AN$1</f>
        <v>0</v>
      </c>
      <c r="BA89" s="36" t="n">
        <f aca="false">[5]Nov!$AN$1</f>
        <v>0</v>
      </c>
      <c r="BB89" s="36" t="n">
        <f aca="false">[6]Nov!$AN$1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[4]Dec!$AN$1</f>
        <v>0</v>
      </c>
      <c r="BL89" s="36" t="n">
        <f aca="false">[5]Dec!$AN$1</f>
        <v>0</v>
      </c>
      <c r="BM89" s="36" t="n">
        <f aca="false">[6]Dec!$AN$1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[4]Jan!$AN$1</f>
        <v>0</v>
      </c>
      <c r="BW89" s="36" t="n">
        <f aca="false">[5]Jan!$AN$1</f>
        <v>0</v>
      </c>
      <c r="BX89" s="36" t="n">
        <f aca="false">[6]Jan!$AN$1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[4]Feb!$AN$1</f>
        <v>0</v>
      </c>
      <c r="CH89" s="36" t="n">
        <f aca="false">[5]Feb!$AN$1</f>
        <v>0</v>
      </c>
      <c r="CI89" s="36" t="n">
        <f aca="false">[6]Feb!$AN$1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[4]Mar!$AN$1</f>
        <v>0</v>
      </c>
      <c r="CS89" s="36" t="n">
        <f aca="false">[5]Mar!$AN$1</f>
        <v>0</v>
      </c>
      <c r="CT89" s="36" t="n">
        <f aca="false">[6]Mar!$AN$1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[4]Apr!$AN$1</f>
        <v>0</v>
      </c>
      <c r="DD89" s="36" t="n">
        <f aca="false">[5]Apr!$AN$1</f>
        <v>0</v>
      </c>
      <c r="DE89" s="36" t="n">
        <f aca="false">[6]Apr!$AN$1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[4]May!$AN$1</f>
        <v>0</v>
      </c>
      <c r="DO89" s="36" t="n">
        <f aca="false">[5]May!$AN$1</f>
        <v>0</v>
      </c>
      <c r="DP89" s="36" t="n">
        <f aca="false">[6]May!$AN$1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[4]Jun!$AN$1</f>
        <v>0</v>
      </c>
      <c r="DZ89" s="36" t="n">
        <f aca="false">[5]Jun!$AN$1</f>
        <v>0</v>
      </c>
      <c r="EA89" s="36" t="n">
        <f aca="false">[6]Jun!$AN$1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197</v>
      </c>
      <c r="C91" s="60"/>
      <c r="D91" s="36" t="n">
        <f aca="false">SUM(D4:D90)</f>
        <v>21087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-132727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-111625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-132379</v>
      </c>
      <c r="T91" s="36" t="n">
        <f aca="false">SUM(T4:T90)</f>
        <v>0</v>
      </c>
      <c r="U91" s="36" t="n">
        <f aca="false">SUM(U4:U90)</f>
        <v>-45889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-289893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-132777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-422365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-224638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-647003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-86869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-733872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-133450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-867304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-188180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-1055364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-133331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-1188695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-179221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-1367866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-128098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-1495964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-86931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-1582655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-175001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-1757644</v>
      </c>
      <c r="EG91" s="54"/>
      <c r="EH91" s="36" t="n">
        <f aca="false">SUM(EH4:EH90)</f>
        <v>0</v>
      </c>
      <c r="EI91" s="54"/>
      <c r="EJ91" s="36" t="n">
        <f aca="false">SUM(EJ4:EJ90)</f>
        <v>-1757644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198</v>
      </c>
      <c r="B1" s="63" t="s">
        <v>199</v>
      </c>
      <c r="C1" s="64" t="n">
        <f aca="false">Admin!B10</f>
        <v>46234</v>
      </c>
      <c r="D1" s="65" t="n">
        <f aca="false">Admin!B12</f>
        <v>46265</v>
      </c>
      <c r="E1" s="65" t="n">
        <f aca="false">Admin!B14</f>
        <v>46295</v>
      </c>
      <c r="F1" s="65" t="n">
        <f aca="false">Admin!B16</f>
        <v>46326</v>
      </c>
      <c r="G1" s="65" t="n">
        <f aca="false">Admin!B18</f>
        <v>46356</v>
      </c>
      <c r="H1" s="65" t="n">
        <f aca="false">Admin!B20</f>
        <v>46387</v>
      </c>
      <c r="I1" s="65" t="n">
        <f aca="false">Admin!B22</f>
        <v>46418</v>
      </c>
      <c r="J1" s="65" t="n">
        <f aca="false">Admin!B24</f>
        <v>46446</v>
      </c>
      <c r="K1" s="65" t="n">
        <f aca="false">Admin!B26</f>
        <v>46477</v>
      </c>
      <c r="L1" s="65" t="n">
        <f aca="false">Admin!B28</f>
        <v>46507</v>
      </c>
      <c r="M1" s="65" t="n">
        <f aca="false">Admin!B30</f>
        <v>46538</v>
      </c>
      <c r="N1" s="65" t="n">
        <f aca="false">Admin!B32</f>
        <v>46568</v>
      </c>
      <c r="O1" s="66"/>
    </row>
    <row r="2" customFormat="false" ht="12" hidden="false" customHeight="true" outlineLevel="0" collapsed="false">
      <c r="A2" s="62"/>
      <c r="B2" s="67" t="n">
        <f aca="false">Admin!B32</f>
        <v>46568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200</v>
      </c>
      <c r="C3" s="69" t="s">
        <v>200</v>
      </c>
      <c r="D3" s="69" t="s">
        <v>200</v>
      </c>
      <c r="E3" s="69" t="s">
        <v>200</v>
      </c>
      <c r="F3" s="69" t="s">
        <v>200</v>
      </c>
      <c r="G3" s="69" t="s">
        <v>200</v>
      </c>
      <c r="H3" s="69" t="s">
        <v>200</v>
      </c>
      <c r="I3" s="69" t="s">
        <v>200</v>
      </c>
      <c r="J3" s="69" t="s">
        <v>200</v>
      </c>
      <c r="K3" s="69" t="s">
        <v>200</v>
      </c>
      <c r="L3" s="69" t="s">
        <v>200</v>
      </c>
      <c r="M3" s="69" t="s">
        <v>200</v>
      </c>
      <c r="N3" s="69" t="s">
        <v>200</v>
      </c>
      <c r="O3" s="68"/>
    </row>
    <row r="4" customFormat="false" ht="12" hidden="false" customHeight="false" outlineLevel="0" collapsed="false">
      <c r="A4" s="70" t="s">
        <v>157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159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161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75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43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42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48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45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47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201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48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49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50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51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52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179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54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55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56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57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58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59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60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61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62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63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64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65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66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300</v>
      </c>
      <c r="J33" s="72" t="n">
        <f aca="false">TrialBalance!CN80-SUM(C33:I33)</f>
        <v>0</v>
      </c>
      <c r="K33" s="72" t="n">
        <f aca="false">TrialBalance!CY80-SUM(C33:J33)</f>
        <v>767</v>
      </c>
      <c r="L33" s="72" t="n">
        <f aca="false">TrialBalance!DJ80-SUM(C33:K33)</f>
        <v>0</v>
      </c>
      <c r="M33" s="72" t="n">
        <f aca="false">TrialBalance!DU80-SUM(C33:L33)</f>
        <v>600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67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68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69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70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71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72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73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50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5740.75</v>
      </c>
      <c r="J41" s="71" t="n">
        <f aca="false">SUM(J18:J40)</f>
        <v>2529</v>
      </c>
      <c r="K41" s="71" t="n">
        <f aca="false">SUM(K18:K40)</f>
        <v>8986.5</v>
      </c>
      <c r="L41" s="71" t="n">
        <f aca="false">SUM(L18:L40)</f>
        <v>3062.25</v>
      </c>
      <c r="M41" s="71" t="n">
        <f aca="false">SUM(M18:M40)</f>
        <v>3751.5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74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23127.5833333333</v>
      </c>
      <c r="J43" s="71" t="n">
        <f aca="false">J16-J41</f>
        <v>22815.3333333333</v>
      </c>
      <c r="K43" s="71" t="n">
        <f aca="false">K16-K41</f>
        <v>17581.8333333333</v>
      </c>
      <c r="L43" s="71" t="n">
        <f aca="false">L16-L41</f>
        <v>25622.0833333333</v>
      </c>
      <c r="M43" s="71" t="n">
        <f aca="false">M16-M41</f>
        <v>23936.8333333333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202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76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23127.5833333333</v>
      </c>
      <c r="J45" s="71" t="n">
        <f aca="false">J43+J44</f>
        <v>22815.3333333333</v>
      </c>
      <c r="K45" s="71" t="n">
        <f aca="false">K43+K44</f>
        <v>17581.8333333333</v>
      </c>
      <c r="L45" s="71" t="n">
        <f aca="false">L43+L44</f>
        <v>25622.0833333333</v>
      </c>
      <c r="M45" s="71" t="n">
        <f aca="false">M43+M44</f>
        <v>23936.8333333333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203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204</v>
      </c>
      <c r="D3" s="93" t="n">
        <f aca="false">Admin!B32</f>
        <v>46568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46203</v>
      </c>
      <c r="B5" s="97"/>
      <c r="C5" s="98"/>
      <c r="D5" s="98"/>
      <c r="E5" s="97" t="n">
        <f aca="false">D3</f>
        <v>46568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200</v>
      </c>
      <c r="B6" s="99" t="s">
        <v>200</v>
      </c>
      <c r="C6" s="100"/>
      <c r="D6" s="100"/>
      <c r="E6" s="99" t="s">
        <v>200</v>
      </c>
      <c r="F6" s="99" t="s">
        <v>200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42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43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42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48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205</v>
      </c>
      <c r="D12" s="107" t="n">
        <f aca="false">Admin!B9</f>
        <v>46204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45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10000</v>
      </c>
      <c r="B14" s="86" t="n">
        <f aca="false">A12+A13-A14</f>
        <v>-10000</v>
      </c>
      <c r="C14" s="101" t="s">
        <v>206</v>
      </c>
      <c r="D14" s="107" t="n">
        <f aca="false">D3</f>
        <v>46568</v>
      </c>
      <c r="E14" s="86" t="n">
        <f aca="false">TrialBalance!EJ19</f>
        <v>10000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47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-10000</v>
      </c>
      <c r="C16" s="105" t="s">
        <v>48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10000</v>
      </c>
      <c r="C18" s="105" t="s">
        <v>49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50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51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52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53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54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55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56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57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58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59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60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61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62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63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64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65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66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67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68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69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70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71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72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73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50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10000</v>
      </c>
      <c r="C46" s="109" t="s">
        <v>74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75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10000</v>
      </c>
      <c r="C49" s="106" t="s">
        <v>76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77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10000</v>
      </c>
      <c r="C51" s="106" t="s">
        <v>78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79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200</v>
      </c>
      <c r="B54" s="104" t="n">
        <f aca="false">B51-B52</f>
        <v>10000</v>
      </c>
      <c r="C54" s="106" t="s">
        <v>80</v>
      </c>
      <c r="D54" s="106"/>
      <c r="E54" s="110" t="s">
        <v>200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207</v>
      </c>
      <c r="D1" s="111"/>
      <c r="E1" s="90"/>
    </row>
    <row r="2" customFormat="false" ht="12" hidden="false" customHeight="false" outlineLevel="0" collapsed="false">
      <c r="C2" s="112" t="s">
        <v>208</v>
      </c>
      <c r="D2" s="113" t="n">
        <f aca="false">'PubP&amp;L'!D3</f>
        <v>46568</v>
      </c>
    </row>
    <row r="3" customFormat="false" ht="12" hidden="false" customHeight="true" outlineLevel="0" collapsed="false">
      <c r="A3" s="97" t="n">
        <f aca="false">'PubP&amp;L'!A5</f>
        <v>46203</v>
      </c>
      <c r="B3" s="97"/>
      <c r="E3" s="97" t="n">
        <f aca="false">'PubP&amp;L'!E5</f>
        <v>46568</v>
      </c>
      <c r="F3" s="97"/>
    </row>
    <row r="4" s="114" customFormat="true" ht="12" hidden="false" customHeight="false" outlineLevel="0" collapsed="false">
      <c r="A4" s="99" t="s">
        <v>200</v>
      </c>
      <c r="B4" s="99" t="s">
        <v>200</v>
      </c>
      <c r="C4" s="88"/>
      <c r="D4" s="88"/>
      <c r="E4" s="99" t="s">
        <v>200</v>
      </c>
      <c r="F4" s="99" t="s">
        <v>200</v>
      </c>
    </row>
    <row r="6" customFormat="false" ht="12" hidden="false" customHeight="false" outlineLevel="0" collapsed="false">
      <c r="A6" s="115"/>
      <c r="B6" s="116" t="n">
        <f aca="false">SUM(TrialBalance!D6:D17)</f>
        <v>43989</v>
      </c>
      <c r="C6" s="117" t="s">
        <v>21</v>
      </c>
      <c r="D6" s="117"/>
      <c r="E6" s="115"/>
      <c r="F6" s="116" t="n">
        <f aca="false">SUM(TrialBalance!EJ6:EJ17)</f>
        <v>70489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209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23</v>
      </c>
      <c r="E10" s="115" t="n">
        <f aca="false">TrialBalance!EJ19</f>
        <v>10000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116</v>
      </c>
      <c r="E11" s="115" t="n">
        <f aca="false">TrialBalance!EJ20</f>
        <v>237100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210</v>
      </c>
      <c r="E12" s="119" t="n">
        <f aca="false">IF(SUM(TrialBalance!EJ22:EJ24)&gt;0,SUM(TrialBalance!EJ22:EJ24)+TrialBalance!EJ25+TrialBalance!EJ26,TrialBalance!EJ25)</f>
        <v>348635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209</v>
      </c>
      <c r="D13" s="117"/>
      <c r="E13" s="116" t="n">
        <f aca="false">SUM(E10:E12)</f>
        <v>595735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211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6900</v>
      </c>
      <c r="B16" s="115"/>
      <c r="C16" s="88" t="s">
        <v>29</v>
      </c>
      <c r="E16" s="115" t="n">
        <f aca="false">-SUM(TrialBalance!EJ28:EJ31)</f>
        <v>117892.25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212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35</v>
      </c>
      <c r="E18" s="115" t="n">
        <f aca="false">-SUM(TrialBalance!EJ32:EJ34)</f>
        <v>76591.6666666667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213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28</v>
      </c>
      <c r="D20" s="117"/>
      <c r="E20" s="116" t="n">
        <f aca="false">SUM(E16:E19)</f>
        <v>247530.2225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214</v>
      </c>
      <c r="D22" s="117"/>
      <c r="E22" s="118"/>
      <c r="F22" s="116" t="n">
        <f aca="false">E13-E20</f>
        <v>348204.7775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215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86889</v>
      </c>
      <c r="C26" s="117" t="s">
        <v>216</v>
      </c>
      <c r="D26" s="117"/>
      <c r="E26" s="118"/>
      <c r="F26" s="116" t="n">
        <f aca="false">SUM(F6:F25)</f>
        <v>418693.7775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36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37</v>
      </c>
      <c r="D29" s="88"/>
      <c r="E29" s="115" t="n">
        <f aca="false">-TrialBalance!EJ39</f>
        <v>1907391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217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20000</v>
      </c>
      <c r="E31" s="115"/>
      <c r="F31" s="116" t="n">
        <f aca="false">SUM(E29:E30)</f>
        <v>1907391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200</v>
      </c>
      <c r="B33" s="116" t="n">
        <f aca="false">B26-B31</f>
        <v>66889</v>
      </c>
      <c r="C33" s="117" t="s">
        <v>218</v>
      </c>
      <c r="D33" s="117"/>
      <c r="E33" s="118" t="s">
        <v>200</v>
      </c>
      <c r="F33" s="116" t="n">
        <f aca="false">F26-F31</f>
        <v>-1488697.2225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38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219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45702</v>
      </c>
      <c r="C37" s="88" t="s">
        <v>220</v>
      </c>
      <c r="D37" s="88"/>
      <c r="E37" s="115"/>
      <c r="F37" s="115" t="n">
        <f aca="false">-TrialBalance!EJ43</f>
        <v>268846.7775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221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200</v>
      </c>
      <c r="B39" s="116" t="n">
        <f aca="false">SUM(B36:B38)</f>
        <v>45802</v>
      </c>
      <c r="C39" s="117" t="s">
        <v>222</v>
      </c>
      <c r="D39" s="117"/>
      <c r="E39" s="118" t="s">
        <v>200</v>
      </c>
      <c r="F39" s="116" t="n">
        <f aca="false">SUM(F36:F38)</f>
        <v>268946.7775</v>
      </c>
      <c r="G39" s="120"/>
    </row>
    <row r="41" s="87" customFormat="true" ht="12" hidden="false" customHeight="true" outlineLevel="0" collapsed="false">
      <c r="A41" s="121" t="s">
        <v>223</v>
      </c>
      <c r="B41" s="122" t="n">
        <f aca="false">D2</f>
        <v>46568</v>
      </c>
      <c r="C41" s="123" t="s">
        <v>224</v>
      </c>
      <c r="D41" s="123"/>
      <c r="E41" s="123"/>
    </row>
    <row r="42" s="87" customFormat="true" ht="12" hidden="false" customHeight="true" outlineLevel="0" collapsed="false">
      <c r="A42" s="124" t="s">
        <v>225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226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227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228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229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230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231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232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233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234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235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236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237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238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239</v>
      </c>
      <c r="B57" s="129"/>
      <c r="C57" s="130" t="n">
        <f aca="true">TODAY()</f>
        <v>46148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240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241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242</v>
      </c>
    </row>
    <row r="3" customFormat="false" ht="12" hidden="false" customHeight="false" outlineLevel="0" collapsed="false">
      <c r="A3" s="106" t="s">
        <v>243</v>
      </c>
    </row>
    <row r="4" s="114" customFormat="true" ht="17.25" hidden="false" customHeight="true" outlineLevel="0" collapsed="false">
      <c r="A4" s="131"/>
      <c r="B4" s="132" t="s">
        <v>244</v>
      </c>
      <c r="C4" s="132" t="s">
        <v>245</v>
      </c>
      <c r="D4" s="132" t="s">
        <v>18</v>
      </c>
      <c r="E4" s="132" t="s">
        <v>246</v>
      </c>
      <c r="F4" s="132" t="s">
        <v>247</v>
      </c>
      <c r="G4" s="132" t="s">
        <v>248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200</v>
      </c>
      <c r="C6" s="131" t="s">
        <v>200</v>
      </c>
      <c r="D6" s="131" t="s">
        <v>200</v>
      </c>
      <c r="E6" s="131" t="s">
        <v>200</v>
      </c>
      <c r="F6" s="131" t="s">
        <v>200</v>
      </c>
      <c r="G6" s="131" t="s">
        <v>200</v>
      </c>
    </row>
    <row r="7" customFormat="false" ht="12" hidden="false" customHeight="false" outlineLevel="0" collapsed="false">
      <c r="A7" s="106" t="s">
        <v>249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46204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250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251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46568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73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46204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252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253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46568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270</v>
      </c>
      <c r="F17" s="108" t="n">
        <f aca="false">F14-F16+F15</f>
        <v>9828</v>
      </c>
      <c r="G17" s="108" t="n">
        <f aca="false">SUM(B17:F17)</f>
        <v>10098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254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46568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-270</v>
      </c>
      <c r="F20" s="134" t="n">
        <f aca="false">F11-F17</f>
        <v>-9828</v>
      </c>
      <c r="G20" s="134" t="n">
        <f aca="false">G11-G17</f>
        <v>-10098</v>
      </c>
    </row>
    <row r="23" customFormat="false" ht="12" hidden="false" customHeight="false" outlineLevel="0" collapsed="false">
      <c r="A23" s="101" t="s">
        <v>255</v>
      </c>
    </row>
    <row r="24" customFormat="false" ht="12" hidden="false" customHeight="false" outlineLevel="0" collapsed="false">
      <c r="A24" s="101" t="s">
        <v>256</v>
      </c>
    </row>
    <row r="25" customFormat="false" ht="12" hidden="false" customHeight="false" outlineLevel="0" collapsed="false">
      <c r="A25" s="101" t="s">
        <v>257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258</v>
      </c>
    </row>
    <row r="28" customFormat="false" ht="12" hidden="false" customHeight="false" outlineLevel="0" collapsed="false">
      <c r="A28" s="101" t="s">
        <v>259</v>
      </c>
      <c r="B28" s="135" t="n">
        <f aca="false">[1]Schedule!$H$13</f>
        <v>0.1</v>
      </c>
      <c r="C28" s="89" t="s">
        <v>258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258</v>
      </c>
    </row>
    <row r="30" customFormat="false" ht="12" hidden="false" customHeight="false" outlineLevel="0" collapsed="false">
      <c r="A30" s="101" t="s">
        <v>260</v>
      </c>
      <c r="B30" s="135" t="n">
        <f aca="false">[1]Schedule!$H$32</f>
        <v>0.33</v>
      </c>
      <c r="C30" s="89" t="s">
        <v>258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258</v>
      </c>
    </row>
    <row r="34" customFormat="false" ht="12" hidden="false" customHeight="false" outlineLevel="0" collapsed="false">
      <c r="A34" s="106" t="s">
        <v>261</v>
      </c>
    </row>
    <row r="35" customFormat="false" ht="12" hidden="false" customHeight="false" outlineLevel="0" collapsed="false">
      <c r="A35" s="101" t="s">
        <v>262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263</v>
      </c>
    </row>
    <row r="38" customFormat="false" ht="12" hidden="false" customHeight="false" outlineLevel="0" collapsed="false">
      <c r="A38" s="101" t="s">
        <v>264</v>
      </c>
      <c r="B38" s="87"/>
      <c r="D38" s="137" t="n">
        <f aca="false">'PubP&amp;L'!D3</f>
        <v>46568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265</v>
      </c>
    </row>
    <row r="41" s="87" customFormat="true" ht="12" hidden="false" customHeight="false" outlineLevel="0" collapsed="false">
      <c r="A41" s="101" t="s">
        <v>266</v>
      </c>
      <c r="B41" s="137" t="n">
        <f aca="false">'PubP&amp;L'!D3</f>
        <v>46568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267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268</v>
      </c>
      <c r="B22" s="141"/>
      <c r="C22" s="141"/>
      <c r="D22" s="141"/>
      <c r="E22" s="141"/>
      <c r="F22" s="142" t="n">
        <f aca="false">PubBalSht!D2</f>
        <v>46568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269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270</v>
      </c>
      <c r="E60" s="149"/>
    </row>
    <row r="62" customFormat="false" ht="12.75" hidden="false" customHeight="false" outlineLevel="0" collapsed="false">
      <c r="B62" s="0" t="s">
        <v>271</v>
      </c>
    </row>
    <row r="63" customFormat="false" ht="12.75" hidden="false" customHeight="false" outlineLevel="0" collapsed="false">
      <c r="B63" s="0" t="s">
        <v>272</v>
      </c>
    </row>
    <row r="64" customFormat="false" ht="12.75" hidden="false" customHeight="false" outlineLevel="0" collapsed="false">
      <c r="B64" s="0" t="s">
        <v>273</v>
      </c>
    </row>
    <row r="65" customFormat="false" ht="12.75" hidden="false" customHeight="false" outlineLevel="0" collapsed="false">
      <c r="B65" s="0" t="s">
        <v>274</v>
      </c>
      <c r="F65" s="150" t="n">
        <f aca="false">'PubP&amp;L'!E5</f>
        <v>46568</v>
      </c>
      <c r="G65" s="150"/>
    </row>
    <row r="66" customFormat="false" ht="12.75" hidden="false" customHeight="false" outlineLevel="0" collapsed="false">
      <c r="B66" s="0" t="s">
        <v>275</v>
      </c>
    </row>
    <row r="69" customFormat="false" ht="12.75" hidden="false" customHeight="false" outlineLevel="0" collapsed="false">
      <c r="B69" s="0" t="s">
        <v>276</v>
      </c>
    </row>
    <row r="71" customFormat="false" ht="12.75" hidden="false" customHeight="false" outlineLevel="0" collapsed="false">
      <c r="B71" s="0" t="s">
        <v>277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278</v>
      </c>
      <c r="D74" s="152" t="n">
        <f aca="true">TODAY()</f>
        <v>46148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279</v>
      </c>
      <c r="C79" s="155"/>
      <c r="D79" s="155"/>
      <c r="E79" s="155"/>
      <c r="F79" s="155"/>
      <c r="G79" s="156" t="n">
        <f aca="false">'PubP&amp;L'!E5</f>
        <v>46568</v>
      </c>
      <c r="H79" s="156"/>
      <c r="I79" s="156"/>
    </row>
    <row r="81" s="144" customFormat="true" ht="12.75" hidden="false" customHeight="true" outlineLevel="0" collapsed="false">
      <c r="A81" s="157" t="s">
        <v>280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281</v>
      </c>
      <c r="B82" s="158"/>
      <c r="C82" s="159" t="n">
        <f aca="false">'PubP&amp;L'!E5</f>
        <v>46568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282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283</v>
      </c>
      <c r="B87" s="160"/>
      <c r="C87" s="160"/>
      <c r="D87" s="160"/>
      <c r="E87" s="165" t="n">
        <f aca="false">'PubP&amp;L'!F9</f>
        <v>341283.333333333</v>
      </c>
      <c r="F87" s="166" t="s">
        <v>284</v>
      </c>
      <c r="G87" s="166"/>
      <c r="H87" s="165" t="n">
        <f aca="false">'PubP&amp;L'!B9</f>
        <v>0</v>
      </c>
      <c r="I87" s="144" t="s">
        <v>285</v>
      </c>
    </row>
    <row r="88" s="144" customFormat="true" ht="12.75" hidden="false" customHeight="true" outlineLevel="0" collapsed="false">
      <c r="A88" s="160" t="s">
        <v>286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287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288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289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290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291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292</v>
      </c>
      <c r="B94" s="160"/>
      <c r="C94" s="160"/>
      <c r="D94" s="165" t="n">
        <f aca="false">[8]Boardmeeting!$E$4</f>
        <v>0</v>
      </c>
      <c r="E94" s="170" t="s">
        <v>293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294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295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296</v>
      </c>
      <c r="E97" s="147"/>
      <c r="F97" s="173" t="n">
        <f aca="false">[8]RegisterofMembers!$G$3</f>
        <v>0</v>
      </c>
      <c r="G97" s="174" t="s">
        <v>297</v>
      </c>
      <c r="H97" s="159" t="n">
        <f aca="false">'PubP&amp;L'!E5</f>
        <v>46568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296</v>
      </c>
      <c r="E98" s="147"/>
      <c r="F98" s="173" t="n">
        <f aca="false">[8]RegisterofMembers!$G$4</f>
        <v>0</v>
      </c>
      <c r="G98" s="174" t="s">
        <v>297</v>
      </c>
      <c r="H98" s="159" t="n">
        <f aca="false">'PubP&amp;L'!E5</f>
        <v>46568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298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299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300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301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302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303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304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305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306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307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308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309</v>
      </c>
      <c r="B113" s="167"/>
      <c r="C113" s="167"/>
      <c r="D113" s="167"/>
      <c r="E113" s="167"/>
      <c r="F113" s="167"/>
      <c r="G113" s="167"/>
      <c r="H113" s="159" t="n">
        <f aca="false">'PubP&amp;L'!E5</f>
        <v>46568</v>
      </c>
      <c r="I113" s="159"/>
    </row>
    <row r="114" s="144" customFormat="true" ht="12.75" hidden="false" customHeight="true" outlineLevel="0" collapsed="false">
      <c r="A114" s="160" t="s">
        <v>310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311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312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313</v>
      </c>
      <c r="F119" s="144" t="s">
        <v>314</v>
      </c>
      <c r="G119" s="159" t="n">
        <f aca="true">TODAY()</f>
        <v>46148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315</v>
      </c>
      <c r="F2" s="182"/>
      <c r="G2" s="182"/>
      <c r="H2" s="182"/>
      <c r="I2" s="182"/>
      <c r="J2" s="183"/>
      <c r="K2" s="184" t="s">
        <v>316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200</v>
      </c>
      <c r="J3" s="186"/>
      <c r="K3" s="186" t="s">
        <v>200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317</v>
      </c>
      <c r="C5" s="188"/>
      <c r="D5" s="188"/>
      <c r="E5" s="189" t="n">
        <f aca="false">Admin!L6</f>
        <v>46204</v>
      </c>
      <c r="F5" s="189"/>
      <c r="G5" s="190" t="s">
        <v>318</v>
      </c>
      <c r="H5" s="189" t="n">
        <f aca="false">Admin!N7</f>
        <v>46934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319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320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321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322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323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324</v>
      </c>
      <c r="C15" s="197"/>
      <c r="D15" s="197"/>
      <c r="E15" s="198" t="n">
        <f aca="false">E5</f>
        <v>46204</v>
      </c>
      <c r="F15" s="198" t="n">
        <f aca="false">H5</f>
        <v>46934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325</v>
      </c>
      <c r="L15" s="202"/>
    </row>
    <row r="16" s="120" customFormat="true" ht="12.65" hidden="false" customHeight="false" outlineLevel="0" collapsed="false">
      <c r="A16" s="187"/>
      <c r="B16" s="193" t="s">
        <v>326</v>
      </c>
      <c r="C16" s="193"/>
      <c r="D16" s="193"/>
      <c r="E16" s="198" t="n">
        <f aca="false">E5</f>
        <v>46204</v>
      </c>
      <c r="F16" s="198" t="n">
        <f aca="false">H5</f>
        <v>46934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327</v>
      </c>
      <c r="L16" s="202"/>
    </row>
    <row r="17" s="120" customFormat="true" ht="12.65" hidden="false" customHeight="false" outlineLevel="0" collapsed="false">
      <c r="A17" s="187"/>
      <c r="B17" s="193" t="s">
        <v>328</v>
      </c>
      <c r="C17" s="193"/>
      <c r="D17" s="193"/>
      <c r="E17" s="203" t="n">
        <f aca="false">E5</f>
        <v>46204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329</v>
      </c>
      <c r="L17" s="202"/>
    </row>
    <row r="18" s="120" customFormat="true" ht="12.65" hidden="false" customHeight="false" outlineLevel="0" collapsed="false">
      <c r="A18" s="187"/>
      <c r="B18" s="193" t="s">
        <v>330</v>
      </c>
      <c r="C18" s="193"/>
      <c r="D18" s="193"/>
      <c r="E18" s="198" t="n">
        <f aca="false">E5</f>
        <v>46204</v>
      </c>
      <c r="F18" s="198" t="n">
        <f aca="false">H5</f>
        <v>46934</v>
      </c>
      <c r="G18" s="204"/>
      <c r="H18" s="205"/>
      <c r="I18" s="206" t="n">
        <f aca="false">IF(K102&lt;&gt;0,-K102,0)</f>
        <v>0</v>
      </c>
      <c r="J18" s="178"/>
      <c r="K18" s="201" t="s">
        <v>331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323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332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333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334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335</v>
      </c>
      <c r="C28" s="188"/>
      <c r="D28" s="188"/>
      <c r="E28" s="213" t="n">
        <f aca="false">H5</f>
        <v>46934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336</v>
      </c>
      <c r="B31" s="217" t="s">
        <v>316</v>
      </c>
      <c r="C31" s="218" t="s">
        <v>337</v>
      </c>
      <c r="D31" s="218" t="s">
        <v>338</v>
      </c>
      <c r="E31" s="218" t="s">
        <v>339</v>
      </c>
      <c r="F31" s="219" t="s">
        <v>340</v>
      </c>
      <c r="G31" s="219" t="s">
        <v>341</v>
      </c>
      <c r="H31" s="219"/>
      <c r="I31" s="219" t="s">
        <v>342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212</v>
      </c>
      <c r="C33" s="222" t="n">
        <f aca="false">Admin!L6</f>
        <v>46204</v>
      </c>
      <c r="D33" s="222" t="n">
        <f aca="false">Admin!N6</f>
        <v>46568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212</v>
      </c>
      <c r="C34" s="222" t="n">
        <f aca="false">Admin!L7</f>
        <v>46569</v>
      </c>
      <c r="D34" s="222" t="n">
        <f aca="false">Admin!N7</f>
        <v>46934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343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344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345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346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347</v>
      </c>
      <c r="G45" s="178"/>
      <c r="H45" s="179"/>
      <c r="I45" s="233" t="s">
        <v>348</v>
      </c>
      <c r="J45" s="178"/>
      <c r="K45" s="178"/>
      <c r="L45" s="177"/>
    </row>
    <row r="46" customFormat="false" ht="25.5" hidden="false" customHeight="true" outlineLevel="0" collapsed="false">
      <c r="A46" s="234" t="s">
        <v>349</v>
      </c>
      <c r="B46" s="235" t="s">
        <v>348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200</v>
      </c>
      <c r="G47" s="178"/>
      <c r="H47" s="179"/>
      <c r="I47" s="238" t="s">
        <v>200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350</v>
      </c>
      <c r="C48" s="239"/>
      <c r="D48" s="240" t="n">
        <f aca="false">E5</f>
        <v>46204</v>
      </c>
      <c r="E48" s="240" t="n">
        <f aca="false">H5</f>
        <v>46934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351</v>
      </c>
      <c r="C57" s="239"/>
      <c r="D57" s="240" t="n">
        <f aca="false">E5</f>
        <v>46204</v>
      </c>
      <c r="E57" s="240" t="n">
        <f aca="false">H5</f>
        <v>46934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352</v>
      </c>
      <c r="B63" s="243"/>
      <c r="C63" s="243"/>
      <c r="D63" s="240" t="n">
        <f aca="false">E5</f>
        <v>46204</v>
      </c>
      <c r="E63" s="240" t="n">
        <f aca="false">H5</f>
        <v>46934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353</v>
      </c>
      <c r="C72" s="193"/>
      <c r="D72" s="240" t="n">
        <f aca="false">E5</f>
        <v>46204</v>
      </c>
      <c r="E72" s="240" t="n">
        <f aca="false">H5</f>
        <v>46934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354</v>
      </c>
      <c r="C79" s="244"/>
      <c r="D79" s="222" t="n">
        <f aca="false">E5</f>
        <v>46204</v>
      </c>
      <c r="E79" s="245" t="n">
        <f aca="false">H5</f>
        <v>46934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347</v>
      </c>
      <c r="G81" s="178"/>
      <c r="H81" s="179"/>
      <c r="I81" s="233" t="s">
        <v>355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356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200</v>
      </c>
      <c r="G83" s="178"/>
      <c r="H83" s="179"/>
      <c r="I83" s="238" t="s">
        <v>200</v>
      </c>
      <c r="J83" s="178"/>
      <c r="K83" s="178"/>
      <c r="L83" s="185"/>
    </row>
    <row r="84" customFormat="false" ht="12" hidden="false" customHeight="true" outlineLevel="0" collapsed="false">
      <c r="A84" s="247" t="s">
        <v>357</v>
      </c>
      <c r="B84" s="243" t="s">
        <v>358</v>
      </c>
      <c r="C84" s="243"/>
      <c r="D84" s="248" t="n">
        <f aca="false">E5</f>
        <v>46204</v>
      </c>
      <c r="E84" s="248" t="n">
        <f aca="false">H5</f>
        <v>46934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359</v>
      </c>
      <c r="C91" s="249"/>
      <c r="D91" s="250" t="n">
        <f aca="false">E5</f>
        <v>46204</v>
      </c>
      <c r="E91" s="250" t="n">
        <f aca="false">H5</f>
        <v>46934</v>
      </c>
      <c r="F91" s="251" t="s">
        <v>360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361</v>
      </c>
      <c r="B93" s="196" t="s">
        <v>362</v>
      </c>
      <c r="C93" s="196"/>
      <c r="D93" s="196"/>
      <c r="E93" s="253" t="n">
        <f aca="false">E5</f>
        <v>46204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363</v>
      </c>
      <c r="C94" s="255"/>
      <c r="D94" s="256" t="n">
        <f aca="false">E5</f>
        <v>46204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364</v>
      </c>
      <c r="C95" s="255"/>
      <c r="D95" s="256" t="n">
        <f aca="false">E5</f>
        <v>46204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365</v>
      </c>
      <c r="C96" s="255"/>
      <c r="D96" s="256" t="n">
        <f aca="false">E5</f>
        <v>46204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366</v>
      </c>
      <c r="C97" s="255"/>
      <c r="D97" s="256" t="n">
        <f aca="false">E5</f>
        <v>46204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362</v>
      </c>
      <c r="C99" s="196"/>
      <c r="D99" s="196"/>
      <c r="E99" s="253" t="n">
        <f aca="false">E5</f>
        <v>46204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367</v>
      </c>
      <c r="B102" s="196" t="s">
        <v>330</v>
      </c>
      <c r="C102" s="196"/>
      <c r="D102" s="196"/>
      <c r="E102" s="253" t="n">
        <f aca="false">E5</f>
        <v>46204</v>
      </c>
      <c r="F102" s="253" t="n">
        <f aca="false">H5</f>
        <v>46934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368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369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370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371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372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373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374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375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376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377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378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379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380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381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382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383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384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385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386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387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388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389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390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391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392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393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46204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46934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394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195</v>
      </c>
      <c r="AR34" s="272"/>
    </row>
    <row r="35" s="87" customFormat="true" ht="12.75" hidden="false" customHeight="false" outlineLevel="0" collapsed="false">
      <c r="A35" s="272"/>
      <c r="B35" s="292" t="s">
        <v>395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396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397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398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399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400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401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402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403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404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405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406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407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408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409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410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411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412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413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414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415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416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417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418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419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420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421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422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200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423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424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200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425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200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426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427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200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428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429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200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430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200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431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200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432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433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200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434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200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435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436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200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437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438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200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439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440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200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441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200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442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443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444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445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200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446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200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447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448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200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449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450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200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451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452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453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454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455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195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456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457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458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459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460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461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200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200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462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200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200</v>
      </c>
      <c r="AJ128" s="330"/>
      <c r="AK128" s="330"/>
      <c r="AL128" s="330"/>
      <c r="AM128" s="330"/>
      <c r="AN128" s="330"/>
      <c r="AO128" s="330"/>
      <c r="AP128" s="330"/>
      <c r="AQ128" s="331" t="s">
        <v>462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463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77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200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462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464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200</v>
      </c>
      <c r="X133" s="333"/>
      <c r="Y133" s="333"/>
      <c r="Z133" s="333"/>
      <c r="AA133" s="333"/>
      <c r="AB133" s="333"/>
      <c r="AC133" s="333"/>
      <c r="AD133" s="333"/>
      <c r="AE133" s="331" t="s">
        <v>462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465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200</v>
      </c>
      <c r="X135" s="333"/>
      <c r="Y135" s="333"/>
      <c r="Z135" s="333"/>
      <c r="AA135" s="333"/>
      <c r="AB135" s="333"/>
      <c r="AC135" s="333"/>
      <c r="AD135" s="333"/>
      <c r="AE135" s="331" t="s">
        <v>462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466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341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467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468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200</v>
      </c>
      <c r="X141" s="333"/>
      <c r="Y141" s="333"/>
      <c r="Z141" s="333"/>
      <c r="AA141" s="333"/>
      <c r="AB141" s="333"/>
      <c r="AC141" s="333"/>
      <c r="AD141" s="333"/>
      <c r="AE141" s="331" t="s">
        <v>462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469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200</v>
      </c>
      <c r="X143" s="333"/>
      <c r="Y143" s="333"/>
      <c r="Z143" s="333"/>
      <c r="AA143" s="333"/>
      <c r="AB143" s="333"/>
      <c r="AC143" s="333"/>
      <c r="AD143" s="333"/>
      <c r="AE143" s="331" t="s">
        <v>462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470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471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200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462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472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473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200</v>
      </c>
      <c r="AJ149" s="333"/>
      <c r="AK149" s="333"/>
      <c r="AL149" s="333"/>
      <c r="AM149" s="333"/>
      <c r="AN149" s="333"/>
      <c r="AO149" s="333"/>
      <c r="AP149" s="333"/>
      <c r="AQ149" s="331" t="s">
        <v>462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474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475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476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200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462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477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200</v>
      </c>
      <c r="AJ156" s="333"/>
      <c r="AK156" s="333"/>
      <c r="AL156" s="333"/>
      <c r="AM156" s="333"/>
      <c r="AN156" s="333"/>
      <c r="AO156" s="333"/>
      <c r="AP156" s="333"/>
      <c r="AQ156" s="331" t="s">
        <v>462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478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479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200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462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480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481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200</v>
      </c>
      <c r="AJ163" s="330"/>
      <c r="AK163" s="330"/>
      <c r="AL163" s="330"/>
      <c r="AM163" s="330"/>
      <c r="AN163" s="330"/>
      <c r="AO163" s="330"/>
      <c r="AP163" s="330"/>
      <c r="AQ163" s="331" t="s">
        <v>462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482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483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200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462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484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485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200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462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486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487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488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489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490</v>
      </c>
      <c r="C175" s="274"/>
      <c r="D175" s="274"/>
      <c r="E175" s="274"/>
      <c r="F175" s="276"/>
      <c r="G175" s="276"/>
      <c r="H175" s="276" t="s">
        <v>491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200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200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492</v>
      </c>
      <c r="C177" s="274"/>
      <c r="D177" s="274"/>
      <c r="E177" s="274"/>
      <c r="F177" s="276"/>
      <c r="G177" s="276"/>
      <c r="H177" s="276" t="s">
        <v>493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200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200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494</v>
      </c>
      <c r="C179" s="274"/>
      <c r="D179" s="274"/>
      <c r="E179" s="274"/>
      <c r="F179" s="276"/>
      <c r="G179" s="276"/>
      <c r="H179" s="276" t="s">
        <v>495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200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200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496</v>
      </c>
      <c r="C181" s="274"/>
      <c r="D181" s="274"/>
      <c r="E181" s="274"/>
      <c r="F181" s="276"/>
      <c r="G181" s="276"/>
      <c r="H181" s="276" t="s">
        <v>497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200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200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498</v>
      </c>
      <c r="C183" s="274"/>
      <c r="D183" s="274"/>
      <c r="E183" s="274"/>
      <c r="F183" s="276"/>
      <c r="G183" s="276"/>
      <c r="H183" s="276" t="s">
        <v>499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200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200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500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488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489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501</v>
      </c>
      <c r="C187" s="274"/>
      <c r="D187" s="274"/>
      <c r="E187" s="274"/>
      <c r="F187" s="276"/>
      <c r="G187" s="276"/>
      <c r="H187" s="276" t="s">
        <v>502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200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200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503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504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505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506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200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507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508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509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200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510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200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511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512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513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514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515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200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516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200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517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518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519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520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521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200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200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522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523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524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525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526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527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200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200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528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529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530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531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200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532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200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533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534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535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536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537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538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539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200</v>
      </c>
      <c r="AD224" s="309"/>
      <c r="AE224" s="309"/>
      <c r="AF224" s="309"/>
      <c r="AG224" s="309"/>
      <c r="AH224" s="309"/>
      <c r="AI224" s="276" t="s">
        <v>540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541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542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543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544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545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546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547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548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549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550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551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552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553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554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387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555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556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276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557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558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559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560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558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561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562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276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557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563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564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277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565</v>
      </c>
      <c r="C2" s="388" t="s">
        <v>566</v>
      </c>
      <c r="D2" s="388" t="s">
        <v>567</v>
      </c>
      <c r="E2" s="388" t="s">
        <v>568</v>
      </c>
      <c r="F2" s="388" t="s">
        <v>569</v>
      </c>
      <c r="G2" s="388" t="s">
        <v>570</v>
      </c>
      <c r="H2" s="388" t="s">
        <v>179</v>
      </c>
      <c r="I2" s="388" t="s">
        <v>571</v>
      </c>
      <c r="J2" s="47"/>
      <c r="K2" s="387" t="s">
        <v>572</v>
      </c>
      <c r="L2" s="389"/>
    </row>
    <row r="3" s="53" customFormat="true" ht="15" hidden="false" customHeight="true" outlineLevel="0" collapsed="false">
      <c r="A3" s="386"/>
      <c r="B3" s="390" t="s">
        <v>573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46234</v>
      </c>
      <c r="C4" s="36" t="n">
        <f aca="false">[9]Jul!$M$1-C17</f>
        <v>0</v>
      </c>
      <c r="D4" s="36" t="n">
        <f aca="false">[9]Jul!$N$1-D17</f>
        <v>0</v>
      </c>
      <c r="E4" s="36" t="n">
        <f aca="false">[9]Jul!$O$1-E17</f>
        <v>0</v>
      </c>
      <c r="F4" s="36" t="n">
        <f aca="false">[9]Jul!$P$1+[9]Jul!$Q$1-F17</f>
        <v>0</v>
      </c>
      <c r="G4" s="36" t="n">
        <f aca="false">C4-SUM(D4:F4)</f>
        <v>0</v>
      </c>
      <c r="H4" s="36" t="n">
        <f aca="false">[9]Jul!$T$1-H17</f>
        <v>0</v>
      </c>
      <c r="I4" s="36" t="n">
        <f aca="false">[9]Jul!$G$1</f>
        <v>0</v>
      </c>
      <c r="J4" s="54"/>
      <c r="K4" s="393" t="s">
        <v>574</v>
      </c>
      <c r="L4" s="68"/>
    </row>
    <row r="5" customFormat="false" ht="12" hidden="false" customHeight="true" outlineLevel="0" collapsed="false">
      <c r="A5" s="391"/>
      <c r="B5" s="392" t="n">
        <f aca="false">Admin!B12</f>
        <v>46265</v>
      </c>
      <c r="C5" s="36" t="n">
        <f aca="false">[9]Aug!$M$1-C18</f>
        <v>0</v>
      </c>
      <c r="D5" s="36" t="n">
        <f aca="false">[9]Aug!$N$1-D18</f>
        <v>0</v>
      </c>
      <c r="E5" s="36" t="n">
        <f aca="false">[9]Aug!$O$1-E18</f>
        <v>0</v>
      </c>
      <c r="F5" s="36" t="n">
        <f aca="false">[9]Aug!$P$1+[9]Aug!$Q$1-F18</f>
        <v>0</v>
      </c>
      <c r="G5" s="36" t="n">
        <f aca="false">C5-SUM(D5:F5)</f>
        <v>0</v>
      </c>
      <c r="H5" s="36" t="n">
        <f aca="false">[9]Aug!$T$1-H18</f>
        <v>0</v>
      </c>
      <c r="I5" s="36" t="n">
        <f aca="false">[9]Aug!$G$1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46295</v>
      </c>
      <c r="C6" s="36" t="n">
        <f aca="false">[9]Sep!$M$1-C19</f>
        <v>0</v>
      </c>
      <c r="D6" s="36" t="n">
        <f aca="false">[9]Sep!$N$1-D19</f>
        <v>0</v>
      </c>
      <c r="E6" s="36" t="n">
        <f aca="false">[9]Sep!$O$1-E19</f>
        <v>0</v>
      </c>
      <c r="F6" s="36" t="n">
        <f aca="false">[9]Sep!$P$1+[9]Sep!$Q$1-F19</f>
        <v>0</v>
      </c>
      <c r="G6" s="36" t="n">
        <f aca="false">C6-SUM(D6:F6)</f>
        <v>0</v>
      </c>
      <c r="H6" s="36" t="n">
        <f aca="false">[9]Sep!$T$1-H19</f>
        <v>0</v>
      </c>
      <c r="I6" s="36" t="n">
        <f aca="false">[9]Sep!$G$1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46326</v>
      </c>
      <c r="C7" s="36" t="n">
        <f aca="false">[9]Oct!$M$1-C20</f>
        <v>0</v>
      </c>
      <c r="D7" s="36" t="n">
        <f aca="false">[9]Oct!$N$1-D20</f>
        <v>0</v>
      </c>
      <c r="E7" s="36" t="n">
        <f aca="false">[9]Oct!$O$1-E20</f>
        <v>0</v>
      </c>
      <c r="F7" s="36" t="n">
        <f aca="false">[9]Oct!$P$1+[9]Oct!$Q$1-F20</f>
        <v>0</v>
      </c>
      <c r="G7" s="36" t="n">
        <f aca="false">C7-SUM(D7:F7)</f>
        <v>0</v>
      </c>
      <c r="H7" s="36" t="n">
        <f aca="false">[9]Oct!$T$1-H20</f>
        <v>0</v>
      </c>
      <c r="I7" s="36" t="n">
        <f aca="false">[9]Oct!$G$1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46356</v>
      </c>
      <c r="C8" s="36" t="n">
        <f aca="false">[9]Nov!$M$1-C21</f>
        <v>0</v>
      </c>
      <c r="D8" s="36" t="n">
        <f aca="false">[9]Nov!$N$1-D21</f>
        <v>0</v>
      </c>
      <c r="E8" s="36" t="n">
        <f aca="false">[9]Nov!$O$1-E21</f>
        <v>0</v>
      </c>
      <c r="F8" s="36" t="n">
        <f aca="false">[9]Nov!$P$1+[9]Nov!$Q$1-F21</f>
        <v>0</v>
      </c>
      <c r="G8" s="36" t="n">
        <f aca="false">C8-SUM(D8:F8)</f>
        <v>0</v>
      </c>
      <c r="H8" s="36" t="n">
        <f aca="false">[9]Nov!$T$1-H21</f>
        <v>0</v>
      </c>
      <c r="I8" s="36" t="n">
        <f aca="false">[9]Nov!$G$1</f>
        <v>0</v>
      </c>
      <c r="J8" s="54"/>
      <c r="K8" s="393" t="s">
        <v>575</v>
      </c>
      <c r="L8" s="68"/>
    </row>
    <row r="9" customFormat="false" ht="12" hidden="false" customHeight="true" outlineLevel="0" collapsed="false">
      <c r="A9" s="391"/>
      <c r="B9" s="392" t="n">
        <f aca="false">Admin!B20</f>
        <v>46387</v>
      </c>
      <c r="C9" s="36" t="n">
        <f aca="false">[9]Dec!$M$1-C22</f>
        <v>0</v>
      </c>
      <c r="D9" s="36" t="n">
        <f aca="false">[9]Dec!$N$1-D22</f>
        <v>0</v>
      </c>
      <c r="E9" s="36" t="n">
        <f aca="false">[9]Dec!$O$1-E22</f>
        <v>0</v>
      </c>
      <c r="F9" s="36" t="n">
        <f aca="false">[9]Dec!$P$1+[9]Dec!$Q$1-F22</f>
        <v>0</v>
      </c>
      <c r="G9" s="36" t="n">
        <f aca="false">C9-SUM(D9:F9)</f>
        <v>0</v>
      </c>
      <c r="H9" s="36" t="n">
        <f aca="false">[9]Dec!$T$1-H22</f>
        <v>0</v>
      </c>
      <c r="I9" s="36" t="n">
        <f aca="false">[9]Dec!$G$1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46418</v>
      </c>
      <c r="C10" s="36" t="n">
        <f aca="false">[9]Jan!$M$1-C23</f>
        <v>0</v>
      </c>
      <c r="D10" s="36" t="n">
        <f aca="false">[9]Jan!$N$1-D23</f>
        <v>0</v>
      </c>
      <c r="E10" s="36" t="n">
        <f aca="false">[9]Jan!$O$1-E23</f>
        <v>0</v>
      </c>
      <c r="F10" s="36" t="n">
        <f aca="false">[9]Jan!$P$1+[9]Jan!$Q$1-F23</f>
        <v>0</v>
      </c>
      <c r="G10" s="36" t="n">
        <f aca="false">C10-SUM(D10:F10)</f>
        <v>0</v>
      </c>
      <c r="H10" s="36" t="n">
        <f aca="false">[9]Jan!$T$1-H23</f>
        <v>0</v>
      </c>
      <c r="I10" s="36" t="n">
        <f aca="false">[9]Jan!$G$1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46446</v>
      </c>
      <c r="C11" s="36" t="n">
        <f aca="false">[9]Feb!$M$1-C24</f>
        <v>0</v>
      </c>
      <c r="D11" s="36" t="n">
        <f aca="false">[9]Feb!$N$1-D24</f>
        <v>0</v>
      </c>
      <c r="E11" s="36" t="n">
        <f aca="false">[9]Feb!$O$1-E24</f>
        <v>0</v>
      </c>
      <c r="F11" s="36" t="n">
        <f aca="false">[9]Feb!$P$1+[9]Feb!$Q$1-F24</f>
        <v>0</v>
      </c>
      <c r="G11" s="36" t="n">
        <f aca="false">C11-SUM(D11:F11)</f>
        <v>0</v>
      </c>
      <c r="H11" s="36" t="n">
        <f aca="false">[9]Feb!$T$1-H24</f>
        <v>0</v>
      </c>
      <c r="I11" s="36" t="n">
        <f aca="false">[9]Feb!$G$1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46477</v>
      </c>
      <c r="C12" s="36" t="n">
        <f aca="false">[9]Mar!$M$1-C25</f>
        <v>0</v>
      </c>
      <c r="D12" s="36" t="n">
        <f aca="false">[9]Mar!$N$1-D25</f>
        <v>0</v>
      </c>
      <c r="E12" s="36" t="n">
        <f aca="false">[9]Mar!$O$1-E25</f>
        <v>0</v>
      </c>
      <c r="F12" s="36" t="n">
        <f aca="false">[9]Mar!$P$1+[9]Mar!$Q$1-F25</f>
        <v>0</v>
      </c>
      <c r="G12" s="36" t="n">
        <f aca="false">C12-SUM(D12:F12)</f>
        <v>0</v>
      </c>
      <c r="H12" s="36" t="n">
        <f aca="false">[9]Mar!$T$1-H25</f>
        <v>0</v>
      </c>
      <c r="I12" s="36" t="n">
        <f aca="false">[9]Mar!$G$1</f>
        <v>0</v>
      </c>
      <c r="J12" s="54"/>
      <c r="K12" s="393" t="s">
        <v>576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46507</v>
      </c>
      <c r="C13" s="36" t="n">
        <f aca="false">[9]Apr!$M$1-C26</f>
        <v>0</v>
      </c>
      <c r="D13" s="36" t="n">
        <f aca="false">[9]Apr!$N$1-D26</f>
        <v>0</v>
      </c>
      <c r="E13" s="36" t="n">
        <f aca="false">[9]Apr!$O$1-E26</f>
        <v>0</v>
      </c>
      <c r="F13" s="36" t="n">
        <f aca="false">[9]Apr!$P$1+[9]Apr!$Q$1-F26</f>
        <v>0</v>
      </c>
      <c r="G13" s="36" t="n">
        <f aca="false">C13-SUM(D13:F13)</f>
        <v>0</v>
      </c>
      <c r="H13" s="36" t="n">
        <f aca="false">[9]Apr!$T$1-H26</f>
        <v>0</v>
      </c>
      <c r="I13" s="36" t="n">
        <f aca="false">[9]Apr!$G$1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46538</v>
      </c>
      <c r="C14" s="36" t="n">
        <f aca="false">[9]May!$M$1-C27</f>
        <v>0</v>
      </c>
      <c r="D14" s="36" t="n">
        <f aca="false">[9]May!$N$1-D27</f>
        <v>0</v>
      </c>
      <c r="E14" s="36" t="n">
        <f aca="false">[9]May!$O$1-E27</f>
        <v>0</v>
      </c>
      <c r="F14" s="36" t="n">
        <f aca="false">[9]May!$P$1+[9]May!$Q$1-F27</f>
        <v>0</v>
      </c>
      <c r="G14" s="36" t="n">
        <f aca="false">C14-SUM(D14:F14)</f>
        <v>0</v>
      </c>
      <c r="H14" s="36" t="n">
        <f aca="false">[9]May!$T$1-H27</f>
        <v>0</v>
      </c>
      <c r="I14" s="36" t="n">
        <f aca="false">[9]May!$G$1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46568</v>
      </c>
      <c r="C15" s="36" t="n">
        <f aca="false">[9]Jun!$M$1-C28</f>
        <v>0</v>
      </c>
      <c r="D15" s="36" t="n">
        <f aca="false">[9]Jun!$N$1-D28</f>
        <v>0</v>
      </c>
      <c r="E15" s="36" t="n">
        <f aca="false">[9]Jun!$O$1-E28</f>
        <v>0</v>
      </c>
      <c r="F15" s="36" t="n">
        <f aca="false">[9]Jun!$P$1+[9]Jun!$Q$1-F28</f>
        <v>0</v>
      </c>
      <c r="G15" s="36" t="n">
        <f aca="false">C15-SUM(D15:F15)</f>
        <v>0</v>
      </c>
      <c r="H15" s="36" t="n">
        <f aca="false">[9]Jun!$T$1-H28</f>
        <v>0</v>
      </c>
      <c r="I15" s="36" t="n">
        <f aca="false">[9]Jun!$G$1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577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46234</v>
      </c>
      <c r="C17" s="36" t="n">
        <f aca="false">[9]Jul!$M$2</f>
        <v>0</v>
      </c>
      <c r="D17" s="36" t="n">
        <f aca="false">[9]Jul!$N$2</f>
        <v>0</v>
      </c>
      <c r="E17" s="36" t="n">
        <f aca="false">[9]Jul!$O$2</f>
        <v>0</v>
      </c>
      <c r="F17" s="36" t="n">
        <f aca="false">[9]Jul!$P$2+[9]Jul!$Q$2</f>
        <v>0</v>
      </c>
      <c r="G17" s="36" t="n">
        <f aca="false">C17-SUM(D17:F17)</f>
        <v>0</v>
      </c>
      <c r="H17" s="36" t="n">
        <f aca="false">[9]Jul!$T$2</f>
        <v>0</v>
      </c>
      <c r="J17" s="54"/>
      <c r="K17" s="393" t="s">
        <v>578</v>
      </c>
      <c r="L17" s="68"/>
    </row>
    <row r="18" customFormat="false" ht="12" hidden="false" customHeight="false" outlineLevel="0" collapsed="false">
      <c r="A18" s="391"/>
      <c r="B18" s="392" t="n">
        <f aca="false">B5</f>
        <v>46265</v>
      </c>
      <c r="C18" s="36" t="n">
        <f aca="false">[9]Aug!$M$2</f>
        <v>0</v>
      </c>
      <c r="D18" s="36" t="n">
        <f aca="false">[9]Aug!$N$2</f>
        <v>0</v>
      </c>
      <c r="E18" s="36" t="n">
        <f aca="false">[9]Aug!$O$2</f>
        <v>0</v>
      </c>
      <c r="F18" s="36" t="n">
        <f aca="false">[9]Aug!$P$2+[9]Aug!$Q$2</f>
        <v>0</v>
      </c>
      <c r="G18" s="36" t="n">
        <f aca="false">C18-SUM(D18:F18)</f>
        <v>0</v>
      </c>
      <c r="H18" s="36" t="n">
        <f aca="false">[9]Aug!$T$2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46295</v>
      </c>
      <c r="C19" s="36" t="n">
        <f aca="false">[9]Sep!$M$2</f>
        <v>0</v>
      </c>
      <c r="D19" s="36" t="n">
        <f aca="false">[9]Sep!$N$2</f>
        <v>0</v>
      </c>
      <c r="E19" s="36" t="n">
        <f aca="false">[9]Sep!$O$2</f>
        <v>0</v>
      </c>
      <c r="F19" s="36" t="n">
        <f aca="false">[9]Sep!$P$2+[9]Sep!$Q$2</f>
        <v>0</v>
      </c>
      <c r="G19" s="36" t="n">
        <f aca="false">C19-SUM(D19:F19)</f>
        <v>0</v>
      </c>
      <c r="H19" s="36" t="n">
        <f aca="false">[9]Sep!$T$2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46326</v>
      </c>
      <c r="C20" s="36" t="n">
        <f aca="false">[9]Oct!$M$2</f>
        <v>0</v>
      </c>
      <c r="D20" s="36" t="n">
        <f aca="false">[9]Oct!$N$2</f>
        <v>0</v>
      </c>
      <c r="E20" s="36" t="n">
        <f aca="false">[9]Oct!$O$2</f>
        <v>0</v>
      </c>
      <c r="F20" s="36" t="n">
        <f aca="false">[9]Oct!$P$2+[9]Oct!$Q$2</f>
        <v>0</v>
      </c>
      <c r="G20" s="36" t="n">
        <f aca="false">C20-SUM(D20:F20)</f>
        <v>0</v>
      </c>
      <c r="H20" s="36" t="n">
        <f aca="false">[9]Oct!$T$2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46356</v>
      </c>
      <c r="C21" s="36" t="n">
        <f aca="false">[9]Nov!$M$2</f>
        <v>0</v>
      </c>
      <c r="D21" s="36" t="n">
        <f aca="false">[9]Nov!$N$2</f>
        <v>0</v>
      </c>
      <c r="E21" s="36" t="n">
        <f aca="false">[9]Nov!$O$2</f>
        <v>0</v>
      </c>
      <c r="F21" s="36" t="n">
        <f aca="false">[9]Nov!$P$2+[9]Nov!$Q$2</f>
        <v>0</v>
      </c>
      <c r="G21" s="36" t="n">
        <f aca="false">C21-SUM(D21:F21)</f>
        <v>0</v>
      </c>
      <c r="H21" s="36" t="n">
        <f aca="false">[9]Nov!$T$2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46387</v>
      </c>
      <c r="C22" s="36" t="n">
        <f aca="false">[9]Dec!$M$2</f>
        <v>0</v>
      </c>
      <c r="D22" s="36" t="n">
        <f aca="false">[9]Dec!$N$2</f>
        <v>0</v>
      </c>
      <c r="E22" s="36" t="n">
        <f aca="false">[9]Dec!$O$2</f>
        <v>0</v>
      </c>
      <c r="F22" s="36" t="n">
        <f aca="false">[9]Dec!$P$2+[9]Dec!$Q$2</f>
        <v>0</v>
      </c>
      <c r="G22" s="36" t="n">
        <f aca="false">C22-SUM(D22:F22)</f>
        <v>0</v>
      </c>
      <c r="H22" s="36" t="n">
        <f aca="false">[9]Dec!$T$2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46418</v>
      </c>
      <c r="C23" s="36" t="n">
        <f aca="false">[9]Jan!$M$2</f>
        <v>0</v>
      </c>
      <c r="D23" s="36" t="n">
        <f aca="false">[9]Jan!$N$2</f>
        <v>0</v>
      </c>
      <c r="E23" s="36" t="n">
        <f aca="false">[9]Jan!$O$2</f>
        <v>0</v>
      </c>
      <c r="F23" s="36" t="n">
        <f aca="false">[9]Jan!$P$2+[9]Jan!$Q$2</f>
        <v>0</v>
      </c>
      <c r="G23" s="36" t="n">
        <f aca="false">C23-SUM(D23:F23)</f>
        <v>0</v>
      </c>
      <c r="H23" s="36" t="n">
        <f aca="false">[9]Jan!$T$2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46446</v>
      </c>
      <c r="C24" s="36" t="n">
        <f aca="false">[9]Feb!$M$2</f>
        <v>0</v>
      </c>
      <c r="D24" s="36" t="n">
        <f aca="false">[9]Feb!$N$2</f>
        <v>0</v>
      </c>
      <c r="E24" s="36" t="n">
        <f aca="false">[9]Feb!$O$2</f>
        <v>0</v>
      </c>
      <c r="F24" s="36" t="n">
        <f aca="false">[9]Feb!$P$2+[9]Feb!$Q$2</f>
        <v>0</v>
      </c>
      <c r="G24" s="36" t="n">
        <f aca="false">C24-SUM(D24:F24)</f>
        <v>0</v>
      </c>
      <c r="H24" s="36" t="n">
        <f aca="false">[9]Feb!$T$2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46477</v>
      </c>
      <c r="C25" s="36" t="n">
        <f aca="false">[9]Mar!$M$2</f>
        <v>0</v>
      </c>
      <c r="D25" s="36" t="n">
        <f aca="false">[9]Mar!$N$2</f>
        <v>0</v>
      </c>
      <c r="E25" s="36" t="n">
        <f aca="false">[9]Mar!$O$2</f>
        <v>0</v>
      </c>
      <c r="F25" s="36" t="n">
        <f aca="false">[9]Mar!$P$2+[9]Mar!$Q$2</f>
        <v>0</v>
      </c>
      <c r="G25" s="36" t="n">
        <f aca="false">C25-SUM(D25:F25)</f>
        <v>0</v>
      </c>
      <c r="H25" s="36" t="n">
        <f aca="false">[9]Mar!$T$2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46507</v>
      </c>
      <c r="C26" s="36" t="n">
        <f aca="false">[9]Apr!$M$2</f>
        <v>0</v>
      </c>
      <c r="D26" s="36" t="n">
        <f aca="false">[9]Apr!$N$2</f>
        <v>0</v>
      </c>
      <c r="E26" s="36" t="n">
        <f aca="false">[9]Apr!$O$2</f>
        <v>0</v>
      </c>
      <c r="F26" s="36" t="n">
        <f aca="false">[9]Apr!$P$2+[9]Apr!$Q$2</f>
        <v>0</v>
      </c>
      <c r="G26" s="36" t="n">
        <f aca="false">C26-SUM(D26:F26)</f>
        <v>0</v>
      </c>
      <c r="H26" s="36" t="n">
        <f aca="false">[9]Apr!$T$2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46538</v>
      </c>
      <c r="C27" s="36" t="n">
        <f aca="false">[9]May!$M$2</f>
        <v>0</v>
      </c>
      <c r="D27" s="36" t="n">
        <f aca="false">[9]May!$N$2</f>
        <v>0</v>
      </c>
      <c r="E27" s="36" t="n">
        <f aca="false">[9]May!$O$2</f>
        <v>0</v>
      </c>
      <c r="F27" s="36" t="n">
        <f aca="false">[9]May!$P$2+[9]May!$Q$2</f>
        <v>0</v>
      </c>
      <c r="G27" s="36" t="n">
        <f aca="false">C27-SUM(D27:F27)</f>
        <v>0</v>
      </c>
      <c r="H27" s="36" t="n">
        <f aca="false">[9]May!$T$2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46568</v>
      </c>
      <c r="C28" s="36" t="n">
        <f aca="false">[9]Jun!$M$2</f>
        <v>0</v>
      </c>
      <c r="D28" s="36" t="n">
        <f aca="false">[9]Jun!$N$2</f>
        <v>0</v>
      </c>
      <c r="E28" s="36" t="n">
        <f aca="false">[9]Jun!$O$2</f>
        <v>0</v>
      </c>
      <c r="F28" s="36" t="n">
        <f aca="false">[9]Jun!$P$2+[9]Jun!$Q$2</f>
        <v>0</v>
      </c>
      <c r="G28" s="36" t="n">
        <f aca="false">C28-SUM(D28:F28)</f>
        <v>0</v>
      </c>
      <c r="H28" s="36" t="n">
        <f aca="false">[9]Jun!$T$2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579</v>
      </c>
      <c r="I1" s="406"/>
      <c r="J1" s="406"/>
      <c r="K1" s="406"/>
      <c r="L1" s="406"/>
      <c r="M1" s="405"/>
      <c r="N1" s="406" t="s">
        <v>579</v>
      </c>
      <c r="O1" s="406"/>
      <c r="P1" s="406"/>
      <c r="Q1" s="406"/>
      <c r="R1" s="406"/>
      <c r="S1" s="405"/>
      <c r="T1" s="406" t="s">
        <v>579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580</v>
      </c>
      <c r="C2" s="412"/>
      <c r="D2" s="413" t="s">
        <v>581</v>
      </c>
      <c r="E2" s="414"/>
      <c r="F2" s="413" t="s">
        <v>582</v>
      </c>
      <c r="G2" s="414"/>
      <c r="H2" s="415" t="s">
        <v>583</v>
      </c>
      <c r="I2" s="414"/>
      <c r="J2" s="413" t="s">
        <v>584</v>
      </c>
      <c r="K2" s="414"/>
      <c r="L2" s="413" t="s">
        <v>585</v>
      </c>
      <c r="M2" s="414"/>
      <c r="N2" s="415" t="s">
        <v>586</v>
      </c>
      <c r="O2" s="414"/>
      <c r="P2" s="413" t="s">
        <v>587</v>
      </c>
      <c r="Q2" s="414"/>
      <c r="R2" s="413" t="s">
        <v>585</v>
      </c>
      <c r="S2" s="414"/>
      <c r="T2" s="415" t="s">
        <v>588</v>
      </c>
      <c r="U2" s="414"/>
      <c r="V2" s="413" t="s">
        <v>589</v>
      </c>
      <c r="W2" s="414"/>
      <c r="X2" s="416" t="s">
        <v>585</v>
      </c>
      <c r="Y2" s="417"/>
      <c r="Z2" s="413" t="s">
        <v>590</v>
      </c>
      <c r="AA2" s="414"/>
      <c r="AB2" s="413" t="s">
        <v>591</v>
      </c>
      <c r="AC2" s="418"/>
      <c r="AD2" s="419" t="s">
        <v>592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593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594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10000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10000</v>
      </c>
      <c r="E8" s="78"/>
      <c r="F8" s="78" t="n">
        <f aca="false">IF((H$4+N$4+T$4)=0,0,[2]Jul!O$1)</f>
        <v>0</v>
      </c>
      <c r="G8" s="78"/>
      <c r="H8" s="437" t="n">
        <f aca="false">H4</f>
        <v>0</v>
      </c>
      <c r="I8" s="78"/>
      <c r="J8" s="78" t="n">
        <f aca="false">[3]Jul!$O$1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[3]Jul!$P$1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[3]Jul!$Q$1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10000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46265</v>
      </c>
      <c r="C10" s="431"/>
      <c r="D10" s="432" t="n">
        <f aca="false">D8+F10-L10-R10-X10+Z8</f>
        <v>10000</v>
      </c>
      <c r="E10" s="78"/>
      <c r="F10" s="78" t="n">
        <f aca="false">IF((H$4+N$4+T$4)=0,0,[2]Aug!O$1)</f>
        <v>0</v>
      </c>
      <c r="G10" s="78"/>
      <c r="H10" s="437" t="n">
        <f aca="false">H8</f>
        <v>0</v>
      </c>
      <c r="I10" s="78"/>
      <c r="J10" s="78" t="n">
        <f aca="false">[3]Aug!$O$1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[3]Aug!$P$1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[3]Aug!$Q$1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10000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595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46295</v>
      </c>
      <c r="C12" s="431"/>
      <c r="D12" s="432" t="n">
        <f aca="false">D10+F12-L12-R12-X12+Z10</f>
        <v>10000</v>
      </c>
      <c r="E12" s="78"/>
      <c r="F12" s="78" t="n">
        <f aca="false">IF((H$4+N$4+T$4)=0,0,[2]Sep!O$1)</f>
        <v>0</v>
      </c>
      <c r="G12" s="78"/>
      <c r="H12" s="437" t="n">
        <f aca="false">H10</f>
        <v>0</v>
      </c>
      <c r="I12" s="78"/>
      <c r="J12" s="78" t="n">
        <f aca="false">[3]Sep!$O$1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[3]Sep!$P$1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[3]Sep!$Q$1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10000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46326</v>
      </c>
      <c r="C14" s="431"/>
      <c r="D14" s="432" t="n">
        <f aca="false">D12+F14-L14-R14-X14+Z12</f>
        <v>10000</v>
      </c>
      <c r="E14" s="78"/>
      <c r="F14" s="78" t="n">
        <f aca="false">IF((H$4+N$4+T$4)=0,0,[2]Oct!O$1)</f>
        <v>0</v>
      </c>
      <c r="G14" s="78"/>
      <c r="H14" s="437" t="n">
        <f aca="false">H12</f>
        <v>0</v>
      </c>
      <c r="I14" s="78"/>
      <c r="J14" s="78" t="n">
        <f aca="false">[3]Oct!$O$1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[3]Oct!$P$1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[3]Oct!$Q$1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10000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596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46356</v>
      </c>
      <c r="C16" s="431"/>
      <c r="D16" s="432" t="n">
        <f aca="false">D14+F16-L16-R16-X16+Z14</f>
        <v>10000</v>
      </c>
      <c r="E16" s="78"/>
      <c r="F16" s="78" t="n">
        <f aca="false">IF((H$4+N$4+T$4)=0,0,[2]Nov!O$1)</f>
        <v>0</v>
      </c>
      <c r="G16" s="78"/>
      <c r="H16" s="437" t="n">
        <f aca="false">H14</f>
        <v>0</v>
      </c>
      <c r="I16" s="78"/>
      <c r="J16" s="78" t="n">
        <f aca="false">[3]Nov!$O$1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[3]Nov!$P$1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[3]Nov!$Q$1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10000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46387</v>
      </c>
      <c r="C18" s="431"/>
      <c r="D18" s="432" t="n">
        <f aca="false">D16+F18-L18-R18-X18+Z16</f>
        <v>10000</v>
      </c>
      <c r="E18" s="78"/>
      <c r="F18" s="78" t="n">
        <f aca="false">IF((H$4+N$4+T$4)=0,0,[2]Dec!O$1)</f>
        <v>0</v>
      </c>
      <c r="G18" s="78"/>
      <c r="H18" s="437" t="n">
        <f aca="false">H16</f>
        <v>0</v>
      </c>
      <c r="I18" s="78"/>
      <c r="J18" s="78" t="n">
        <f aca="false">[3]Dec!$O$1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[3]Dec!$P$1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[3]Dec!$Q$1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10000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597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46418</v>
      </c>
      <c r="C20" s="431"/>
      <c r="D20" s="432" t="n">
        <f aca="false">D18+F20-L20-R20-X20+Z18</f>
        <v>10000</v>
      </c>
      <c r="E20" s="78"/>
      <c r="F20" s="78" t="n">
        <f aca="false">IF((H$4+N$4+T$4)=0,0,[2]Jan!O$1)</f>
        <v>0</v>
      </c>
      <c r="G20" s="78"/>
      <c r="H20" s="437" t="n">
        <f aca="false">H18</f>
        <v>0</v>
      </c>
      <c r="I20" s="78"/>
      <c r="J20" s="78" t="n">
        <f aca="false">[3]Jan!$O$1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[3]Jan!$P$1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[3]Jan!$Q$1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10000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46446</v>
      </c>
      <c r="C22" s="431"/>
      <c r="D22" s="432" t="n">
        <f aca="false">D20+F22-L22-R22-X22+Z20</f>
        <v>10000</v>
      </c>
      <c r="E22" s="78"/>
      <c r="F22" s="78" t="n">
        <f aca="false">IF((H$4+N$4+T$4)=0,0,[2]Feb!O$1)</f>
        <v>0</v>
      </c>
      <c r="G22" s="78"/>
      <c r="H22" s="437" t="n">
        <f aca="false">H20</f>
        <v>0</v>
      </c>
      <c r="I22" s="78"/>
      <c r="J22" s="78" t="n">
        <f aca="false">[3]Feb!$O$1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[3]Feb!$P$1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[3]Feb!$Q$1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10000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598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46477</v>
      </c>
      <c r="C24" s="431"/>
      <c r="D24" s="432" t="n">
        <f aca="false">D22+F24-L24-R24-X24+Z22</f>
        <v>10000</v>
      </c>
      <c r="E24" s="78"/>
      <c r="F24" s="78" t="n">
        <f aca="false">IF((H$4+N$4+T$4)=0,0,[2]Mar!O$1)</f>
        <v>0</v>
      </c>
      <c r="G24" s="78"/>
      <c r="H24" s="437" t="n">
        <f aca="false">H22</f>
        <v>0</v>
      </c>
      <c r="I24" s="78"/>
      <c r="J24" s="78" t="n">
        <f aca="false">[3]Mar!$O$1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[3]Mar!$P$1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[3]Mar!$Q$1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10000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46507</v>
      </c>
      <c r="C26" s="431"/>
      <c r="D26" s="432" t="n">
        <f aca="false">D24+F26-L26-R26-X26+Z24</f>
        <v>10000</v>
      </c>
      <c r="E26" s="78"/>
      <c r="F26" s="78" t="n">
        <f aca="false">IF((H$4+N$4+T$4)=0,0,[2]Apr!O$1)</f>
        <v>0</v>
      </c>
      <c r="G26" s="78"/>
      <c r="H26" s="437" t="n">
        <f aca="false">H24</f>
        <v>0</v>
      </c>
      <c r="I26" s="78"/>
      <c r="J26" s="78" t="n">
        <f aca="false">[3]Apr!$O$1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[3]Apr!$P$1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[3]Apr!$Q$1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10000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46538</v>
      </c>
      <c r="C28" s="431"/>
      <c r="D28" s="432" t="n">
        <f aca="false">D26+F28-L28-R28-X28+Z26</f>
        <v>10000</v>
      </c>
      <c r="E28" s="78"/>
      <c r="F28" s="78" t="n">
        <f aca="false">IF((H$4+N$4+T$4)=0,0,[2]May!O$1)</f>
        <v>0</v>
      </c>
      <c r="G28" s="78"/>
      <c r="H28" s="437" t="n">
        <f aca="false">H26</f>
        <v>0</v>
      </c>
      <c r="I28" s="78"/>
      <c r="J28" s="78" t="n">
        <f aca="false">[3]May!$O$1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[3]May!$P$1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[3]May!$Q$1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10000</v>
      </c>
      <c r="AC28" s="68"/>
      <c r="AD28" s="427" t="s">
        <v>599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46568</v>
      </c>
      <c r="C30" s="431"/>
      <c r="D30" s="432" t="n">
        <f aca="false">D28+F30-L30-R30-X30+Z28</f>
        <v>10000</v>
      </c>
      <c r="E30" s="78"/>
      <c r="F30" s="78" t="n">
        <f aca="false">IF((H$4+N$4+T$4)=0,0,[2]Jun!O$1)</f>
        <v>0</v>
      </c>
      <c r="G30" s="78"/>
      <c r="H30" s="437" t="n">
        <f aca="false">H28</f>
        <v>0</v>
      </c>
      <c r="I30" s="78"/>
      <c r="J30" s="78" t="n">
        <f aca="false">[3]Jun!$O$1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[3]Jun!$P$1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[3]Jun!$Q$1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10000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600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46112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46113</v>
      </c>
      <c r="C3" s="451"/>
      <c r="D3" s="458" t="s">
        <v>601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602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46142</v>
      </c>
      <c r="C4" s="451"/>
      <c r="D4" s="451"/>
      <c r="E4" s="451"/>
      <c r="F4" s="453" t="s">
        <v>603</v>
      </c>
      <c r="G4" s="453" t="s">
        <v>341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46143</v>
      </c>
      <c r="C5" s="451"/>
      <c r="D5" s="451" t="s">
        <v>604</v>
      </c>
      <c r="E5" s="451"/>
      <c r="F5" s="463" t="n">
        <f aca="false">B8</f>
        <v>46203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605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46173</v>
      </c>
      <c r="C6" s="451"/>
      <c r="D6" s="451" t="s">
        <v>606</v>
      </c>
      <c r="E6" s="451"/>
      <c r="F6" s="463" t="n">
        <f aca="false">B8</f>
        <v>46203</v>
      </c>
      <c r="G6" s="464" t="n">
        <v>14</v>
      </c>
      <c r="H6" s="451"/>
      <c r="I6" s="465" t="s">
        <v>212</v>
      </c>
      <c r="J6" s="465"/>
      <c r="K6" s="465" t="n">
        <f aca="false">YEAR(L6)</f>
        <v>2026</v>
      </c>
      <c r="L6" s="466" t="n">
        <f aca="false">B9</f>
        <v>46204</v>
      </c>
      <c r="M6" s="466"/>
      <c r="N6" s="467" t="n">
        <f aca="false">B32</f>
        <v>46568</v>
      </c>
      <c r="O6" s="467"/>
      <c r="P6" s="464" t="n">
        <v>19</v>
      </c>
      <c r="Q6" s="453" t="s">
        <v>341</v>
      </c>
    </row>
    <row r="7" customFormat="false" ht="12" hidden="false" customHeight="true" outlineLevel="0" collapsed="false">
      <c r="A7" s="451"/>
      <c r="B7" s="457" t="n">
        <f aca="false">DATE(YEAR(B8),MONTH(B8),1)</f>
        <v>46174</v>
      </c>
      <c r="C7" s="451"/>
      <c r="D7" s="451" t="s">
        <v>604</v>
      </c>
      <c r="E7" s="451"/>
      <c r="F7" s="463" t="n">
        <f aca="false">B32</f>
        <v>46568</v>
      </c>
      <c r="G7" s="464" t="n">
        <v>100</v>
      </c>
      <c r="H7" s="451"/>
      <c r="I7" s="465" t="s">
        <v>212</v>
      </c>
      <c r="J7" s="465"/>
      <c r="K7" s="465" t="n">
        <f aca="false">YEAR(L7)</f>
        <v>2027</v>
      </c>
      <c r="L7" s="466" t="n">
        <f aca="false">B33</f>
        <v>46569</v>
      </c>
      <c r="M7" s="466"/>
      <c r="N7" s="467" t="n">
        <f aca="false">B56</f>
        <v>46934</v>
      </c>
      <c r="O7" s="467"/>
      <c r="P7" s="464" t="n">
        <v>19</v>
      </c>
      <c r="Q7" s="453" t="s">
        <v>341</v>
      </c>
    </row>
    <row r="8" customFormat="false" ht="12" hidden="false" customHeight="true" outlineLevel="0" collapsed="false">
      <c r="A8" s="451"/>
      <c r="B8" s="457" t="n">
        <f aca="false">DATE(YEAR(B10),MONTH(B10),1)-1</f>
        <v>46203</v>
      </c>
      <c r="C8" s="451"/>
      <c r="D8" s="451" t="s">
        <v>606</v>
      </c>
      <c r="E8" s="451"/>
      <c r="F8" s="463" t="n">
        <f aca="false">B32</f>
        <v>46568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46204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580</v>
      </c>
      <c r="M9" s="451"/>
      <c r="N9" s="469" t="s">
        <v>607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46234</v>
      </c>
      <c r="C10" s="451"/>
      <c r="D10" s="472" t="s">
        <v>608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46203</v>
      </c>
      <c r="M10" s="453" t="s">
        <v>609</v>
      </c>
      <c r="N10" s="473" t="n">
        <f aca="false">B8</f>
        <v>46203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46235</v>
      </c>
      <c r="C11" s="451"/>
      <c r="D11" s="451" t="s">
        <v>610</v>
      </c>
      <c r="E11" s="468" t="n">
        <v>12000</v>
      </c>
      <c r="F11" s="451" t="s">
        <v>611</v>
      </c>
      <c r="G11" s="468" t="n">
        <v>3000</v>
      </c>
      <c r="H11" s="451"/>
      <c r="I11" s="451"/>
      <c r="J11" s="451"/>
      <c r="K11" s="451"/>
      <c r="L11" s="463" t="n">
        <f aca="false">B32</f>
        <v>46568</v>
      </c>
      <c r="M11" s="474" t="s">
        <v>609</v>
      </c>
      <c r="N11" s="473" t="n">
        <f aca="false">B32</f>
        <v>46568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46265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46266</v>
      </c>
      <c r="C13" s="451"/>
      <c r="D13" s="458" t="s">
        <v>612</v>
      </c>
      <c r="E13" s="458"/>
      <c r="F13" s="458"/>
      <c r="G13" s="453" t="s">
        <v>341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46295</v>
      </c>
      <c r="C14" s="451"/>
      <c r="D14" s="451"/>
      <c r="E14" s="451"/>
      <c r="F14" s="451"/>
      <c r="G14" s="453"/>
      <c r="H14" s="451"/>
      <c r="I14" s="458" t="s">
        <v>613</v>
      </c>
      <c r="J14" s="458"/>
      <c r="K14" s="458"/>
      <c r="L14" s="456"/>
      <c r="M14" s="451"/>
      <c r="N14" s="453" t="s">
        <v>614</v>
      </c>
      <c r="O14" s="453" t="s">
        <v>615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46296</v>
      </c>
      <c r="C15" s="451"/>
      <c r="D15" s="472" t="s">
        <v>616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46326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617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46327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618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46356</v>
      </c>
      <c r="C18" s="451"/>
      <c r="D18" s="472" t="s">
        <v>246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46357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619</v>
      </c>
      <c r="J19" s="458"/>
      <c r="K19" s="458"/>
      <c r="L19" s="451"/>
      <c r="M19" s="478" t="n">
        <v>20</v>
      </c>
      <c r="N19" s="452" t="n">
        <f aca="false">B9</f>
        <v>46204</v>
      </c>
      <c r="O19" s="479" t="n">
        <f aca="false">B26</f>
        <v>46477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46387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46388</v>
      </c>
      <c r="C21" s="451"/>
      <c r="D21" s="23" t="s">
        <v>603</v>
      </c>
      <c r="E21" s="2"/>
      <c r="F21" s="482" t="n">
        <v>46568</v>
      </c>
      <c r="G21" s="453"/>
      <c r="H21" s="451"/>
      <c r="I21" s="458" t="s">
        <v>619</v>
      </c>
      <c r="J21" s="458"/>
      <c r="K21" s="458"/>
      <c r="L21" s="451"/>
      <c r="M21" s="461" t="n">
        <v>20</v>
      </c>
      <c r="N21" s="452" t="n">
        <f aca="false">B27</f>
        <v>46478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46418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46419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46446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46447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46477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46478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46507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46508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46538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46539</v>
      </c>
      <c r="C31" s="451"/>
    </row>
    <row r="32" customFormat="false" ht="12" hidden="false" customHeight="false" outlineLevel="0" collapsed="false">
      <c r="A32" s="451"/>
      <c r="B32" s="485" t="n">
        <f aca="false">F21</f>
        <v>46568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46569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46599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46600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46630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46631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46660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46661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46691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46692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46721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46722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46752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46753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46783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46784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46812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46813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46843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46844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46873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46874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46904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46905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46934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