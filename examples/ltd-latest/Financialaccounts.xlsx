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<sst xmlns="http://schemas.openxmlformats.org/spreadsheetml/2006/main" count="1041" uniqueCount="637">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</sst>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46371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46388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46433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46478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46532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  <row r="88" customFormat="false" ht="10.5" hidden="false" customHeight="false" outlineLevel="0" collapsed="false">
      <c r="B88" s="1" t="s">
        <v>100</v>
      </c>
    </row>
    <row r="89" customFormat="false" ht="10.5" hidden="false" customHeight="false" outlineLevel="0" collapsed="false">
      <c r="B89" s="1" t="s">
        <v>101</v>
      </c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102</v>
      </c>
      <c r="C1" s="39" t="s">
        <v>103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104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105</v>
      </c>
      <c r="C2" s="39"/>
      <c r="D2" s="45" t="s">
        <v>106</v>
      </c>
      <c r="E2" s="39"/>
      <c r="F2" s="39" t="s">
        <v>107</v>
      </c>
      <c r="G2" s="39" t="s">
        <v>64</v>
      </c>
      <c r="H2" s="39" t="s">
        <v>108</v>
      </c>
      <c r="I2" s="39" t="s">
        <v>109</v>
      </c>
      <c r="J2" s="39" t="s">
        <v>110</v>
      </c>
      <c r="K2" s="39" t="s">
        <v>38</v>
      </c>
      <c r="L2" s="39" t="s">
        <v>111</v>
      </c>
      <c r="M2" s="39" t="s">
        <v>112</v>
      </c>
      <c r="N2" s="39"/>
      <c r="O2" s="45" t="s">
        <v>113</v>
      </c>
      <c r="P2" s="39"/>
      <c r="Q2" s="39" t="s">
        <v>107</v>
      </c>
      <c r="R2" s="39" t="s">
        <v>64</v>
      </c>
      <c r="S2" s="39" t="s">
        <v>108</v>
      </c>
      <c r="T2" s="39" t="s">
        <v>109</v>
      </c>
      <c r="U2" s="39" t="s">
        <v>110</v>
      </c>
      <c r="V2" s="39" t="s">
        <v>38</v>
      </c>
      <c r="W2" s="39" t="s">
        <v>111</v>
      </c>
      <c r="X2" s="39" t="s">
        <v>112</v>
      </c>
      <c r="Y2" s="39"/>
      <c r="Z2" s="45" t="s">
        <v>113</v>
      </c>
      <c r="AA2" s="39"/>
      <c r="AB2" s="39" t="s">
        <v>107</v>
      </c>
      <c r="AC2" s="39" t="s">
        <v>64</v>
      </c>
      <c r="AD2" s="39" t="s">
        <v>108</v>
      </c>
      <c r="AE2" s="39" t="s">
        <v>109</v>
      </c>
      <c r="AF2" s="39" t="s">
        <v>110</v>
      </c>
      <c r="AG2" s="39" t="s">
        <v>38</v>
      </c>
      <c r="AH2" s="39" t="s">
        <v>111</v>
      </c>
      <c r="AI2" s="39" t="s">
        <v>112</v>
      </c>
      <c r="AJ2" s="39"/>
      <c r="AK2" s="45" t="s">
        <v>113</v>
      </c>
      <c r="AL2" s="39"/>
      <c r="AM2" s="39" t="s">
        <v>107</v>
      </c>
      <c r="AN2" s="39" t="s">
        <v>64</v>
      </c>
      <c r="AO2" s="39" t="s">
        <v>108</v>
      </c>
      <c r="AP2" s="39" t="s">
        <v>109</v>
      </c>
      <c r="AQ2" s="39" t="s">
        <v>110</v>
      </c>
      <c r="AR2" s="39" t="s">
        <v>38</v>
      </c>
      <c r="AS2" s="39" t="s">
        <v>111</v>
      </c>
      <c r="AT2" s="39" t="s">
        <v>112</v>
      </c>
      <c r="AU2" s="39"/>
      <c r="AV2" s="45" t="s">
        <v>113</v>
      </c>
      <c r="AW2" s="39"/>
      <c r="AX2" s="39" t="s">
        <v>107</v>
      </c>
      <c r="AY2" s="39" t="s">
        <v>64</v>
      </c>
      <c r="AZ2" s="39" t="s">
        <v>108</v>
      </c>
      <c r="BA2" s="39" t="s">
        <v>109</v>
      </c>
      <c r="BB2" s="39" t="s">
        <v>110</v>
      </c>
      <c r="BC2" s="39" t="s">
        <v>38</v>
      </c>
      <c r="BD2" s="39" t="s">
        <v>111</v>
      </c>
      <c r="BE2" s="39" t="s">
        <v>112</v>
      </c>
      <c r="BF2" s="39"/>
      <c r="BG2" s="45" t="s">
        <v>113</v>
      </c>
      <c r="BH2" s="39"/>
      <c r="BI2" s="39" t="s">
        <v>107</v>
      </c>
      <c r="BJ2" s="39" t="s">
        <v>64</v>
      </c>
      <c r="BK2" s="39" t="s">
        <v>108</v>
      </c>
      <c r="BL2" s="39" t="s">
        <v>109</v>
      </c>
      <c r="BM2" s="39" t="s">
        <v>110</v>
      </c>
      <c r="BN2" s="39" t="s">
        <v>38</v>
      </c>
      <c r="BO2" s="39" t="s">
        <v>111</v>
      </c>
      <c r="BP2" s="39" t="s">
        <v>112</v>
      </c>
      <c r="BQ2" s="39"/>
      <c r="BR2" s="45" t="s">
        <v>113</v>
      </c>
      <c r="BS2" s="39"/>
      <c r="BT2" s="39" t="s">
        <v>107</v>
      </c>
      <c r="BU2" s="39" t="s">
        <v>64</v>
      </c>
      <c r="BV2" s="39" t="s">
        <v>108</v>
      </c>
      <c r="BW2" s="39" t="s">
        <v>109</v>
      </c>
      <c r="BX2" s="39" t="s">
        <v>110</v>
      </c>
      <c r="BY2" s="39" t="s">
        <v>38</v>
      </c>
      <c r="BZ2" s="39" t="s">
        <v>111</v>
      </c>
      <c r="CA2" s="39" t="s">
        <v>112</v>
      </c>
      <c r="CB2" s="39"/>
      <c r="CC2" s="45" t="s">
        <v>113</v>
      </c>
      <c r="CD2" s="39"/>
      <c r="CE2" s="39" t="s">
        <v>107</v>
      </c>
      <c r="CF2" s="39" t="s">
        <v>64</v>
      </c>
      <c r="CG2" s="39" t="s">
        <v>108</v>
      </c>
      <c r="CH2" s="39" t="s">
        <v>109</v>
      </c>
      <c r="CI2" s="39" t="s">
        <v>110</v>
      </c>
      <c r="CJ2" s="39" t="s">
        <v>38</v>
      </c>
      <c r="CK2" s="39" t="s">
        <v>111</v>
      </c>
      <c r="CL2" s="39" t="s">
        <v>112</v>
      </c>
      <c r="CM2" s="39"/>
      <c r="CN2" s="45" t="s">
        <v>113</v>
      </c>
      <c r="CO2" s="39"/>
      <c r="CP2" s="39" t="s">
        <v>107</v>
      </c>
      <c r="CQ2" s="39" t="s">
        <v>64</v>
      </c>
      <c r="CR2" s="39" t="s">
        <v>108</v>
      </c>
      <c r="CS2" s="39" t="s">
        <v>109</v>
      </c>
      <c r="CT2" s="39" t="s">
        <v>110</v>
      </c>
      <c r="CU2" s="39" t="s">
        <v>38</v>
      </c>
      <c r="CV2" s="39" t="s">
        <v>111</v>
      </c>
      <c r="CW2" s="39" t="s">
        <v>112</v>
      </c>
      <c r="CX2" s="39"/>
      <c r="CY2" s="45" t="s">
        <v>113</v>
      </c>
      <c r="CZ2" s="39"/>
      <c r="DA2" s="39" t="s">
        <v>107</v>
      </c>
      <c r="DB2" s="39" t="s">
        <v>64</v>
      </c>
      <c r="DC2" s="39" t="s">
        <v>108</v>
      </c>
      <c r="DD2" s="39" t="s">
        <v>109</v>
      </c>
      <c r="DE2" s="39" t="s">
        <v>110</v>
      </c>
      <c r="DF2" s="39" t="s">
        <v>38</v>
      </c>
      <c r="DG2" s="39" t="s">
        <v>111</v>
      </c>
      <c r="DH2" s="39" t="s">
        <v>112</v>
      </c>
      <c r="DI2" s="39"/>
      <c r="DJ2" s="45" t="s">
        <v>113</v>
      </c>
      <c r="DK2" s="39"/>
      <c r="DL2" s="39" t="s">
        <v>107</v>
      </c>
      <c r="DM2" s="39" t="s">
        <v>64</v>
      </c>
      <c r="DN2" s="39" t="s">
        <v>108</v>
      </c>
      <c r="DO2" s="39" t="s">
        <v>109</v>
      </c>
      <c r="DP2" s="39" t="s">
        <v>110</v>
      </c>
      <c r="DQ2" s="39" t="s">
        <v>38</v>
      </c>
      <c r="DR2" s="39" t="s">
        <v>111</v>
      </c>
      <c r="DS2" s="39" t="s">
        <v>112</v>
      </c>
      <c r="DT2" s="39"/>
      <c r="DU2" s="45" t="s">
        <v>113</v>
      </c>
      <c r="DV2" s="39"/>
      <c r="DW2" s="39" t="s">
        <v>107</v>
      </c>
      <c r="DX2" s="39" t="s">
        <v>64</v>
      </c>
      <c r="DY2" s="39" t="s">
        <v>108</v>
      </c>
      <c r="DZ2" s="39" t="s">
        <v>109</v>
      </c>
      <c r="EA2" s="39" t="s">
        <v>110</v>
      </c>
      <c r="EB2" s="39" t="s">
        <v>38</v>
      </c>
      <c r="EC2" s="39" t="s">
        <v>111</v>
      </c>
      <c r="ED2" s="39" t="s">
        <v>112</v>
      </c>
      <c r="EE2" s="39"/>
      <c r="EF2" s="45" t="s">
        <v>113</v>
      </c>
      <c r="EG2" s="39"/>
      <c r="EH2" s="39"/>
      <c r="EI2" s="39"/>
      <c r="EJ2" s="45" t="s">
        <v>114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117</v>
      </c>
      <c r="C6" s="56" t="s">
        <v>118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119</v>
      </c>
      <c r="C7" s="56" t="s">
        <v>120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121</v>
      </c>
      <c r="C8" s="56" t="s">
        <v>122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123</v>
      </c>
      <c r="C9" s="56" t="s">
        <v>124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125</v>
      </c>
      <c r="C10" s="56" t="s">
        <v>126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127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130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131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132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133</v>
      </c>
      <c r="C17" s="56" t="s">
        <v>134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136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137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138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139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140</v>
      </c>
      <c r="C22" s="56" t="s">
        <v>141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7524.8</v>
      </c>
      <c r="AE22" s="36"/>
      <c r="AF22" s="36"/>
      <c r="AG22" s="36"/>
      <c r="AH22" s="36"/>
      <c r="AI22" s="36"/>
      <c r="AJ22" s="54"/>
      <c r="AK22" s="36" t="n">
        <f aca="false">SUM(Z22:AJ22)</f>
        <v>82969.4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100304.2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112590.83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126117.63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119852.43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128465.73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147973.53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172788.33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183505.63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181215.43</v>
      </c>
      <c r="EG22" s="54"/>
      <c r="EI22" s="54"/>
      <c r="EJ22" s="36" t="n">
        <f aca="false">SUM(EF22:EH22)</f>
        <v>181215.43</v>
      </c>
      <c r="EK22" s="54"/>
    </row>
    <row r="23" customFormat="false" ht="12" hidden="false" customHeight="false" outlineLevel="0" collapsed="false">
      <c r="A23" s="54"/>
      <c r="B23" s="54" t="s">
        <v>142</v>
      </c>
      <c r="C23" s="56" t="s">
        <v>143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144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145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146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100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147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148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149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150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151</v>
      </c>
      <c r="C31" s="56" t="s">
        <v>152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153</v>
      </c>
      <c r="C32" s="56" t="s">
        <v>154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155</v>
      </c>
      <c r="C33" s="56" t="s">
        <v>156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157</v>
      </c>
      <c r="C34" s="56" t="s">
        <v>158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159</v>
      </c>
      <c r="C35" s="56" t="s">
        <v>160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161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162</v>
      </c>
      <c r="C37" s="56" t="s">
        <v>163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164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165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166</v>
      </c>
      <c r="C40" s="56" t="s">
        <v>167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168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169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170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171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172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173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152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174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175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176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177</v>
      </c>
      <c r="C53" s="56" t="s">
        <v>178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179</v>
      </c>
      <c r="C54" s="56" t="s">
        <v>180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181</v>
      </c>
      <c r="C55" s="56" t="s">
        <v>182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183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184</v>
      </c>
      <c r="C57" s="56" t="s">
        <v>185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186</v>
      </c>
      <c r="C58" s="56" t="s">
        <v>187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188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189</v>
      </c>
      <c r="C60" s="56" t="s">
        <v>190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191</v>
      </c>
      <c r="C61" s="56" t="s">
        <v>182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192</v>
      </c>
      <c r="C62" s="56" t="s">
        <v>193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194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195</v>
      </c>
      <c r="C64" s="56" t="s">
        <v>196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197</v>
      </c>
      <c r="C65" s="56" t="s">
        <v>198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183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199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200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201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202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203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204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205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178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185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206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207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208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209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210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193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211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180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212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213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214</v>
      </c>
      <c r="C88" s="56" t="s">
        <v>215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216</v>
      </c>
      <c r="C89" s="56" t="s">
        <v>215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217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218</v>
      </c>
      <c r="B1" s="63" t="s">
        <v>219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220</v>
      </c>
      <c r="C3" s="69" t="s">
        <v>220</v>
      </c>
      <c r="D3" s="69" t="s">
        <v>220</v>
      </c>
      <c r="E3" s="69" t="s">
        <v>220</v>
      </c>
      <c r="F3" s="69" t="s">
        <v>220</v>
      </c>
      <c r="G3" s="69" t="s">
        <v>220</v>
      </c>
      <c r="H3" s="69" t="s">
        <v>220</v>
      </c>
      <c r="I3" s="69" t="s">
        <v>220</v>
      </c>
      <c r="J3" s="69" t="s">
        <v>220</v>
      </c>
      <c r="K3" s="69" t="s">
        <v>220</v>
      </c>
      <c r="L3" s="69" t="s">
        <v>220</v>
      </c>
      <c r="M3" s="69" t="s">
        <v>220</v>
      </c>
      <c r="N3" s="69" t="s">
        <v>220</v>
      </c>
      <c r="O3" s="68"/>
    </row>
    <row r="4" customFormat="false" ht="12" hidden="false" customHeight="false" outlineLevel="0" collapsed="false">
      <c r="A4" s="70" t="s">
        <v>177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179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181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221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199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222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223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224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220</v>
      </c>
      <c r="B6" s="99" t="s">
        <v>220</v>
      </c>
      <c r="C6" s="100"/>
      <c r="D6" s="100"/>
      <c r="E6" s="99" t="s">
        <v>220</v>
      </c>
      <c r="F6" s="99" t="s">
        <v>220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225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226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220</v>
      </c>
      <c r="B54" s="104" t="n">
        <f aca="false">B51-B52</f>
        <v>0</v>
      </c>
      <c r="C54" s="106" t="s">
        <v>99</v>
      </c>
      <c r="D54" s="106"/>
      <c r="E54" s="110" t="s">
        <v>220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227</v>
      </c>
      <c r="D1" s="111"/>
      <c r="E1" s="90"/>
    </row>
    <row r="2" customFormat="false" ht="12" hidden="false" customHeight="false" outlineLevel="0" collapsed="false">
      <c r="C2" s="112" t="s">
        <v>228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220</v>
      </c>
      <c r="B4" s="99" t="s">
        <v>220</v>
      </c>
      <c r="C4" s="88"/>
      <c r="D4" s="88"/>
      <c r="E4" s="99" t="s">
        <v>220</v>
      </c>
      <c r="F4" s="99" t="s">
        <v>220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229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230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231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232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233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234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235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220</v>
      </c>
      <c r="B33" s="116" t="n">
        <f aca="false">B26-B31</f>
        <v>180802</v>
      </c>
      <c r="C33" s="117" t="s">
        <v>236</v>
      </c>
      <c r="D33" s="117"/>
      <c r="E33" s="118" t="s">
        <v>220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237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220</v>
      </c>
      <c r="B39" s="116" t="n">
        <f aca="false">SUM(B36:B38)</f>
        <v>180802</v>
      </c>
      <c r="C39" s="117" t="s">
        <v>238</v>
      </c>
      <c r="D39" s="117"/>
      <c r="E39" s="118" t="s">
        <v>220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239</v>
      </c>
      <c r="B41" s="122" t="n">
        <f aca="false">D2</f>
        <v>46691</v>
      </c>
      <c r="C41" s="123" t="s">
        <v>240</v>
      </c>
      <c r="D41" s="123"/>
      <c r="E41" s="123"/>
    </row>
    <row r="42" s="87" customFormat="true" ht="12" hidden="false" customHeight="true" outlineLevel="0" collapsed="false">
      <c r="A42" s="124" t="s">
        <v>241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242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243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244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245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246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247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248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249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250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251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252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253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254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255</v>
      </c>
      <c r="B57" s="129"/>
      <c r="C57" s="130" t="n">
        <f aca="true">TODAY()</f>
        <v>46274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256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257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258</v>
      </c>
    </row>
    <row r="3" customFormat="false" ht="12" hidden="false" customHeight="false" outlineLevel="0" collapsed="false">
      <c r="A3" s="106" t="s">
        <v>259</v>
      </c>
    </row>
    <row r="4" s="114" customFormat="true" ht="17.25" hidden="false" customHeight="true" outlineLevel="0" collapsed="false">
      <c r="A4" s="131"/>
      <c r="B4" s="132" t="s">
        <v>260</v>
      </c>
      <c r="C4" s="132" t="s">
        <v>261</v>
      </c>
      <c r="D4" s="132" t="s">
        <v>27</v>
      </c>
      <c r="E4" s="132" t="s">
        <v>262</v>
      </c>
      <c r="F4" s="132" t="s">
        <v>263</v>
      </c>
      <c r="G4" s="132" t="s">
        <v>264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220</v>
      </c>
      <c r="C6" s="131" t="s">
        <v>220</v>
      </c>
      <c r="D6" s="131" t="s">
        <v>220</v>
      </c>
      <c r="E6" s="131" t="s">
        <v>220</v>
      </c>
      <c r="F6" s="131" t="s">
        <v>220</v>
      </c>
      <c r="G6" s="131" t="s">
        <v>220</v>
      </c>
    </row>
    <row r="7" customFormat="false" ht="12" hidden="false" customHeight="false" outlineLevel="0" collapsed="false">
      <c r="A7" s="106" t="s">
        <v>265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266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267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268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269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270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271</v>
      </c>
    </row>
    <row r="24" customFormat="false" ht="12" hidden="false" customHeight="false" outlineLevel="0" collapsed="false">
      <c r="A24" s="101" t="s">
        <v>272</v>
      </c>
    </row>
    <row r="25" customFormat="false" ht="12" hidden="false" customHeight="false" outlineLevel="0" collapsed="false">
      <c r="A25" s="101" t="s">
        <v>273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274</v>
      </c>
    </row>
    <row r="28" customFormat="false" ht="12" hidden="false" customHeight="false" outlineLevel="0" collapsed="false">
      <c r="A28" s="101" t="s">
        <v>275</v>
      </c>
      <c r="B28" s="135" t="n">
        <f aca="false">[1]Schedule!$H$13</f>
        <v>0.1</v>
      </c>
      <c r="C28" s="89" t="s">
        <v>274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274</v>
      </c>
    </row>
    <row r="30" customFormat="false" ht="12" hidden="false" customHeight="false" outlineLevel="0" collapsed="false">
      <c r="A30" s="101" t="s">
        <v>276</v>
      </c>
      <c r="B30" s="135" t="n">
        <f aca="false">[1]Schedule!$H$32</f>
        <v>0.33</v>
      </c>
      <c r="C30" s="89" t="s">
        <v>274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274</v>
      </c>
    </row>
    <row r="34" customFormat="false" ht="12" hidden="false" customHeight="false" outlineLevel="0" collapsed="false">
      <c r="A34" s="106" t="s">
        <v>277</v>
      </c>
    </row>
    <row r="35" customFormat="false" ht="12" hidden="false" customHeight="false" outlineLevel="0" collapsed="false">
      <c r="A35" s="101" t="s">
        <v>278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279</v>
      </c>
    </row>
    <row r="38" customFormat="false" ht="12" hidden="false" customHeight="false" outlineLevel="0" collapsed="false">
      <c r="A38" s="101" t="s">
        <v>280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281</v>
      </c>
    </row>
    <row r="41" s="87" customFormat="true" ht="12" hidden="false" customHeight="false" outlineLevel="0" collapsed="false">
      <c r="A41" s="101" t="s">
        <v>282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283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284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285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286</v>
      </c>
      <c r="E60" s="149"/>
    </row>
    <row r="62" customFormat="false" ht="12.75" hidden="false" customHeight="false" outlineLevel="0" collapsed="false">
      <c r="B62" s="0" t="s">
        <v>287</v>
      </c>
    </row>
    <row r="63" customFormat="false" ht="12.75" hidden="false" customHeight="false" outlineLevel="0" collapsed="false">
      <c r="B63" s="0" t="s">
        <v>288</v>
      </c>
    </row>
    <row r="64" customFormat="false" ht="12.75" hidden="false" customHeight="false" outlineLevel="0" collapsed="false">
      <c r="B64" s="0" t="s">
        <v>289</v>
      </c>
    </row>
    <row r="65" customFormat="false" ht="12.75" hidden="false" customHeight="false" outlineLevel="0" collapsed="false">
      <c r="B65" s="0" t="s">
        <v>290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291</v>
      </c>
    </row>
    <row r="69" customFormat="false" ht="12.75" hidden="false" customHeight="false" outlineLevel="0" collapsed="false">
      <c r="B69" s="0" t="s">
        <v>292</v>
      </c>
    </row>
    <row r="71" customFormat="false" ht="12.75" hidden="false" customHeight="false" outlineLevel="0" collapsed="false">
      <c r="B71" s="0" t="s">
        <v>293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294</v>
      </c>
      <c r="D74" s="152" t="n">
        <f aca="true">TODAY()</f>
        <v>46274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295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296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297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298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299</v>
      </c>
      <c r="B87" s="160"/>
      <c r="C87" s="160"/>
      <c r="D87" s="160"/>
      <c r="E87" s="165" t="n">
        <f aca="false">'PubP&amp;L'!F9</f>
        <v>341283.333333333</v>
      </c>
      <c r="F87" s="166" t="s">
        <v>300</v>
      </c>
      <c r="G87" s="166"/>
      <c r="H87" s="165" t="n">
        <f aca="false">'PubP&amp;L'!B9</f>
        <v>0</v>
      </c>
      <c r="I87" s="144" t="s">
        <v>301</v>
      </c>
    </row>
    <row r="88" s="144" customFormat="true" ht="12.75" hidden="false" customHeight="true" outlineLevel="0" collapsed="false">
      <c r="A88" s="160" t="s">
        <v>302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303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304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305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306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307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308</v>
      </c>
      <c r="B94" s="160"/>
      <c r="C94" s="160"/>
      <c r="D94" s="165" t="n">
        <f aca="false">[8]Boardmeeting!$E$4</f>
        <v>15000</v>
      </c>
      <c r="E94" s="170" t="s">
        <v>309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310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311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312</v>
      </c>
      <c r="E97" s="147"/>
      <c r="F97" s="173" t="n">
        <f aca="false">[8]RegisterofMembers!$G$3</f>
        <v>60</v>
      </c>
      <c r="G97" s="174" t="s">
        <v>313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312</v>
      </c>
      <c r="E98" s="147"/>
      <c r="F98" s="173" t="n">
        <f aca="false">[8]RegisterofMembers!$G$4</f>
        <v>25</v>
      </c>
      <c r="G98" s="174" t="s">
        <v>313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314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315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316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317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318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319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320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321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322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323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324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325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326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327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328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329</v>
      </c>
      <c r="F119" s="144" t="s">
        <v>330</v>
      </c>
      <c r="G119" s="159" t="n">
        <f aca="true">TODAY()</f>
        <v>46274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331</v>
      </c>
      <c r="F2" s="182"/>
      <c r="G2" s="182"/>
      <c r="H2" s="182"/>
      <c r="I2" s="182"/>
      <c r="J2" s="183"/>
      <c r="K2" s="184" t="s">
        <v>332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220</v>
      </c>
      <c r="J3" s="186"/>
      <c r="K3" s="186" t="s">
        <v>220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333</v>
      </c>
      <c r="C5" s="188"/>
      <c r="D5" s="188"/>
      <c r="E5" s="189" t="n">
        <f aca="false">Admin!L6</f>
        <v>46327</v>
      </c>
      <c r="F5" s="189"/>
      <c r="G5" s="190" t="s">
        <v>334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335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336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337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338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339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340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341</v>
      </c>
      <c r="L15" s="202"/>
    </row>
    <row r="16" s="120" customFormat="true" ht="12.65" hidden="false" customHeight="true" outlineLevel="0" collapsed="false">
      <c r="A16" s="187"/>
      <c r="B16" s="193" t="s">
        <v>342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343</v>
      </c>
      <c r="L16" s="202"/>
    </row>
    <row r="17" s="120" customFormat="true" ht="12.65" hidden="false" customHeight="true" outlineLevel="0" collapsed="false">
      <c r="A17" s="187"/>
      <c r="B17" s="193" t="s">
        <v>344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345</v>
      </c>
      <c r="L17" s="202"/>
    </row>
    <row r="18" s="120" customFormat="true" ht="12.65" hidden="false" customHeight="false" outlineLevel="0" collapsed="false">
      <c r="A18" s="187"/>
      <c r="B18" s="193" t="s">
        <v>346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347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339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348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349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350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351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352</v>
      </c>
      <c r="B31" s="217" t="s">
        <v>332</v>
      </c>
      <c r="C31" s="218" t="s">
        <v>353</v>
      </c>
      <c r="D31" s="218" t="s">
        <v>354</v>
      </c>
      <c r="E31" s="218" t="s">
        <v>355</v>
      </c>
      <c r="F31" s="219" t="s">
        <v>356</v>
      </c>
      <c r="G31" s="219" t="s">
        <v>357</v>
      </c>
      <c r="H31" s="219"/>
      <c r="I31" s="219" t="s">
        <v>358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359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360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361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362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363</v>
      </c>
      <c r="G45" s="178"/>
      <c r="H45" s="179"/>
      <c r="I45" s="233" t="s">
        <v>364</v>
      </c>
      <c r="J45" s="178"/>
      <c r="K45" s="178"/>
      <c r="L45" s="177"/>
    </row>
    <row r="46" customFormat="false" ht="25.5" hidden="false" customHeight="true" outlineLevel="0" collapsed="false">
      <c r="A46" s="234" t="s">
        <v>365</v>
      </c>
      <c r="B46" s="235" t="s">
        <v>364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220</v>
      </c>
      <c r="G47" s="178"/>
      <c r="H47" s="179"/>
      <c r="I47" s="238" t="s">
        <v>220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366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46371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46388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46433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46478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46532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367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368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369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370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363</v>
      </c>
      <c r="G81" s="178"/>
      <c r="H81" s="179"/>
      <c r="I81" s="233" t="s">
        <v>371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372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220</v>
      </c>
      <c r="G83" s="178"/>
      <c r="H83" s="179"/>
      <c r="I83" s="238" t="s">
        <v>220</v>
      </c>
      <c r="J83" s="178"/>
      <c r="K83" s="178"/>
      <c r="L83" s="185"/>
    </row>
    <row r="84" customFormat="false" ht="12" hidden="false" customHeight="true" outlineLevel="0" collapsed="false">
      <c r="A84" s="247" t="s">
        <v>373</v>
      </c>
      <c r="B84" s="243" t="s">
        <v>374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375</v>
      </c>
      <c r="C91" s="249"/>
      <c r="D91" s="250" t="n">
        <f aca="false">E5</f>
        <v>46327</v>
      </c>
      <c r="E91" s="250" t="n">
        <f aca="false">H5</f>
        <v>46691</v>
      </c>
      <c r="F91" s="251" t="s">
        <v>376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377</v>
      </c>
      <c r="B93" s="196" t="s">
        <v>378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379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380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381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382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378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383</v>
      </c>
      <c r="B102" s="196" t="s">
        <v>346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384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385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386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387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388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389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390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391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392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393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394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395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396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397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398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399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400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401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402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403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404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405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406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407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408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409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215</v>
      </c>
      <c r="AR34" s="272"/>
    </row>
    <row r="35" s="87" customFormat="true" ht="12.75" hidden="false" customHeight="false" outlineLevel="0" collapsed="false">
      <c r="A35" s="272"/>
      <c r="B35" s="292" t="s">
        <v>410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411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412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413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414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415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416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417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418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419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420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421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422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423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424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425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426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427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428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429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430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431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432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433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434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435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436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437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220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438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439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220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440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220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441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442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220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443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444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220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445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220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446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220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447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448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220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449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220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450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451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220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452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453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220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454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455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220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456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220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457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458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459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460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220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461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220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462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463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220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464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465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220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466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467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468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469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470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215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471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472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473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474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475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476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220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220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477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220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220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477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478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220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477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479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220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477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480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220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477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481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357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482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483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220</v>
      </c>
      <c r="X141" s="333"/>
      <c r="Y141" s="333"/>
      <c r="Z141" s="333"/>
      <c r="AA141" s="333"/>
      <c r="AB141" s="333"/>
      <c r="AC141" s="333"/>
      <c r="AD141" s="333"/>
      <c r="AE141" s="331" t="s">
        <v>477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484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220</v>
      </c>
      <c r="X143" s="333"/>
      <c r="Y143" s="333"/>
      <c r="Z143" s="333"/>
      <c r="AA143" s="333"/>
      <c r="AB143" s="333"/>
      <c r="AC143" s="333"/>
      <c r="AD143" s="333"/>
      <c r="AE143" s="331" t="s">
        <v>477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485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486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220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477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487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488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220</v>
      </c>
      <c r="AJ149" s="333"/>
      <c r="AK149" s="333"/>
      <c r="AL149" s="333"/>
      <c r="AM149" s="333"/>
      <c r="AN149" s="333"/>
      <c r="AO149" s="333"/>
      <c r="AP149" s="333"/>
      <c r="AQ149" s="331" t="s">
        <v>477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489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490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491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220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477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492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220</v>
      </c>
      <c r="AJ156" s="333"/>
      <c r="AK156" s="333"/>
      <c r="AL156" s="333"/>
      <c r="AM156" s="333"/>
      <c r="AN156" s="333"/>
      <c r="AO156" s="333"/>
      <c r="AP156" s="333"/>
      <c r="AQ156" s="331" t="s">
        <v>477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493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494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220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477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495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496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220</v>
      </c>
      <c r="AJ163" s="330"/>
      <c r="AK163" s="330"/>
      <c r="AL163" s="330"/>
      <c r="AM163" s="330"/>
      <c r="AN163" s="330"/>
      <c r="AO163" s="330"/>
      <c r="AP163" s="330"/>
      <c r="AQ163" s="331" t="s">
        <v>477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497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498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220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477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499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500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220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477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501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502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503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504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505</v>
      </c>
      <c r="C175" s="274"/>
      <c r="D175" s="274"/>
      <c r="E175" s="274"/>
      <c r="F175" s="276"/>
      <c r="G175" s="276"/>
      <c r="H175" s="276" t="s">
        <v>506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220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220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507</v>
      </c>
      <c r="C177" s="274"/>
      <c r="D177" s="274"/>
      <c r="E177" s="274"/>
      <c r="F177" s="276"/>
      <c r="G177" s="276"/>
      <c r="H177" s="276" t="s">
        <v>508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220</v>
      </c>
      <c r="AA177" s="328" t="n">
        <f aca="false">IF((CorporationTax!I15+CorporationTax!I17)&gt;0,CorporationTax!I15+CorporationTax!I17," ")</f>
        <v>55860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220</v>
      </c>
      <c r="AL177" s="328" t="n">
        <f aca="false">IF(CorporationTax!I18&lt;&gt;0,CorporationTax!I18," ")</f>
        <v>8140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509</v>
      </c>
      <c r="C179" s="274"/>
      <c r="D179" s="274"/>
      <c r="E179" s="274"/>
      <c r="F179" s="276"/>
      <c r="G179" s="276"/>
      <c r="H179" s="276" t="s">
        <v>510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220</v>
      </c>
      <c r="AA179" s="328" t="str">
        <f aca="false">IF(CorporationTax!I16&gt;0,CorporationTax!I16,"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220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511</v>
      </c>
      <c r="C181" s="274"/>
      <c r="D181" s="274"/>
      <c r="E181" s="274"/>
      <c r="F181" s="276"/>
      <c r="G181" s="276"/>
      <c r="H181" s="276" t="s">
        <v>512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220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220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513</v>
      </c>
      <c r="C183" s="274"/>
      <c r="D183" s="274"/>
      <c r="E183" s="274"/>
      <c r="F183" s="276"/>
      <c r="G183" s="276"/>
      <c r="H183" s="276" t="s">
        <v>514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220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220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515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503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504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516</v>
      </c>
      <c r="C187" s="274"/>
      <c r="D187" s="274"/>
      <c r="E187" s="274"/>
      <c r="F187" s="276"/>
      <c r="G187" s="276"/>
      <c r="H187" s="276" t="s">
        <v>517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220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220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518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519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520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521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220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522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523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524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220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525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220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526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527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528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529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530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220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531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220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532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533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534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535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536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220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220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537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538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539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540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541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542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220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220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543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544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545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546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220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547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220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548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549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550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551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552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553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554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220</v>
      </c>
      <c r="AD224" s="309"/>
      <c r="AE224" s="309"/>
      <c r="AF224" s="309"/>
      <c r="AG224" s="309"/>
      <c r="AH224" s="309"/>
      <c r="AI224" s="276" t="s">
        <v>555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556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557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558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559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560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561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562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563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564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565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566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567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568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569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570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571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292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572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573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574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575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573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576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577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292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572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578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579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293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580</v>
      </c>
      <c r="C2" s="388" t="s">
        <v>581</v>
      </c>
      <c r="D2" s="388" t="s">
        <v>582</v>
      </c>
      <c r="E2" s="388" t="s">
        <v>583</v>
      </c>
      <c r="F2" s="388" t="s">
        <v>584</v>
      </c>
      <c r="G2" s="388" t="s">
        <v>585</v>
      </c>
      <c r="H2" s="388" t="s">
        <v>199</v>
      </c>
      <c r="I2" s="388" t="s">
        <v>586</v>
      </c>
      <c r="J2" s="47"/>
      <c r="K2" s="387" t="s">
        <v>587</v>
      </c>
      <c r="L2" s="389"/>
    </row>
    <row r="3" s="53" customFormat="true" ht="15" hidden="false" customHeight="true" outlineLevel="0" collapsed="false">
      <c r="A3" s="386"/>
      <c r="B3" s="390" t="s">
        <v>588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589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590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591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592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593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594</v>
      </c>
      <c r="I1" s="406"/>
      <c r="J1" s="406"/>
      <c r="K1" s="406"/>
      <c r="L1" s="406"/>
      <c r="M1" s="405"/>
      <c r="N1" s="406" t="s">
        <v>594</v>
      </c>
      <c r="O1" s="406"/>
      <c r="P1" s="406"/>
      <c r="Q1" s="406"/>
      <c r="R1" s="406"/>
      <c r="S1" s="405"/>
      <c r="T1" s="406" t="s">
        <v>594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595</v>
      </c>
      <c r="C2" s="412"/>
      <c r="D2" s="413" t="s">
        <v>596</v>
      </c>
      <c r="E2" s="414"/>
      <c r="F2" s="413" t="s">
        <v>597</v>
      </c>
      <c r="G2" s="414"/>
      <c r="H2" s="415" t="s">
        <v>598</v>
      </c>
      <c r="I2" s="414"/>
      <c r="J2" s="413" t="s">
        <v>599</v>
      </c>
      <c r="K2" s="414"/>
      <c r="L2" s="413" t="s">
        <v>600</v>
      </c>
      <c r="M2" s="414"/>
      <c r="N2" s="415" t="s">
        <v>601</v>
      </c>
      <c r="O2" s="414"/>
      <c r="P2" s="413" t="s">
        <v>602</v>
      </c>
      <c r="Q2" s="414"/>
      <c r="R2" s="413" t="s">
        <v>600</v>
      </c>
      <c r="S2" s="414"/>
      <c r="T2" s="415" t="s">
        <v>603</v>
      </c>
      <c r="U2" s="414"/>
      <c r="V2" s="413" t="s">
        <v>604</v>
      </c>
      <c r="W2" s="414"/>
      <c r="X2" s="416" t="s">
        <v>600</v>
      </c>
      <c r="Y2" s="417"/>
      <c r="Z2" s="413" t="s">
        <v>605</v>
      </c>
      <c r="AA2" s="414"/>
      <c r="AB2" s="413" t="s">
        <v>606</v>
      </c>
      <c r="AC2" s="418"/>
      <c r="AD2" s="419" t="s">
        <v>607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608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609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610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611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612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613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614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615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616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617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618</v>
      </c>
      <c r="G4" s="453" t="s">
        <v>357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619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620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621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357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619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357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621</v>
      </c>
      <c r="E8" s="451"/>
      <c r="F8" s="463" t="n">
        <f aca="false">B32</f>
        <v>46691</v>
      </c>
      <c r="G8" s="464" t="n">
        <v>14</v>
      </c>
      <c r="H8" s="451"/>
      <c r="I8" s="465" t="s">
        <v>622</v>
      </c>
      <c r="J8" s="451"/>
      <c r="K8" s="451"/>
      <c r="L8" s="451"/>
      <c r="M8" s="451"/>
      <c r="N8" s="451"/>
      <c r="O8" s="451"/>
      <c r="P8" s="464" t="n">
        <v>25</v>
      </c>
      <c r="Q8" s="453" t="s">
        <v>357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623</v>
      </c>
      <c r="J9" s="451"/>
      <c r="K9" s="451"/>
      <c r="L9" s="468" t="s">
        <v>595</v>
      </c>
      <c r="M9" s="451"/>
      <c r="N9" s="469" t="s">
        <v>624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625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626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626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627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628</v>
      </c>
      <c r="E13" s="458"/>
      <c r="F13" s="458"/>
      <c r="G13" s="453" t="s">
        <v>357</v>
      </c>
      <c r="H13" s="451"/>
      <c r="I13" s="465" t="s">
        <v>629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630</v>
      </c>
      <c r="J14" s="458"/>
      <c r="K14" s="458"/>
      <c r="L14" s="456"/>
      <c r="M14" s="451"/>
      <c r="N14" s="453" t="s">
        <v>631</v>
      </c>
      <c r="O14" s="453" t="s">
        <v>632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633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634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635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262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636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618</v>
      </c>
      <c r="E21" s="2"/>
      <c r="F21" s="481" t="n">
        <v>46691</v>
      </c>
      <c r="G21" s="453"/>
      <c r="H21" s="451"/>
      <c r="I21" s="458" t="s">
        <v>636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