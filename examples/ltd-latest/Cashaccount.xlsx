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Apr!$A$1:$AG$75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Feb!$A$1:$AJ$71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<sst xmlns="http://schemas.openxmlformats.org/spreadsheetml/2006/main" count="792" uniqueCount="59">
  <si>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</si>
  <si>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</si>
  <si>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</si>
  <si>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</si>
  <si>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</si>
  <si>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CASH RECEIPTS</t>
  </si>
  <si>
    <t xml:space="preserve">Enter Purchase Invoice No.</t>
  </si>
  <si>
    <t xml:space="preserve">Optional cash payment reference</t>
  </si>
  <si>
    <t xml:space="preserve">CASH PAYMENTS</t>
  </si>
  <si>
    <t xml:space="preserve">&lt;  Physical Cash Count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</si>
  <si>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</si>
  <si>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</si>
  <si>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</si>
  <si>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  Cr Card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</si>
  <si>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</si>
  <si>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</si>
  <si>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</si>
  <si>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</si>
  <si>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Directors Loan Account</t>
  </si>
  <si>
    <t xml:space="preserve">Amount Cash Payment</t>
  </si>
  <si>
    <t xml:space="preserve">Transfers  To   Current</t>
  </si>
  <si>
    <t xml:space="preserve">Transfers      To     Savings</t>
  </si>
  <si>
    <t xml:space="preserve">Transfers      To            Cr Card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</si>
  <si>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</si>
  <si>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</si>
  <si>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</si>
  <si>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</si>
  <si>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</si>
  <si>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</si>
  <si>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</si>
  <si>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</si>
  <si>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</si>
  <si>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</si>
  <si>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</si>
  <si>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</si>
  <si>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</si>
  <si>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</si>
  <si>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</si>
  <si>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</si>
  <si>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BD</t>
  </si>
  <si>
    <t xml:space="preserve">DR</t>
  </si>
  <si>
    <t xml:space="preserve">K</t>
  </si>
  <si>
    <t xml:space="preserve">LDR</t>
  </si>
  <si>
    <t xml:space="preserve">LCR</t>
  </si>
  <si>
    <t xml:space="preserve">DL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</si>
  <si>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</si>
  <si>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</si>
  <si>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</si>
  <si>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</si>
  <si>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</si>
  <si>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RV</t>
  </si>
  <si>
    <t xml:space="preserve">RC</t>
  </si>
  <si>
    <t xml:space="preserve">RT</t>
  </si>
  <si>
    <t xml:space="preserve">DV</t>
  </si>
  <si>
    <t xml:space="preserve">Corner shop</t>
  </si>
  <si>
    <t xml:space="preserve">Cash top-up</t>
  </si>
  <si>
    <t xml:space="preserve">WH Smith</t>
  </si>
  <si>
    <t xml:space="preserve">Various</t>
  </si>
  <si>
    <t xml:space="preserve">Newsagent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</si>
</sst>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46296</v>
          </cell>
        </row>
        <row r="10">
          <cell r="B10">
            <v>46326</v>
          </cell>
        </row>
        <row r="11">
          <cell r="B11">
            <v>46327</v>
          </cell>
        </row>
        <row r="12">
          <cell r="B12">
            <v>46356</v>
          </cell>
        </row>
        <row r="13">
          <cell r="B13">
            <v>46357</v>
          </cell>
        </row>
        <row r="14">
          <cell r="B14">
            <v>46387</v>
          </cell>
        </row>
        <row r="15">
          <cell r="B15">
            <v>46388</v>
          </cell>
        </row>
        <row r="16">
          <cell r="B16">
            <v>46418</v>
          </cell>
        </row>
        <row r="17">
          <cell r="B17">
            <v>46419</v>
          </cell>
        </row>
        <row r="18">
          <cell r="B18">
            <v>46446</v>
          </cell>
        </row>
        <row r="19">
          <cell r="B19">
            <v>46447</v>
          </cell>
        </row>
        <row r="20">
          <cell r="B20">
            <v>46477</v>
          </cell>
        </row>
        <row r="21">
          <cell r="B21">
            <v>46478</v>
          </cell>
        </row>
        <row r="22">
          <cell r="B22">
            <v>46507</v>
          </cell>
        </row>
        <row r="23">
          <cell r="B23">
            <v>46508</v>
          </cell>
        </row>
        <row r="24">
          <cell r="B24">
            <v>46538</v>
          </cell>
        </row>
        <row r="25">
          <cell r="B25">
            <v>46539</v>
          </cell>
        </row>
        <row r="26">
          <cell r="B26">
            <v>46568</v>
          </cell>
        </row>
        <row r="27">
          <cell r="B27">
            <v>46569</v>
          </cell>
        </row>
        <row r="28">
          <cell r="B28">
            <v>46599</v>
          </cell>
        </row>
        <row r="29">
          <cell r="B29">
            <v>46600</v>
          </cell>
        </row>
        <row r="30">
          <cell r="B30">
            <v>46630</v>
          </cell>
        </row>
        <row r="31">
          <cell r="B31">
            <v>46631</v>
          </cell>
        </row>
        <row r="32">
          <cell r="B32">
            <v>46660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[1]Admin!$B$9</f>
        <v>46296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15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15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customFormat="false" ht="15" hidden="false" customHeight="true" outlineLevel="0" collapsed="false">
      <c r="A2" s="17" t="n">
        <f aca="false">A1+F1-U1</f>
        <v>485</v>
      </c>
      <c r="B2" s="18" t="s">
        <v>2</v>
      </c>
      <c r="C2" s="9" t="n">
        <f aca="false">[1]Admin!$B$10</f>
        <v>46326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46326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485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45940</v>
      </c>
      <c r="Q6" s="4" t="s">
        <v>54</v>
      </c>
      <c r="T6" s="37" t="s">
        <v>45</v>
      </c>
      <c r="U6" s="6" t="n">
        <v>15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15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4" man="true" max="65535" min="0"/>
    <brk id="18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Oct!A2</f>
        <v>485</v>
      </c>
      <c r="B1" s="8" t="s">
        <v>0</v>
      </c>
      <c r="C1" s="9" t="n">
        <f aca="false">[1]Admin!$B$11</f>
        <v>46327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485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485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Nov!A2</f>
        <v>485</v>
      </c>
      <c r="B1" s="8" t="s">
        <v>0</v>
      </c>
      <c r="C1" s="9" t="n">
        <f aca="false">[1]Admin!$B$13</f>
        <v>46357</v>
      </c>
      <c r="D1" s="10" t="s">
        <v>1</v>
      </c>
      <c r="E1" s="11" t="n">
        <f aca="false">F1-SUM(G1:N1)</f>
        <v>0</v>
      </c>
      <c r="F1" s="12" t="n">
        <f aca="false">SUM(F6:F200)</f>
        <v>100</v>
      </c>
      <c r="G1" s="12" t="n">
        <f aca="false">SUM(G6:G200)</f>
        <v>100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25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[1]Admin!$B$14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A6" s="47" t="n">
        <v>46001</v>
      </c>
      <c r="B6" s="2" t="s">
        <v>55</v>
      </c>
      <c r="E6" s="5" t="s">
        <v>37</v>
      </c>
      <c r="F6" s="6" t="n">
        <v>100</v>
      </c>
      <c r="G6" s="6" t="n">
        <f aca="false">IF(E6="BB",F6," ")</f>
        <v>100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46001</v>
      </c>
      <c r="Q6" s="4" t="s">
        <v>56</v>
      </c>
      <c r="T6" s="37" t="s">
        <v>45</v>
      </c>
      <c r="U6" s="6" t="n">
        <v>25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25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Dec!A2</f>
        <v>560</v>
      </c>
      <c r="B1" s="8" t="s">
        <v>0</v>
      </c>
      <c r="C1" s="9" t="n">
        <f aca="false">[1]Admin!$B$15</f>
        <v>46388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[1]Admin!$B$16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Jan!A2</f>
        <v>560</v>
      </c>
      <c r="B1" s="8" t="s">
        <v>0</v>
      </c>
      <c r="C1" s="9" t="n">
        <f aca="false">[1]Admin!$B$17</f>
        <v>46419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[1]Admin!$B$18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Feb!A2</f>
        <v>560</v>
      </c>
      <c r="B1" s="8" t="s">
        <v>0</v>
      </c>
      <c r="C1" s="9" t="n">
        <f aca="false">[1]Admin!$B$19</f>
        <v>46447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18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18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[1]Admin!$B$20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46086</v>
      </c>
      <c r="Q6" s="4" t="s">
        <v>54</v>
      </c>
      <c r="T6" s="37" t="s">
        <v>45</v>
      </c>
      <c r="U6" s="6" t="n">
        <v>18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18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Mar!A2</f>
        <v>542</v>
      </c>
      <c r="B1" s="8" t="s">
        <v>0</v>
      </c>
      <c r="C1" s="9" t="n">
        <f aca="false">[1]Admin!$B$21</f>
        <v>46478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[1]Admin!$B$22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Apr!A2</f>
        <v>542</v>
      </c>
      <c r="B1" s="8" t="s">
        <v>0</v>
      </c>
      <c r="C1" s="9" t="n">
        <f aca="false">[1]Admin!$B$23</f>
        <v>46508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[1]Admin!$B$24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May!A2</f>
        <v>542</v>
      </c>
      <c r="B1" s="8" t="s">
        <v>0</v>
      </c>
      <c r="C1" s="9" t="n">
        <f aca="false">[1]Admin!$B$25</f>
        <v>46539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50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50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[1]Admin!$B$26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46183</v>
      </c>
      <c r="Q6" s="4" t="s">
        <v>57</v>
      </c>
      <c r="T6" s="37" t="s">
        <v>45</v>
      </c>
      <c r="U6" s="6" t="n">
        <v>50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50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Jun!A2</f>
        <v>492</v>
      </c>
      <c r="B1" s="8" t="s">
        <v>0</v>
      </c>
      <c r="C1" s="9" t="n">
        <f aca="false">[1]Admin!$B$27</f>
        <v>46569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[1]Admin!$B$28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Jul!A2</f>
        <v>492</v>
      </c>
      <c r="B1" s="8" t="s">
        <v>0</v>
      </c>
      <c r="C1" s="9" t="n">
        <f aca="false">[1]Admin!$B$29</f>
        <v>46600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[1]Admin!$B$30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Aug!A2</f>
        <v>492</v>
      </c>
      <c r="B1" s="8" t="s">
        <v>0</v>
      </c>
      <c r="C1" s="9" t="n">
        <f aca="false">[1]Admin!$B$31</f>
        <v>46631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12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12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480</v>
      </c>
      <c r="B2" s="18" t="s">
        <v>2</v>
      </c>
      <c r="C2" s="9" t="n">
        <f aca="false">[1]Admin!$B$32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480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46285</v>
      </c>
      <c r="Q6" s="4" t="s">
        <v>58</v>
      </c>
      <c r="T6" s="37" t="s">
        <v>45</v>
      </c>
      <c r="U6" s="6" t="n">
        <v>12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12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2007-03-02T15:36:23Z</cp:lastPrinted>
  <dcterms:modified xsi:type="dcterms:W3CDTF">2025-04-03T23:05:05Z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