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<sst xmlns="http://schemas.openxmlformats.org/spreadsheetml/2006/main" count="791" uniqueCount="60">
  <si>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</si>
  <si>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</si>
  <si>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</si>
  <si>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</si>
  <si>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</si>
  <si>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</si>
  <si>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</si>
  <si>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</si>
  <si>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</si>
  <si>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</si>
  <si>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</si>
  <si>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</si>
  <si>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</si>
  <si>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</si>
  <si>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</si>
  <si>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</si>
  <si>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</si>
  <si>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</si>
  <si>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</si>
  <si>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</si>
  <si>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</si>
  <si>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</si>
  <si>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</si>
  <si>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</si>
  <si>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</si>
  <si>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</si>
  <si>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</si>
  <si>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</si>
  <si>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</si>
  <si>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</si>
  <si>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</si>
  <si>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</si>
  <si>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</si>
  <si>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</si>
  <si>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</si>
  <si>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</si>
  <si>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</si>
  <si>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</si>
  <si>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</si>
  <si>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</si>
  <si>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</si>
  <si>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</si>
  <si>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</si>
  <si>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</si>
  <si>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</si>
  <si>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</si>
  <si>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</si>
  <si>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</si>
  <si>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</si>
  <si>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</si>
  <si>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</si>
  <si>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</si>
  <si>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</si>
  <si>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</si>
  <si>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&lt;  Opening Cash Balance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</si>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</sst>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C1" s="8" t="n">
        <f aca="false">[1]Admin!$B$9</f>
        <v>45748</v>
      </c>
      <c r="D1" s="9" t="s">
        <v>0</v>
      </c>
      <c r="E1" s="10" t="n">
        <f aca="false">F1-SUM(G1:N1)</f>
        <v>15</v>
      </c>
      <c r="F1" s="11" t="n">
        <f aca="false">SUM(F6:F200)</f>
        <v>15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customFormat="fals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1" t="n">
        <v>45940</v>
      </c>
      <c r="B6" s="2" t="s">
        <v>53</v>
      </c>
      <c r="E6" s="5" t="s">
        <v>44</v>
      </c>
      <c r="F6" s="6" t="n">
        <v>15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Oct!A2</f>
        <v>515</v>
      </c>
      <c r="B1" s="50" t="s">
        <v>54</v>
      </c>
      <c r="C1" s="8" t="n">
        <f aca="false">[1]Admin!$B$11</f>
        <v>45778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Nov!A2</f>
        <v>515</v>
      </c>
      <c r="B1" s="50" t="s">
        <v>54</v>
      </c>
      <c r="C1" s="8" t="n">
        <f aca="false">[1]Admin!$B$13</f>
        <v>45809</v>
      </c>
      <c r="D1" s="9" t="s">
        <v>0</v>
      </c>
      <c r="E1" s="10" t="n">
        <f aca="false">F1-SUM(G1:N1)</f>
        <v>125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46001</v>
      </c>
      <c r="B6" s="2" t="s">
        <v>55</v>
      </c>
      <c r="E6" s="5" t="s">
        <v>56</v>
      </c>
      <c r="F6" s="6" t="n">
        <v>100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A7" s="46" t="n">
        <v>46001</v>
      </c>
      <c r="B7" s="2" t="s">
        <v>57</v>
      </c>
      <c r="E7" s="5" t="s">
        <v>44</v>
      </c>
      <c r="F7" s="6" t="n">
        <v>25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Dec!A2</f>
        <v>640</v>
      </c>
      <c r="B1" s="50" t="s">
        <v>54</v>
      </c>
      <c r="C1" s="8" t="n">
        <f aca="false">[1]Admin!$B$15</f>
        <v>45839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Jan!A2</f>
        <v>640</v>
      </c>
      <c r="B1" s="50" t="s">
        <v>54</v>
      </c>
      <c r="C1" s="8" t="n">
        <f aca="false">[1]Admin!$B$17</f>
        <v>45870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Feb!A2</f>
        <v>640</v>
      </c>
      <c r="B1" s="50" t="s">
        <v>54</v>
      </c>
      <c r="C1" s="8" t="n">
        <f aca="false">[1]Admin!$B$19</f>
        <v>45901</v>
      </c>
      <c r="D1" s="9" t="s">
        <v>0</v>
      </c>
      <c r="E1" s="10" t="n">
        <f aca="false">F1-SUM(G1:N1)</f>
        <v>18</v>
      </c>
      <c r="F1" s="11" t="n">
        <f aca="false">SUM(F6:F200)</f>
        <v>18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46086</v>
      </c>
      <c r="B6" s="2" t="s">
        <v>53</v>
      </c>
      <c r="E6" s="5" t="s">
        <v>44</v>
      </c>
      <c r="F6" s="6" t="n">
        <v>18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Mar!A2</f>
        <v>658</v>
      </c>
      <c r="B1" s="50" t="s">
        <v>54</v>
      </c>
      <c r="C1" s="8" t="n">
        <f aca="false">[1]Admin!$B$21</f>
        <v>45931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Apr!A2</f>
        <v>658</v>
      </c>
      <c r="B1" s="50" t="s">
        <v>54</v>
      </c>
      <c r="C1" s="8" t="n">
        <f aca="false">[1]Admin!$B$23</f>
        <v>45962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May!A2</f>
        <v>658</v>
      </c>
      <c r="B1" s="50" t="s">
        <v>54</v>
      </c>
      <c r="C1" s="8" t="n">
        <f aca="false">[1]Admin!$B$25</f>
        <v>45992</v>
      </c>
      <c r="D1" s="9" t="s">
        <v>0</v>
      </c>
      <c r="E1" s="10" t="n">
        <f aca="false">F1-SUM(G1:N1)</f>
        <v>50</v>
      </c>
      <c r="F1" s="11" t="n">
        <f aca="false">SUM(F6:F200)</f>
        <v>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46183</v>
      </c>
      <c r="B6" s="2" t="s">
        <v>58</v>
      </c>
      <c r="E6" s="5" t="s">
        <v>44</v>
      </c>
      <c r="F6" s="6" t="n">
        <v>50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Jun!A2</f>
        <v>708</v>
      </c>
      <c r="B1" s="50" t="s">
        <v>54</v>
      </c>
      <c r="C1" s="8" t="n">
        <f aca="false">[1]Admin!$B$27</f>
        <v>46023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Jul!A2</f>
        <v>708</v>
      </c>
      <c r="B1" s="50" t="s">
        <v>54</v>
      </c>
      <c r="C1" s="8" t="n">
        <f aca="false">[1]Admin!$B$29</f>
        <v>46054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Aug!A2</f>
        <v>708</v>
      </c>
      <c r="B1" s="50" t="s">
        <v>54</v>
      </c>
      <c r="C1" s="8" t="n">
        <f aca="false">[1]Admin!$B$31</f>
        <v>46082</v>
      </c>
      <c r="D1" s="9" t="s">
        <v>0</v>
      </c>
      <c r="E1" s="10" t="n">
        <f aca="false">F1-SUM(G1:N1)</f>
        <v>12</v>
      </c>
      <c r="F1" s="11" t="n">
        <f aca="false">SUM(F6:F200)</f>
        <v>12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720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46285</v>
      </c>
      <c r="B6" s="2" t="s">
        <v>59</v>
      </c>
      <c r="E6" s="5" t="s">
        <v>44</v>
      </c>
      <c r="F6" s="6" t="n">
        <v>12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