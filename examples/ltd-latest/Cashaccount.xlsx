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v" sheetId="1" state="visible" r:id="rId3"/>
    <sheet name="Dec" sheetId="2" state="visible" r:id="rId4"/>
    <sheet name="Jan" sheetId="3" state="visible" r:id="rId5"/>
    <sheet name="Feb" sheetId="4" state="visible" r:id="rId6"/>
    <sheet name="Mar" sheetId="5" state="visible" r:id="rId7"/>
    <sheet name="Apr" sheetId="6" state="visible" r:id="rId8"/>
    <sheet name="May" sheetId="7" state="visible" r:id="rId9"/>
    <sheet name="Jun" sheetId="8" state="visible" r:id="rId10"/>
    <sheet name="Jul" sheetId="9" state="visible" r:id="rId11"/>
    <sheet name="Aug" sheetId="10" state="visible" r:id="rId12"/>
    <sheet name="Sep" sheetId="11" state="visible" r:id="rId13"/>
    <sheet name="Oct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Apr!$A$1:$AG$75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Feb!$A$1:$AJ$71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<sst xmlns="http://schemas.openxmlformats.org/spreadsheetml/2006/main" count="804" uniqueCount="71">
  <si>
    <t xml:space="preserve">&lt;  Opening Cash Balance</t>
  </si>
  <si>
    <t xml:space="preserve">Totals &gt;</t>
  </si>
  <si>
    <t xml:space="preserve">&lt;  Closing Cash Balance</t>
  </si>
  <si>
    <t xml:space="preserve">Deposit   Cash     Reference</t>
  </si>
  <si>
    <t xml:space="preserve">Enter Code Letters</t>
  </si>
  <si>
    <t xml:space="preserve">CASH RECEIPTS</t>
  </si>
  <si>
    <t xml:space="preserve">Enter Purchase Invoice No.</t>
  </si>
  <si>
    <t xml:space="preserve">Optional cash payment reference</t>
  </si>
  <si>
    <t xml:space="preserve">CASH PAYMENTS</t>
  </si>
  <si>
    <t xml:space="preserve">&lt;  Physical Cash Count</t>
  </si>
  <si>
    <t xml:space="preserve">Amounts received from each Source</t>
  </si>
  <si>
    <t xml:space="preserve">Transfers From Current</t>
  </si>
  <si>
    <t xml:space="preserve">Transfers   From        Savings</t>
  </si>
  <si>
    <t xml:space="preserve">Transfers     From        Cr Card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</si>
  <si>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</si>
  <si>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</si>
  <si>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</si>
  <si>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</si>
  <si>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Directors Loan Account</t>
  </si>
  <si>
    <t xml:space="preserve">Amount Cash Payment</t>
  </si>
  <si>
    <t xml:space="preserve">Transfers  To   Current</t>
  </si>
  <si>
    <t xml:space="preserve">Transfers      To     Savings</t>
  </si>
  <si>
    <t xml:space="preserve">Transfers      To            Cr Card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</si>
  <si>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</si>
  <si>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</si>
  <si>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</si>
  <si>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</si>
  <si>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</si>
  <si>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</si>
  <si>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</si>
  <si>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</si>
  <si>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</si>
  <si>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</si>
  <si>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</si>
  <si>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</si>
  <si>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</si>
  <si>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</si>
  <si>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</si>
  <si>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BS</t>
  </si>
  <si>
    <t xml:space="preserve">BD</t>
  </si>
  <si>
    <t xml:space="preserve">DR</t>
  </si>
  <si>
    <t xml:space="preserve">K</t>
  </si>
  <si>
    <t xml:space="preserve">LDR</t>
  </si>
  <si>
    <t xml:space="preserve">LCR</t>
  </si>
  <si>
    <t xml:space="preserve">DL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</si>
  <si>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</si>
  <si>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</si>
  <si>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</si>
  <si>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</si>
  <si>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</si>
  <si>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RV</t>
  </si>
  <si>
    <t xml:space="preserve">RC</t>
  </si>
  <si>
    <t xml:space="preserve">RT</t>
  </si>
  <si>
    <t xml:space="preserve">DV</t>
  </si>
  <si>
    <t xml:space="preserve">Corner shop</t>
  </si>
  <si>
    <t xml:space="preserve">BNK-CASH-003</t>
  </si>
  <si>
    <t xml:space="preserve">Milk and tea</t>
  </si>
  <si>
    <t xml:space="preserve">Cash top-up</t>
  </si>
  <si>
    <t xml:space="preserve">BNK-CASH-002</t>
  </si>
  <si>
    <t xml:space="preserve">Cash float replenishment</t>
  </si>
  <si>
    <t xml:space="preserve">WH Smith</t>
  </si>
  <si>
    <t xml:space="preserve">BNK-CASH-004</t>
  </si>
  <si>
    <t xml:space="preserve">Envelopes and stamps</t>
  </si>
  <si>
    <t xml:space="preserve">BNK-CASH-005</t>
  </si>
  <si>
    <t xml:space="preserve">Kitchen supplies</t>
  </si>
  <si>
    <t xml:space="preserve">Various</t>
  </si>
  <si>
    <t xml:space="preserve">BNK-CASH-006</t>
  </si>
  <si>
    <t xml:space="preserve">Christmas team refreshments</t>
  </si>
  <si>
    <t xml:space="preserve">Newsagent</t>
  </si>
  <si>
    <t xml:space="preserve">BNK-CASH-007</t>
  </si>
  <si>
    <t xml:space="preserve">Newspapers for reception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</si>
</sst>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46327</v>
          </cell>
        </row>
        <row r="10">
          <cell r="B10">
            <v>46356</v>
          </cell>
        </row>
        <row r="11">
          <cell r="B11">
            <v>46357</v>
          </cell>
        </row>
        <row r="12">
          <cell r="B12">
            <v>46387</v>
          </cell>
        </row>
        <row r="13">
          <cell r="B13">
            <v>46388</v>
          </cell>
        </row>
        <row r="14">
          <cell r="B14">
            <v>46418</v>
          </cell>
        </row>
        <row r="15">
          <cell r="B15">
            <v>46419</v>
          </cell>
        </row>
        <row r="16">
          <cell r="B16">
            <v>46446</v>
          </cell>
        </row>
        <row r="17">
          <cell r="B17">
            <v>46447</v>
          </cell>
        </row>
        <row r="18">
          <cell r="B18">
            <v>46477</v>
          </cell>
        </row>
        <row r="19">
          <cell r="B19">
            <v>46478</v>
          </cell>
        </row>
        <row r="20">
          <cell r="B20">
            <v>46507</v>
          </cell>
        </row>
        <row r="21">
          <cell r="B21">
            <v>46508</v>
          </cell>
        </row>
        <row r="22">
          <cell r="B22">
            <v>46538</v>
          </cell>
        </row>
        <row r="23">
          <cell r="B23">
            <v>46539</v>
          </cell>
        </row>
        <row r="24">
          <cell r="B24">
            <v>46568</v>
          </cell>
        </row>
        <row r="25">
          <cell r="B25">
            <v>46569</v>
          </cell>
        </row>
        <row r="26">
          <cell r="B26">
            <v>46599</v>
          </cell>
        </row>
        <row r="27">
          <cell r="B27">
            <v>46600</v>
          </cell>
        </row>
        <row r="28">
          <cell r="B28">
            <v>46630</v>
          </cell>
        </row>
        <row r="29">
          <cell r="B29">
            <v>46631</v>
          </cell>
        </row>
        <row r="30">
          <cell r="B30">
            <v>46660</v>
          </cell>
        </row>
        <row r="31">
          <cell r="B31">
            <v>46661</v>
          </cell>
        </row>
        <row r="32">
          <cell r="B32">
            <v>46691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6" width="9.15"/>
  </cols>
  <sheetData>
    <row r="1" customFormat="false" ht="15" hidden="false" customHeight="true" outlineLevel="0" collapsed="false">
      <c r="A1" s="7" t="n">
        <v>500</v>
      </c>
      <c r="B1" s="8" t="s">
        <v>0</v>
      </c>
      <c r="C1" s="9" t="n">
        <f aca="false">[1]Admin!$B$9</f>
        <v>46327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15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15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customFormat="false" ht="15" hidden="false" customHeight="true" outlineLevel="0" collapsed="false">
      <c r="A2" s="17" t="n">
        <f aca="false">A1+F1-U1</f>
        <v>485</v>
      </c>
      <c r="B2" s="18" t="s">
        <v>2</v>
      </c>
      <c r="C2" s="9" t="n">
        <f aca="false">[1]Admin!$B$10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485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46336</v>
      </c>
      <c r="Q6" s="4" t="s">
        <v>54</v>
      </c>
      <c r="R6" s="3" t="s">
        <v>55</v>
      </c>
      <c r="S6" s="3" t="s">
        <v>56</v>
      </c>
      <c r="T6" s="37" t="s">
        <v>45</v>
      </c>
      <c r="U6" s="6" t="n">
        <v>15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15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2" manualBreakCount="2">
    <brk id="14" man="true" max="65535" min="0"/>
    <brk id="18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Nov!A2</f>
        <v>485</v>
      </c>
      <c r="B1" s="8" t="s">
        <v>0</v>
      </c>
      <c r="C1" s="9" t="n">
        <f aca="false">[1]Admin!$B$11</f>
        <v>46357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485</v>
      </c>
      <c r="B2" s="18" t="s">
        <v>2</v>
      </c>
      <c r="C2" s="9" t="n">
        <f aca="false">[1]Admin!$B$12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485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5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Dec!A2</f>
        <v>485</v>
      </c>
      <c r="B1" s="8" t="s">
        <v>0</v>
      </c>
      <c r="C1" s="9" t="n">
        <f aca="false">[1]Admin!$B$13</f>
        <v>46388</v>
      </c>
      <c r="D1" s="10" t="s">
        <v>1</v>
      </c>
      <c r="E1" s="11" t="n">
        <f aca="false">F1-SUM(G1:N1)</f>
        <v>0</v>
      </c>
      <c r="F1" s="12" t="n">
        <f aca="false">SUM(F6:F200)</f>
        <v>100</v>
      </c>
      <c r="G1" s="12" t="n">
        <f aca="false">SUM(G6:G200)</f>
        <v>100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25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560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560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A6" s="47" t="n">
        <v>46397</v>
      </c>
      <c r="B6" s="2" t="s">
        <v>57</v>
      </c>
      <c r="C6" s="48" t="s">
        <v>58</v>
      </c>
      <c r="D6" s="4" t="s">
        <v>59</v>
      </c>
      <c r="E6" s="5" t="s">
        <v>37</v>
      </c>
      <c r="F6" s="6" t="n">
        <v>100</v>
      </c>
      <c r="G6" s="6" t="n">
        <f aca="false">IF(E6="BB",F6," ")</f>
        <v>100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46397</v>
      </c>
      <c r="Q6" s="4" t="s">
        <v>60</v>
      </c>
      <c r="R6" s="3" t="s">
        <v>61</v>
      </c>
      <c r="S6" s="3" t="s">
        <v>62</v>
      </c>
      <c r="T6" s="37" t="s">
        <v>45</v>
      </c>
      <c r="U6" s="6" t="n">
        <v>25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25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Jan!A2</f>
        <v>560</v>
      </c>
      <c r="B1" s="8" t="s">
        <v>0</v>
      </c>
      <c r="C1" s="9" t="n">
        <f aca="false">[1]Admin!$B$15</f>
        <v>46419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560</v>
      </c>
      <c r="B2" s="18" t="s">
        <v>2</v>
      </c>
      <c r="C2" s="9" t="n">
        <f aca="false">[1]Admin!$B$16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560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Feb!A2</f>
        <v>560</v>
      </c>
      <c r="B1" s="8" t="s">
        <v>0</v>
      </c>
      <c r="C1" s="9" t="n">
        <f aca="false">[1]Admin!$B$17</f>
        <v>46447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560</v>
      </c>
      <c r="B2" s="18" t="s">
        <v>2</v>
      </c>
      <c r="C2" s="9" t="n">
        <f aca="false">[1]Admin!$B$18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560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Mar!A2</f>
        <v>560</v>
      </c>
      <c r="B1" s="8" t="s">
        <v>0</v>
      </c>
      <c r="C1" s="9" t="n">
        <f aca="false">[1]Admin!$B$19</f>
        <v>46478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18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18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542</v>
      </c>
      <c r="B2" s="18" t="s">
        <v>2</v>
      </c>
      <c r="C2" s="9" t="n">
        <f aca="false">[1]Admin!$B$20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542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46482</v>
      </c>
      <c r="Q6" s="4" t="s">
        <v>54</v>
      </c>
      <c r="R6" s="3" t="s">
        <v>63</v>
      </c>
      <c r="S6" s="3" t="s">
        <v>64</v>
      </c>
      <c r="T6" s="37" t="s">
        <v>45</v>
      </c>
      <c r="U6" s="6" t="n">
        <v>18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18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Apr!A2</f>
        <v>542</v>
      </c>
      <c r="B1" s="8" t="s">
        <v>0</v>
      </c>
      <c r="C1" s="9" t="n">
        <f aca="false">[1]Admin!$B$21</f>
        <v>46508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542</v>
      </c>
      <c r="B2" s="18" t="s">
        <v>2</v>
      </c>
      <c r="C2" s="9" t="n">
        <f aca="false">[1]Admin!$B$22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542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May!A2</f>
        <v>542</v>
      </c>
      <c r="B1" s="8" t="s">
        <v>0</v>
      </c>
      <c r="C1" s="9" t="n">
        <f aca="false">[1]Admin!$B$23</f>
        <v>46539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542</v>
      </c>
      <c r="B2" s="18" t="s">
        <v>2</v>
      </c>
      <c r="C2" s="9" t="n">
        <f aca="false">[1]Admin!$B$24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542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Jun!A2</f>
        <v>542</v>
      </c>
      <c r="B1" s="8" t="s">
        <v>0</v>
      </c>
      <c r="C1" s="9" t="n">
        <f aca="false">[1]Admin!$B$25</f>
        <v>46569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50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50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492</v>
      </c>
      <c r="B2" s="18" t="s">
        <v>2</v>
      </c>
      <c r="C2" s="9" t="n">
        <f aca="false">[1]Admin!$B$26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492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46578</v>
      </c>
      <c r="Q6" s="4" t="s">
        <v>65</v>
      </c>
      <c r="R6" s="3" t="s">
        <v>66</v>
      </c>
      <c r="S6" s="3" t="s">
        <v>67</v>
      </c>
      <c r="T6" s="37" t="s">
        <v>45</v>
      </c>
      <c r="U6" s="6" t="n">
        <v>50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50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Jul!A2</f>
        <v>492</v>
      </c>
      <c r="B1" s="8" t="s">
        <v>0</v>
      </c>
      <c r="C1" s="9" t="n">
        <f aca="false">[1]Admin!$B$27</f>
        <v>46600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492</v>
      </c>
      <c r="B2" s="18" t="s">
        <v>2</v>
      </c>
      <c r="C2" s="9" t="n">
        <f aca="false">[1]Admin!$B$28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492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Aug!A2</f>
        <v>492</v>
      </c>
      <c r="B1" s="8" t="s">
        <v>0</v>
      </c>
      <c r="C1" s="9" t="n">
        <f aca="false">[1]Admin!$B$29</f>
        <v>46631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492</v>
      </c>
      <c r="B2" s="18" t="s">
        <v>2</v>
      </c>
      <c r="C2" s="9" t="n">
        <f aca="false">[1]Admin!$B$30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492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 of  &amp;N&amp;R&amp;F  &amp;A</oddFooter>
  </headerFooter>
  <colBreaks count="1" manualBreakCount="1">
    <brk id="1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Sep!A2</f>
        <v>492</v>
      </c>
      <c r="B1" s="8" t="s">
        <v>0</v>
      </c>
      <c r="C1" s="9" t="n">
        <f aca="false">[1]Admin!$B$31</f>
        <v>46661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12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12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480</v>
      </c>
      <c r="B2" s="18" t="s">
        <v>2</v>
      </c>
      <c r="C2" s="9" t="n">
        <f aca="false">[1]Admin!$B$32</f>
        <v>46691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46691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480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46680</v>
      </c>
      <c r="Q6" s="4" t="s">
        <v>68</v>
      </c>
      <c r="R6" s="3" t="s">
        <v>69</v>
      </c>
      <c r="S6" s="3" t="s">
        <v>70</v>
      </c>
      <c r="T6" s="37" t="s">
        <v>45</v>
      </c>
      <c r="U6" s="6" t="n">
        <v>12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12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DIY Accounting Limited</dc:creator>
  <dc:description>Copyright (C) 2006-2026 DIY Accounting Limited. Licensed under the PolyForm Internal Use License 1.0.0 with an additional grant for accountants.</dc:description>
  <dc:language>en-US</dc:language>
  <cp:lastModifiedBy>DIY Accounting Limited</cp:lastModifiedBy>
  <cp:lastPrinted>2007-03-02T15:36:23Z</cp:lastPrinted>
  <dcterms:modified xsi:type="dcterms:W3CDTF">2025-04-03T23:05:05Z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