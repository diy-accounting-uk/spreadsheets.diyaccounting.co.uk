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v" sheetId="1" state="visible" r:id="rId3"/>
    <sheet name="Dec" sheetId="2" state="visible" r:id="rId4"/>
    <sheet name="Jan" sheetId="3" state="visible" r:id="rId5"/>
    <sheet name="Feb" sheetId="4" state="visible" r:id="rId6"/>
    <sheet name="Mar" sheetId="5" state="visible" r:id="rId7"/>
    <sheet name="Apr" sheetId="6" state="visible" r:id="rId8"/>
    <sheet name="May" sheetId="7" state="visible" r:id="rId9"/>
    <sheet name="Jun" sheetId="8" state="visible" r:id="rId10"/>
    <sheet name="Jul" sheetId="9" state="visible" r:id="rId11"/>
    <sheet name="Aug" sheetId="10" state="visible" r:id="rId12"/>
    <sheet name="Sep" sheetId="11" state="visible" r:id="rId13"/>
    <sheet name="Oct" sheetId="12" state="visible" r:id="rId14"/>
  </sheets>
  <externalReferences>
    <externalReference r:id="rId15"/>
  </externalReferences>
  <definedNames>
    <definedName function="false" hidden="false" localSheetId="0" name="_xlnm_Print_Area" vbProcedure="false">Apr!$A$1:$AG$75</definedName>
    <definedName function="false" hidden="false" localSheetId="0" name="_xlnm_Print_Titles" vbProcedure="false">Apr!$1:$5</definedName>
    <definedName function="false" hidden="false" localSheetId="1" name="_xlnm_Print_Area" vbProcedure="false">May!$A$1:$AJ$75</definedName>
    <definedName function="false" hidden="false" localSheetId="1" name="_xlnm_Print_Titles" vbProcedure="false">May!$1:$5</definedName>
    <definedName function="false" hidden="false" localSheetId="2" name="_xlnm_Print_Area" vbProcedure="false">Jun!$A$1:$AJ$75</definedName>
    <definedName function="false" hidden="false" localSheetId="2" name="_xlnm_Print_Titles" vbProcedure="false">Jun!$1:$5</definedName>
    <definedName function="false" hidden="false" localSheetId="3" name="_xlnm_Print_Area" vbProcedure="false">Jul!$A$1:$AJ$75</definedName>
    <definedName function="false" hidden="false" localSheetId="3" name="_xlnm_Print_Titles" vbProcedure="false">Jul!$1:$5</definedName>
    <definedName function="false" hidden="false" localSheetId="4" name="_xlnm_Print_Area" vbProcedure="false">Aug!$A$1:$AJ$75</definedName>
    <definedName function="false" hidden="false" localSheetId="4" name="_xlnm_Print_Titles" vbProcedure="false">Aug!$1:$5</definedName>
    <definedName function="false" hidden="false" localSheetId="5" name="_xlnm_Print_Area" vbProcedure="false">Sep!$A$1:$AJ$75</definedName>
    <definedName function="false" hidden="false" localSheetId="5" name="_xlnm_Print_Titles" vbProcedure="false">Sep!$1:$5</definedName>
    <definedName function="false" hidden="false" localSheetId="6" name="_xlnm_Print_Area" vbProcedure="false">Oct!$A$1:$AJ$75</definedName>
    <definedName function="false" hidden="false" localSheetId="6" name="_xlnm_Print_Titles" vbProcedure="false">Oct!$1:$5</definedName>
    <definedName function="false" hidden="false" localSheetId="7" name="_xlnm_Print_Area" vbProcedure="false">Nov!$A$1:$AJ$75</definedName>
    <definedName function="false" hidden="false" localSheetId="7" name="_xlnm_Print_Titles" vbProcedure="false">Nov!$1:$5</definedName>
    <definedName function="false" hidden="false" localSheetId="8" name="_xlnm_Print_Area" vbProcedure="false">Dec!$A$1:$AJ$75</definedName>
    <definedName function="false" hidden="false" localSheetId="8" name="_xlnm_Print_Titles" vbProcedure="false">Dec!$1:$5</definedName>
    <definedName function="false" hidden="false" localSheetId="9" name="_xlnm_Print_Area" vbProcedure="false">Jan!$A$1:$AJ$75</definedName>
    <definedName function="false" hidden="false" localSheetId="9" name="_xlnm_Print_Titles" vbProcedure="false">Jan!$1:$5</definedName>
    <definedName function="false" hidden="false" localSheetId="10" name="_xlnm_Print_Area" vbProcedure="false">Feb!$A$1:$AJ$71</definedName>
    <definedName function="false" hidden="false" localSheetId="10" name="_xlnm_Print_Titles" vbProcedure="false">Feb!$1:$5</definedName>
    <definedName function="false" hidden="false" localSheetId="11" name="_xlnm_Print_Area" vbProcedure="false">Mar!$A$1:$AJ$75</definedName>
    <definedName function="false" hidden="false" localSheetId="11" name="_xlnm_Print_Titles" vbProcedure="false">Mar!$1:$5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<sst xmlns="http://schemas.openxmlformats.org/spreadsheetml/2006/main" count="804" uniqueCount="71">
  <si>
    <t xml:space="preserve">&lt;  Opening Cash Balance</t>
  </si>
  <si>
    <t xml:space="preserve">Totals &gt;</t>
  </si>
  <si>
    <t xml:space="preserve">&lt;  Closing Cash Balance</t>
  </si>
  <si>
    <t xml:space="preserve">Deposit   Cash     Reference</t>
  </si>
  <si>
    <t xml:space="preserve">Enter Code Letters</t>
  </si>
  <si>
    <t xml:space="preserve">CASH RECEIPTS</t>
  </si>
  <si>
    <t xml:space="preserve">Enter Purchase Invoice No.</t>
  </si>
  <si>
    <t xml:space="preserve">Optional cash payment reference</t>
  </si>
  <si>
    <t xml:space="preserve">CASH PAYMENTS</t>
  </si>
  <si>
    <t xml:space="preserve">&lt;  Physical Cash Count</t>
  </si>
  <si>
    <t xml:space="preserve">Amounts received from each Source</t>
  </si>
  <si>
    <t xml:space="preserve">Transfers From Current</t>
  </si>
  <si>
    <t xml:space="preserve">Transfers   From        Savings</t>
  </si>
  <si>
    <t xml:space="preserve">Transfers     From        Cr Card</t>
  </si>
  <si>
    <t xml:space="preserve">Amount Received Debtors</t>
  </si>
  <si>
    <t xml:space="preserve">Interest Received</t>
  </si>
  <si>
    <t xml:space="preserve">Long Term Debtor</t>
  </si>
  <si>
    <t xml:space="preserve">Long Term Creditor</t>
  </si>
  <si>
    <t xml:space="preserve">Directors Loan Account</t>
  </si>
  <si>
    <t xml:space="preserve">Amount Cash Payment</t>
  </si>
  <si>
    <t xml:space="preserve">Transfers  To   Current</t>
  </si>
  <si>
    <t xml:space="preserve">Transfers      To     Savings</t>
  </si>
  <si>
    <t xml:space="preserve">Transfers      To            Cr Card</t>
  </si>
  <si>
    <t xml:space="preserve">Amount Paid Creditors</t>
  </si>
  <si>
    <t xml:space="preserve">Net        Wages      Paid</t>
  </si>
  <si>
    <t xml:space="preserve">Bank Charges Paid</t>
  </si>
  <si>
    <t xml:space="preserve">Interest Paid</t>
  </si>
  <si>
    <t xml:space="preserve">HMRC Paye Payments</t>
  </si>
  <si>
    <t xml:space="preserve">HMRC    Vat Payments</t>
  </si>
  <si>
    <t xml:space="preserve">HMRC CIS Payments</t>
  </si>
  <si>
    <t xml:space="preserve">HMRC Corp Tax Payment</t>
  </si>
  <si>
    <t xml:space="preserve">Dividends Paid</t>
  </si>
  <si>
    <t xml:space="preserve">Payment Date </t>
  </si>
  <si>
    <t xml:space="preserve">Suppliers paid</t>
  </si>
  <si>
    <t xml:space="preserve">Date</t>
  </si>
  <si>
    <t xml:space="preserve">Source of Funds Received</t>
  </si>
  <si>
    <t xml:space="preserve">Sales Invoice</t>
  </si>
  <si>
    <t xml:space="preserve">BB</t>
  </si>
  <si>
    <t xml:space="preserve">BS</t>
  </si>
  <si>
    <t xml:space="preserve">BD</t>
  </si>
  <si>
    <t xml:space="preserve">DR</t>
  </si>
  <si>
    <t xml:space="preserve">K</t>
  </si>
  <si>
    <t xml:space="preserve">LDR</t>
  </si>
  <si>
    <t xml:space="preserve">LCR</t>
  </si>
  <si>
    <t xml:space="preserve">DL</t>
  </si>
  <si>
    <t xml:space="preserve">CR</t>
  </si>
  <si>
    <t xml:space="preserve">W</t>
  </si>
  <si>
    <t xml:space="preserve">B</t>
  </si>
  <si>
    <t xml:space="preserve">J</t>
  </si>
  <si>
    <t xml:space="preserve">RP</t>
  </si>
  <si>
    <t xml:space="preserve">RV</t>
  </si>
  <si>
    <t xml:space="preserve">RC</t>
  </si>
  <si>
    <t xml:space="preserve">RT</t>
  </si>
  <si>
    <t xml:space="preserve">DV</t>
  </si>
  <si>
    <t xml:space="preserve">Corner shop</t>
  </si>
  <si>
    <t xml:space="preserve">BNK-CASH-003</t>
  </si>
  <si>
    <t xml:space="preserve">Milk and tea</t>
  </si>
  <si>
    <t xml:space="preserve">Cash top-up</t>
  </si>
  <si>
    <t xml:space="preserve">BNK-CASH-002</t>
  </si>
  <si>
    <t xml:space="preserve">Cash float replenishment</t>
  </si>
  <si>
    <t xml:space="preserve">WH Smith</t>
  </si>
  <si>
    <t xml:space="preserve">BNK-CASH-004</t>
  </si>
  <si>
    <t xml:space="preserve">Envelopes and stamps</t>
  </si>
  <si>
    <t xml:space="preserve">BNK-CASH-005</t>
  </si>
  <si>
    <t xml:space="preserve">Kitchen supplies</t>
  </si>
  <si>
    <t xml:space="preserve">Various</t>
  </si>
  <si>
    <t xml:space="preserve">BNK-CASH-006</t>
  </si>
  <si>
    <t xml:space="preserve">Christmas team refreshments</t>
  </si>
  <si>
    <t xml:space="preserve">Newsagent</t>
  </si>
  <si>
    <t xml:space="preserve">BNK-CASH-007</t>
  </si>
  <si>
    <t xml:space="preserve">Newspapers for reception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</si>
</sst>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"/>
    <numFmt numFmtId="166" formatCode="#,##0_ ;[RED]\-#,##0\ "/>
    <numFmt numFmtId="167" formatCode="0"/>
    <numFmt numFmtId="168" formatCode="0_ ;[RED]\-0\ "/>
    <numFmt numFmtId="169" formatCode="#,##0.00_ ;[RED]\-#,##0.00\ "/>
  </numFmts>
  <fonts count="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  <font>
      <sz val="10"/>
      <name val="Times New Roman"/>
      <family val="1"/>
      <charset val="1"/>
    </font>
    <font>
      <sz val="9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8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2" borderId="6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5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3fef4072/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46327</v>
          </cell>
        </row>
        <row r="10">
          <cell r="B10">
            <v>46356</v>
          </cell>
        </row>
        <row r="11">
          <cell r="B11">
            <v>46357</v>
          </cell>
        </row>
        <row r="12">
          <cell r="B12">
            <v>46387</v>
          </cell>
        </row>
        <row r="13">
          <cell r="B13">
            <v>46388</v>
          </cell>
        </row>
        <row r="14">
          <cell r="B14">
            <v>46418</v>
          </cell>
        </row>
        <row r="15">
          <cell r="B15">
            <v>46419</v>
          </cell>
        </row>
        <row r="16">
          <cell r="B16">
            <v>46446</v>
          </cell>
        </row>
        <row r="17">
          <cell r="B17">
            <v>46447</v>
          </cell>
        </row>
        <row r="18">
          <cell r="B18">
            <v>46477</v>
          </cell>
        </row>
        <row r="19">
          <cell r="B19">
            <v>46478</v>
          </cell>
        </row>
        <row r="20">
          <cell r="B20">
            <v>46507</v>
          </cell>
        </row>
        <row r="21">
          <cell r="B21">
            <v>46508</v>
          </cell>
        </row>
        <row r="22">
          <cell r="B22">
            <v>46538</v>
          </cell>
        </row>
        <row r="23">
          <cell r="B23">
            <v>46539</v>
          </cell>
        </row>
        <row r="24">
          <cell r="B24">
            <v>46568</v>
          </cell>
        </row>
        <row r="25">
          <cell r="B25">
            <v>46569</v>
          </cell>
        </row>
        <row r="26">
          <cell r="B26">
            <v>46599</v>
          </cell>
        </row>
        <row r="27">
          <cell r="B27">
            <v>46600</v>
          </cell>
        </row>
        <row r="28">
          <cell r="B28">
            <v>46630</v>
          </cell>
        </row>
        <row r="29">
          <cell r="B29">
            <v>46631</v>
          </cell>
        </row>
        <row r="30">
          <cell r="B30">
            <v>46660</v>
          </cell>
        </row>
        <row r="31">
          <cell r="B31">
            <v>46661</v>
          </cell>
        </row>
        <row r="32">
          <cell r="B32">
            <v>46691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6" width="9.15"/>
  </cols>
  <sheetData>
    <row r="1" customFormat="false" ht="15" hidden="false" customHeight="true" outlineLevel="0" collapsed="false">
      <c r="A1" s="7" t="n">
        <v>500</v>
      </c>
      <c r="B1" s="8" t="s">
        <v>0</v>
      </c>
      <c r="C1" s="9" t="n">
        <f aca="false">[1]Admin!$B$9</f>
        <v>46327</v>
      </c>
      <c r="D1" s="10" t="s">
        <v>1</v>
      </c>
      <c r="E1" s="11" t="n">
        <f aca="false">F1-SUM(G1:N1)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3"/>
      <c r="P1" s="14" t="str">
        <f aca="false">IF(T1=0," ","Check all payment code letters entered")</f>
        <v> </v>
      </c>
      <c r="Q1" s="14"/>
      <c r="R1" s="15"/>
      <c r="S1" s="16" t="s">
        <v>1</v>
      </c>
      <c r="T1" s="11" t="n">
        <f aca="false">U1-SUM(V1:AJ1)</f>
        <v>0</v>
      </c>
      <c r="U1" s="12" t="n">
        <f aca="false">SUM(U6:U200)</f>
        <v>15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15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</row>
    <row r="2" customFormat="false" ht="15" hidden="false" customHeight="true" outlineLevel="0" collapsed="false">
      <c r="A2" s="17" t="n">
        <f aca="false">A1+F1-U1</f>
        <v>485</v>
      </c>
      <c r="B2" s="18" t="s">
        <v>2</v>
      </c>
      <c r="C2" s="9" t="n">
        <f aca="false">[1]Admin!$B$10</f>
        <v>46356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13"/>
      <c r="P2" s="14" t="str">
        <f aca="false">IF(E1=0," ","Check all Receipts Code Letters entered")</f>
        <v> </v>
      </c>
      <c r="Q2" s="14"/>
      <c r="R2" s="22" t="s">
        <v>6</v>
      </c>
      <c r="S2" s="23" t="s">
        <v>7</v>
      </c>
      <c r="T2" s="20" t="s">
        <v>4</v>
      </c>
      <c r="U2" s="21" t="s">
        <v>8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46356</v>
      </c>
      <c r="D3" s="19"/>
      <c r="E3" s="20"/>
      <c r="F3" s="23" t="s">
        <v>10</v>
      </c>
      <c r="G3" s="23" t="s">
        <v>11</v>
      </c>
      <c r="H3" s="23" t="s">
        <v>12</v>
      </c>
      <c r="I3" s="23" t="s">
        <v>13</v>
      </c>
      <c r="J3" s="23" t="s">
        <v>14</v>
      </c>
      <c r="K3" s="23" t="s">
        <v>15</v>
      </c>
      <c r="L3" s="23" t="s">
        <v>16</v>
      </c>
      <c r="M3" s="23" t="s">
        <v>17</v>
      </c>
      <c r="N3" s="23" t="s">
        <v>18</v>
      </c>
      <c r="O3" s="13"/>
      <c r="P3" s="26"/>
      <c r="Q3" s="27"/>
      <c r="R3" s="22"/>
      <c r="S3" s="23"/>
      <c r="T3" s="20"/>
      <c r="U3" s="23" t="s">
        <v>19</v>
      </c>
      <c r="V3" s="23" t="s">
        <v>20</v>
      </c>
      <c r="W3" s="23" t="s">
        <v>21</v>
      </c>
      <c r="X3" s="23" t="s">
        <v>22</v>
      </c>
      <c r="Y3" s="23" t="s">
        <v>23</v>
      </c>
      <c r="Z3" s="23" t="s">
        <v>24</v>
      </c>
      <c r="AA3" s="23" t="s">
        <v>25</v>
      </c>
      <c r="AB3" s="23" t="s">
        <v>26</v>
      </c>
      <c r="AC3" s="23" t="s">
        <v>16</v>
      </c>
      <c r="AD3" s="23" t="s">
        <v>17</v>
      </c>
      <c r="AE3" s="23" t="s">
        <v>27</v>
      </c>
      <c r="AF3" s="23" t="s">
        <v>28</v>
      </c>
      <c r="AG3" s="23" t="s">
        <v>29</v>
      </c>
      <c r="AH3" s="23" t="s">
        <v>30</v>
      </c>
      <c r="AI3" s="23" t="s">
        <v>31</v>
      </c>
      <c r="AJ3" s="23" t="s">
        <v>18</v>
      </c>
    </row>
    <row r="4" customFormat="false" ht="19.5" hidden="false" customHeight="true" outlineLevel="0" collapsed="false">
      <c r="A4" s="28" t="n">
        <f aca="false">A2-A3</f>
        <v>485</v>
      </c>
      <c r="B4" s="29" t="str">
        <f aca="false">IF(A4=0,"&lt;  Cash Balanced","  Reconcile Cash")</f>
        <v>  Reconcile Cash</v>
      </c>
      <c r="C4" s="29"/>
      <c r="D4" s="19"/>
      <c r="E4" s="20"/>
      <c r="F4" s="23"/>
      <c r="G4" s="23"/>
      <c r="H4" s="23"/>
      <c r="I4" s="23"/>
      <c r="J4" s="23"/>
      <c r="K4" s="23"/>
      <c r="L4" s="23"/>
      <c r="M4" s="23"/>
      <c r="N4" s="23"/>
      <c r="O4" s="13"/>
      <c r="P4" s="30" t="s">
        <v>32</v>
      </c>
      <c r="Q4" s="31" t="s">
        <v>33</v>
      </c>
      <c r="R4" s="22"/>
      <c r="S4" s="23"/>
      <c r="T4" s="20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2" t="s">
        <v>34</v>
      </c>
      <c r="B5" s="33" t="s">
        <v>35</v>
      </c>
      <c r="C5" s="34" t="s">
        <v>36</v>
      </c>
      <c r="D5" s="19"/>
      <c r="E5" s="20"/>
      <c r="F5" s="23"/>
      <c r="G5" s="35" t="s">
        <v>37</v>
      </c>
      <c r="H5" s="35" t="s">
        <v>38</v>
      </c>
      <c r="I5" s="35" t="s">
        <v>39</v>
      </c>
      <c r="J5" s="35" t="s">
        <v>40</v>
      </c>
      <c r="K5" s="35" t="s">
        <v>41</v>
      </c>
      <c r="L5" s="35" t="s">
        <v>42</v>
      </c>
      <c r="M5" s="35" t="s">
        <v>43</v>
      </c>
      <c r="N5" s="35" t="s">
        <v>44</v>
      </c>
      <c r="O5" s="13"/>
      <c r="P5" s="30"/>
      <c r="Q5" s="31"/>
      <c r="R5" s="22"/>
      <c r="S5" s="23"/>
      <c r="T5" s="20"/>
      <c r="U5" s="23"/>
      <c r="V5" s="35" t="s">
        <v>37</v>
      </c>
      <c r="W5" s="35" t="s">
        <v>38</v>
      </c>
      <c r="X5" s="35" t="s">
        <v>39</v>
      </c>
      <c r="Y5" s="35" t="s">
        <v>45</v>
      </c>
      <c r="Z5" s="35" t="s">
        <v>46</v>
      </c>
      <c r="AA5" s="35" t="s">
        <v>47</v>
      </c>
      <c r="AB5" s="35" t="s">
        <v>48</v>
      </c>
      <c r="AC5" s="35" t="s">
        <v>42</v>
      </c>
      <c r="AD5" s="35" t="s">
        <v>43</v>
      </c>
      <c r="AE5" s="35" t="s">
        <v>49</v>
      </c>
      <c r="AF5" s="35" t="s">
        <v>50</v>
      </c>
      <c r="AG5" s="35" t="s">
        <v>51</v>
      </c>
      <c r="AH5" s="35" t="s">
        <v>52</v>
      </c>
      <c r="AI5" s="35" t="s">
        <v>53</v>
      </c>
      <c r="AJ5" s="35" t="s">
        <v>44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6"/>
      <c r="P6" s="1" t="n">
        <v>46336</v>
      </c>
      <c r="Q6" s="4" t="s">
        <v>54</v>
      </c>
      <c r="R6" s="3" t="s">
        <v>55</v>
      </c>
      <c r="S6" s="3" t="s">
        <v>56</v>
      </c>
      <c r="T6" s="37" t="s">
        <v>45</v>
      </c>
      <c r="U6" s="6" t="n">
        <v>15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n">
        <f aca="false">IF(T6="CR",U6," ")</f>
        <v>15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8"/>
      <c r="T7" s="37"/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8"/>
      <c r="T8" s="37"/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8"/>
      <c r="T9" s="37"/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8"/>
      <c r="T10" s="37"/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8"/>
      <c r="T11" s="37"/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8"/>
      <c r="T12" s="37"/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8"/>
      <c r="T13" s="37"/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8"/>
      <c r="T14" s="37"/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8"/>
      <c r="T15" s="37"/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8"/>
      <c r="T16" s="37"/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8"/>
      <c r="T17" s="37"/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8"/>
      <c r="T18" s="37"/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8"/>
      <c r="T19" s="37"/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8"/>
      <c r="T20" s="37"/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8"/>
      <c r="T21" s="37"/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8"/>
      <c r="T22" s="37"/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8"/>
      <c r="T23" s="37"/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8"/>
      <c r="T24" s="37"/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8"/>
      <c r="T25" s="37"/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8"/>
      <c r="T26" s="37"/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8"/>
      <c r="T27" s="37"/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8"/>
      <c r="T28" s="37"/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8"/>
      <c r="T29" s="37"/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8"/>
      <c r="T30" s="37"/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8"/>
      <c r="T31" s="37"/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8"/>
      <c r="T32" s="37"/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8"/>
      <c r="T33" s="37"/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8"/>
      <c r="T34" s="37"/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8"/>
      <c r="T35" s="37"/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8"/>
      <c r="T36" s="37"/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8"/>
      <c r="T37" s="37"/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8"/>
      <c r="T38" s="37"/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8"/>
      <c r="T39" s="37"/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8"/>
      <c r="T40" s="37"/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8"/>
      <c r="T41" s="37"/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8"/>
      <c r="T42" s="37"/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8"/>
      <c r="T43" s="37"/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8"/>
      <c r="T44" s="37"/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8"/>
      <c r="T45" s="37"/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8"/>
      <c r="T46" s="37"/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8"/>
      <c r="T47" s="37"/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8"/>
      <c r="T48" s="37"/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8"/>
      <c r="T49" s="37"/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8"/>
      <c r="T50" s="37"/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8"/>
      <c r="T51" s="37"/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8"/>
      <c r="T52" s="37"/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8"/>
      <c r="T53" s="37"/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8"/>
      <c r="T54" s="37"/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8"/>
      <c r="T55" s="37"/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8"/>
      <c r="T56" s="37"/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8"/>
      <c r="T57" s="37"/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8"/>
      <c r="T58" s="37"/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8"/>
      <c r="T59" s="37"/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8"/>
      <c r="T60" s="37"/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8"/>
      <c r="T61" s="37"/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8"/>
      <c r="T62" s="37"/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8"/>
      <c r="T63" s="37"/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8"/>
      <c r="T64" s="37"/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8"/>
      <c r="T65" s="37"/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8"/>
      <c r="T66" s="37"/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8"/>
      <c r="T67" s="37"/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8"/>
      <c r="T68" s="37"/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8"/>
      <c r="T69" s="37"/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8"/>
      <c r="T70" s="37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8"/>
      <c r="T71" s="37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8"/>
      <c r="T72" s="37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8"/>
      <c r="T73" s="37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8"/>
      <c r="T74" s="37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8"/>
      <c r="T75" s="37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8"/>
      <c r="T76" s="37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8"/>
      <c r="T77" s="37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8"/>
      <c r="T78" s="37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8"/>
      <c r="T79" s="37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8"/>
      <c r="T80" s="37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8"/>
      <c r="T81" s="37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8"/>
      <c r="T82" s="37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8"/>
      <c r="T83" s="37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8"/>
      <c r="T84" s="37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8"/>
      <c r="T85" s="37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8"/>
      <c r="T86" s="37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8"/>
      <c r="T87" s="37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8"/>
      <c r="T88" s="37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8"/>
      <c r="T89" s="37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8"/>
      <c r="T90" s="37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8"/>
      <c r="T91" s="37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8"/>
      <c r="T92" s="37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8"/>
      <c r="T93" s="37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8"/>
      <c r="T94" s="37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8"/>
      <c r="T95" s="37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8"/>
      <c r="T96" s="37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8"/>
      <c r="T97" s="37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8"/>
      <c r="T98" s="37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8"/>
      <c r="T99" s="37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8"/>
      <c r="T100" s="37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8"/>
      <c r="T101" s="37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8"/>
      <c r="T102" s="37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8"/>
      <c r="T103" s="37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8"/>
      <c r="T104" s="37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8"/>
      <c r="T105" s="37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8"/>
      <c r="T106" s="37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8"/>
      <c r="T107" s="37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8"/>
      <c r="T108" s="37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8"/>
      <c r="T109" s="37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8"/>
      <c r="T110" s="37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8"/>
      <c r="T111" s="37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8"/>
      <c r="T112" s="37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8"/>
      <c r="T113" s="37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8"/>
      <c r="T114" s="37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8"/>
      <c r="T115" s="37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8"/>
      <c r="T116" s="37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8"/>
      <c r="T117" s="37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8"/>
      <c r="T118" s="37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8"/>
      <c r="T119" s="37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8"/>
      <c r="T120" s="37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8"/>
      <c r="T121" s="37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8"/>
      <c r="T122" s="37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8"/>
      <c r="T123" s="37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8"/>
      <c r="T124" s="37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8"/>
      <c r="T125" s="37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8"/>
      <c r="T126" s="37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8"/>
      <c r="T127" s="37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8"/>
      <c r="T128" s="37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8"/>
      <c r="T129" s="37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8"/>
      <c r="T130" s="37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8"/>
      <c r="T131" s="37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8"/>
      <c r="T132" s="37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8"/>
      <c r="T133" s="37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8"/>
      <c r="T134" s="37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8"/>
      <c r="T135" s="37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8"/>
      <c r="T136" s="37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8"/>
      <c r="T137" s="37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8"/>
      <c r="T138" s="37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8"/>
      <c r="T139" s="37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8"/>
      <c r="T140" s="37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8"/>
      <c r="T141" s="37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8"/>
      <c r="T142" s="37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8"/>
      <c r="T143" s="37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8"/>
      <c r="T144" s="37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8"/>
      <c r="T145" s="37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8"/>
      <c r="T146" s="37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8"/>
      <c r="T147" s="37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8"/>
      <c r="T148" s="37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8"/>
      <c r="T149" s="37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8"/>
      <c r="T150" s="37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8"/>
      <c r="T151" s="37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8"/>
      <c r="T152" s="37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8"/>
      <c r="T153" s="37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8"/>
      <c r="T154" s="37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8"/>
      <c r="T155" s="37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8"/>
      <c r="T156" s="37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8"/>
      <c r="T157" s="37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8"/>
      <c r="T158" s="37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8"/>
      <c r="T159" s="37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8"/>
      <c r="T160" s="37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8"/>
      <c r="T161" s="37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8"/>
      <c r="T162" s="37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8"/>
      <c r="T163" s="37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8"/>
      <c r="T164" s="37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8"/>
      <c r="T165" s="37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8"/>
      <c r="T166" s="37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8"/>
      <c r="T167" s="37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8"/>
      <c r="T168" s="37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8"/>
      <c r="T169" s="37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8"/>
      <c r="T170" s="37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8"/>
      <c r="T171" s="37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8"/>
      <c r="T172" s="37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8"/>
      <c r="T173" s="37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6"/>
      <c r="T174" s="37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9"/>
      <c r="T175" s="37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8"/>
      <c r="T176" s="37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8"/>
      <c r="T177" s="37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8"/>
      <c r="T178" s="37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8"/>
      <c r="T179" s="37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8"/>
      <c r="T180" s="37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8"/>
      <c r="T181" s="37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8"/>
      <c r="T182" s="37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8"/>
      <c r="T183" s="37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8"/>
      <c r="T184" s="37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8"/>
      <c r="T185" s="37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8"/>
      <c r="T186" s="37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8"/>
      <c r="T187" s="37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8"/>
      <c r="T188" s="37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8"/>
      <c r="T189" s="37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8"/>
      <c r="T190" s="37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8"/>
      <c r="T191" s="37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8"/>
      <c r="T192" s="37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8"/>
      <c r="T193" s="37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8"/>
      <c r="T194" s="37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8"/>
      <c r="T195" s="37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8"/>
      <c r="T196" s="37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8"/>
      <c r="T197" s="37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8"/>
      <c r="T198" s="37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8"/>
      <c r="T199" s="37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40"/>
      <c r="B200" s="41"/>
      <c r="C200" s="4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IF(E200="BS",F200," ")</f>
        <v> </v>
      </c>
      <c r="I200" s="45" t="str">
        <f aca="false">IF(E200="BD",F200,"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IF(E200="DL",F200," ")</f>
        <v> </v>
      </c>
      <c r="O200" s="39"/>
      <c r="P200" s="40"/>
      <c r="Q200" s="43"/>
      <c r="R200" s="42"/>
      <c r="S200" s="42"/>
      <c r="T200" s="46" t="str">
        <f aca="false">IF(U200&lt;&gt;0,"Enter Code"," ")</f>
        <v> </v>
      </c>
      <c r="U200" s="45"/>
      <c r="V200" s="45" t="str">
        <f aca="false">IF(T200="BB",U200," ")</f>
        <v> </v>
      </c>
      <c r="W200" s="45" t="str">
        <f aca="false">IF(T200="BS",U200," ")</f>
        <v> </v>
      </c>
      <c r="X200" s="45" t="str">
        <f aca="false">IF(T200="BD",U200," ")</f>
        <v> </v>
      </c>
      <c r="Y200" s="45" t="str">
        <f aca="false">IF(T200="CR",U200," ")</f>
        <v> </v>
      </c>
      <c r="Z200" s="45" t="str">
        <f aca="false">IF(T200="W",U200," ")</f>
        <v> </v>
      </c>
      <c r="AA200" s="45" t="str">
        <f aca="false">IF(T200="B",U200," ")</f>
        <v> </v>
      </c>
      <c r="AB200" s="45" t="str">
        <f aca="false">IF(T200="J",U200," ")</f>
        <v> </v>
      </c>
      <c r="AC200" s="45" t="str">
        <f aca="false">IF(T200="LDR",U200," ")</f>
        <v> </v>
      </c>
      <c r="AD200" s="45" t="str">
        <f aca="false">IF(T200="LCR",U200," ")</f>
        <v> </v>
      </c>
      <c r="AE200" s="45" t="str">
        <f aca="false">IF(T200="RP",U200," ")</f>
        <v> </v>
      </c>
      <c r="AF200" s="45" t="str">
        <f aca="false">IF(T200="RV",U200," ")</f>
        <v> </v>
      </c>
      <c r="AG200" s="45" t="str">
        <f aca="false">IF(T200="RC",U200," ")</f>
        <v> </v>
      </c>
      <c r="AH200" s="45" t="str">
        <f aca="false">IF(T200="RT",U200," ")</f>
        <v> </v>
      </c>
      <c r="AI200" s="45" t="str">
        <f aca="false">IF(T200="DV",U200," ")</f>
        <v> </v>
      </c>
      <c r="AJ200" s="45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</dataValidations>
  <printOptions headings="false" gridLines="false" gridLinesSet="true" horizontalCentered="false" verticalCentered="false"/>
  <pageMargins left="0.157638888888889" right="0.0784722222222222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2" manualBreakCount="2">
    <brk id="14" man="true" max="65535" min="0"/>
    <brk id="18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7" width="9.15"/>
    <col collapsed="false" customWidth="true" hidden="false" outlineLevel="0" max="2" min="2" style="2" width="21.99"/>
    <col collapsed="false" customWidth="true" hidden="false" outlineLevel="0" max="3" min="3" style="48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9" width="9.15"/>
  </cols>
  <sheetData>
    <row r="1" customFormat="false" ht="15" hidden="false" customHeight="true" outlineLevel="0" collapsed="false">
      <c r="A1" s="50" t="n">
        <f aca="false">Nov!A2</f>
        <v>485</v>
      </c>
      <c r="B1" s="8" t="s">
        <v>0</v>
      </c>
      <c r="C1" s="9" t="n">
        <f aca="false">[1]Admin!$B$11</f>
        <v>46357</v>
      </c>
      <c r="D1" s="10" t="s">
        <v>1</v>
      </c>
      <c r="E1" s="11" t="n">
        <f aca="false">F1-SUM(G1:N1)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3"/>
      <c r="P1" s="14" t="str">
        <f aca="false">IF(T1=0," ","Check all payment code letters entered")</f>
        <v> </v>
      </c>
      <c r="Q1" s="14"/>
      <c r="R1" s="15"/>
      <c r="S1" s="16" t="s">
        <v>1</v>
      </c>
      <c r="T1" s="11" t="n">
        <f aca="false">U1-SUM(V1:AJ1)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A1+F1-U1</f>
        <v>485</v>
      </c>
      <c r="B2" s="18" t="s">
        <v>2</v>
      </c>
      <c r="C2" s="9" t="n">
        <f aca="false">[1]Admin!$B$12</f>
        <v>46387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13"/>
      <c r="P2" s="14" t="str">
        <f aca="false">IF(E1=0," ","Check all Receipts Code Letters entered")</f>
        <v> </v>
      </c>
      <c r="Q2" s="14"/>
      <c r="R2" s="22" t="s">
        <v>6</v>
      </c>
      <c r="S2" s="23" t="s">
        <v>7</v>
      </c>
      <c r="T2" s="20" t="s">
        <v>4</v>
      </c>
      <c r="U2" s="21" t="s">
        <v>8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46387</v>
      </c>
      <c r="D3" s="19"/>
      <c r="E3" s="20"/>
      <c r="F3" s="23" t="s">
        <v>10</v>
      </c>
      <c r="G3" s="23" t="s">
        <v>11</v>
      </c>
      <c r="H3" s="23" t="s">
        <v>12</v>
      </c>
      <c r="I3" s="23" t="s">
        <v>13</v>
      </c>
      <c r="J3" s="23" t="s">
        <v>14</v>
      </c>
      <c r="K3" s="23" t="s">
        <v>15</v>
      </c>
      <c r="L3" s="23" t="s">
        <v>16</v>
      </c>
      <c r="M3" s="23" t="s">
        <v>17</v>
      </c>
      <c r="N3" s="23" t="s">
        <v>18</v>
      </c>
      <c r="O3" s="13"/>
      <c r="P3" s="26"/>
      <c r="Q3" s="27"/>
      <c r="R3" s="22"/>
      <c r="S3" s="23"/>
      <c r="T3" s="20"/>
      <c r="U3" s="23" t="s">
        <v>19</v>
      </c>
      <c r="V3" s="23" t="s">
        <v>20</v>
      </c>
      <c r="W3" s="23" t="s">
        <v>21</v>
      </c>
      <c r="X3" s="23" t="s">
        <v>22</v>
      </c>
      <c r="Y3" s="23" t="s">
        <v>23</v>
      </c>
      <c r="Z3" s="23" t="s">
        <v>24</v>
      </c>
      <c r="AA3" s="23" t="s">
        <v>25</v>
      </c>
      <c r="AB3" s="23" t="s">
        <v>26</v>
      </c>
      <c r="AC3" s="23" t="s">
        <v>16</v>
      </c>
      <c r="AD3" s="23" t="s">
        <v>17</v>
      </c>
      <c r="AE3" s="23" t="s">
        <v>27</v>
      </c>
      <c r="AF3" s="23" t="s">
        <v>28</v>
      </c>
      <c r="AG3" s="23" t="s">
        <v>29</v>
      </c>
      <c r="AH3" s="23" t="s">
        <v>30</v>
      </c>
      <c r="AI3" s="23" t="s">
        <v>31</v>
      </c>
      <c r="AJ3" s="23" t="s">
        <v>18</v>
      </c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8" t="n">
        <f aca="false">A2-A3</f>
        <v>485</v>
      </c>
      <c r="B4" s="29" t="str">
        <f aca="false">IF(A4=0,"&lt;  Cash Balanced","  Reconcile Cash")</f>
        <v>  Reconcile Cash</v>
      </c>
      <c r="C4" s="29"/>
      <c r="D4" s="19"/>
      <c r="E4" s="20"/>
      <c r="F4" s="23"/>
      <c r="G4" s="23"/>
      <c r="H4" s="23"/>
      <c r="I4" s="23"/>
      <c r="J4" s="23"/>
      <c r="K4" s="23"/>
      <c r="L4" s="23"/>
      <c r="M4" s="23"/>
      <c r="N4" s="23"/>
      <c r="O4" s="13"/>
      <c r="P4" s="30" t="s">
        <v>32</v>
      </c>
      <c r="Q4" s="31" t="s">
        <v>33</v>
      </c>
      <c r="R4" s="22"/>
      <c r="S4" s="23"/>
      <c r="T4" s="20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2" t="s">
        <v>34</v>
      </c>
      <c r="B5" s="33" t="s">
        <v>35</v>
      </c>
      <c r="C5" s="34" t="s">
        <v>36</v>
      </c>
      <c r="D5" s="19"/>
      <c r="E5" s="20"/>
      <c r="F5" s="23"/>
      <c r="G5" s="35" t="s">
        <v>37</v>
      </c>
      <c r="H5" s="35" t="s">
        <v>38</v>
      </c>
      <c r="I5" s="35" t="s">
        <v>39</v>
      </c>
      <c r="J5" s="35" t="s">
        <v>40</v>
      </c>
      <c r="K5" s="35" t="s">
        <v>41</v>
      </c>
      <c r="L5" s="35" t="s">
        <v>42</v>
      </c>
      <c r="M5" s="35" t="s">
        <v>43</v>
      </c>
      <c r="N5" s="35" t="s">
        <v>44</v>
      </c>
      <c r="O5" s="13"/>
      <c r="P5" s="30"/>
      <c r="Q5" s="31"/>
      <c r="R5" s="22"/>
      <c r="S5" s="23"/>
      <c r="T5" s="20"/>
      <c r="U5" s="23"/>
      <c r="V5" s="35" t="s">
        <v>37</v>
      </c>
      <c r="W5" s="35" t="s">
        <v>38</v>
      </c>
      <c r="X5" s="35" t="s">
        <v>39</v>
      </c>
      <c r="Y5" s="35" t="s">
        <v>45</v>
      </c>
      <c r="Z5" s="35" t="s">
        <v>46</v>
      </c>
      <c r="AA5" s="35" t="s">
        <v>47</v>
      </c>
      <c r="AB5" s="35" t="s">
        <v>48</v>
      </c>
      <c r="AC5" s="35" t="s">
        <v>42</v>
      </c>
      <c r="AD5" s="35" t="s">
        <v>43</v>
      </c>
      <c r="AE5" s="35" t="s">
        <v>49</v>
      </c>
      <c r="AF5" s="35" t="s">
        <v>50</v>
      </c>
      <c r="AG5" s="35" t="s">
        <v>51</v>
      </c>
      <c r="AH5" s="35" t="s">
        <v>52</v>
      </c>
      <c r="AI5" s="35" t="s">
        <v>53</v>
      </c>
      <c r="AJ5" s="35" t="s">
        <v>44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6"/>
      <c r="T6" s="37" t="str">
        <f aca="false">IF(U6&lt;&gt;0,"Enter Code"," ")</f>
        <v> 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str">
        <f aca="false">IF(T6="CR",U6," ")</f>
        <v> 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8"/>
      <c r="T7" s="37" t="str">
        <f aca="false">IF(U7&lt;&gt;0,"Enter Code"," ")</f>
        <v> </v>
      </c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8"/>
      <c r="T8" s="37" t="str">
        <f aca="false">IF(U8&lt;&gt;0,"Enter Code"," ")</f>
        <v> </v>
      </c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8"/>
      <c r="T9" s="37" t="str">
        <f aca="false">IF(U9&lt;&gt;0,"Enter Code"," ")</f>
        <v> </v>
      </c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8"/>
      <c r="T10" s="37" t="str">
        <f aca="false">IF(U10&lt;&gt;0,"Enter Code"," ")</f>
        <v> </v>
      </c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8"/>
      <c r="T11" s="37" t="str">
        <f aca="false">IF(U11&lt;&gt;0,"Enter Code"," ")</f>
        <v> </v>
      </c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8"/>
      <c r="T12" s="37" t="str">
        <f aca="false">IF(U12&lt;&gt;0,"Enter Code"," ")</f>
        <v> </v>
      </c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8"/>
      <c r="T13" s="37" t="str">
        <f aca="false">IF(U13&lt;&gt;0,"Enter Code"," ")</f>
        <v> </v>
      </c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8"/>
      <c r="T14" s="37" t="str">
        <f aca="false">IF(U14&lt;&gt;0,"Enter Code"," ")</f>
        <v> </v>
      </c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8"/>
      <c r="T15" s="37" t="str">
        <f aca="false">IF(U15&lt;&gt;0,"Enter Code"," ")</f>
        <v> </v>
      </c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8"/>
      <c r="T16" s="37" t="str">
        <f aca="false">IF(U16&lt;&gt;0,"Enter Code"," ")</f>
        <v> </v>
      </c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8"/>
      <c r="T17" s="37" t="str">
        <f aca="false">IF(U17&lt;&gt;0,"Enter Code"," ")</f>
        <v> </v>
      </c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8"/>
      <c r="T18" s="37" t="str">
        <f aca="false">IF(U18&lt;&gt;0,"Enter Code"," ")</f>
        <v> </v>
      </c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8"/>
      <c r="T19" s="37" t="str">
        <f aca="false">IF(U19&lt;&gt;0,"Enter Code"," ")</f>
        <v> </v>
      </c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8"/>
      <c r="T20" s="37" t="str">
        <f aca="false">IF(U20&lt;&gt;0,"Enter Code"," ")</f>
        <v> </v>
      </c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8"/>
      <c r="T21" s="37" t="str">
        <f aca="false">IF(U21&lt;&gt;0,"Enter Code"," ")</f>
        <v> </v>
      </c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8"/>
      <c r="T22" s="37" t="str">
        <f aca="false">IF(U22&lt;&gt;0,"Enter Code"," ")</f>
        <v> </v>
      </c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8"/>
      <c r="T23" s="37" t="str">
        <f aca="false">IF(U23&lt;&gt;0,"Enter Code"," ")</f>
        <v> </v>
      </c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8"/>
      <c r="T24" s="37" t="str">
        <f aca="false">IF(U24&lt;&gt;0,"Enter Code"," ")</f>
        <v> </v>
      </c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8"/>
      <c r="T25" s="37" t="str">
        <f aca="false">IF(U25&lt;&gt;0,"Enter Code"," ")</f>
        <v> </v>
      </c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8"/>
      <c r="T26" s="37" t="str">
        <f aca="false">IF(U26&lt;&gt;0,"Enter Code"," ")</f>
        <v> </v>
      </c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8"/>
      <c r="T27" s="37" t="str">
        <f aca="false">IF(U27&lt;&gt;0,"Enter Code"," ")</f>
        <v> </v>
      </c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8"/>
      <c r="T28" s="37" t="str">
        <f aca="false">IF(U28&lt;&gt;0,"Enter Code"," ")</f>
        <v> </v>
      </c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8"/>
      <c r="T29" s="37" t="str">
        <f aca="false">IF(U29&lt;&gt;0,"Enter Code"," ")</f>
        <v> </v>
      </c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8"/>
      <c r="T30" s="37" t="str">
        <f aca="false">IF(U30&lt;&gt;0,"Enter Code"," ")</f>
        <v> </v>
      </c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8"/>
      <c r="T31" s="37" t="str">
        <f aca="false">IF(U31&lt;&gt;0,"Enter Code"," ")</f>
        <v> </v>
      </c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8"/>
      <c r="T32" s="37" t="str">
        <f aca="false">IF(U32&lt;&gt;0,"Enter Code"," ")</f>
        <v> </v>
      </c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8"/>
      <c r="T33" s="37" t="str">
        <f aca="false">IF(U33&lt;&gt;0,"Enter Code"," ")</f>
        <v> </v>
      </c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8"/>
      <c r="T34" s="37" t="str">
        <f aca="false">IF(U34&lt;&gt;0,"Enter Code"," ")</f>
        <v> </v>
      </c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8"/>
      <c r="T35" s="37" t="str">
        <f aca="false">IF(U35&lt;&gt;0,"Enter Code"," ")</f>
        <v> </v>
      </c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8"/>
      <c r="T36" s="37" t="str">
        <f aca="false">IF(U36&lt;&gt;0,"Enter Code"," ")</f>
        <v> </v>
      </c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8"/>
      <c r="T37" s="37" t="str">
        <f aca="false">IF(U37&lt;&gt;0,"Enter Code"," ")</f>
        <v> </v>
      </c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8"/>
      <c r="T38" s="37" t="str">
        <f aca="false">IF(U38&lt;&gt;0,"Enter Code"," ")</f>
        <v> </v>
      </c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8"/>
      <c r="T39" s="37" t="str">
        <f aca="false">IF(U39&lt;&gt;0,"Enter Code"," ")</f>
        <v> </v>
      </c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8"/>
      <c r="T40" s="37" t="str">
        <f aca="false">IF(U40&lt;&gt;0,"Enter Code"," ")</f>
        <v> </v>
      </c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8"/>
      <c r="T41" s="37" t="str">
        <f aca="false">IF(U41&lt;&gt;0,"Enter Code"," ")</f>
        <v> </v>
      </c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8"/>
      <c r="T42" s="37" t="str">
        <f aca="false">IF(U42&lt;&gt;0,"Enter Code"," ")</f>
        <v> </v>
      </c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8"/>
      <c r="T43" s="37" t="str">
        <f aca="false">IF(U43&lt;&gt;0,"Enter Code"," ")</f>
        <v> </v>
      </c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8"/>
      <c r="T44" s="37" t="str">
        <f aca="false">IF(U44&lt;&gt;0,"Enter Code"," ")</f>
        <v> </v>
      </c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8"/>
      <c r="T45" s="37" t="str">
        <f aca="false">IF(U45&lt;&gt;0,"Enter Code"," ")</f>
        <v> </v>
      </c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8"/>
      <c r="T46" s="37" t="str">
        <f aca="false">IF(U46&lt;&gt;0,"Enter Code"," ")</f>
        <v> </v>
      </c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8"/>
      <c r="T47" s="37" t="str">
        <f aca="false">IF(U47&lt;&gt;0,"Enter Code"," ")</f>
        <v> </v>
      </c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8"/>
      <c r="T48" s="37" t="str">
        <f aca="false">IF(U48&lt;&gt;0,"Enter Code"," ")</f>
        <v> </v>
      </c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8"/>
      <c r="T49" s="37" t="str">
        <f aca="false">IF(U49&lt;&gt;0,"Enter Code"," ")</f>
        <v> </v>
      </c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8"/>
      <c r="T50" s="37" t="str">
        <f aca="false">IF(U50&lt;&gt;0,"Enter Code"," ")</f>
        <v> </v>
      </c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8"/>
      <c r="T51" s="37" t="str">
        <f aca="false">IF(U51&lt;&gt;0,"Enter Code"," ")</f>
        <v> </v>
      </c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8"/>
      <c r="T52" s="37" t="str">
        <f aca="false">IF(U52&lt;&gt;0,"Enter Code"," ")</f>
        <v> </v>
      </c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8"/>
      <c r="T53" s="37" t="str">
        <f aca="false">IF(U53&lt;&gt;0,"Enter Code"," ")</f>
        <v> </v>
      </c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8"/>
      <c r="T54" s="37" t="str">
        <f aca="false">IF(U54&lt;&gt;0,"Enter Code"," ")</f>
        <v> </v>
      </c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8"/>
      <c r="T55" s="37" t="str">
        <f aca="false">IF(U55&lt;&gt;0,"Enter Code"," ")</f>
        <v> </v>
      </c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8"/>
      <c r="T56" s="37" t="str">
        <f aca="false">IF(U56&lt;&gt;0,"Enter Code"," ")</f>
        <v> </v>
      </c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8"/>
      <c r="T57" s="37" t="str">
        <f aca="false">IF(U57&lt;&gt;0,"Enter Code"," ")</f>
        <v> </v>
      </c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8"/>
      <c r="T58" s="37" t="str">
        <f aca="false">IF(U58&lt;&gt;0,"Enter Code"," ")</f>
        <v> </v>
      </c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8"/>
      <c r="T59" s="37" t="str">
        <f aca="false">IF(U59&lt;&gt;0,"Enter Code"," ")</f>
        <v> </v>
      </c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8"/>
      <c r="T60" s="37" t="str">
        <f aca="false">IF(U60&lt;&gt;0,"Enter Code"," ")</f>
        <v> </v>
      </c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8"/>
      <c r="T61" s="37" t="str">
        <f aca="false">IF(U61&lt;&gt;0,"Enter Code"," ")</f>
        <v> </v>
      </c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8"/>
      <c r="T62" s="37" t="str">
        <f aca="false">IF(U62&lt;&gt;0,"Enter Code"," ")</f>
        <v> </v>
      </c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8"/>
      <c r="T63" s="37" t="str">
        <f aca="false">IF(U63&lt;&gt;0,"Enter Code"," ")</f>
        <v> </v>
      </c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8"/>
      <c r="T64" s="37" t="str">
        <f aca="false">IF(U64&lt;&gt;0,"Enter Code"," ")</f>
        <v> </v>
      </c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8"/>
      <c r="T65" s="37" t="str">
        <f aca="false">IF(U65&lt;&gt;0,"Enter Code"," ")</f>
        <v> </v>
      </c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8"/>
      <c r="T66" s="37" t="str">
        <f aca="false">IF(U66&lt;&gt;0,"Enter Code"," ")</f>
        <v> </v>
      </c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8"/>
      <c r="T67" s="37" t="str">
        <f aca="false">IF(U67&lt;&gt;0,"Enter Code"," ")</f>
        <v> </v>
      </c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8"/>
      <c r="T68" s="37" t="str">
        <f aca="false">IF(U68&lt;&gt;0,"Enter Code"," ")</f>
        <v> </v>
      </c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8"/>
      <c r="T69" s="37" t="str">
        <f aca="false">IF(U69&lt;&gt;0,"Enter Code"," ")</f>
        <v> </v>
      </c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8"/>
      <c r="T70" s="37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8"/>
      <c r="T71" s="37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8"/>
      <c r="T72" s="37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8"/>
      <c r="T73" s="37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8"/>
      <c r="T74" s="37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8"/>
      <c r="T75" s="37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8"/>
      <c r="T76" s="37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8"/>
      <c r="T77" s="37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8"/>
      <c r="T78" s="37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8"/>
      <c r="T79" s="37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8"/>
      <c r="T80" s="37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8"/>
      <c r="T81" s="37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8"/>
      <c r="T82" s="37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8"/>
      <c r="T83" s="37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8"/>
      <c r="T84" s="37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8"/>
      <c r="T85" s="37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8"/>
      <c r="T86" s="37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8"/>
      <c r="T87" s="37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8"/>
      <c r="T88" s="37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8"/>
      <c r="T89" s="37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8"/>
      <c r="T90" s="37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8"/>
      <c r="T91" s="37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8"/>
      <c r="T92" s="37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8"/>
      <c r="T93" s="37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8"/>
      <c r="T94" s="37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8"/>
      <c r="T95" s="37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8"/>
      <c r="T96" s="37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8"/>
      <c r="T97" s="37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8"/>
      <c r="T98" s="37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8"/>
      <c r="T99" s="37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8"/>
      <c r="T100" s="37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8"/>
      <c r="T101" s="37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8"/>
      <c r="T102" s="37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8"/>
      <c r="T103" s="37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8"/>
      <c r="T104" s="37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8"/>
      <c r="T105" s="37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8"/>
      <c r="T106" s="37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8"/>
      <c r="T107" s="37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8"/>
      <c r="T108" s="37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8"/>
      <c r="T109" s="37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8"/>
      <c r="T110" s="37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8"/>
      <c r="T111" s="37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8"/>
      <c r="T112" s="37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8"/>
      <c r="T113" s="37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8"/>
      <c r="T114" s="37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8"/>
      <c r="T115" s="37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8"/>
      <c r="T116" s="37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8"/>
      <c r="T117" s="37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8"/>
      <c r="T118" s="37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8"/>
      <c r="T119" s="37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8"/>
      <c r="T120" s="37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8"/>
      <c r="T121" s="37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8"/>
      <c r="T122" s="37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8"/>
      <c r="T123" s="37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8"/>
      <c r="T124" s="37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8"/>
      <c r="T125" s="37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8"/>
      <c r="T126" s="37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8"/>
      <c r="T127" s="37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8"/>
      <c r="T128" s="37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8"/>
      <c r="T129" s="37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8"/>
      <c r="T130" s="37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8"/>
      <c r="T131" s="37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8"/>
      <c r="T132" s="37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8"/>
      <c r="T133" s="37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8"/>
      <c r="T134" s="37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8"/>
      <c r="T135" s="37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8"/>
      <c r="T136" s="37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8"/>
      <c r="T137" s="37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8"/>
      <c r="T138" s="37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8"/>
      <c r="T139" s="37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8"/>
      <c r="T140" s="37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8"/>
      <c r="T141" s="37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8"/>
      <c r="T142" s="37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8"/>
      <c r="T143" s="37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8"/>
      <c r="T144" s="37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8"/>
      <c r="T145" s="37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8"/>
      <c r="T146" s="37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8"/>
      <c r="T147" s="37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8"/>
      <c r="T148" s="37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8"/>
      <c r="T149" s="37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8"/>
      <c r="T150" s="37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8"/>
      <c r="T151" s="37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8"/>
      <c r="T152" s="37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8"/>
      <c r="T153" s="37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8"/>
      <c r="T154" s="37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8"/>
      <c r="T155" s="37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8"/>
      <c r="T156" s="37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8"/>
      <c r="T157" s="37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8"/>
      <c r="T158" s="37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8"/>
      <c r="T159" s="37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8"/>
      <c r="T160" s="37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8"/>
      <c r="T161" s="37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8"/>
      <c r="T162" s="37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8"/>
      <c r="T163" s="37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8"/>
      <c r="T164" s="37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8"/>
      <c r="T165" s="37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8"/>
      <c r="T166" s="37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8"/>
      <c r="T167" s="37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8"/>
      <c r="T168" s="37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8"/>
      <c r="T169" s="37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8"/>
      <c r="T170" s="37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8"/>
      <c r="T171" s="37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8"/>
      <c r="T172" s="37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8"/>
      <c r="T173" s="37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6"/>
      <c r="T174" s="37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9"/>
      <c r="T175" s="37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8"/>
      <c r="T176" s="37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8"/>
      <c r="T177" s="37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8"/>
      <c r="T178" s="37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8"/>
      <c r="T179" s="37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8"/>
      <c r="T180" s="37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8"/>
      <c r="T181" s="37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8"/>
      <c r="T182" s="37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8"/>
      <c r="T183" s="37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8"/>
      <c r="T184" s="37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8"/>
      <c r="T185" s="37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8"/>
      <c r="T186" s="37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8"/>
      <c r="T187" s="37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8"/>
      <c r="T188" s="37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8"/>
      <c r="T189" s="37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8"/>
      <c r="T190" s="37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8"/>
      <c r="T191" s="37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8"/>
      <c r="T192" s="37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8"/>
      <c r="T193" s="37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8"/>
      <c r="T194" s="37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8"/>
      <c r="T195" s="37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8"/>
      <c r="T196" s="37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8"/>
      <c r="T197" s="37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8"/>
      <c r="T198" s="37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8"/>
      <c r="T199" s="37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1"/>
      <c r="C200" s="5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IF(E200="BS",F200," ")</f>
        <v> </v>
      </c>
      <c r="I200" s="45" t="str">
        <f aca="false">IF(E200="BD",F200,"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IF(E200="DL",F200," ")</f>
        <v> </v>
      </c>
      <c r="O200" s="39"/>
      <c r="P200" s="40"/>
      <c r="Q200" s="43"/>
      <c r="R200" s="42"/>
      <c r="S200" s="42"/>
      <c r="T200" s="46" t="str">
        <f aca="false">IF(U200&lt;&gt;0,"Enter Code"," ")</f>
        <v> </v>
      </c>
      <c r="U200" s="45"/>
      <c r="V200" s="45" t="str">
        <f aca="false">IF(T200="BB",U200," ")</f>
        <v> </v>
      </c>
      <c r="W200" s="45" t="str">
        <f aca="false">IF(T200="BS",U200," ")</f>
        <v> </v>
      </c>
      <c r="X200" s="45" t="str">
        <f aca="false">IF(T200="BD",U200," ")</f>
        <v> </v>
      </c>
      <c r="Y200" s="45" t="str">
        <f aca="false">IF(T200="CR",U200," ")</f>
        <v> </v>
      </c>
      <c r="Z200" s="45" t="str">
        <f aca="false">IF(T200="W",U200," ")</f>
        <v> </v>
      </c>
      <c r="AA200" s="45" t="str">
        <f aca="false">IF(T200="B",U200," ")</f>
        <v> </v>
      </c>
      <c r="AB200" s="45" t="str">
        <f aca="false">IF(T200="J",U200," ")</f>
        <v> </v>
      </c>
      <c r="AC200" s="45" t="str">
        <f aca="false">IF(T200="LDR",U200," ")</f>
        <v> </v>
      </c>
      <c r="AD200" s="45" t="str">
        <f aca="false">IF(T200="LCR",U200," ")</f>
        <v> </v>
      </c>
      <c r="AE200" s="45" t="str">
        <f aca="false">IF(T200="RP",U200," ")</f>
        <v> </v>
      </c>
      <c r="AF200" s="45" t="str">
        <f aca="false">IF(T200="RV",U200," ")</f>
        <v> </v>
      </c>
      <c r="AG200" s="45" t="str">
        <f aca="false">IF(T200="RC",U200," ")</f>
        <v> </v>
      </c>
      <c r="AH200" s="45" t="str">
        <f aca="false">IF(T200="RT",U200," ")</f>
        <v> </v>
      </c>
      <c r="AI200" s="45" t="str">
        <f aca="false">IF(T200="DV",U200," ")</f>
        <v> </v>
      </c>
      <c r="AJ200" s="45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4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7" width="9.15"/>
    <col collapsed="false" customWidth="true" hidden="false" outlineLevel="0" max="2" min="2" style="2" width="21.99"/>
    <col collapsed="false" customWidth="true" hidden="false" outlineLevel="0" max="3" min="3" style="48" width="10.5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9" width="9.15"/>
  </cols>
  <sheetData>
    <row r="1" customFormat="false" ht="15" hidden="false" customHeight="true" outlineLevel="0" collapsed="false">
      <c r="A1" s="50" t="n">
        <f aca="false">Dec!A2</f>
        <v>485</v>
      </c>
      <c r="B1" s="8" t="s">
        <v>0</v>
      </c>
      <c r="C1" s="9" t="n">
        <f aca="false">[1]Admin!$B$13</f>
        <v>46388</v>
      </c>
      <c r="D1" s="10" t="s">
        <v>1</v>
      </c>
      <c r="E1" s="11" t="n">
        <f aca="false">F1-SUM(G1:N1)</f>
        <v>0</v>
      </c>
      <c r="F1" s="12" t="n">
        <f aca="false">SUM(F6:F200)</f>
        <v>100</v>
      </c>
      <c r="G1" s="12" t="n">
        <f aca="false">SUM(G6:G200)</f>
        <v>100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3"/>
      <c r="P1" s="14" t="str">
        <f aca="false">IF(T1=0," ","Check all payment code letters entered")</f>
        <v> </v>
      </c>
      <c r="Q1" s="14"/>
      <c r="R1" s="15"/>
      <c r="S1" s="16" t="s">
        <v>1</v>
      </c>
      <c r="T1" s="11" t="n">
        <f aca="false">U1-SUM(V1:AJ1)</f>
        <v>0</v>
      </c>
      <c r="U1" s="12" t="n">
        <f aca="false">SUM(U6:U200)</f>
        <v>25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25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A1+F1-U1</f>
        <v>560</v>
      </c>
      <c r="B2" s="18" t="s">
        <v>2</v>
      </c>
      <c r="C2" s="9" t="n">
        <f aca="false">[1]Admin!$B$14</f>
        <v>46418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13"/>
      <c r="P2" s="14" t="str">
        <f aca="false">IF(E1=0," ","Check all Receipts Code Letters entered")</f>
        <v> </v>
      </c>
      <c r="Q2" s="14"/>
      <c r="R2" s="22" t="s">
        <v>6</v>
      </c>
      <c r="S2" s="23" t="s">
        <v>7</v>
      </c>
      <c r="T2" s="20" t="s">
        <v>4</v>
      </c>
      <c r="U2" s="21" t="s">
        <v>8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46418</v>
      </c>
      <c r="D3" s="19"/>
      <c r="E3" s="20"/>
      <c r="F3" s="23" t="s">
        <v>10</v>
      </c>
      <c r="G3" s="23" t="s">
        <v>11</v>
      </c>
      <c r="H3" s="23" t="s">
        <v>12</v>
      </c>
      <c r="I3" s="23" t="s">
        <v>13</v>
      </c>
      <c r="J3" s="23" t="s">
        <v>14</v>
      </c>
      <c r="K3" s="23" t="s">
        <v>15</v>
      </c>
      <c r="L3" s="23" t="s">
        <v>16</v>
      </c>
      <c r="M3" s="23" t="s">
        <v>17</v>
      </c>
      <c r="N3" s="23" t="s">
        <v>18</v>
      </c>
      <c r="O3" s="13"/>
      <c r="P3" s="26"/>
      <c r="Q3" s="27"/>
      <c r="R3" s="22"/>
      <c r="S3" s="23"/>
      <c r="T3" s="20"/>
      <c r="U3" s="23" t="s">
        <v>19</v>
      </c>
      <c r="V3" s="23" t="s">
        <v>20</v>
      </c>
      <c r="W3" s="23" t="s">
        <v>21</v>
      </c>
      <c r="X3" s="23" t="s">
        <v>22</v>
      </c>
      <c r="Y3" s="23" t="s">
        <v>23</v>
      </c>
      <c r="Z3" s="23" t="s">
        <v>24</v>
      </c>
      <c r="AA3" s="23" t="s">
        <v>25</v>
      </c>
      <c r="AB3" s="23" t="s">
        <v>26</v>
      </c>
      <c r="AC3" s="23" t="s">
        <v>16</v>
      </c>
      <c r="AD3" s="23" t="s">
        <v>17</v>
      </c>
      <c r="AE3" s="23" t="s">
        <v>27</v>
      </c>
      <c r="AF3" s="23" t="s">
        <v>28</v>
      </c>
      <c r="AG3" s="23" t="s">
        <v>29</v>
      </c>
      <c r="AH3" s="23" t="s">
        <v>30</v>
      </c>
      <c r="AI3" s="23" t="s">
        <v>31</v>
      </c>
      <c r="AJ3" s="23" t="s">
        <v>18</v>
      </c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8" t="n">
        <f aca="false">A2-A3</f>
        <v>560</v>
      </c>
      <c r="B4" s="29" t="str">
        <f aca="false">IF(A4=0,"&lt;  Cash Balanced","  Reconcile Cash")</f>
        <v>  Reconcile Cash</v>
      </c>
      <c r="C4" s="29"/>
      <c r="D4" s="19"/>
      <c r="E4" s="20"/>
      <c r="F4" s="23"/>
      <c r="G4" s="23"/>
      <c r="H4" s="23"/>
      <c r="I4" s="23"/>
      <c r="J4" s="23"/>
      <c r="K4" s="23"/>
      <c r="L4" s="23"/>
      <c r="M4" s="23"/>
      <c r="N4" s="23"/>
      <c r="O4" s="13"/>
      <c r="P4" s="30" t="s">
        <v>32</v>
      </c>
      <c r="Q4" s="31" t="s">
        <v>33</v>
      </c>
      <c r="R4" s="22"/>
      <c r="S4" s="23"/>
      <c r="T4" s="20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2" t="s">
        <v>34</v>
      </c>
      <c r="B5" s="33" t="s">
        <v>35</v>
      </c>
      <c r="C5" s="34" t="s">
        <v>36</v>
      </c>
      <c r="D5" s="19"/>
      <c r="E5" s="20"/>
      <c r="F5" s="23"/>
      <c r="G5" s="35" t="s">
        <v>37</v>
      </c>
      <c r="H5" s="35" t="s">
        <v>38</v>
      </c>
      <c r="I5" s="35" t="s">
        <v>39</v>
      </c>
      <c r="J5" s="35" t="s">
        <v>40</v>
      </c>
      <c r="K5" s="35" t="s">
        <v>41</v>
      </c>
      <c r="L5" s="35" t="s">
        <v>42</v>
      </c>
      <c r="M5" s="35" t="s">
        <v>43</v>
      </c>
      <c r="N5" s="35" t="s">
        <v>44</v>
      </c>
      <c r="O5" s="13"/>
      <c r="P5" s="30"/>
      <c r="Q5" s="31"/>
      <c r="R5" s="22"/>
      <c r="S5" s="23"/>
      <c r="T5" s="20"/>
      <c r="U5" s="23"/>
      <c r="V5" s="35" t="s">
        <v>37</v>
      </c>
      <c r="W5" s="35" t="s">
        <v>38</v>
      </c>
      <c r="X5" s="35" t="s">
        <v>39</v>
      </c>
      <c r="Y5" s="35" t="s">
        <v>45</v>
      </c>
      <c r="Z5" s="35" t="s">
        <v>46</v>
      </c>
      <c r="AA5" s="35" t="s">
        <v>47</v>
      </c>
      <c r="AB5" s="35" t="s">
        <v>48</v>
      </c>
      <c r="AC5" s="35" t="s">
        <v>42</v>
      </c>
      <c r="AD5" s="35" t="s">
        <v>43</v>
      </c>
      <c r="AE5" s="35" t="s">
        <v>49</v>
      </c>
      <c r="AF5" s="35" t="s">
        <v>50</v>
      </c>
      <c r="AG5" s="35" t="s">
        <v>51</v>
      </c>
      <c r="AH5" s="35" t="s">
        <v>52</v>
      </c>
      <c r="AI5" s="35" t="s">
        <v>53</v>
      </c>
      <c r="AJ5" s="35" t="s">
        <v>44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A6" s="47" t="n">
        <v>46397</v>
      </c>
      <c r="B6" s="2" t="s">
        <v>57</v>
      </c>
      <c r="C6" s="48" t="s">
        <v>58</v>
      </c>
      <c r="D6" s="4" t="s">
        <v>59</v>
      </c>
      <c r="E6" s="5" t="s">
        <v>37</v>
      </c>
      <c r="F6" s="6" t="n">
        <v>100</v>
      </c>
      <c r="G6" s="6" t="n">
        <f aca="false">IF(E6="BB",F6," ")</f>
        <v>100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6"/>
      <c r="P6" s="1" t="n">
        <v>46397</v>
      </c>
      <c r="Q6" s="4" t="s">
        <v>60</v>
      </c>
      <c r="R6" s="3" t="s">
        <v>61</v>
      </c>
      <c r="S6" s="3" t="s">
        <v>62</v>
      </c>
      <c r="T6" s="37" t="s">
        <v>45</v>
      </c>
      <c r="U6" s="6" t="n">
        <v>25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n">
        <f aca="false">IF(T6="CR",U6," ")</f>
        <v>25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8"/>
      <c r="T7" s="37"/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8"/>
      <c r="T8" s="37"/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8"/>
      <c r="T9" s="37"/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8"/>
      <c r="T10" s="37"/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8"/>
      <c r="T11" s="37"/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8"/>
      <c r="T12" s="37"/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8"/>
      <c r="T13" s="37"/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8"/>
      <c r="T14" s="37"/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8"/>
      <c r="T15" s="37"/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8"/>
      <c r="T16" s="37"/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8"/>
      <c r="T17" s="37"/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8"/>
      <c r="T18" s="37"/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8"/>
      <c r="T19" s="37"/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8"/>
      <c r="T20" s="37"/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8"/>
      <c r="T21" s="37"/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8"/>
      <c r="T22" s="37"/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8"/>
      <c r="T23" s="37"/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8"/>
      <c r="T24" s="37"/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8"/>
      <c r="T25" s="37"/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8"/>
      <c r="T26" s="37"/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8"/>
      <c r="T27" s="37"/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8"/>
      <c r="T28" s="37"/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8"/>
      <c r="T29" s="37"/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8"/>
      <c r="T30" s="37"/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8"/>
      <c r="T31" s="37"/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8"/>
      <c r="T32" s="37"/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8"/>
      <c r="T33" s="37"/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8"/>
      <c r="T34" s="37"/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8"/>
      <c r="T35" s="37"/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8"/>
      <c r="T36" s="37"/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8"/>
      <c r="T37" s="37"/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8"/>
      <c r="T38" s="37"/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8"/>
      <c r="T39" s="37"/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8"/>
      <c r="T40" s="37"/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8"/>
      <c r="T41" s="37"/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8"/>
      <c r="T42" s="37"/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8"/>
      <c r="T43" s="37"/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8"/>
      <c r="T44" s="37"/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8"/>
      <c r="T45" s="37"/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8"/>
      <c r="T46" s="37"/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8"/>
      <c r="T47" s="37"/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8"/>
      <c r="T48" s="37"/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8"/>
      <c r="T49" s="37"/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8"/>
      <c r="T50" s="37"/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8"/>
      <c r="T51" s="37"/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8"/>
      <c r="T52" s="37"/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8"/>
      <c r="T53" s="37"/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8"/>
      <c r="T54" s="37"/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8"/>
      <c r="T55" s="37"/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8"/>
      <c r="T56" s="37"/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8"/>
      <c r="T57" s="37"/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8"/>
      <c r="T58" s="37"/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8"/>
      <c r="T59" s="37"/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8"/>
      <c r="T60" s="37"/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8"/>
      <c r="T61" s="37"/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8"/>
      <c r="T62" s="37"/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8"/>
      <c r="T63" s="37"/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8"/>
      <c r="T64" s="37"/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8"/>
      <c r="T65" s="37"/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8"/>
      <c r="T66" s="37"/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8"/>
      <c r="T67" s="37"/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8"/>
      <c r="T68" s="37"/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8"/>
      <c r="T69" s="37"/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8"/>
      <c r="T70" s="37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8"/>
      <c r="T71" s="37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8"/>
      <c r="T72" s="37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8"/>
      <c r="T73" s="37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8"/>
      <c r="T74" s="37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8"/>
      <c r="T75" s="37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8"/>
      <c r="T76" s="37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8"/>
      <c r="T77" s="37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8"/>
      <c r="T78" s="37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8"/>
      <c r="T79" s="37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8"/>
      <c r="T80" s="37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8"/>
      <c r="T81" s="37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8"/>
      <c r="T82" s="37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8"/>
      <c r="T83" s="37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8"/>
      <c r="T84" s="37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8"/>
      <c r="T85" s="37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8"/>
      <c r="T86" s="37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8"/>
      <c r="T87" s="37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8"/>
      <c r="T88" s="37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8"/>
      <c r="T89" s="37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8"/>
      <c r="T90" s="37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8"/>
      <c r="T91" s="37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8"/>
      <c r="T92" s="37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8"/>
      <c r="T93" s="37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8"/>
      <c r="T94" s="37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8"/>
      <c r="T95" s="37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8"/>
      <c r="T96" s="37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8"/>
      <c r="T97" s="37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8"/>
      <c r="T98" s="37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8"/>
      <c r="T99" s="37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8"/>
      <c r="T100" s="37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8"/>
      <c r="T101" s="37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8"/>
      <c r="T102" s="37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8"/>
      <c r="T103" s="37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8"/>
      <c r="T104" s="37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8"/>
      <c r="T105" s="37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8"/>
      <c r="T106" s="37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8"/>
      <c r="T107" s="37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8"/>
      <c r="T108" s="37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8"/>
      <c r="T109" s="37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8"/>
      <c r="T110" s="37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8"/>
      <c r="T111" s="37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8"/>
      <c r="T112" s="37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8"/>
      <c r="T113" s="37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8"/>
      <c r="T114" s="37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8"/>
      <c r="T115" s="37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8"/>
      <c r="T116" s="37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8"/>
      <c r="T117" s="37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8"/>
      <c r="T118" s="37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8"/>
      <c r="T119" s="37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8"/>
      <c r="T120" s="37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8"/>
      <c r="T121" s="37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8"/>
      <c r="T122" s="37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8"/>
      <c r="T123" s="37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8"/>
      <c r="T124" s="37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8"/>
      <c r="T125" s="37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8"/>
      <c r="T126" s="37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8"/>
      <c r="T127" s="37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8"/>
      <c r="T128" s="37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8"/>
      <c r="T129" s="37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8"/>
      <c r="T130" s="37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8"/>
      <c r="T131" s="37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8"/>
      <c r="T132" s="37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8"/>
      <c r="T133" s="37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8"/>
      <c r="T134" s="37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8"/>
      <c r="T135" s="37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8"/>
      <c r="T136" s="37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8"/>
      <c r="T137" s="37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8"/>
      <c r="T138" s="37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8"/>
      <c r="T139" s="37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8"/>
      <c r="T140" s="37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8"/>
      <c r="T141" s="37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8"/>
      <c r="T142" s="37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8"/>
      <c r="T143" s="37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8"/>
      <c r="T144" s="37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8"/>
      <c r="T145" s="37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8"/>
      <c r="T146" s="37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8"/>
      <c r="T147" s="37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8"/>
      <c r="T148" s="37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8"/>
      <c r="T149" s="37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8"/>
      <c r="T150" s="37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8"/>
      <c r="T151" s="37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8"/>
      <c r="T152" s="37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8"/>
      <c r="T153" s="37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8"/>
      <c r="T154" s="37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8"/>
      <c r="T155" s="37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8"/>
      <c r="T156" s="37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8"/>
      <c r="T157" s="37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8"/>
      <c r="T158" s="37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8"/>
      <c r="T159" s="37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8"/>
      <c r="T160" s="37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8"/>
      <c r="T161" s="37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8"/>
      <c r="T162" s="37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8"/>
      <c r="T163" s="37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8"/>
      <c r="T164" s="37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8"/>
      <c r="T165" s="37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8"/>
      <c r="T166" s="37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8"/>
      <c r="T167" s="37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8"/>
      <c r="T168" s="37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8"/>
      <c r="T169" s="37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8"/>
      <c r="T170" s="37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8"/>
      <c r="T171" s="37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8"/>
      <c r="T172" s="37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8"/>
      <c r="T173" s="37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6"/>
      <c r="T174" s="37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9"/>
      <c r="T175" s="37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8"/>
      <c r="T176" s="37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8"/>
      <c r="T177" s="37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8"/>
      <c r="T178" s="37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8"/>
      <c r="T179" s="37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8"/>
      <c r="T180" s="37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8"/>
      <c r="T181" s="37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8"/>
      <c r="T182" s="37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8"/>
      <c r="T183" s="37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8"/>
      <c r="T184" s="37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8"/>
      <c r="T185" s="37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8"/>
      <c r="T186" s="37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8"/>
      <c r="T187" s="37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8"/>
      <c r="T188" s="37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8"/>
      <c r="T189" s="37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8"/>
      <c r="T190" s="37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8"/>
      <c r="T191" s="37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8"/>
      <c r="T192" s="37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8"/>
      <c r="T193" s="37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8"/>
      <c r="T194" s="37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8"/>
      <c r="T195" s="37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8"/>
      <c r="T196" s="37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8"/>
      <c r="T197" s="37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8"/>
      <c r="T198" s="37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8"/>
      <c r="T199" s="37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1"/>
      <c r="C200" s="5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IF(E200="BS",F200," ")</f>
        <v> </v>
      </c>
      <c r="I200" s="45" t="str">
        <f aca="false">IF(E200="BD",F200,"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IF(E200="DL",F200," ")</f>
        <v> </v>
      </c>
      <c r="O200" s="39"/>
      <c r="P200" s="40"/>
      <c r="Q200" s="43"/>
      <c r="R200" s="42"/>
      <c r="S200" s="42"/>
      <c r="T200" s="46" t="str">
        <f aca="false">IF(U200&lt;&gt;0,"Enter Code"," ")</f>
        <v> </v>
      </c>
      <c r="U200" s="45"/>
      <c r="V200" s="45" t="str">
        <f aca="false">IF(T200="BB",U200," ")</f>
        <v> </v>
      </c>
      <c r="W200" s="45" t="str">
        <f aca="false">IF(T200="BS",U200," ")</f>
        <v> </v>
      </c>
      <c r="X200" s="45" t="str">
        <f aca="false">IF(T200="BD",U200," ")</f>
        <v> </v>
      </c>
      <c r="Y200" s="45" t="str">
        <f aca="false">IF(T200="CR",U200," ")</f>
        <v> </v>
      </c>
      <c r="Z200" s="45" t="str">
        <f aca="false">IF(T200="W",U200," ")</f>
        <v> </v>
      </c>
      <c r="AA200" s="45" t="str">
        <f aca="false">IF(T200="B",U200," ")</f>
        <v> </v>
      </c>
      <c r="AB200" s="45" t="str">
        <f aca="false">IF(T200="J",U200," ")</f>
        <v> </v>
      </c>
      <c r="AC200" s="45" t="str">
        <f aca="false">IF(T200="LDR",U200," ")</f>
        <v> </v>
      </c>
      <c r="AD200" s="45" t="str">
        <f aca="false">IF(T200="LCR",U200," ")</f>
        <v> </v>
      </c>
      <c r="AE200" s="45" t="str">
        <f aca="false">IF(T200="RP",U200," ")</f>
        <v> </v>
      </c>
      <c r="AF200" s="45" t="str">
        <f aca="false">IF(T200="RV",U200," ")</f>
        <v> </v>
      </c>
      <c r="AG200" s="45" t="str">
        <f aca="false">IF(T200="RC",U200," ")</f>
        <v> </v>
      </c>
      <c r="AH200" s="45" t="str">
        <f aca="false">IF(T200="RT",U200," ")</f>
        <v> </v>
      </c>
      <c r="AI200" s="45" t="str">
        <f aca="false">IF(T200="DV",U200," ")</f>
        <v> </v>
      </c>
      <c r="AJ200" s="45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4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7" width="9.15"/>
    <col collapsed="false" customWidth="true" hidden="false" outlineLevel="0" max="2" min="2" style="2" width="21.99"/>
    <col collapsed="false" customWidth="true" hidden="false" outlineLevel="0" max="3" min="3" style="48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9" width="9.15"/>
  </cols>
  <sheetData>
    <row r="1" customFormat="false" ht="15" hidden="false" customHeight="true" outlineLevel="0" collapsed="false">
      <c r="A1" s="50" t="n">
        <f aca="false">Jan!A2</f>
        <v>560</v>
      </c>
      <c r="B1" s="8" t="s">
        <v>0</v>
      </c>
      <c r="C1" s="9" t="n">
        <f aca="false">[1]Admin!$B$15</f>
        <v>46419</v>
      </c>
      <c r="D1" s="10" t="s">
        <v>1</v>
      </c>
      <c r="E1" s="11" t="n">
        <f aca="false">F1-SUM(G1:N1)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3"/>
      <c r="P1" s="14" t="str">
        <f aca="false">IF(T1=0," ","Check all payment code letters entered")</f>
        <v> </v>
      </c>
      <c r="Q1" s="14"/>
      <c r="R1" s="15"/>
      <c r="S1" s="16" t="s">
        <v>1</v>
      </c>
      <c r="T1" s="11" t="n">
        <f aca="false">U1-SUM(V1:AJ1)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A1+F1-U1</f>
        <v>560</v>
      </c>
      <c r="B2" s="18" t="s">
        <v>2</v>
      </c>
      <c r="C2" s="9" t="n">
        <f aca="false">[1]Admin!$B$16</f>
        <v>46446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13"/>
      <c r="P2" s="14" t="str">
        <f aca="false">IF(E1=0," ","Check all Receipts Code Letters entered")</f>
        <v> </v>
      </c>
      <c r="Q2" s="14"/>
      <c r="R2" s="22" t="s">
        <v>6</v>
      </c>
      <c r="S2" s="23" t="s">
        <v>7</v>
      </c>
      <c r="T2" s="20" t="s">
        <v>4</v>
      </c>
      <c r="U2" s="21" t="s">
        <v>8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46446</v>
      </c>
      <c r="D3" s="19"/>
      <c r="E3" s="20"/>
      <c r="F3" s="23" t="s">
        <v>10</v>
      </c>
      <c r="G3" s="23" t="s">
        <v>11</v>
      </c>
      <c r="H3" s="23" t="s">
        <v>12</v>
      </c>
      <c r="I3" s="23" t="s">
        <v>13</v>
      </c>
      <c r="J3" s="23" t="s">
        <v>14</v>
      </c>
      <c r="K3" s="23" t="s">
        <v>15</v>
      </c>
      <c r="L3" s="23" t="s">
        <v>16</v>
      </c>
      <c r="M3" s="23" t="s">
        <v>17</v>
      </c>
      <c r="N3" s="23" t="s">
        <v>18</v>
      </c>
      <c r="O3" s="13"/>
      <c r="P3" s="26"/>
      <c r="Q3" s="27"/>
      <c r="R3" s="22"/>
      <c r="S3" s="23"/>
      <c r="T3" s="20"/>
      <c r="U3" s="23" t="s">
        <v>19</v>
      </c>
      <c r="V3" s="23" t="s">
        <v>20</v>
      </c>
      <c r="W3" s="23" t="s">
        <v>21</v>
      </c>
      <c r="X3" s="23" t="s">
        <v>22</v>
      </c>
      <c r="Y3" s="23" t="s">
        <v>23</v>
      </c>
      <c r="Z3" s="23" t="s">
        <v>24</v>
      </c>
      <c r="AA3" s="23" t="s">
        <v>25</v>
      </c>
      <c r="AB3" s="23" t="s">
        <v>26</v>
      </c>
      <c r="AC3" s="23" t="s">
        <v>16</v>
      </c>
      <c r="AD3" s="23" t="s">
        <v>17</v>
      </c>
      <c r="AE3" s="23" t="s">
        <v>27</v>
      </c>
      <c r="AF3" s="23" t="s">
        <v>28</v>
      </c>
      <c r="AG3" s="23" t="s">
        <v>29</v>
      </c>
      <c r="AH3" s="23" t="s">
        <v>30</v>
      </c>
      <c r="AI3" s="23" t="s">
        <v>31</v>
      </c>
      <c r="AJ3" s="23" t="s">
        <v>18</v>
      </c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8" t="n">
        <f aca="false">A2-A3</f>
        <v>560</v>
      </c>
      <c r="B4" s="29" t="str">
        <f aca="false">IF(A4=0,"&lt;  Cash Balanced","  Reconcile Cash")</f>
        <v>  Reconcile Cash</v>
      </c>
      <c r="C4" s="29"/>
      <c r="D4" s="19"/>
      <c r="E4" s="20"/>
      <c r="F4" s="23"/>
      <c r="G4" s="23"/>
      <c r="H4" s="23"/>
      <c r="I4" s="23"/>
      <c r="J4" s="23"/>
      <c r="K4" s="23"/>
      <c r="L4" s="23"/>
      <c r="M4" s="23"/>
      <c r="N4" s="23"/>
      <c r="O4" s="13"/>
      <c r="P4" s="30" t="s">
        <v>32</v>
      </c>
      <c r="Q4" s="31" t="s">
        <v>33</v>
      </c>
      <c r="R4" s="22"/>
      <c r="S4" s="23"/>
      <c r="T4" s="20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2" t="s">
        <v>34</v>
      </c>
      <c r="B5" s="33" t="s">
        <v>35</v>
      </c>
      <c r="C5" s="34" t="s">
        <v>36</v>
      </c>
      <c r="D5" s="19"/>
      <c r="E5" s="20"/>
      <c r="F5" s="23"/>
      <c r="G5" s="35" t="s">
        <v>37</v>
      </c>
      <c r="H5" s="35" t="s">
        <v>38</v>
      </c>
      <c r="I5" s="35" t="s">
        <v>39</v>
      </c>
      <c r="J5" s="35" t="s">
        <v>40</v>
      </c>
      <c r="K5" s="35" t="s">
        <v>41</v>
      </c>
      <c r="L5" s="35" t="s">
        <v>42</v>
      </c>
      <c r="M5" s="35" t="s">
        <v>43</v>
      </c>
      <c r="N5" s="35" t="s">
        <v>44</v>
      </c>
      <c r="O5" s="13"/>
      <c r="P5" s="30"/>
      <c r="Q5" s="31"/>
      <c r="R5" s="22"/>
      <c r="S5" s="23"/>
      <c r="T5" s="20"/>
      <c r="U5" s="23"/>
      <c r="V5" s="35" t="s">
        <v>37</v>
      </c>
      <c r="W5" s="35" t="s">
        <v>38</v>
      </c>
      <c r="X5" s="35" t="s">
        <v>39</v>
      </c>
      <c r="Y5" s="35" t="s">
        <v>45</v>
      </c>
      <c r="Z5" s="35" t="s">
        <v>46</v>
      </c>
      <c r="AA5" s="35" t="s">
        <v>47</v>
      </c>
      <c r="AB5" s="35" t="s">
        <v>48</v>
      </c>
      <c r="AC5" s="35" t="s">
        <v>42</v>
      </c>
      <c r="AD5" s="35" t="s">
        <v>43</v>
      </c>
      <c r="AE5" s="35" t="s">
        <v>49</v>
      </c>
      <c r="AF5" s="35" t="s">
        <v>50</v>
      </c>
      <c r="AG5" s="35" t="s">
        <v>51</v>
      </c>
      <c r="AH5" s="35" t="s">
        <v>52</v>
      </c>
      <c r="AI5" s="35" t="s">
        <v>53</v>
      </c>
      <c r="AJ5" s="35" t="s">
        <v>44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6"/>
      <c r="T6" s="37" t="str">
        <f aca="false">IF(U6&lt;&gt;0,"Enter Code"," ")</f>
        <v> 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str">
        <f aca="false">IF(T6="CR",U6," ")</f>
        <v> 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8"/>
      <c r="T7" s="37" t="str">
        <f aca="false">IF(U7&lt;&gt;0,"Enter Code"," ")</f>
        <v> </v>
      </c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8"/>
      <c r="T8" s="37" t="str">
        <f aca="false">IF(U8&lt;&gt;0,"Enter Code"," ")</f>
        <v> </v>
      </c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8"/>
      <c r="T9" s="37" t="str">
        <f aca="false">IF(U9&lt;&gt;0,"Enter Code"," ")</f>
        <v> </v>
      </c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8"/>
      <c r="T10" s="37" t="str">
        <f aca="false">IF(U10&lt;&gt;0,"Enter Code"," ")</f>
        <v> </v>
      </c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8"/>
      <c r="T11" s="37" t="str">
        <f aca="false">IF(U11&lt;&gt;0,"Enter Code"," ")</f>
        <v> </v>
      </c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8"/>
      <c r="T12" s="37" t="str">
        <f aca="false">IF(U12&lt;&gt;0,"Enter Code"," ")</f>
        <v> </v>
      </c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8"/>
      <c r="T13" s="37" t="str">
        <f aca="false">IF(U13&lt;&gt;0,"Enter Code"," ")</f>
        <v> </v>
      </c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8"/>
      <c r="T14" s="37" t="str">
        <f aca="false">IF(U14&lt;&gt;0,"Enter Code"," ")</f>
        <v> </v>
      </c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8"/>
      <c r="T15" s="37" t="str">
        <f aca="false">IF(U15&lt;&gt;0,"Enter Code"," ")</f>
        <v> </v>
      </c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8"/>
      <c r="T16" s="37" t="str">
        <f aca="false">IF(U16&lt;&gt;0,"Enter Code"," ")</f>
        <v> </v>
      </c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8"/>
      <c r="T17" s="37" t="str">
        <f aca="false">IF(U17&lt;&gt;0,"Enter Code"," ")</f>
        <v> </v>
      </c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8"/>
      <c r="T18" s="37" t="str">
        <f aca="false">IF(U18&lt;&gt;0,"Enter Code"," ")</f>
        <v> </v>
      </c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8"/>
      <c r="T19" s="37" t="str">
        <f aca="false">IF(U19&lt;&gt;0,"Enter Code"," ")</f>
        <v> </v>
      </c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8"/>
      <c r="T20" s="37" t="str">
        <f aca="false">IF(U20&lt;&gt;0,"Enter Code"," ")</f>
        <v> </v>
      </c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8"/>
      <c r="T21" s="37" t="str">
        <f aca="false">IF(U21&lt;&gt;0,"Enter Code"," ")</f>
        <v> </v>
      </c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8"/>
      <c r="T22" s="37" t="str">
        <f aca="false">IF(U22&lt;&gt;0,"Enter Code"," ")</f>
        <v> </v>
      </c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8"/>
      <c r="T23" s="37" t="str">
        <f aca="false">IF(U23&lt;&gt;0,"Enter Code"," ")</f>
        <v> </v>
      </c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8"/>
      <c r="T24" s="37" t="str">
        <f aca="false">IF(U24&lt;&gt;0,"Enter Code"," ")</f>
        <v> </v>
      </c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8"/>
      <c r="T25" s="37" t="str">
        <f aca="false">IF(U25&lt;&gt;0,"Enter Code"," ")</f>
        <v> </v>
      </c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8"/>
      <c r="T26" s="37" t="str">
        <f aca="false">IF(U26&lt;&gt;0,"Enter Code"," ")</f>
        <v> </v>
      </c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8"/>
      <c r="T27" s="37" t="str">
        <f aca="false">IF(U27&lt;&gt;0,"Enter Code"," ")</f>
        <v> </v>
      </c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8"/>
      <c r="T28" s="37" t="str">
        <f aca="false">IF(U28&lt;&gt;0,"Enter Code"," ")</f>
        <v> </v>
      </c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8"/>
      <c r="T29" s="37" t="str">
        <f aca="false">IF(U29&lt;&gt;0,"Enter Code"," ")</f>
        <v> </v>
      </c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8"/>
      <c r="T30" s="37" t="str">
        <f aca="false">IF(U30&lt;&gt;0,"Enter Code"," ")</f>
        <v> </v>
      </c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8"/>
      <c r="T31" s="37" t="str">
        <f aca="false">IF(U31&lt;&gt;0,"Enter Code"," ")</f>
        <v> </v>
      </c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8"/>
      <c r="T32" s="37" t="str">
        <f aca="false">IF(U32&lt;&gt;0,"Enter Code"," ")</f>
        <v> </v>
      </c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8"/>
      <c r="T33" s="37" t="str">
        <f aca="false">IF(U33&lt;&gt;0,"Enter Code"," ")</f>
        <v> </v>
      </c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8"/>
      <c r="T34" s="37" t="str">
        <f aca="false">IF(U34&lt;&gt;0,"Enter Code"," ")</f>
        <v> </v>
      </c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8"/>
      <c r="T35" s="37" t="str">
        <f aca="false">IF(U35&lt;&gt;0,"Enter Code"," ")</f>
        <v> </v>
      </c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8"/>
      <c r="T36" s="37" t="str">
        <f aca="false">IF(U36&lt;&gt;0,"Enter Code"," ")</f>
        <v> </v>
      </c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8"/>
      <c r="T37" s="37" t="str">
        <f aca="false">IF(U37&lt;&gt;0,"Enter Code"," ")</f>
        <v> </v>
      </c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8"/>
      <c r="T38" s="37" t="str">
        <f aca="false">IF(U38&lt;&gt;0,"Enter Code"," ")</f>
        <v> </v>
      </c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8"/>
      <c r="T39" s="37" t="str">
        <f aca="false">IF(U39&lt;&gt;0,"Enter Code"," ")</f>
        <v> </v>
      </c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8"/>
      <c r="T40" s="37" t="str">
        <f aca="false">IF(U40&lt;&gt;0,"Enter Code"," ")</f>
        <v> </v>
      </c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8"/>
      <c r="T41" s="37" t="str">
        <f aca="false">IF(U41&lt;&gt;0,"Enter Code"," ")</f>
        <v> </v>
      </c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8"/>
      <c r="T42" s="37" t="str">
        <f aca="false">IF(U42&lt;&gt;0,"Enter Code"," ")</f>
        <v> </v>
      </c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8"/>
      <c r="T43" s="37" t="str">
        <f aca="false">IF(U43&lt;&gt;0,"Enter Code"," ")</f>
        <v> </v>
      </c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8"/>
      <c r="T44" s="37" t="str">
        <f aca="false">IF(U44&lt;&gt;0,"Enter Code"," ")</f>
        <v> </v>
      </c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8"/>
      <c r="T45" s="37" t="str">
        <f aca="false">IF(U45&lt;&gt;0,"Enter Code"," ")</f>
        <v> </v>
      </c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8"/>
      <c r="T46" s="37" t="str">
        <f aca="false">IF(U46&lt;&gt;0,"Enter Code"," ")</f>
        <v> </v>
      </c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8"/>
      <c r="T47" s="37" t="str">
        <f aca="false">IF(U47&lt;&gt;0,"Enter Code"," ")</f>
        <v> </v>
      </c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8"/>
      <c r="T48" s="37" t="str">
        <f aca="false">IF(U48&lt;&gt;0,"Enter Code"," ")</f>
        <v> </v>
      </c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8"/>
      <c r="T49" s="37" t="str">
        <f aca="false">IF(U49&lt;&gt;0,"Enter Code"," ")</f>
        <v> </v>
      </c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8"/>
      <c r="T50" s="37" t="str">
        <f aca="false">IF(U50&lt;&gt;0,"Enter Code"," ")</f>
        <v> </v>
      </c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8"/>
      <c r="T51" s="37" t="str">
        <f aca="false">IF(U51&lt;&gt;0,"Enter Code"," ")</f>
        <v> </v>
      </c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8"/>
      <c r="T52" s="37" t="str">
        <f aca="false">IF(U52&lt;&gt;0,"Enter Code"," ")</f>
        <v> </v>
      </c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8"/>
      <c r="T53" s="37" t="str">
        <f aca="false">IF(U53&lt;&gt;0,"Enter Code"," ")</f>
        <v> </v>
      </c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8"/>
      <c r="T54" s="37" t="str">
        <f aca="false">IF(U54&lt;&gt;0,"Enter Code"," ")</f>
        <v> </v>
      </c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8"/>
      <c r="T55" s="37" t="str">
        <f aca="false">IF(U55&lt;&gt;0,"Enter Code"," ")</f>
        <v> </v>
      </c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8"/>
      <c r="T56" s="37" t="str">
        <f aca="false">IF(U56&lt;&gt;0,"Enter Code"," ")</f>
        <v> </v>
      </c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8"/>
      <c r="T57" s="37" t="str">
        <f aca="false">IF(U57&lt;&gt;0,"Enter Code"," ")</f>
        <v> </v>
      </c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8"/>
      <c r="T58" s="37" t="str">
        <f aca="false">IF(U58&lt;&gt;0,"Enter Code"," ")</f>
        <v> </v>
      </c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8"/>
      <c r="T59" s="37" t="str">
        <f aca="false">IF(U59&lt;&gt;0,"Enter Code"," ")</f>
        <v> </v>
      </c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8"/>
      <c r="T60" s="37" t="str">
        <f aca="false">IF(U60&lt;&gt;0,"Enter Code"," ")</f>
        <v> </v>
      </c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8"/>
      <c r="T61" s="37" t="str">
        <f aca="false">IF(U61&lt;&gt;0,"Enter Code"," ")</f>
        <v> </v>
      </c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8"/>
      <c r="T62" s="37" t="str">
        <f aca="false">IF(U62&lt;&gt;0,"Enter Code"," ")</f>
        <v> </v>
      </c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8"/>
      <c r="T63" s="37" t="str">
        <f aca="false">IF(U63&lt;&gt;0,"Enter Code"," ")</f>
        <v> </v>
      </c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8"/>
      <c r="T64" s="37" t="str">
        <f aca="false">IF(U64&lt;&gt;0,"Enter Code"," ")</f>
        <v> </v>
      </c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8"/>
      <c r="T65" s="37" t="str">
        <f aca="false">IF(U65&lt;&gt;0,"Enter Code"," ")</f>
        <v> </v>
      </c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8"/>
      <c r="T66" s="37" t="str">
        <f aca="false">IF(U66&lt;&gt;0,"Enter Code"," ")</f>
        <v> </v>
      </c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8"/>
      <c r="T67" s="37" t="str">
        <f aca="false">IF(U67&lt;&gt;0,"Enter Code"," ")</f>
        <v> </v>
      </c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8"/>
      <c r="T68" s="37" t="str">
        <f aca="false">IF(U68&lt;&gt;0,"Enter Code"," ")</f>
        <v> </v>
      </c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8"/>
      <c r="T69" s="37" t="str">
        <f aca="false">IF(U69&lt;&gt;0,"Enter Code"," ")</f>
        <v> </v>
      </c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8"/>
      <c r="T70" s="37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8"/>
      <c r="T71" s="37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8"/>
      <c r="T72" s="37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8"/>
      <c r="T73" s="37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8"/>
      <c r="T74" s="37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8"/>
      <c r="T75" s="37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8"/>
      <c r="T76" s="37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8"/>
      <c r="T77" s="37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8"/>
      <c r="T78" s="37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8"/>
      <c r="T79" s="37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8"/>
      <c r="T80" s="37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8"/>
      <c r="T81" s="37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8"/>
      <c r="T82" s="37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8"/>
      <c r="T83" s="37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8"/>
      <c r="T84" s="37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8"/>
      <c r="T85" s="37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8"/>
      <c r="T86" s="37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8"/>
      <c r="T87" s="37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8"/>
      <c r="T88" s="37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8"/>
      <c r="T89" s="37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8"/>
      <c r="T90" s="37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8"/>
      <c r="T91" s="37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8"/>
      <c r="T92" s="37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8"/>
      <c r="T93" s="37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8"/>
      <c r="T94" s="37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8"/>
      <c r="T95" s="37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8"/>
      <c r="T96" s="37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8"/>
      <c r="T97" s="37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8"/>
      <c r="T98" s="37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8"/>
      <c r="T99" s="37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8"/>
      <c r="T100" s="37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8"/>
      <c r="T101" s="37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8"/>
      <c r="T102" s="37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8"/>
      <c r="T103" s="37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8"/>
      <c r="T104" s="37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8"/>
      <c r="T105" s="37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8"/>
      <c r="T106" s="37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8"/>
      <c r="T107" s="37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8"/>
      <c r="T108" s="37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8"/>
      <c r="T109" s="37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8"/>
      <c r="T110" s="37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8"/>
      <c r="T111" s="37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8"/>
      <c r="T112" s="37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8"/>
      <c r="T113" s="37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8"/>
      <c r="T114" s="37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8"/>
      <c r="T115" s="37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8"/>
      <c r="T116" s="37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8"/>
      <c r="T117" s="37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8"/>
      <c r="T118" s="37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8"/>
      <c r="T119" s="37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8"/>
      <c r="T120" s="37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8"/>
      <c r="T121" s="37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8"/>
      <c r="T122" s="37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8"/>
      <c r="T123" s="37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8"/>
      <c r="T124" s="37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8"/>
      <c r="T125" s="37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8"/>
      <c r="T126" s="37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8"/>
      <c r="T127" s="37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8"/>
      <c r="T128" s="37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8"/>
      <c r="T129" s="37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8"/>
      <c r="T130" s="37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8"/>
      <c r="T131" s="37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8"/>
      <c r="T132" s="37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8"/>
      <c r="T133" s="37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8"/>
      <c r="T134" s="37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8"/>
      <c r="T135" s="37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8"/>
      <c r="T136" s="37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8"/>
      <c r="T137" s="37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8"/>
      <c r="T138" s="37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8"/>
      <c r="T139" s="37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8"/>
      <c r="T140" s="37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8"/>
      <c r="T141" s="37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8"/>
      <c r="T142" s="37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8"/>
      <c r="T143" s="37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8"/>
      <c r="T144" s="37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8"/>
      <c r="T145" s="37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8"/>
      <c r="T146" s="37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8"/>
      <c r="T147" s="37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8"/>
      <c r="T148" s="37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8"/>
      <c r="T149" s="37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8"/>
      <c r="T150" s="37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8"/>
      <c r="T151" s="37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8"/>
      <c r="T152" s="37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8"/>
      <c r="T153" s="37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8"/>
      <c r="T154" s="37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8"/>
      <c r="T155" s="37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8"/>
      <c r="T156" s="37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8"/>
      <c r="T157" s="37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8"/>
      <c r="T158" s="37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8"/>
      <c r="T159" s="37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8"/>
      <c r="T160" s="37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8"/>
      <c r="T161" s="37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8"/>
      <c r="T162" s="37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8"/>
      <c r="T163" s="37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8"/>
      <c r="T164" s="37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8"/>
      <c r="T165" s="37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8"/>
      <c r="T166" s="37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8"/>
      <c r="T167" s="37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8"/>
      <c r="T168" s="37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8"/>
      <c r="T169" s="37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8"/>
      <c r="T170" s="37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8"/>
      <c r="T171" s="37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8"/>
      <c r="T172" s="37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8"/>
      <c r="T173" s="37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6"/>
      <c r="T174" s="37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9"/>
      <c r="T175" s="37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8"/>
      <c r="T176" s="37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8"/>
      <c r="T177" s="37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8"/>
      <c r="T178" s="37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8"/>
      <c r="T179" s="37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8"/>
      <c r="T180" s="37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8"/>
      <c r="T181" s="37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8"/>
      <c r="T182" s="37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8"/>
      <c r="T183" s="37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8"/>
      <c r="T184" s="37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8"/>
      <c r="T185" s="37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8"/>
      <c r="T186" s="37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8"/>
      <c r="T187" s="37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8"/>
      <c r="T188" s="37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8"/>
      <c r="T189" s="37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8"/>
      <c r="T190" s="37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8"/>
      <c r="T191" s="37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8"/>
      <c r="T192" s="37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8"/>
      <c r="T193" s="37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8"/>
      <c r="T194" s="37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8"/>
      <c r="T195" s="37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8"/>
      <c r="T196" s="37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8"/>
      <c r="T197" s="37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8"/>
      <c r="T198" s="37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8"/>
      <c r="T199" s="37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1"/>
      <c r="C200" s="5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IF(E200="BS",F200," ")</f>
        <v> </v>
      </c>
      <c r="I200" s="45" t="str">
        <f aca="false">IF(E200="BD",F200,"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IF(E200="DL",F200," ")</f>
        <v> </v>
      </c>
      <c r="O200" s="39"/>
      <c r="P200" s="40"/>
      <c r="Q200" s="43"/>
      <c r="R200" s="42"/>
      <c r="S200" s="42"/>
      <c r="T200" s="46" t="str">
        <f aca="false">IF(U200&lt;&gt;0,"Enter Code"," ")</f>
        <v> </v>
      </c>
      <c r="U200" s="45"/>
      <c r="V200" s="45" t="str">
        <f aca="false">IF(T200="BB",U200," ")</f>
        <v> </v>
      </c>
      <c r="W200" s="45" t="str">
        <f aca="false">IF(T200="BS",U200," ")</f>
        <v> </v>
      </c>
      <c r="X200" s="45" t="str">
        <f aca="false">IF(T200="BD",U200," ")</f>
        <v> </v>
      </c>
      <c r="Y200" s="45" t="str">
        <f aca="false">IF(T200="CR",U200," ")</f>
        <v> </v>
      </c>
      <c r="Z200" s="45" t="str">
        <f aca="false">IF(T200="W",U200," ")</f>
        <v> </v>
      </c>
      <c r="AA200" s="45" t="str">
        <f aca="false">IF(T200="B",U200," ")</f>
        <v> </v>
      </c>
      <c r="AB200" s="45" t="str">
        <f aca="false">IF(T200="J",U200," ")</f>
        <v> </v>
      </c>
      <c r="AC200" s="45" t="str">
        <f aca="false">IF(T200="LDR",U200," ")</f>
        <v> </v>
      </c>
      <c r="AD200" s="45" t="str">
        <f aca="false">IF(T200="LCR",U200," ")</f>
        <v> </v>
      </c>
      <c r="AE200" s="45" t="str">
        <f aca="false">IF(T200="RP",U200," ")</f>
        <v> </v>
      </c>
      <c r="AF200" s="45" t="str">
        <f aca="false">IF(T200="RV",U200," ")</f>
        <v> </v>
      </c>
      <c r="AG200" s="45" t="str">
        <f aca="false">IF(T200="RC",U200," ")</f>
        <v> </v>
      </c>
      <c r="AH200" s="45" t="str">
        <f aca="false">IF(T200="RT",U200," ")</f>
        <v> </v>
      </c>
      <c r="AI200" s="45" t="str">
        <f aca="false">IF(T200="DV",U200," ")</f>
        <v> </v>
      </c>
      <c r="AJ200" s="45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4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7" width="9.15"/>
    <col collapsed="false" customWidth="true" hidden="false" outlineLevel="0" max="2" min="2" style="2" width="21.99"/>
    <col collapsed="false" customWidth="true" hidden="false" outlineLevel="0" max="3" min="3" style="48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9" width="9.15"/>
  </cols>
  <sheetData>
    <row r="1" customFormat="false" ht="15" hidden="false" customHeight="true" outlineLevel="0" collapsed="false">
      <c r="A1" s="50" t="n">
        <f aca="false">Feb!A2</f>
        <v>560</v>
      </c>
      <c r="B1" s="8" t="s">
        <v>0</v>
      </c>
      <c r="C1" s="9" t="n">
        <f aca="false">[1]Admin!$B$17</f>
        <v>46447</v>
      </c>
      <c r="D1" s="10" t="s">
        <v>1</v>
      </c>
      <c r="E1" s="11" t="n">
        <f aca="false">F1-SUM(G1:N1)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3"/>
      <c r="P1" s="14" t="str">
        <f aca="false">IF(T1=0," ","Check all payment code letters entered")</f>
        <v> </v>
      </c>
      <c r="Q1" s="14"/>
      <c r="R1" s="15"/>
      <c r="S1" s="16" t="s">
        <v>1</v>
      </c>
      <c r="T1" s="11" t="n">
        <f aca="false">U1-SUM(V1:AJ1)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A1+F1-U1</f>
        <v>560</v>
      </c>
      <c r="B2" s="18" t="s">
        <v>2</v>
      </c>
      <c r="C2" s="9" t="n">
        <f aca="false">[1]Admin!$B$18</f>
        <v>46477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13"/>
      <c r="P2" s="14" t="str">
        <f aca="false">IF(E1=0," ","Check all Receipts Code Letters entered")</f>
        <v> </v>
      </c>
      <c r="Q2" s="14"/>
      <c r="R2" s="22" t="s">
        <v>6</v>
      </c>
      <c r="S2" s="23" t="s">
        <v>7</v>
      </c>
      <c r="T2" s="20" t="s">
        <v>4</v>
      </c>
      <c r="U2" s="21" t="s">
        <v>8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46477</v>
      </c>
      <c r="D3" s="19"/>
      <c r="E3" s="20"/>
      <c r="F3" s="23" t="s">
        <v>10</v>
      </c>
      <c r="G3" s="23" t="s">
        <v>11</v>
      </c>
      <c r="H3" s="23" t="s">
        <v>12</v>
      </c>
      <c r="I3" s="23" t="s">
        <v>13</v>
      </c>
      <c r="J3" s="23" t="s">
        <v>14</v>
      </c>
      <c r="K3" s="23" t="s">
        <v>15</v>
      </c>
      <c r="L3" s="23" t="s">
        <v>16</v>
      </c>
      <c r="M3" s="23" t="s">
        <v>17</v>
      </c>
      <c r="N3" s="23" t="s">
        <v>18</v>
      </c>
      <c r="O3" s="13"/>
      <c r="P3" s="26"/>
      <c r="Q3" s="27"/>
      <c r="R3" s="22"/>
      <c r="S3" s="23"/>
      <c r="T3" s="20"/>
      <c r="U3" s="23" t="s">
        <v>19</v>
      </c>
      <c r="V3" s="23" t="s">
        <v>20</v>
      </c>
      <c r="W3" s="23" t="s">
        <v>21</v>
      </c>
      <c r="X3" s="23" t="s">
        <v>22</v>
      </c>
      <c r="Y3" s="23" t="s">
        <v>23</v>
      </c>
      <c r="Z3" s="23" t="s">
        <v>24</v>
      </c>
      <c r="AA3" s="23" t="s">
        <v>25</v>
      </c>
      <c r="AB3" s="23" t="s">
        <v>26</v>
      </c>
      <c r="AC3" s="23" t="s">
        <v>16</v>
      </c>
      <c r="AD3" s="23" t="s">
        <v>17</v>
      </c>
      <c r="AE3" s="23" t="s">
        <v>27</v>
      </c>
      <c r="AF3" s="23" t="s">
        <v>28</v>
      </c>
      <c r="AG3" s="23" t="s">
        <v>29</v>
      </c>
      <c r="AH3" s="23" t="s">
        <v>30</v>
      </c>
      <c r="AI3" s="23" t="s">
        <v>31</v>
      </c>
      <c r="AJ3" s="23" t="s">
        <v>18</v>
      </c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8" t="n">
        <f aca="false">A2-A3</f>
        <v>560</v>
      </c>
      <c r="B4" s="29" t="str">
        <f aca="false">IF(A4=0,"&lt;  Cash Balanced","  Reconcile Cash")</f>
        <v>  Reconcile Cash</v>
      </c>
      <c r="C4" s="29"/>
      <c r="D4" s="19"/>
      <c r="E4" s="20"/>
      <c r="F4" s="23"/>
      <c r="G4" s="23"/>
      <c r="H4" s="23"/>
      <c r="I4" s="23"/>
      <c r="J4" s="23"/>
      <c r="K4" s="23"/>
      <c r="L4" s="23"/>
      <c r="M4" s="23"/>
      <c r="N4" s="23"/>
      <c r="O4" s="13"/>
      <c r="P4" s="30" t="s">
        <v>32</v>
      </c>
      <c r="Q4" s="31" t="s">
        <v>33</v>
      </c>
      <c r="R4" s="22"/>
      <c r="S4" s="23"/>
      <c r="T4" s="20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2" t="s">
        <v>34</v>
      </c>
      <c r="B5" s="33" t="s">
        <v>35</v>
      </c>
      <c r="C5" s="34" t="s">
        <v>36</v>
      </c>
      <c r="D5" s="19"/>
      <c r="E5" s="20"/>
      <c r="F5" s="23"/>
      <c r="G5" s="35" t="s">
        <v>37</v>
      </c>
      <c r="H5" s="35" t="s">
        <v>38</v>
      </c>
      <c r="I5" s="35" t="s">
        <v>39</v>
      </c>
      <c r="J5" s="35" t="s">
        <v>40</v>
      </c>
      <c r="K5" s="35" t="s">
        <v>41</v>
      </c>
      <c r="L5" s="35" t="s">
        <v>42</v>
      </c>
      <c r="M5" s="35" t="s">
        <v>43</v>
      </c>
      <c r="N5" s="35" t="s">
        <v>44</v>
      </c>
      <c r="O5" s="13"/>
      <c r="P5" s="30"/>
      <c r="Q5" s="31"/>
      <c r="R5" s="22"/>
      <c r="S5" s="23"/>
      <c r="T5" s="20"/>
      <c r="U5" s="23"/>
      <c r="V5" s="35" t="s">
        <v>37</v>
      </c>
      <c r="W5" s="35" t="s">
        <v>38</v>
      </c>
      <c r="X5" s="35" t="s">
        <v>39</v>
      </c>
      <c r="Y5" s="35" t="s">
        <v>45</v>
      </c>
      <c r="Z5" s="35" t="s">
        <v>46</v>
      </c>
      <c r="AA5" s="35" t="s">
        <v>47</v>
      </c>
      <c r="AB5" s="35" t="s">
        <v>48</v>
      </c>
      <c r="AC5" s="35" t="s">
        <v>42</v>
      </c>
      <c r="AD5" s="35" t="s">
        <v>43</v>
      </c>
      <c r="AE5" s="35" t="s">
        <v>49</v>
      </c>
      <c r="AF5" s="35" t="s">
        <v>50</v>
      </c>
      <c r="AG5" s="35" t="s">
        <v>51</v>
      </c>
      <c r="AH5" s="35" t="s">
        <v>52</v>
      </c>
      <c r="AI5" s="35" t="s">
        <v>53</v>
      </c>
      <c r="AJ5" s="35" t="s">
        <v>44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6"/>
      <c r="T6" s="37" t="str">
        <f aca="false">IF(U6&lt;&gt;0,"Enter Code"," ")</f>
        <v> 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str">
        <f aca="false">IF(T6="CR",U6," ")</f>
        <v> 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8"/>
      <c r="T7" s="37" t="str">
        <f aca="false">IF(U7&lt;&gt;0,"Enter Code"," ")</f>
        <v> </v>
      </c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8"/>
      <c r="T8" s="37" t="str">
        <f aca="false">IF(U8&lt;&gt;0,"Enter Code"," ")</f>
        <v> </v>
      </c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8"/>
      <c r="T9" s="37" t="str">
        <f aca="false">IF(U9&lt;&gt;0,"Enter Code"," ")</f>
        <v> </v>
      </c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8"/>
      <c r="T10" s="37" t="str">
        <f aca="false">IF(U10&lt;&gt;0,"Enter Code"," ")</f>
        <v> </v>
      </c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8"/>
      <c r="T11" s="37" t="str">
        <f aca="false">IF(U11&lt;&gt;0,"Enter Code"," ")</f>
        <v> </v>
      </c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8"/>
      <c r="T12" s="37" t="str">
        <f aca="false">IF(U12&lt;&gt;0,"Enter Code"," ")</f>
        <v> </v>
      </c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8"/>
      <c r="T13" s="37" t="str">
        <f aca="false">IF(U13&lt;&gt;0,"Enter Code"," ")</f>
        <v> </v>
      </c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8"/>
      <c r="T14" s="37" t="str">
        <f aca="false">IF(U14&lt;&gt;0,"Enter Code"," ")</f>
        <v> </v>
      </c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8"/>
      <c r="T15" s="37" t="str">
        <f aca="false">IF(U15&lt;&gt;0,"Enter Code"," ")</f>
        <v> </v>
      </c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8"/>
      <c r="T16" s="37" t="str">
        <f aca="false">IF(U16&lt;&gt;0,"Enter Code"," ")</f>
        <v> </v>
      </c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8"/>
      <c r="T17" s="37" t="str">
        <f aca="false">IF(U17&lt;&gt;0,"Enter Code"," ")</f>
        <v> </v>
      </c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8"/>
      <c r="T18" s="37" t="str">
        <f aca="false">IF(U18&lt;&gt;0,"Enter Code"," ")</f>
        <v> </v>
      </c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8"/>
      <c r="T19" s="37" t="str">
        <f aca="false">IF(U19&lt;&gt;0,"Enter Code"," ")</f>
        <v> </v>
      </c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8"/>
      <c r="T20" s="37" t="str">
        <f aca="false">IF(U20&lt;&gt;0,"Enter Code"," ")</f>
        <v> </v>
      </c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8"/>
      <c r="T21" s="37" t="str">
        <f aca="false">IF(U21&lt;&gt;0,"Enter Code"," ")</f>
        <v> </v>
      </c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8"/>
      <c r="T22" s="37" t="str">
        <f aca="false">IF(U22&lt;&gt;0,"Enter Code"," ")</f>
        <v> </v>
      </c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8"/>
      <c r="T23" s="37" t="str">
        <f aca="false">IF(U23&lt;&gt;0,"Enter Code"," ")</f>
        <v> </v>
      </c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8"/>
      <c r="T24" s="37" t="str">
        <f aca="false">IF(U24&lt;&gt;0,"Enter Code"," ")</f>
        <v> </v>
      </c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8"/>
      <c r="T25" s="37" t="str">
        <f aca="false">IF(U25&lt;&gt;0,"Enter Code"," ")</f>
        <v> </v>
      </c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8"/>
      <c r="T26" s="37" t="str">
        <f aca="false">IF(U26&lt;&gt;0,"Enter Code"," ")</f>
        <v> </v>
      </c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8"/>
      <c r="T27" s="37" t="str">
        <f aca="false">IF(U27&lt;&gt;0,"Enter Code"," ")</f>
        <v> </v>
      </c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8"/>
      <c r="T28" s="37" t="str">
        <f aca="false">IF(U28&lt;&gt;0,"Enter Code"," ")</f>
        <v> </v>
      </c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8"/>
      <c r="T29" s="37" t="str">
        <f aca="false">IF(U29&lt;&gt;0,"Enter Code"," ")</f>
        <v> </v>
      </c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8"/>
      <c r="T30" s="37" t="str">
        <f aca="false">IF(U30&lt;&gt;0,"Enter Code"," ")</f>
        <v> </v>
      </c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8"/>
      <c r="T31" s="37" t="str">
        <f aca="false">IF(U31&lt;&gt;0,"Enter Code"," ")</f>
        <v> </v>
      </c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8"/>
      <c r="T32" s="37" t="str">
        <f aca="false">IF(U32&lt;&gt;0,"Enter Code"," ")</f>
        <v> </v>
      </c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8"/>
      <c r="T33" s="37" t="str">
        <f aca="false">IF(U33&lt;&gt;0,"Enter Code"," ")</f>
        <v> </v>
      </c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8"/>
      <c r="T34" s="37" t="str">
        <f aca="false">IF(U34&lt;&gt;0,"Enter Code"," ")</f>
        <v> </v>
      </c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8"/>
      <c r="T35" s="37" t="str">
        <f aca="false">IF(U35&lt;&gt;0,"Enter Code"," ")</f>
        <v> </v>
      </c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8"/>
      <c r="T36" s="37" t="str">
        <f aca="false">IF(U36&lt;&gt;0,"Enter Code"," ")</f>
        <v> </v>
      </c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8"/>
      <c r="T37" s="37" t="str">
        <f aca="false">IF(U37&lt;&gt;0,"Enter Code"," ")</f>
        <v> </v>
      </c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8"/>
      <c r="T38" s="37" t="str">
        <f aca="false">IF(U38&lt;&gt;0,"Enter Code"," ")</f>
        <v> </v>
      </c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8"/>
      <c r="T39" s="37" t="str">
        <f aca="false">IF(U39&lt;&gt;0,"Enter Code"," ")</f>
        <v> </v>
      </c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8"/>
      <c r="T40" s="37" t="str">
        <f aca="false">IF(U40&lt;&gt;0,"Enter Code"," ")</f>
        <v> </v>
      </c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8"/>
      <c r="T41" s="37" t="str">
        <f aca="false">IF(U41&lt;&gt;0,"Enter Code"," ")</f>
        <v> </v>
      </c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8"/>
      <c r="T42" s="37" t="str">
        <f aca="false">IF(U42&lt;&gt;0,"Enter Code"," ")</f>
        <v> </v>
      </c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8"/>
      <c r="T43" s="37" t="str">
        <f aca="false">IF(U43&lt;&gt;0,"Enter Code"," ")</f>
        <v> </v>
      </c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8"/>
      <c r="T44" s="37" t="str">
        <f aca="false">IF(U44&lt;&gt;0,"Enter Code"," ")</f>
        <v> </v>
      </c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8"/>
      <c r="T45" s="37" t="str">
        <f aca="false">IF(U45&lt;&gt;0,"Enter Code"," ")</f>
        <v> </v>
      </c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8"/>
      <c r="T46" s="37" t="str">
        <f aca="false">IF(U46&lt;&gt;0,"Enter Code"," ")</f>
        <v> </v>
      </c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8"/>
      <c r="T47" s="37" t="str">
        <f aca="false">IF(U47&lt;&gt;0,"Enter Code"," ")</f>
        <v> </v>
      </c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8"/>
      <c r="T48" s="37" t="str">
        <f aca="false">IF(U48&lt;&gt;0,"Enter Code"," ")</f>
        <v> </v>
      </c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8"/>
      <c r="T49" s="37" t="str">
        <f aca="false">IF(U49&lt;&gt;0,"Enter Code"," ")</f>
        <v> </v>
      </c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8"/>
      <c r="T50" s="37" t="str">
        <f aca="false">IF(U50&lt;&gt;0,"Enter Code"," ")</f>
        <v> </v>
      </c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8"/>
      <c r="T51" s="37" t="str">
        <f aca="false">IF(U51&lt;&gt;0,"Enter Code"," ")</f>
        <v> </v>
      </c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8"/>
      <c r="T52" s="37" t="str">
        <f aca="false">IF(U52&lt;&gt;0,"Enter Code"," ")</f>
        <v> </v>
      </c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8"/>
      <c r="T53" s="37" t="str">
        <f aca="false">IF(U53&lt;&gt;0,"Enter Code"," ")</f>
        <v> </v>
      </c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8"/>
      <c r="T54" s="37" t="str">
        <f aca="false">IF(U54&lt;&gt;0,"Enter Code"," ")</f>
        <v> </v>
      </c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8"/>
      <c r="T55" s="37" t="str">
        <f aca="false">IF(U55&lt;&gt;0,"Enter Code"," ")</f>
        <v> </v>
      </c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8"/>
      <c r="T56" s="37" t="str">
        <f aca="false">IF(U56&lt;&gt;0,"Enter Code"," ")</f>
        <v> </v>
      </c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8"/>
      <c r="T57" s="37" t="str">
        <f aca="false">IF(U57&lt;&gt;0,"Enter Code"," ")</f>
        <v> </v>
      </c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8"/>
      <c r="T58" s="37" t="str">
        <f aca="false">IF(U58&lt;&gt;0,"Enter Code"," ")</f>
        <v> </v>
      </c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8"/>
      <c r="T59" s="37" t="str">
        <f aca="false">IF(U59&lt;&gt;0,"Enter Code"," ")</f>
        <v> </v>
      </c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8"/>
      <c r="T60" s="37" t="str">
        <f aca="false">IF(U60&lt;&gt;0,"Enter Code"," ")</f>
        <v> </v>
      </c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8"/>
      <c r="T61" s="37" t="str">
        <f aca="false">IF(U61&lt;&gt;0,"Enter Code"," ")</f>
        <v> </v>
      </c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8"/>
      <c r="T62" s="37" t="str">
        <f aca="false">IF(U62&lt;&gt;0,"Enter Code"," ")</f>
        <v> </v>
      </c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8"/>
      <c r="T63" s="37" t="str">
        <f aca="false">IF(U63&lt;&gt;0,"Enter Code"," ")</f>
        <v> </v>
      </c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8"/>
      <c r="T64" s="37" t="str">
        <f aca="false">IF(U64&lt;&gt;0,"Enter Code"," ")</f>
        <v> </v>
      </c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8"/>
      <c r="T65" s="37" t="str">
        <f aca="false">IF(U65&lt;&gt;0,"Enter Code"," ")</f>
        <v> </v>
      </c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8"/>
      <c r="T66" s="37" t="str">
        <f aca="false">IF(U66&lt;&gt;0,"Enter Code"," ")</f>
        <v> </v>
      </c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8"/>
      <c r="T67" s="37" t="str">
        <f aca="false">IF(U67&lt;&gt;0,"Enter Code"," ")</f>
        <v> </v>
      </c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8"/>
      <c r="T68" s="37" t="str">
        <f aca="false">IF(U68&lt;&gt;0,"Enter Code"," ")</f>
        <v> </v>
      </c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8"/>
      <c r="T69" s="37" t="str">
        <f aca="false">IF(U69&lt;&gt;0,"Enter Code"," ")</f>
        <v> </v>
      </c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8"/>
      <c r="T70" s="37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8"/>
      <c r="T71" s="37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8"/>
      <c r="T72" s="37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8"/>
      <c r="T73" s="37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8"/>
      <c r="T74" s="37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8"/>
      <c r="T75" s="37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8"/>
      <c r="T76" s="37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8"/>
      <c r="T77" s="37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8"/>
      <c r="T78" s="37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8"/>
      <c r="T79" s="37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8"/>
      <c r="T80" s="37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8"/>
      <c r="T81" s="37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8"/>
      <c r="T82" s="37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8"/>
      <c r="T83" s="37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8"/>
      <c r="T84" s="37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8"/>
      <c r="T85" s="37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8"/>
      <c r="T86" s="37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8"/>
      <c r="T87" s="37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8"/>
      <c r="T88" s="37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8"/>
      <c r="T89" s="37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8"/>
      <c r="T90" s="37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8"/>
      <c r="T91" s="37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8"/>
      <c r="T92" s="37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8"/>
      <c r="T93" s="37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8"/>
      <c r="T94" s="37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8"/>
      <c r="T95" s="37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8"/>
      <c r="T96" s="37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8"/>
      <c r="T97" s="37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8"/>
      <c r="T98" s="37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8"/>
      <c r="T99" s="37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8"/>
      <c r="T100" s="37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8"/>
      <c r="T101" s="37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8"/>
      <c r="T102" s="37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8"/>
      <c r="T103" s="37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8"/>
      <c r="T104" s="37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8"/>
      <c r="T105" s="37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8"/>
      <c r="T106" s="37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8"/>
      <c r="T107" s="37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8"/>
      <c r="T108" s="37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8"/>
      <c r="T109" s="37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8"/>
      <c r="T110" s="37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8"/>
      <c r="T111" s="37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8"/>
      <c r="T112" s="37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8"/>
      <c r="T113" s="37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8"/>
      <c r="T114" s="37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8"/>
      <c r="T115" s="37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8"/>
      <c r="T116" s="37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8"/>
      <c r="T117" s="37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8"/>
      <c r="T118" s="37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8"/>
      <c r="T119" s="37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8"/>
      <c r="T120" s="37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8"/>
      <c r="T121" s="37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8"/>
      <c r="T122" s="37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8"/>
      <c r="T123" s="37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8"/>
      <c r="T124" s="37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8"/>
      <c r="T125" s="37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8"/>
      <c r="T126" s="37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8"/>
      <c r="T127" s="37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8"/>
      <c r="T128" s="37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8"/>
      <c r="T129" s="37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8"/>
      <c r="T130" s="37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8"/>
      <c r="T131" s="37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8"/>
      <c r="T132" s="37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8"/>
      <c r="T133" s="37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8"/>
      <c r="T134" s="37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8"/>
      <c r="T135" s="37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8"/>
      <c r="T136" s="37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8"/>
      <c r="T137" s="37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8"/>
      <c r="T138" s="37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8"/>
      <c r="T139" s="37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8"/>
      <c r="T140" s="37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8"/>
      <c r="T141" s="37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8"/>
      <c r="T142" s="37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8"/>
      <c r="T143" s="37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8"/>
      <c r="T144" s="37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8"/>
      <c r="T145" s="37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8"/>
      <c r="T146" s="37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8"/>
      <c r="T147" s="37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8"/>
      <c r="T148" s="37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8"/>
      <c r="T149" s="37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8"/>
      <c r="T150" s="37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8"/>
      <c r="T151" s="37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8"/>
      <c r="T152" s="37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8"/>
      <c r="T153" s="37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8"/>
      <c r="T154" s="37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8"/>
      <c r="T155" s="37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8"/>
      <c r="T156" s="37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8"/>
      <c r="T157" s="37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8"/>
      <c r="T158" s="37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8"/>
      <c r="T159" s="37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8"/>
      <c r="T160" s="37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8"/>
      <c r="T161" s="37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8"/>
      <c r="T162" s="37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8"/>
      <c r="T163" s="37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8"/>
      <c r="T164" s="37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8"/>
      <c r="T165" s="37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8"/>
      <c r="T166" s="37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8"/>
      <c r="T167" s="37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8"/>
      <c r="T168" s="37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8"/>
      <c r="T169" s="37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8"/>
      <c r="T170" s="37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8"/>
      <c r="T171" s="37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8"/>
      <c r="T172" s="37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8"/>
      <c r="T173" s="37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6"/>
      <c r="T174" s="37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9"/>
      <c r="T175" s="37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8"/>
      <c r="T176" s="37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8"/>
      <c r="T177" s="37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8"/>
      <c r="T178" s="37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8"/>
      <c r="T179" s="37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8"/>
      <c r="T180" s="37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8"/>
      <c r="T181" s="37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8"/>
      <c r="T182" s="37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8"/>
      <c r="T183" s="37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8"/>
      <c r="T184" s="37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8"/>
      <c r="T185" s="37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8"/>
      <c r="T186" s="37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8"/>
      <c r="T187" s="37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8"/>
      <c r="T188" s="37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8"/>
      <c r="T189" s="37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8"/>
      <c r="T190" s="37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8"/>
      <c r="T191" s="37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8"/>
      <c r="T192" s="37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8"/>
      <c r="T193" s="37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8"/>
      <c r="T194" s="37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8"/>
      <c r="T195" s="37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8"/>
      <c r="T196" s="37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8"/>
      <c r="T197" s="37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8"/>
      <c r="T198" s="37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8"/>
      <c r="T199" s="37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1"/>
      <c r="C200" s="5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IF(E200="BS",F200," ")</f>
        <v> </v>
      </c>
      <c r="I200" s="45" t="str">
        <f aca="false">IF(E200="BD",F200,"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IF(E200="DL",F200," ")</f>
        <v> </v>
      </c>
      <c r="O200" s="39"/>
      <c r="P200" s="40"/>
      <c r="Q200" s="43"/>
      <c r="R200" s="42"/>
      <c r="S200" s="42"/>
      <c r="T200" s="46" t="str">
        <f aca="false">IF(U200&lt;&gt;0,"Enter Code"," ")</f>
        <v> </v>
      </c>
      <c r="U200" s="45"/>
      <c r="V200" s="45" t="str">
        <f aca="false">IF(T200="BB",U200," ")</f>
        <v> </v>
      </c>
      <c r="W200" s="45" t="str">
        <f aca="false">IF(T200="BS",U200," ")</f>
        <v> </v>
      </c>
      <c r="X200" s="45" t="str">
        <f aca="false">IF(T200="BD",U200," ")</f>
        <v> </v>
      </c>
      <c r="Y200" s="45" t="str">
        <f aca="false">IF(T200="CR",U200," ")</f>
        <v> </v>
      </c>
      <c r="Z200" s="45" t="str">
        <f aca="false">IF(T200="W",U200," ")</f>
        <v> </v>
      </c>
      <c r="AA200" s="45" t="str">
        <f aca="false">IF(T200="B",U200," ")</f>
        <v> </v>
      </c>
      <c r="AB200" s="45" t="str">
        <f aca="false">IF(T200="J",U200," ")</f>
        <v> </v>
      </c>
      <c r="AC200" s="45" t="str">
        <f aca="false">IF(T200="LDR",U200," ")</f>
        <v> </v>
      </c>
      <c r="AD200" s="45" t="str">
        <f aca="false">IF(T200="LCR",U200," ")</f>
        <v> </v>
      </c>
      <c r="AE200" s="45" t="str">
        <f aca="false">IF(T200="RP",U200," ")</f>
        <v> </v>
      </c>
      <c r="AF200" s="45" t="str">
        <f aca="false">IF(T200="RV",U200," ")</f>
        <v> </v>
      </c>
      <c r="AG200" s="45" t="str">
        <f aca="false">IF(T200="RC",U200," ")</f>
        <v> </v>
      </c>
      <c r="AH200" s="45" t="str">
        <f aca="false">IF(T200="RT",U200," ")</f>
        <v> </v>
      </c>
      <c r="AI200" s="45" t="str">
        <f aca="false">IF(T200="DV",U200," ")</f>
        <v> </v>
      </c>
      <c r="AJ200" s="45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4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7" width="9.15"/>
    <col collapsed="false" customWidth="true" hidden="false" outlineLevel="0" max="2" min="2" style="2" width="21.99"/>
    <col collapsed="false" customWidth="true" hidden="false" outlineLevel="0" max="3" min="3" style="48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9" width="9.15"/>
  </cols>
  <sheetData>
    <row r="1" customFormat="false" ht="15" hidden="false" customHeight="true" outlineLevel="0" collapsed="false">
      <c r="A1" s="50" t="n">
        <f aca="false">Mar!A2</f>
        <v>560</v>
      </c>
      <c r="B1" s="8" t="s">
        <v>0</v>
      </c>
      <c r="C1" s="9" t="n">
        <f aca="false">[1]Admin!$B$19</f>
        <v>46478</v>
      </c>
      <c r="D1" s="10" t="s">
        <v>1</v>
      </c>
      <c r="E1" s="11" t="n">
        <f aca="false">F1-SUM(G1:N1)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3"/>
      <c r="P1" s="14" t="str">
        <f aca="false">IF(T1=0," ","Check all payment code letters entered")</f>
        <v> </v>
      </c>
      <c r="Q1" s="14"/>
      <c r="R1" s="15"/>
      <c r="S1" s="16" t="s">
        <v>1</v>
      </c>
      <c r="T1" s="11" t="n">
        <f aca="false">U1-SUM(V1:AJ1)</f>
        <v>0</v>
      </c>
      <c r="U1" s="12" t="n">
        <f aca="false">SUM(U6:U200)</f>
        <v>18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18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A1+F1-U1</f>
        <v>542</v>
      </c>
      <c r="B2" s="18" t="s">
        <v>2</v>
      </c>
      <c r="C2" s="9" t="n">
        <f aca="false">[1]Admin!$B$20</f>
        <v>46507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13"/>
      <c r="P2" s="14" t="str">
        <f aca="false">IF(E1=0," ","Check all Receipts Code Letters entered")</f>
        <v> </v>
      </c>
      <c r="Q2" s="14"/>
      <c r="R2" s="22" t="s">
        <v>6</v>
      </c>
      <c r="S2" s="23" t="s">
        <v>7</v>
      </c>
      <c r="T2" s="20" t="s">
        <v>4</v>
      </c>
      <c r="U2" s="21" t="s">
        <v>8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46507</v>
      </c>
      <c r="D3" s="19"/>
      <c r="E3" s="20"/>
      <c r="F3" s="23" t="s">
        <v>10</v>
      </c>
      <c r="G3" s="23" t="s">
        <v>11</v>
      </c>
      <c r="H3" s="23" t="s">
        <v>12</v>
      </c>
      <c r="I3" s="23" t="s">
        <v>13</v>
      </c>
      <c r="J3" s="23" t="s">
        <v>14</v>
      </c>
      <c r="K3" s="23" t="s">
        <v>15</v>
      </c>
      <c r="L3" s="23" t="s">
        <v>16</v>
      </c>
      <c r="M3" s="23" t="s">
        <v>17</v>
      </c>
      <c r="N3" s="23" t="s">
        <v>18</v>
      </c>
      <c r="O3" s="13"/>
      <c r="P3" s="26"/>
      <c r="Q3" s="27"/>
      <c r="R3" s="22"/>
      <c r="S3" s="23"/>
      <c r="T3" s="20"/>
      <c r="U3" s="23" t="s">
        <v>19</v>
      </c>
      <c r="V3" s="23" t="s">
        <v>20</v>
      </c>
      <c r="W3" s="23" t="s">
        <v>21</v>
      </c>
      <c r="X3" s="23" t="s">
        <v>22</v>
      </c>
      <c r="Y3" s="23" t="s">
        <v>23</v>
      </c>
      <c r="Z3" s="23" t="s">
        <v>24</v>
      </c>
      <c r="AA3" s="23" t="s">
        <v>25</v>
      </c>
      <c r="AB3" s="23" t="s">
        <v>26</v>
      </c>
      <c r="AC3" s="23" t="s">
        <v>16</v>
      </c>
      <c r="AD3" s="23" t="s">
        <v>17</v>
      </c>
      <c r="AE3" s="23" t="s">
        <v>27</v>
      </c>
      <c r="AF3" s="23" t="s">
        <v>28</v>
      </c>
      <c r="AG3" s="23" t="s">
        <v>29</v>
      </c>
      <c r="AH3" s="23" t="s">
        <v>30</v>
      </c>
      <c r="AI3" s="23" t="s">
        <v>31</v>
      </c>
      <c r="AJ3" s="23" t="s">
        <v>18</v>
      </c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8" t="n">
        <f aca="false">A2-A3</f>
        <v>542</v>
      </c>
      <c r="B4" s="29" t="str">
        <f aca="false">IF(A4=0,"&lt;  Cash Balanced","  Reconcile Cash")</f>
        <v>  Reconcile Cash</v>
      </c>
      <c r="C4" s="29"/>
      <c r="D4" s="19"/>
      <c r="E4" s="20"/>
      <c r="F4" s="23"/>
      <c r="G4" s="23"/>
      <c r="H4" s="23"/>
      <c r="I4" s="23"/>
      <c r="J4" s="23"/>
      <c r="K4" s="23"/>
      <c r="L4" s="23"/>
      <c r="M4" s="23"/>
      <c r="N4" s="23"/>
      <c r="O4" s="13"/>
      <c r="P4" s="30" t="s">
        <v>32</v>
      </c>
      <c r="Q4" s="31" t="s">
        <v>33</v>
      </c>
      <c r="R4" s="22"/>
      <c r="S4" s="23"/>
      <c r="T4" s="20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2" t="s">
        <v>34</v>
      </c>
      <c r="B5" s="33" t="s">
        <v>35</v>
      </c>
      <c r="C5" s="34" t="s">
        <v>36</v>
      </c>
      <c r="D5" s="19"/>
      <c r="E5" s="20"/>
      <c r="F5" s="23"/>
      <c r="G5" s="35" t="s">
        <v>37</v>
      </c>
      <c r="H5" s="35" t="s">
        <v>38</v>
      </c>
      <c r="I5" s="35" t="s">
        <v>39</v>
      </c>
      <c r="J5" s="35" t="s">
        <v>40</v>
      </c>
      <c r="K5" s="35" t="s">
        <v>41</v>
      </c>
      <c r="L5" s="35" t="s">
        <v>42</v>
      </c>
      <c r="M5" s="35" t="s">
        <v>43</v>
      </c>
      <c r="N5" s="35" t="s">
        <v>44</v>
      </c>
      <c r="O5" s="13"/>
      <c r="P5" s="30"/>
      <c r="Q5" s="31"/>
      <c r="R5" s="22"/>
      <c r="S5" s="23"/>
      <c r="T5" s="20"/>
      <c r="U5" s="23"/>
      <c r="V5" s="35" t="s">
        <v>37</v>
      </c>
      <c r="W5" s="35" t="s">
        <v>38</v>
      </c>
      <c r="X5" s="35" t="s">
        <v>39</v>
      </c>
      <c r="Y5" s="35" t="s">
        <v>45</v>
      </c>
      <c r="Z5" s="35" t="s">
        <v>46</v>
      </c>
      <c r="AA5" s="35" t="s">
        <v>47</v>
      </c>
      <c r="AB5" s="35" t="s">
        <v>48</v>
      </c>
      <c r="AC5" s="35" t="s">
        <v>42</v>
      </c>
      <c r="AD5" s="35" t="s">
        <v>43</v>
      </c>
      <c r="AE5" s="35" t="s">
        <v>49</v>
      </c>
      <c r="AF5" s="35" t="s">
        <v>50</v>
      </c>
      <c r="AG5" s="35" t="s">
        <v>51</v>
      </c>
      <c r="AH5" s="35" t="s">
        <v>52</v>
      </c>
      <c r="AI5" s="35" t="s">
        <v>53</v>
      </c>
      <c r="AJ5" s="35" t="s">
        <v>44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6"/>
      <c r="P6" s="1" t="n">
        <v>46482</v>
      </c>
      <c r="Q6" s="4" t="s">
        <v>54</v>
      </c>
      <c r="R6" s="3" t="s">
        <v>63</v>
      </c>
      <c r="S6" s="3" t="s">
        <v>64</v>
      </c>
      <c r="T6" s="37" t="s">
        <v>45</v>
      </c>
      <c r="U6" s="6" t="n">
        <v>18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n">
        <f aca="false">IF(T6="CR",U6," ")</f>
        <v>18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8"/>
      <c r="T7" s="37"/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8"/>
      <c r="T8" s="37"/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8"/>
      <c r="T9" s="37"/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8"/>
      <c r="T10" s="37"/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8"/>
      <c r="T11" s="37"/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8"/>
      <c r="T12" s="37"/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8"/>
      <c r="T13" s="37"/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8"/>
      <c r="T14" s="37"/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8"/>
      <c r="T15" s="37"/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8"/>
      <c r="T16" s="37"/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8"/>
      <c r="T17" s="37"/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8"/>
      <c r="T18" s="37"/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8"/>
      <c r="T19" s="37"/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8"/>
      <c r="T20" s="37"/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8"/>
      <c r="T21" s="37"/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8"/>
      <c r="T22" s="37"/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8"/>
      <c r="T23" s="37"/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8"/>
      <c r="T24" s="37"/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8"/>
      <c r="T25" s="37"/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8"/>
      <c r="T26" s="37"/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8"/>
      <c r="T27" s="37"/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8"/>
      <c r="T28" s="37"/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8"/>
      <c r="T29" s="37"/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8"/>
      <c r="T30" s="37"/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8"/>
      <c r="T31" s="37"/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8"/>
      <c r="T32" s="37"/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8"/>
      <c r="T33" s="37"/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8"/>
      <c r="T34" s="37"/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8"/>
      <c r="T35" s="37"/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8"/>
      <c r="T36" s="37"/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8"/>
      <c r="T37" s="37"/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8"/>
      <c r="T38" s="37"/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8"/>
      <c r="T39" s="37"/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8"/>
      <c r="T40" s="37"/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8"/>
      <c r="T41" s="37"/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8"/>
      <c r="T42" s="37"/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8"/>
      <c r="T43" s="37"/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8"/>
      <c r="T44" s="37"/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8"/>
      <c r="T45" s="37"/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8"/>
      <c r="T46" s="37"/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8"/>
      <c r="T47" s="37"/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8"/>
      <c r="T48" s="37"/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8"/>
      <c r="T49" s="37"/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8"/>
      <c r="T50" s="37"/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8"/>
      <c r="T51" s="37"/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8"/>
      <c r="T52" s="37"/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8"/>
      <c r="T53" s="37"/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8"/>
      <c r="T54" s="37"/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8"/>
      <c r="T55" s="37"/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8"/>
      <c r="T56" s="37"/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8"/>
      <c r="T57" s="37"/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8"/>
      <c r="T58" s="37"/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8"/>
      <c r="T59" s="37"/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8"/>
      <c r="T60" s="37"/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8"/>
      <c r="T61" s="37"/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8"/>
      <c r="T62" s="37"/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8"/>
      <c r="T63" s="37"/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8"/>
      <c r="T64" s="37"/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8"/>
      <c r="T65" s="37"/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8"/>
      <c r="T66" s="37"/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8"/>
      <c r="T67" s="37"/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8"/>
      <c r="T68" s="37"/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8"/>
      <c r="T69" s="37"/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8"/>
      <c r="T70" s="37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8"/>
      <c r="T71" s="37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8"/>
      <c r="T72" s="37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8"/>
      <c r="T73" s="37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8"/>
      <c r="T74" s="37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8"/>
      <c r="T75" s="37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8"/>
      <c r="T76" s="37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8"/>
      <c r="T77" s="37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8"/>
      <c r="T78" s="37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8"/>
      <c r="T79" s="37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8"/>
      <c r="T80" s="37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8"/>
      <c r="T81" s="37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8"/>
      <c r="T82" s="37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8"/>
      <c r="T83" s="37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8"/>
      <c r="T84" s="37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8"/>
      <c r="T85" s="37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8"/>
      <c r="T86" s="37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8"/>
      <c r="T87" s="37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8"/>
      <c r="T88" s="37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8"/>
      <c r="T89" s="37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8"/>
      <c r="T90" s="37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8"/>
      <c r="T91" s="37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8"/>
      <c r="T92" s="37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8"/>
      <c r="T93" s="37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8"/>
      <c r="T94" s="37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8"/>
      <c r="T95" s="37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8"/>
      <c r="T96" s="37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8"/>
      <c r="T97" s="37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8"/>
      <c r="T98" s="37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8"/>
      <c r="T99" s="37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8"/>
      <c r="T100" s="37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8"/>
      <c r="T101" s="37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8"/>
      <c r="T102" s="37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8"/>
      <c r="T103" s="37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8"/>
      <c r="T104" s="37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8"/>
      <c r="T105" s="37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8"/>
      <c r="T106" s="37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8"/>
      <c r="T107" s="37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8"/>
      <c r="T108" s="37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8"/>
      <c r="T109" s="37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8"/>
      <c r="T110" s="37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8"/>
      <c r="T111" s="37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8"/>
      <c r="T112" s="37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8"/>
      <c r="T113" s="37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8"/>
      <c r="T114" s="37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8"/>
      <c r="T115" s="37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8"/>
      <c r="T116" s="37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8"/>
      <c r="T117" s="37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8"/>
      <c r="T118" s="37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8"/>
      <c r="T119" s="37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8"/>
      <c r="T120" s="37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8"/>
      <c r="T121" s="37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8"/>
      <c r="T122" s="37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8"/>
      <c r="T123" s="37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8"/>
      <c r="T124" s="37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8"/>
      <c r="T125" s="37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8"/>
      <c r="T126" s="37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8"/>
      <c r="T127" s="37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8"/>
      <c r="T128" s="37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8"/>
      <c r="T129" s="37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8"/>
      <c r="T130" s="37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8"/>
      <c r="T131" s="37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8"/>
      <c r="T132" s="37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8"/>
      <c r="T133" s="37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8"/>
      <c r="T134" s="37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8"/>
      <c r="T135" s="37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8"/>
      <c r="T136" s="37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8"/>
      <c r="T137" s="37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8"/>
      <c r="T138" s="37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8"/>
      <c r="T139" s="37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8"/>
      <c r="T140" s="37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8"/>
      <c r="T141" s="37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8"/>
      <c r="T142" s="37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8"/>
      <c r="T143" s="37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8"/>
      <c r="T144" s="37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8"/>
      <c r="T145" s="37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8"/>
      <c r="T146" s="37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8"/>
      <c r="T147" s="37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8"/>
      <c r="T148" s="37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8"/>
      <c r="T149" s="37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8"/>
      <c r="T150" s="37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8"/>
      <c r="T151" s="37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8"/>
      <c r="T152" s="37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8"/>
      <c r="T153" s="37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8"/>
      <c r="T154" s="37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8"/>
      <c r="T155" s="37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8"/>
      <c r="T156" s="37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8"/>
      <c r="T157" s="37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8"/>
      <c r="T158" s="37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8"/>
      <c r="T159" s="37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8"/>
      <c r="T160" s="37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8"/>
      <c r="T161" s="37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8"/>
      <c r="T162" s="37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8"/>
      <c r="T163" s="37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8"/>
      <c r="T164" s="37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8"/>
      <c r="T165" s="37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8"/>
      <c r="T166" s="37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8"/>
      <c r="T167" s="37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8"/>
      <c r="T168" s="37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8"/>
      <c r="T169" s="37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8"/>
      <c r="T170" s="37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8"/>
      <c r="T171" s="37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8"/>
      <c r="T172" s="37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8"/>
      <c r="T173" s="37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6"/>
      <c r="T174" s="37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9"/>
      <c r="T175" s="37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8"/>
      <c r="T176" s="37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8"/>
      <c r="T177" s="37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8"/>
      <c r="T178" s="37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8"/>
      <c r="T179" s="37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8"/>
      <c r="T180" s="37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8"/>
      <c r="T181" s="37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8"/>
      <c r="T182" s="37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8"/>
      <c r="T183" s="37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8"/>
      <c r="T184" s="37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8"/>
      <c r="T185" s="37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8"/>
      <c r="T186" s="37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8"/>
      <c r="T187" s="37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8"/>
      <c r="T188" s="37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8"/>
      <c r="T189" s="37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8"/>
      <c r="T190" s="37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8"/>
      <c r="T191" s="37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8"/>
      <c r="T192" s="37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8"/>
      <c r="T193" s="37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8"/>
      <c r="T194" s="37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8"/>
      <c r="T195" s="37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8"/>
      <c r="T196" s="37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8"/>
      <c r="T197" s="37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8"/>
      <c r="T198" s="37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8"/>
      <c r="T199" s="37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1"/>
      <c r="C200" s="5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IF(E200="BS",F200," ")</f>
        <v> </v>
      </c>
      <c r="I200" s="45" t="str">
        <f aca="false">IF(E200="BD",F200,"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IF(E200="DL",F200," ")</f>
        <v> </v>
      </c>
      <c r="O200" s="39"/>
      <c r="P200" s="40"/>
      <c r="Q200" s="43"/>
      <c r="R200" s="42"/>
      <c r="S200" s="42"/>
      <c r="T200" s="46" t="str">
        <f aca="false">IF(U200&lt;&gt;0,"Enter Code"," ")</f>
        <v> </v>
      </c>
      <c r="U200" s="45"/>
      <c r="V200" s="45" t="str">
        <f aca="false">IF(T200="BB",U200," ")</f>
        <v> </v>
      </c>
      <c r="W200" s="45" t="str">
        <f aca="false">IF(T200="BS",U200," ")</f>
        <v> </v>
      </c>
      <c r="X200" s="45" t="str">
        <f aca="false">IF(T200="BD",U200," ")</f>
        <v> </v>
      </c>
      <c r="Y200" s="45" t="str">
        <f aca="false">IF(T200="CR",U200," ")</f>
        <v> </v>
      </c>
      <c r="Z200" s="45" t="str">
        <f aca="false">IF(T200="W",U200," ")</f>
        <v> </v>
      </c>
      <c r="AA200" s="45" t="str">
        <f aca="false">IF(T200="B",U200," ")</f>
        <v> </v>
      </c>
      <c r="AB200" s="45" t="str">
        <f aca="false">IF(T200="J",U200," ")</f>
        <v> </v>
      </c>
      <c r="AC200" s="45" t="str">
        <f aca="false">IF(T200="LDR",U200," ")</f>
        <v> </v>
      </c>
      <c r="AD200" s="45" t="str">
        <f aca="false">IF(T200="LCR",U200," ")</f>
        <v> </v>
      </c>
      <c r="AE200" s="45" t="str">
        <f aca="false">IF(T200="RP",U200," ")</f>
        <v> </v>
      </c>
      <c r="AF200" s="45" t="str">
        <f aca="false">IF(T200="RV",U200," ")</f>
        <v> </v>
      </c>
      <c r="AG200" s="45" t="str">
        <f aca="false">IF(T200="RC",U200," ")</f>
        <v> </v>
      </c>
      <c r="AH200" s="45" t="str">
        <f aca="false">IF(T200="RT",U200," ")</f>
        <v> </v>
      </c>
      <c r="AI200" s="45" t="str">
        <f aca="false">IF(T200="DV",U200," ")</f>
        <v> </v>
      </c>
      <c r="AJ200" s="45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4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7" width="9.15"/>
    <col collapsed="false" customWidth="true" hidden="false" outlineLevel="0" max="2" min="2" style="2" width="21.99"/>
    <col collapsed="false" customWidth="true" hidden="false" outlineLevel="0" max="3" min="3" style="48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9" width="9.15"/>
  </cols>
  <sheetData>
    <row r="1" customFormat="false" ht="15" hidden="false" customHeight="true" outlineLevel="0" collapsed="false">
      <c r="A1" s="50" t="n">
        <f aca="false">Apr!A2</f>
        <v>542</v>
      </c>
      <c r="B1" s="8" t="s">
        <v>0</v>
      </c>
      <c r="C1" s="9" t="n">
        <f aca="false">[1]Admin!$B$21</f>
        <v>46508</v>
      </c>
      <c r="D1" s="10" t="s">
        <v>1</v>
      </c>
      <c r="E1" s="11" t="n">
        <f aca="false">F1-SUM(G1:N1)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3"/>
      <c r="P1" s="14" t="str">
        <f aca="false">IF(T1=0," ","Check all payment code letters entered")</f>
        <v> </v>
      </c>
      <c r="Q1" s="14"/>
      <c r="R1" s="15"/>
      <c r="S1" s="16" t="s">
        <v>1</v>
      </c>
      <c r="T1" s="11" t="n">
        <f aca="false">U1-SUM(V1:AJ1)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A1+F1-U1</f>
        <v>542</v>
      </c>
      <c r="B2" s="18" t="s">
        <v>2</v>
      </c>
      <c r="C2" s="9" t="n">
        <f aca="false">[1]Admin!$B$22</f>
        <v>46538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13"/>
      <c r="P2" s="14" t="str">
        <f aca="false">IF(E1=0," ","Check all Receipts Code Letters entered")</f>
        <v> </v>
      </c>
      <c r="Q2" s="14"/>
      <c r="R2" s="22" t="s">
        <v>6</v>
      </c>
      <c r="S2" s="23" t="s">
        <v>7</v>
      </c>
      <c r="T2" s="20" t="s">
        <v>4</v>
      </c>
      <c r="U2" s="21" t="s">
        <v>8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46538</v>
      </c>
      <c r="D3" s="19"/>
      <c r="E3" s="20"/>
      <c r="F3" s="23" t="s">
        <v>10</v>
      </c>
      <c r="G3" s="23" t="s">
        <v>11</v>
      </c>
      <c r="H3" s="23" t="s">
        <v>12</v>
      </c>
      <c r="I3" s="23" t="s">
        <v>13</v>
      </c>
      <c r="J3" s="23" t="s">
        <v>14</v>
      </c>
      <c r="K3" s="23" t="s">
        <v>15</v>
      </c>
      <c r="L3" s="23" t="s">
        <v>16</v>
      </c>
      <c r="M3" s="23" t="s">
        <v>17</v>
      </c>
      <c r="N3" s="23" t="s">
        <v>18</v>
      </c>
      <c r="O3" s="13"/>
      <c r="P3" s="26"/>
      <c r="Q3" s="27"/>
      <c r="R3" s="22"/>
      <c r="S3" s="23"/>
      <c r="T3" s="20"/>
      <c r="U3" s="23" t="s">
        <v>19</v>
      </c>
      <c r="V3" s="23" t="s">
        <v>20</v>
      </c>
      <c r="W3" s="23" t="s">
        <v>21</v>
      </c>
      <c r="X3" s="23" t="s">
        <v>22</v>
      </c>
      <c r="Y3" s="23" t="s">
        <v>23</v>
      </c>
      <c r="Z3" s="23" t="s">
        <v>24</v>
      </c>
      <c r="AA3" s="23" t="s">
        <v>25</v>
      </c>
      <c r="AB3" s="23" t="s">
        <v>26</v>
      </c>
      <c r="AC3" s="23" t="s">
        <v>16</v>
      </c>
      <c r="AD3" s="23" t="s">
        <v>17</v>
      </c>
      <c r="AE3" s="23" t="s">
        <v>27</v>
      </c>
      <c r="AF3" s="23" t="s">
        <v>28</v>
      </c>
      <c r="AG3" s="23" t="s">
        <v>29</v>
      </c>
      <c r="AH3" s="23" t="s">
        <v>30</v>
      </c>
      <c r="AI3" s="23" t="s">
        <v>31</v>
      </c>
      <c r="AJ3" s="23" t="s">
        <v>18</v>
      </c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8" t="n">
        <f aca="false">A2-A3</f>
        <v>542</v>
      </c>
      <c r="B4" s="29" t="str">
        <f aca="false">IF(A4=0,"&lt;  Cash Balanced","  Reconcile Cash")</f>
        <v>  Reconcile Cash</v>
      </c>
      <c r="C4" s="29"/>
      <c r="D4" s="19"/>
      <c r="E4" s="20"/>
      <c r="F4" s="23"/>
      <c r="G4" s="23"/>
      <c r="H4" s="23"/>
      <c r="I4" s="23"/>
      <c r="J4" s="23"/>
      <c r="K4" s="23"/>
      <c r="L4" s="23"/>
      <c r="M4" s="23"/>
      <c r="N4" s="23"/>
      <c r="O4" s="13"/>
      <c r="P4" s="30" t="s">
        <v>32</v>
      </c>
      <c r="Q4" s="31" t="s">
        <v>33</v>
      </c>
      <c r="R4" s="22"/>
      <c r="S4" s="23"/>
      <c r="T4" s="20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2" t="s">
        <v>34</v>
      </c>
      <c r="B5" s="33" t="s">
        <v>35</v>
      </c>
      <c r="C5" s="34" t="s">
        <v>36</v>
      </c>
      <c r="D5" s="19"/>
      <c r="E5" s="20"/>
      <c r="F5" s="23"/>
      <c r="G5" s="35" t="s">
        <v>37</v>
      </c>
      <c r="H5" s="35" t="s">
        <v>38</v>
      </c>
      <c r="I5" s="35" t="s">
        <v>39</v>
      </c>
      <c r="J5" s="35" t="s">
        <v>40</v>
      </c>
      <c r="K5" s="35" t="s">
        <v>41</v>
      </c>
      <c r="L5" s="35" t="s">
        <v>42</v>
      </c>
      <c r="M5" s="35" t="s">
        <v>43</v>
      </c>
      <c r="N5" s="35" t="s">
        <v>44</v>
      </c>
      <c r="O5" s="13"/>
      <c r="P5" s="30"/>
      <c r="Q5" s="31"/>
      <c r="R5" s="22"/>
      <c r="S5" s="23"/>
      <c r="T5" s="20"/>
      <c r="U5" s="23"/>
      <c r="V5" s="35" t="s">
        <v>37</v>
      </c>
      <c r="W5" s="35" t="s">
        <v>38</v>
      </c>
      <c r="X5" s="35" t="s">
        <v>39</v>
      </c>
      <c r="Y5" s="35" t="s">
        <v>45</v>
      </c>
      <c r="Z5" s="35" t="s">
        <v>46</v>
      </c>
      <c r="AA5" s="35" t="s">
        <v>47</v>
      </c>
      <c r="AB5" s="35" t="s">
        <v>48</v>
      </c>
      <c r="AC5" s="35" t="s">
        <v>42</v>
      </c>
      <c r="AD5" s="35" t="s">
        <v>43</v>
      </c>
      <c r="AE5" s="35" t="s">
        <v>49</v>
      </c>
      <c r="AF5" s="35" t="s">
        <v>50</v>
      </c>
      <c r="AG5" s="35" t="s">
        <v>51</v>
      </c>
      <c r="AH5" s="35" t="s">
        <v>52</v>
      </c>
      <c r="AI5" s="35" t="s">
        <v>53</v>
      </c>
      <c r="AJ5" s="35" t="s">
        <v>44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6"/>
      <c r="T6" s="37" t="str">
        <f aca="false">IF(U6&lt;&gt;0,"Enter Code"," ")</f>
        <v> 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str">
        <f aca="false">IF(T6="CR",U6," ")</f>
        <v> 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8"/>
      <c r="T7" s="37" t="str">
        <f aca="false">IF(U7&lt;&gt;0,"Enter Code"," ")</f>
        <v> </v>
      </c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8"/>
      <c r="T8" s="37" t="str">
        <f aca="false">IF(U8&lt;&gt;0,"Enter Code"," ")</f>
        <v> </v>
      </c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8"/>
      <c r="T9" s="37" t="str">
        <f aca="false">IF(U9&lt;&gt;0,"Enter Code"," ")</f>
        <v> </v>
      </c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8"/>
      <c r="T10" s="37" t="str">
        <f aca="false">IF(U10&lt;&gt;0,"Enter Code"," ")</f>
        <v> </v>
      </c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8"/>
      <c r="T11" s="37" t="str">
        <f aca="false">IF(U11&lt;&gt;0,"Enter Code"," ")</f>
        <v> </v>
      </c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8"/>
      <c r="T12" s="37" t="str">
        <f aca="false">IF(U12&lt;&gt;0,"Enter Code"," ")</f>
        <v> </v>
      </c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8"/>
      <c r="T13" s="37" t="str">
        <f aca="false">IF(U13&lt;&gt;0,"Enter Code"," ")</f>
        <v> </v>
      </c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8"/>
      <c r="T14" s="37" t="str">
        <f aca="false">IF(U14&lt;&gt;0,"Enter Code"," ")</f>
        <v> </v>
      </c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8"/>
      <c r="T15" s="37" t="str">
        <f aca="false">IF(U15&lt;&gt;0,"Enter Code"," ")</f>
        <v> </v>
      </c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8"/>
      <c r="T16" s="37" t="str">
        <f aca="false">IF(U16&lt;&gt;0,"Enter Code"," ")</f>
        <v> </v>
      </c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8"/>
      <c r="T17" s="37" t="str">
        <f aca="false">IF(U17&lt;&gt;0,"Enter Code"," ")</f>
        <v> </v>
      </c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8"/>
      <c r="T18" s="37" t="str">
        <f aca="false">IF(U18&lt;&gt;0,"Enter Code"," ")</f>
        <v> </v>
      </c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8"/>
      <c r="T19" s="37" t="str">
        <f aca="false">IF(U19&lt;&gt;0,"Enter Code"," ")</f>
        <v> </v>
      </c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8"/>
      <c r="T20" s="37" t="str">
        <f aca="false">IF(U20&lt;&gt;0,"Enter Code"," ")</f>
        <v> </v>
      </c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8"/>
      <c r="T21" s="37" t="str">
        <f aca="false">IF(U21&lt;&gt;0,"Enter Code"," ")</f>
        <v> </v>
      </c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8"/>
      <c r="T22" s="37" t="str">
        <f aca="false">IF(U22&lt;&gt;0,"Enter Code"," ")</f>
        <v> </v>
      </c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8"/>
      <c r="T23" s="37" t="str">
        <f aca="false">IF(U23&lt;&gt;0,"Enter Code"," ")</f>
        <v> </v>
      </c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8"/>
      <c r="T24" s="37" t="str">
        <f aca="false">IF(U24&lt;&gt;0,"Enter Code"," ")</f>
        <v> </v>
      </c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8"/>
      <c r="T25" s="37" t="str">
        <f aca="false">IF(U25&lt;&gt;0,"Enter Code"," ")</f>
        <v> </v>
      </c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8"/>
      <c r="T26" s="37" t="str">
        <f aca="false">IF(U26&lt;&gt;0,"Enter Code"," ")</f>
        <v> </v>
      </c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8"/>
      <c r="T27" s="37" t="str">
        <f aca="false">IF(U27&lt;&gt;0,"Enter Code"," ")</f>
        <v> </v>
      </c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8"/>
      <c r="T28" s="37" t="str">
        <f aca="false">IF(U28&lt;&gt;0,"Enter Code"," ")</f>
        <v> </v>
      </c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8"/>
      <c r="T29" s="37" t="str">
        <f aca="false">IF(U29&lt;&gt;0,"Enter Code"," ")</f>
        <v> </v>
      </c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8"/>
      <c r="T30" s="37" t="str">
        <f aca="false">IF(U30&lt;&gt;0,"Enter Code"," ")</f>
        <v> </v>
      </c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8"/>
      <c r="T31" s="37" t="str">
        <f aca="false">IF(U31&lt;&gt;0,"Enter Code"," ")</f>
        <v> </v>
      </c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8"/>
      <c r="T32" s="37" t="str">
        <f aca="false">IF(U32&lt;&gt;0,"Enter Code"," ")</f>
        <v> </v>
      </c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8"/>
      <c r="T33" s="37" t="str">
        <f aca="false">IF(U33&lt;&gt;0,"Enter Code"," ")</f>
        <v> </v>
      </c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8"/>
      <c r="T34" s="37" t="str">
        <f aca="false">IF(U34&lt;&gt;0,"Enter Code"," ")</f>
        <v> </v>
      </c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8"/>
      <c r="T35" s="37" t="str">
        <f aca="false">IF(U35&lt;&gt;0,"Enter Code"," ")</f>
        <v> </v>
      </c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8"/>
      <c r="T36" s="37" t="str">
        <f aca="false">IF(U36&lt;&gt;0,"Enter Code"," ")</f>
        <v> </v>
      </c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8"/>
      <c r="T37" s="37" t="str">
        <f aca="false">IF(U37&lt;&gt;0,"Enter Code"," ")</f>
        <v> </v>
      </c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8"/>
      <c r="T38" s="37" t="str">
        <f aca="false">IF(U38&lt;&gt;0,"Enter Code"," ")</f>
        <v> </v>
      </c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8"/>
      <c r="T39" s="37" t="str">
        <f aca="false">IF(U39&lt;&gt;0,"Enter Code"," ")</f>
        <v> </v>
      </c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8"/>
      <c r="T40" s="37" t="str">
        <f aca="false">IF(U40&lt;&gt;0,"Enter Code"," ")</f>
        <v> </v>
      </c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8"/>
      <c r="T41" s="37" t="str">
        <f aca="false">IF(U41&lt;&gt;0,"Enter Code"," ")</f>
        <v> </v>
      </c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8"/>
      <c r="T42" s="37" t="str">
        <f aca="false">IF(U42&lt;&gt;0,"Enter Code"," ")</f>
        <v> </v>
      </c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8"/>
      <c r="T43" s="37" t="str">
        <f aca="false">IF(U43&lt;&gt;0,"Enter Code"," ")</f>
        <v> </v>
      </c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8"/>
      <c r="T44" s="37" t="str">
        <f aca="false">IF(U44&lt;&gt;0,"Enter Code"," ")</f>
        <v> </v>
      </c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8"/>
      <c r="T45" s="37" t="str">
        <f aca="false">IF(U45&lt;&gt;0,"Enter Code"," ")</f>
        <v> </v>
      </c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8"/>
      <c r="T46" s="37" t="str">
        <f aca="false">IF(U46&lt;&gt;0,"Enter Code"," ")</f>
        <v> </v>
      </c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8"/>
      <c r="T47" s="37" t="str">
        <f aca="false">IF(U47&lt;&gt;0,"Enter Code"," ")</f>
        <v> </v>
      </c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8"/>
      <c r="T48" s="37" t="str">
        <f aca="false">IF(U48&lt;&gt;0,"Enter Code"," ")</f>
        <v> </v>
      </c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8"/>
      <c r="T49" s="37" t="str">
        <f aca="false">IF(U49&lt;&gt;0,"Enter Code"," ")</f>
        <v> </v>
      </c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8"/>
      <c r="T50" s="37" t="str">
        <f aca="false">IF(U50&lt;&gt;0,"Enter Code"," ")</f>
        <v> </v>
      </c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8"/>
      <c r="T51" s="37" t="str">
        <f aca="false">IF(U51&lt;&gt;0,"Enter Code"," ")</f>
        <v> </v>
      </c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8"/>
      <c r="T52" s="37" t="str">
        <f aca="false">IF(U52&lt;&gt;0,"Enter Code"," ")</f>
        <v> </v>
      </c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8"/>
      <c r="T53" s="37" t="str">
        <f aca="false">IF(U53&lt;&gt;0,"Enter Code"," ")</f>
        <v> </v>
      </c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8"/>
      <c r="T54" s="37" t="str">
        <f aca="false">IF(U54&lt;&gt;0,"Enter Code"," ")</f>
        <v> </v>
      </c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8"/>
      <c r="T55" s="37" t="str">
        <f aca="false">IF(U55&lt;&gt;0,"Enter Code"," ")</f>
        <v> </v>
      </c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8"/>
      <c r="T56" s="37" t="str">
        <f aca="false">IF(U56&lt;&gt;0,"Enter Code"," ")</f>
        <v> </v>
      </c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8"/>
      <c r="T57" s="37" t="str">
        <f aca="false">IF(U57&lt;&gt;0,"Enter Code"," ")</f>
        <v> </v>
      </c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8"/>
      <c r="T58" s="37" t="str">
        <f aca="false">IF(U58&lt;&gt;0,"Enter Code"," ")</f>
        <v> </v>
      </c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8"/>
      <c r="T59" s="37" t="str">
        <f aca="false">IF(U59&lt;&gt;0,"Enter Code"," ")</f>
        <v> </v>
      </c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8"/>
      <c r="T60" s="37" t="str">
        <f aca="false">IF(U60&lt;&gt;0,"Enter Code"," ")</f>
        <v> </v>
      </c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8"/>
      <c r="T61" s="37" t="str">
        <f aca="false">IF(U61&lt;&gt;0,"Enter Code"," ")</f>
        <v> </v>
      </c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8"/>
      <c r="T62" s="37" t="str">
        <f aca="false">IF(U62&lt;&gt;0,"Enter Code"," ")</f>
        <v> </v>
      </c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8"/>
      <c r="T63" s="37" t="str">
        <f aca="false">IF(U63&lt;&gt;0,"Enter Code"," ")</f>
        <v> </v>
      </c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8"/>
      <c r="T64" s="37" t="str">
        <f aca="false">IF(U64&lt;&gt;0,"Enter Code"," ")</f>
        <v> </v>
      </c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8"/>
      <c r="T65" s="37" t="str">
        <f aca="false">IF(U65&lt;&gt;0,"Enter Code"," ")</f>
        <v> </v>
      </c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8"/>
      <c r="T66" s="37" t="str">
        <f aca="false">IF(U66&lt;&gt;0,"Enter Code"," ")</f>
        <v> </v>
      </c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8"/>
      <c r="T67" s="37" t="str">
        <f aca="false">IF(U67&lt;&gt;0,"Enter Code"," ")</f>
        <v> </v>
      </c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8"/>
      <c r="T68" s="37" t="str">
        <f aca="false">IF(U68&lt;&gt;0,"Enter Code"," ")</f>
        <v> </v>
      </c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8"/>
      <c r="T69" s="37" t="str">
        <f aca="false">IF(U69&lt;&gt;0,"Enter Code"," ")</f>
        <v> </v>
      </c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8"/>
      <c r="T70" s="37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8"/>
      <c r="T71" s="37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8"/>
      <c r="T72" s="37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8"/>
      <c r="T73" s="37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8"/>
      <c r="T74" s="37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8"/>
      <c r="T75" s="37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8"/>
      <c r="T76" s="37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8"/>
      <c r="T77" s="37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8"/>
      <c r="T78" s="37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8"/>
      <c r="T79" s="37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8"/>
      <c r="T80" s="37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8"/>
      <c r="T81" s="37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8"/>
      <c r="T82" s="37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8"/>
      <c r="T83" s="37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8"/>
      <c r="T84" s="37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8"/>
      <c r="T85" s="37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8"/>
      <c r="T86" s="37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8"/>
      <c r="T87" s="37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8"/>
      <c r="T88" s="37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8"/>
      <c r="T89" s="37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8"/>
      <c r="T90" s="37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8"/>
      <c r="T91" s="37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8"/>
      <c r="T92" s="37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8"/>
      <c r="T93" s="37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8"/>
      <c r="T94" s="37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8"/>
      <c r="T95" s="37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8"/>
      <c r="T96" s="37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8"/>
      <c r="T97" s="37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8"/>
      <c r="T98" s="37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8"/>
      <c r="T99" s="37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8"/>
      <c r="T100" s="37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8"/>
      <c r="T101" s="37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8"/>
      <c r="T102" s="37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8"/>
      <c r="T103" s="37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8"/>
      <c r="T104" s="37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8"/>
      <c r="T105" s="37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8"/>
      <c r="T106" s="37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8"/>
      <c r="T107" s="37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8"/>
      <c r="T108" s="37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8"/>
      <c r="T109" s="37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8"/>
      <c r="T110" s="37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8"/>
      <c r="T111" s="37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8"/>
      <c r="T112" s="37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8"/>
      <c r="T113" s="37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8"/>
      <c r="T114" s="37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8"/>
      <c r="T115" s="37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8"/>
      <c r="T116" s="37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8"/>
      <c r="T117" s="37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8"/>
      <c r="T118" s="37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8"/>
      <c r="T119" s="37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8"/>
      <c r="T120" s="37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8"/>
      <c r="T121" s="37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8"/>
      <c r="T122" s="37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8"/>
      <c r="T123" s="37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8"/>
      <c r="T124" s="37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8"/>
      <c r="T125" s="37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8"/>
      <c r="T126" s="37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8"/>
      <c r="T127" s="37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8"/>
      <c r="T128" s="37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8"/>
      <c r="T129" s="37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8"/>
      <c r="T130" s="37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8"/>
      <c r="T131" s="37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8"/>
      <c r="T132" s="37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8"/>
      <c r="T133" s="37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8"/>
      <c r="T134" s="37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8"/>
      <c r="T135" s="37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8"/>
      <c r="T136" s="37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8"/>
      <c r="T137" s="37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8"/>
      <c r="T138" s="37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8"/>
      <c r="T139" s="37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8"/>
      <c r="T140" s="37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8"/>
      <c r="T141" s="37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8"/>
      <c r="T142" s="37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8"/>
      <c r="T143" s="37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8"/>
      <c r="T144" s="37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8"/>
      <c r="T145" s="37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8"/>
      <c r="T146" s="37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8"/>
      <c r="T147" s="37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8"/>
      <c r="T148" s="37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8"/>
      <c r="T149" s="37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8"/>
      <c r="T150" s="37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8"/>
      <c r="T151" s="37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8"/>
      <c r="T152" s="37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8"/>
      <c r="T153" s="37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8"/>
      <c r="T154" s="37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8"/>
      <c r="T155" s="37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8"/>
      <c r="T156" s="37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8"/>
      <c r="T157" s="37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8"/>
      <c r="T158" s="37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8"/>
      <c r="T159" s="37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8"/>
      <c r="T160" s="37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8"/>
      <c r="T161" s="37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8"/>
      <c r="T162" s="37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8"/>
      <c r="T163" s="37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8"/>
      <c r="T164" s="37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8"/>
      <c r="T165" s="37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8"/>
      <c r="T166" s="37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8"/>
      <c r="T167" s="37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8"/>
      <c r="T168" s="37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8"/>
      <c r="T169" s="37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8"/>
      <c r="T170" s="37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8"/>
      <c r="T171" s="37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8"/>
      <c r="T172" s="37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8"/>
      <c r="T173" s="37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6"/>
      <c r="T174" s="37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9"/>
      <c r="T175" s="37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8"/>
      <c r="T176" s="37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8"/>
      <c r="T177" s="37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8"/>
      <c r="T178" s="37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8"/>
      <c r="T179" s="37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8"/>
      <c r="T180" s="37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8"/>
      <c r="T181" s="37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8"/>
      <c r="T182" s="37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8"/>
      <c r="T183" s="37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8"/>
      <c r="T184" s="37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8"/>
      <c r="T185" s="37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8"/>
      <c r="T186" s="37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8"/>
      <c r="T187" s="37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8"/>
      <c r="T188" s="37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8"/>
      <c r="T189" s="37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8"/>
      <c r="T190" s="37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8"/>
      <c r="T191" s="37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8"/>
      <c r="T192" s="37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8"/>
      <c r="T193" s="37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8"/>
      <c r="T194" s="37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8"/>
      <c r="T195" s="37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8"/>
      <c r="T196" s="37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8"/>
      <c r="T197" s="37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8"/>
      <c r="T198" s="37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8"/>
      <c r="T199" s="37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1"/>
      <c r="C200" s="5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IF(E200="BS",F200," ")</f>
        <v> </v>
      </c>
      <c r="I200" s="45" t="str">
        <f aca="false">IF(E200="BD",F200,"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IF(E200="DL",F200," ")</f>
        <v> </v>
      </c>
      <c r="O200" s="39"/>
      <c r="P200" s="40"/>
      <c r="Q200" s="43"/>
      <c r="R200" s="42"/>
      <c r="S200" s="42"/>
      <c r="T200" s="46" t="str">
        <f aca="false">IF(U200&lt;&gt;0,"Enter Code"," ")</f>
        <v> </v>
      </c>
      <c r="U200" s="45"/>
      <c r="V200" s="45" t="str">
        <f aca="false">IF(T200="BB",U200," ")</f>
        <v> </v>
      </c>
      <c r="W200" s="45" t="str">
        <f aca="false">IF(T200="BS",U200," ")</f>
        <v> </v>
      </c>
      <c r="X200" s="45" t="str">
        <f aca="false">IF(T200="BD",U200," ")</f>
        <v> </v>
      </c>
      <c r="Y200" s="45" t="str">
        <f aca="false">IF(T200="CR",U200," ")</f>
        <v> </v>
      </c>
      <c r="Z200" s="45" t="str">
        <f aca="false">IF(T200="W",U200," ")</f>
        <v> </v>
      </c>
      <c r="AA200" s="45" t="str">
        <f aca="false">IF(T200="B",U200," ")</f>
        <v> </v>
      </c>
      <c r="AB200" s="45" t="str">
        <f aca="false">IF(T200="J",U200," ")</f>
        <v> </v>
      </c>
      <c r="AC200" s="45" t="str">
        <f aca="false">IF(T200="LDR",U200," ")</f>
        <v> </v>
      </c>
      <c r="AD200" s="45" t="str">
        <f aca="false">IF(T200="LCR",U200," ")</f>
        <v> </v>
      </c>
      <c r="AE200" s="45" t="str">
        <f aca="false">IF(T200="RP",U200," ")</f>
        <v> </v>
      </c>
      <c r="AF200" s="45" t="str">
        <f aca="false">IF(T200="RV",U200," ")</f>
        <v> </v>
      </c>
      <c r="AG200" s="45" t="str">
        <f aca="false">IF(T200="RC",U200," ")</f>
        <v> </v>
      </c>
      <c r="AH200" s="45" t="str">
        <f aca="false">IF(T200="RT",U200," ")</f>
        <v> </v>
      </c>
      <c r="AI200" s="45" t="str">
        <f aca="false">IF(T200="DV",U200," ")</f>
        <v> </v>
      </c>
      <c r="AJ200" s="45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4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7" width="9.15"/>
    <col collapsed="false" customWidth="true" hidden="false" outlineLevel="0" max="2" min="2" style="2" width="21.99"/>
    <col collapsed="false" customWidth="true" hidden="false" outlineLevel="0" max="3" min="3" style="48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9" width="9.15"/>
  </cols>
  <sheetData>
    <row r="1" customFormat="false" ht="15" hidden="false" customHeight="true" outlineLevel="0" collapsed="false">
      <c r="A1" s="50" t="n">
        <f aca="false">May!A2</f>
        <v>542</v>
      </c>
      <c r="B1" s="8" t="s">
        <v>0</v>
      </c>
      <c r="C1" s="9" t="n">
        <f aca="false">[1]Admin!$B$23</f>
        <v>46539</v>
      </c>
      <c r="D1" s="10" t="s">
        <v>1</v>
      </c>
      <c r="E1" s="11" t="n">
        <f aca="false">F1-SUM(G1:N1)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3"/>
      <c r="P1" s="14" t="str">
        <f aca="false">IF(T1=0," ","Check all payment code letters entered")</f>
        <v> </v>
      </c>
      <c r="Q1" s="14"/>
      <c r="R1" s="15"/>
      <c r="S1" s="16" t="s">
        <v>1</v>
      </c>
      <c r="T1" s="11" t="n">
        <f aca="false">U1-SUM(V1:AJ1)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A1+F1-U1</f>
        <v>542</v>
      </c>
      <c r="B2" s="18" t="s">
        <v>2</v>
      </c>
      <c r="C2" s="9" t="n">
        <f aca="false">[1]Admin!$B$24</f>
        <v>46568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13"/>
      <c r="P2" s="14" t="str">
        <f aca="false">IF(E1=0," ","Check all Receipts Code Letters entered")</f>
        <v> </v>
      </c>
      <c r="Q2" s="14"/>
      <c r="R2" s="22" t="s">
        <v>6</v>
      </c>
      <c r="S2" s="23" t="s">
        <v>7</v>
      </c>
      <c r="T2" s="20" t="s">
        <v>4</v>
      </c>
      <c r="U2" s="21" t="s">
        <v>8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46568</v>
      </c>
      <c r="D3" s="19"/>
      <c r="E3" s="20"/>
      <c r="F3" s="23" t="s">
        <v>10</v>
      </c>
      <c r="G3" s="23" t="s">
        <v>11</v>
      </c>
      <c r="H3" s="23" t="s">
        <v>12</v>
      </c>
      <c r="I3" s="23" t="s">
        <v>13</v>
      </c>
      <c r="J3" s="23" t="s">
        <v>14</v>
      </c>
      <c r="K3" s="23" t="s">
        <v>15</v>
      </c>
      <c r="L3" s="23" t="s">
        <v>16</v>
      </c>
      <c r="M3" s="23" t="s">
        <v>17</v>
      </c>
      <c r="N3" s="23" t="s">
        <v>18</v>
      </c>
      <c r="O3" s="13"/>
      <c r="P3" s="26"/>
      <c r="Q3" s="27"/>
      <c r="R3" s="22"/>
      <c r="S3" s="23"/>
      <c r="T3" s="20"/>
      <c r="U3" s="23" t="s">
        <v>19</v>
      </c>
      <c r="V3" s="23" t="s">
        <v>20</v>
      </c>
      <c r="W3" s="23" t="s">
        <v>21</v>
      </c>
      <c r="X3" s="23" t="s">
        <v>22</v>
      </c>
      <c r="Y3" s="23" t="s">
        <v>23</v>
      </c>
      <c r="Z3" s="23" t="s">
        <v>24</v>
      </c>
      <c r="AA3" s="23" t="s">
        <v>25</v>
      </c>
      <c r="AB3" s="23" t="s">
        <v>26</v>
      </c>
      <c r="AC3" s="23" t="s">
        <v>16</v>
      </c>
      <c r="AD3" s="23" t="s">
        <v>17</v>
      </c>
      <c r="AE3" s="23" t="s">
        <v>27</v>
      </c>
      <c r="AF3" s="23" t="s">
        <v>28</v>
      </c>
      <c r="AG3" s="23" t="s">
        <v>29</v>
      </c>
      <c r="AH3" s="23" t="s">
        <v>30</v>
      </c>
      <c r="AI3" s="23" t="s">
        <v>31</v>
      </c>
      <c r="AJ3" s="23" t="s">
        <v>18</v>
      </c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8" t="n">
        <f aca="false">A2-A3</f>
        <v>542</v>
      </c>
      <c r="B4" s="29" t="str">
        <f aca="false">IF(A4=0,"&lt;  Cash Balanced","  Reconcile Cash")</f>
        <v>  Reconcile Cash</v>
      </c>
      <c r="C4" s="29"/>
      <c r="D4" s="19"/>
      <c r="E4" s="20"/>
      <c r="F4" s="23"/>
      <c r="G4" s="23"/>
      <c r="H4" s="23"/>
      <c r="I4" s="23"/>
      <c r="J4" s="23"/>
      <c r="K4" s="23"/>
      <c r="L4" s="23"/>
      <c r="M4" s="23"/>
      <c r="N4" s="23"/>
      <c r="O4" s="13"/>
      <c r="P4" s="30" t="s">
        <v>32</v>
      </c>
      <c r="Q4" s="31" t="s">
        <v>33</v>
      </c>
      <c r="R4" s="22"/>
      <c r="S4" s="23"/>
      <c r="T4" s="20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2" t="s">
        <v>34</v>
      </c>
      <c r="B5" s="33" t="s">
        <v>35</v>
      </c>
      <c r="C5" s="34" t="s">
        <v>36</v>
      </c>
      <c r="D5" s="19"/>
      <c r="E5" s="20"/>
      <c r="F5" s="23"/>
      <c r="G5" s="35" t="s">
        <v>37</v>
      </c>
      <c r="H5" s="35" t="s">
        <v>38</v>
      </c>
      <c r="I5" s="35" t="s">
        <v>39</v>
      </c>
      <c r="J5" s="35" t="s">
        <v>40</v>
      </c>
      <c r="K5" s="35" t="s">
        <v>41</v>
      </c>
      <c r="L5" s="35" t="s">
        <v>42</v>
      </c>
      <c r="M5" s="35" t="s">
        <v>43</v>
      </c>
      <c r="N5" s="35" t="s">
        <v>44</v>
      </c>
      <c r="O5" s="13"/>
      <c r="P5" s="30"/>
      <c r="Q5" s="31"/>
      <c r="R5" s="22"/>
      <c r="S5" s="23"/>
      <c r="T5" s="20"/>
      <c r="U5" s="23"/>
      <c r="V5" s="35" t="s">
        <v>37</v>
      </c>
      <c r="W5" s="35" t="s">
        <v>38</v>
      </c>
      <c r="X5" s="35" t="s">
        <v>39</v>
      </c>
      <c r="Y5" s="35" t="s">
        <v>45</v>
      </c>
      <c r="Z5" s="35" t="s">
        <v>46</v>
      </c>
      <c r="AA5" s="35" t="s">
        <v>47</v>
      </c>
      <c r="AB5" s="35" t="s">
        <v>48</v>
      </c>
      <c r="AC5" s="35" t="s">
        <v>42</v>
      </c>
      <c r="AD5" s="35" t="s">
        <v>43</v>
      </c>
      <c r="AE5" s="35" t="s">
        <v>49</v>
      </c>
      <c r="AF5" s="35" t="s">
        <v>50</v>
      </c>
      <c r="AG5" s="35" t="s">
        <v>51</v>
      </c>
      <c r="AH5" s="35" t="s">
        <v>52</v>
      </c>
      <c r="AI5" s="35" t="s">
        <v>53</v>
      </c>
      <c r="AJ5" s="35" t="s">
        <v>44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6"/>
      <c r="T6" s="37" t="str">
        <f aca="false">IF(U6&lt;&gt;0,"Enter Code"," ")</f>
        <v> 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str">
        <f aca="false">IF(T6="CR",U6," ")</f>
        <v> 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8"/>
      <c r="T7" s="37" t="str">
        <f aca="false">IF(U7&lt;&gt;0,"Enter Code"," ")</f>
        <v> </v>
      </c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8"/>
      <c r="T8" s="37" t="str">
        <f aca="false">IF(U8&lt;&gt;0,"Enter Code"," ")</f>
        <v> </v>
      </c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8"/>
      <c r="T9" s="37" t="str">
        <f aca="false">IF(U9&lt;&gt;0,"Enter Code"," ")</f>
        <v> </v>
      </c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8"/>
      <c r="T10" s="37" t="str">
        <f aca="false">IF(U10&lt;&gt;0,"Enter Code"," ")</f>
        <v> </v>
      </c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8"/>
      <c r="T11" s="37" t="str">
        <f aca="false">IF(U11&lt;&gt;0,"Enter Code"," ")</f>
        <v> </v>
      </c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8"/>
      <c r="T12" s="37" t="str">
        <f aca="false">IF(U12&lt;&gt;0,"Enter Code"," ")</f>
        <v> </v>
      </c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8"/>
      <c r="T13" s="37" t="str">
        <f aca="false">IF(U13&lt;&gt;0,"Enter Code"," ")</f>
        <v> </v>
      </c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8"/>
      <c r="T14" s="37" t="str">
        <f aca="false">IF(U14&lt;&gt;0,"Enter Code"," ")</f>
        <v> </v>
      </c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8"/>
      <c r="T15" s="37" t="str">
        <f aca="false">IF(U15&lt;&gt;0,"Enter Code"," ")</f>
        <v> </v>
      </c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8"/>
      <c r="T16" s="37" t="str">
        <f aca="false">IF(U16&lt;&gt;0,"Enter Code"," ")</f>
        <v> </v>
      </c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8"/>
      <c r="T17" s="37" t="str">
        <f aca="false">IF(U17&lt;&gt;0,"Enter Code"," ")</f>
        <v> </v>
      </c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8"/>
      <c r="T18" s="37" t="str">
        <f aca="false">IF(U18&lt;&gt;0,"Enter Code"," ")</f>
        <v> </v>
      </c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8"/>
      <c r="T19" s="37" t="str">
        <f aca="false">IF(U19&lt;&gt;0,"Enter Code"," ")</f>
        <v> </v>
      </c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8"/>
      <c r="T20" s="37" t="str">
        <f aca="false">IF(U20&lt;&gt;0,"Enter Code"," ")</f>
        <v> </v>
      </c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8"/>
      <c r="T21" s="37" t="str">
        <f aca="false">IF(U21&lt;&gt;0,"Enter Code"," ")</f>
        <v> </v>
      </c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8"/>
      <c r="T22" s="37" t="str">
        <f aca="false">IF(U22&lt;&gt;0,"Enter Code"," ")</f>
        <v> </v>
      </c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8"/>
      <c r="T23" s="37" t="str">
        <f aca="false">IF(U23&lt;&gt;0,"Enter Code"," ")</f>
        <v> </v>
      </c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8"/>
      <c r="T24" s="37" t="str">
        <f aca="false">IF(U24&lt;&gt;0,"Enter Code"," ")</f>
        <v> </v>
      </c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8"/>
      <c r="T25" s="37" t="str">
        <f aca="false">IF(U25&lt;&gt;0,"Enter Code"," ")</f>
        <v> </v>
      </c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8"/>
      <c r="T26" s="37" t="str">
        <f aca="false">IF(U26&lt;&gt;0,"Enter Code"," ")</f>
        <v> </v>
      </c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8"/>
      <c r="T27" s="37" t="str">
        <f aca="false">IF(U27&lt;&gt;0,"Enter Code"," ")</f>
        <v> </v>
      </c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8"/>
      <c r="T28" s="37" t="str">
        <f aca="false">IF(U28&lt;&gt;0,"Enter Code"," ")</f>
        <v> </v>
      </c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8"/>
      <c r="T29" s="37" t="str">
        <f aca="false">IF(U29&lt;&gt;0,"Enter Code"," ")</f>
        <v> </v>
      </c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8"/>
      <c r="T30" s="37" t="str">
        <f aca="false">IF(U30&lt;&gt;0,"Enter Code"," ")</f>
        <v> </v>
      </c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8"/>
      <c r="T31" s="37" t="str">
        <f aca="false">IF(U31&lt;&gt;0,"Enter Code"," ")</f>
        <v> </v>
      </c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8"/>
      <c r="T32" s="37" t="str">
        <f aca="false">IF(U32&lt;&gt;0,"Enter Code"," ")</f>
        <v> </v>
      </c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8"/>
      <c r="T33" s="37" t="str">
        <f aca="false">IF(U33&lt;&gt;0,"Enter Code"," ")</f>
        <v> </v>
      </c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8"/>
      <c r="T34" s="37" t="str">
        <f aca="false">IF(U34&lt;&gt;0,"Enter Code"," ")</f>
        <v> </v>
      </c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8"/>
      <c r="T35" s="37" t="str">
        <f aca="false">IF(U35&lt;&gt;0,"Enter Code"," ")</f>
        <v> </v>
      </c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8"/>
      <c r="T36" s="37" t="str">
        <f aca="false">IF(U36&lt;&gt;0,"Enter Code"," ")</f>
        <v> </v>
      </c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8"/>
      <c r="T37" s="37" t="str">
        <f aca="false">IF(U37&lt;&gt;0,"Enter Code"," ")</f>
        <v> </v>
      </c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8"/>
      <c r="T38" s="37" t="str">
        <f aca="false">IF(U38&lt;&gt;0,"Enter Code"," ")</f>
        <v> </v>
      </c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8"/>
      <c r="T39" s="37" t="str">
        <f aca="false">IF(U39&lt;&gt;0,"Enter Code"," ")</f>
        <v> </v>
      </c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8"/>
      <c r="T40" s="37" t="str">
        <f aca="false">IF(U40&lt;&gt;0,"Enter Code"," ")</f>
        <v> </v>
      </c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8"/>
      <c r="T41" s="37" t="str">
        <f aca="false">IF(U41&lt;&gt;0,"Enter Code"," ")</f>
        <v> </v>
      </c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8"/>
      <c r="T42" s="37" t="str">
        <f aca="false">IF(U42&lt;&gt;0,"Enter Code"," ")</f>
        <v> </v>
      </c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8"/>
      <c r="T43" s="37" t="str">
        <f aca="false">IF(U43&lt;&gt;0,"Enter Code"," ")</f>
        <v> </v>
      </c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8"/>
      <c r="T44" s="37" t="str">
        <f aca="false">IF(U44&lt;&gt;0,"Enter Code"," ")</f>
        <v> </v>
      </c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8"/>
      <c r="T45" s="37" t="str">
        <f aca="false">IF(U45&lt;&gt;0,"Enter Code"," ")</f>
        <v> </v>
      </c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8"/>
      <c r="T46" s="37" t="str">
        <f aca="false">IF(U46&lt;&gt;0,"Enter Code"," ")</f>
        <v> </v>
      </c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8"/>
      <c r="T47" s="37" t="str">
        <f aca="false">IF(U47&lt;&gt;0,"Enter Code"," ")</f>
        <v> </v>
      </c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8"/>
      <c r="T48" s="37" t="str">
        <f aca="false">IF(U48&lt;&gt;0,"Enter Code"," ")</f>
        <v> </v>
      </c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8"/>
      <c r="T49" s="37" t="str">
        <f aca="false">IF(U49&lt;&gt;0,"Enter Code"," ")</f>
        <v> </v>
      </c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8"/>
      <c r="T50" s="37" t="str">
        <f aca="false">IF(U50&lt;&gt;0,"Enter Code"," ")</f>
        <v> </v>
      </c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8"/>
      <c r="T51" s="37" t="str">
        <f aca="false">IF(U51&lt;&gt;0,"Enter Code"," ")</f>
        <v> </v>
      </c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8"/>
      <c r="T52" s="37" t="str">
        <f aca="false">IF(U52&lt;&gt;0,"Enter Code"," ")</f>
        <v> </v>
      </c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8"/>
      <c r="T53" s="37" t="str">
        <f aca="false">IF(U53&lt;&gt;0,"Enter Code"," ")</f>
        <v> </v>
      </c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8"/>
      <c r="T54" s="37" t="str">
        <f aca="false">IF(U54&lt;&gt;0,"Enter Code"," ")</f>
        <v> </v>
      </c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8"/>
      <c r="T55" s="37" t="str">
        <f aca="false">IF(U55&lt;&gt;0,"Enter Code"," ")</f>
        <v> </v>
      </c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8"/>
      <c r="T56" s="37" t="str">
        <f aca="false">IF(U56&lt;&gt;0,"Enter Code"," ")</f>
        <v> </v>
      </c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8"/>
      <c r="T57" s="37" t="str">
        <f aca="false">IF(U57&lt;&gt;0,"Enter Code"," ")</f>
        <v> </v>
      </c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8"/>
      <c r="T58" s="37" t="str">
        <f aca="false">IF(U58&lt;&gt;0,"Enter Code"," ")</f>
        <v> </v>
      </c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8"/>
      <c r="T59" s="37" t="str">
        <f aca="false">IF(U59&lt;&gt;0,"Enter Code"," ")</f>
        <v> </v>
      </c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8"/>
      <c r="T60" s="37" t="str">
        <f aca="false">IF(U60&lt;&gt;0,"Enter Code"," ")</f>
        <v> </v>
      </c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8"/>
      <c r="T61" s="37" t="str">
        <f aca="false">IF(U61&lt;&gt;0,"Enter Code"," ")</f>
        <v> </v>
      </c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8"/>
      <c r="T62" s="37" t="str">
        <f aca="false">IF(U62&lt;&gt;0,"Enter Code"," ")</f>
        <v> </v>
      </c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8"/>
      <c r="T63" s="37" t="str">
        <f aca="false">IF(U63&lt;&gt;0,"Enter Code"," ")</f>
        <v> </v>
      </c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8"/>
      <c r="T64" s="37" t="str">
        <f aca="false">IF(U64&lt;&gt;0,"Enter Code"," ")</f>
        <v> </v>
      </c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8"/>
      <c r="T65" s="37" t="str">
        <f aca="false">IF(U65&lt;&gt;0,"Enter Code"," ")</f>
        <v> </v>
      </c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8"/>
      <c r="T66" s="37" t="str">
        <f aca="false">IF(U66&lt;&gt;0,"Enter Code"," ")</f>
        <v> </v>
      </c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8"/>
      <c r="T67" s="37" t="str">
        <f aca="false">IF(U67&lt;&gt;0,"Enter Code"," ")</f>
        <v> </v>
      </c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8"/>
      <c r="T68" s="37" t="str">
        <f aca="false">IF(U68&lt;&gt;0,"Enter Code"," ")</f>
        <v> </v>
      </c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8"/>
      <c r="T69" s="37" t="str">
        <f aca="false">IF(U69&lt;&gt;0,"Enter Code"," ")</f>
        <v> </v>
      </c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8"/>
      <c r="T70" s="37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8"/>
      <c r="T71" s="37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8"/>
      <c r="T72" s="37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8"/>
      <c r="T73" s="37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8"/>
      <c r="T74" s="37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8"/>
      <c r="T75" s="37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8"/>
      <c r="T76" s="37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8"/>
      <c r="T77" s="37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8"/>
      <c r="T78" s="37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8"/>
      <c r="T79" s="37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8"/>
      <c r="T80" s="37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8"/>
      <c r="T81" s="37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8"/>
      <c r="T82" s="37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8"/>
      <c r="T83" s="37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8"/>
      <c r="T84" s="37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8"/>
      <c r="T85" s="37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8"/>
      <c r="T86" s="37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8"/>
      <c r="T87" s="37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8"/>
      <c r="T88" s="37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8"/>
      <c r="T89" s="37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8"/>
      <c r="T90" s="37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8"/>
      <c r="T91" s="37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8"/>
      <c r="T92" s="37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8"/>
      <c r="T93" s="37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8"/>
      <c r="T94" s="37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8"/>
      <c r="T95" s="37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8"/>
      <c r="T96" s="37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8"/>
      <c r="T97" s="37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8"/>
      <c r="T98" s="37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8"/>
      <c r="T99" s="37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8"/>
      <c r="T100" s="37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8"/>
      <c r="T101" s="37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8"/>
      <c r="T102" s="37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8"/>
      <c r="T103" s="37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8"/>
      <c r="T104" s="37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8"/>
      <c r="T105" s="37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8"/>
      <c r="T106" s="37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8"/>
      <c r="T107" s="37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8"/>
      <c r="T108" s="37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8"/>
      <c r="T109" s="37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8"/>
      <c r="T110" s="37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8"/>
      <c r="T111" s="37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8"/>
      <c r="T112" s="37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8"/>
      <c r="T113" s="37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8"/>
      <c r="T114" s="37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8"/>
      <c r="T115" s="37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8"/>
      <c r="T116" s="37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8"/>
      <c r="T117" s="37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8"/>
      <c r="T118" s="37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8"/>
      <c r="T119" s="37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8"/>
      <c r="T120" s="37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8"/>
      <c r="T121" s="37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8"/>
      <c r="T122" s="37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8"/>
      <c r="T123" s="37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8"/>
      <c r="T124" s="37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8"/>
      <c r="T125" s="37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8"/>
      <c r="T126" s="37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8"/>
      <c r="T127" s="37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8"/>
      <c r="T128" s="37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8"/>
      <c r="T129" s="37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8"/>
      <c r="T130" s="37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8"/>
      <c r="T131" s="37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8"/>
      <c r="T132" s="37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8"/>
      <c r="T133" s="37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8"/>
      <c r="T134" s="37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8"/>
      <c r="T135" s="37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8"/>
      <c r="T136" s="37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8"/>
      <c r="T137" s="37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8"/>
      <c r="T138" s="37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8"/>
      <c r="T139" s="37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8"/>
      <c r="T140" s="37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8"/>
      <c r="T141" s="37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8"/>
      <c r="T142" s="37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8"/>
      <c r="T143" s="37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8"/>
      <c r="T144" s="37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8"/>
      <c r="T145" s="37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8"/>
      <c r="T146" s="37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8"/>
      <c r="T147" s="37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8"/>
      <c r="T148" s="37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8"/>
      <c r="T149" s="37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8"/>
      <c r="T150" s="37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8"/>
      <c r="T151" s="37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8"/>
      <c r="T152" s="37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8"/>
      <c r="T153" s="37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8"/>
      <c r="T154" s="37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8"/>
      <c r="T155" s="37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8"/>
      <c r="T156" s="37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8"/>
      <c r="T157" s="37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8"/>
      <c r="T158" s="37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8"/>
      <c r="T159" s="37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8"/>
      <c r="T160" s="37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8"/>
      <c r="T161" s="37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8"/>
      <c r="T162" s="37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8"/>
      <c r="T163" s="37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8"/>
      <c r="T164" s="37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8"/>
      <c r="T165" s="37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8"/>
      <c r="T166" s="37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8"/>
      <c r="T167" s="37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8"/>
      <c r="T168" s="37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8"/>
      <c r="T169" s="37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8"/>
      <c r="T170" s="37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8"/>
      <c r="T171" s="37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8"/>
      <c r="T172" s="37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8"/>
      <c r="T173" s="37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6"/>
      <c r="T174" s="37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9"/>
      <c r="T175" s="37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8"/>
      <c r="T176" s="37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8"/>
      <c r="T177" s="37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8"/>
      <c r="T178" s="37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8"/>
      <c r="T179" s="37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8"/>
      <c r="T180" s="37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8"/>
      <c r="T181" s="37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8"/>
      <c r="T182" s="37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8"/>
      <c r="T183" s="37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8"/>
      <c r="T184" s="37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8"/>
      <c r="T185" s="37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8"/>
      <c r="T186" s="37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8"/>
      <c r="T187" s="37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8"/>
      <c r="T188" s="37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8"/>
      <c r="T189" s="37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8"/>
      <c r="T190" s="37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8"/>
      <c r="T191" s="37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8"/>
      <c r="T192" s="37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8"/>
      <c r="T193" s="37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8"/>
      <c r="T194" s="37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8"/>
      <c r="T195" s="37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8"/>
      <c r="T196" s="37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8"/>
      <c r="T197" s="37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8"/>
      <c r="T198" s="37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8"/>
      <c r="T199" s="37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1"/>
      <c r="C200" s="5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IF(E200="BS",F200," ")</f>
        <v> </v>
      </c>
      <c r="I200" s="45" t="str">
        <f aca="false">IF(E200="BD",F200,"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IF(E200="DL",F200," ")</f>
        <v> </v>
      </c>
      <c r="O200" s="39"/>
      <c r="P200" s="40"/>
      <c r="Q200" s="43"/>
      <c r="R200" s="42"/>
      <c r="S200" s="42"/>
      <c r="T200" s="46" t="str">
        <f aca="false">IF(U200&lt;&gt;0,"Enter Code"," ")</f>
        <v> </v>
      </c>
      <c r="U200" s="45"/>
      <c r="V200" s="45" t="str">
        <f aca="false">IF(T200="BB",U200," ")</f>
        <v> </v>
      </c>
      <c r="W200" s="45" t="str">
        <f aca="false">IF(T200="BS",U200," ")</f>
        <v> </v>
      </c>
      <c r="X200" s="45" t="str">
        <f aca="false">IF(T200="BD",U200," ")</f>
        <v> </v>
      </c>
      <c r="Y200" s="45" t="str">
        <f aca="false">IF(T200="CR",U200," ")</f>
        <v> </v>
      </c>
      <c r="Z200" s="45" t="str">
        <f aca="false">IF(T200="W",U200," ")</f>
        <v> </v>
      </c>
      <c r="AA200" s="45" t="str">
        <f aca="false">IF(T200="B",U200," ")</f>
        <v> </v>
      </c>
      <c r="AB200" s="45" t="str">
        <f aca="false">IF(T200="J",U200," ")</f>
        <v> </v>
      </c>
      <c r="AC200" s="45" t="str">
        <f aca="false">IF(T200="LDR",U200," ")</f>
        <v> </v>
      </c>
      <c r="AD200" s="45" t="str">
        <f aca="false">IF(T200="LCR",U200," ")</f>
        <v> </v>
      </c>
      <c r="AE200" s="45" t="str">
        <f aca="false">IF(T200="RP",U200," ")</f>
        <v> </v>
      </c>
      <c r="AF200" s="45" t="str">
        <f aca="false">IF(T200="RV",U200," ")</f>
        <v> </v>
      </c>
      <c r="AG200" s="45" t="str">
        <f aca="false">IF(T200="RC",U200," ")</f>
        <v> </v>
      </c>
      <c r="AH200" s="45" t="str">
        <f aca="false">IF(T200="RT",U200," ")</f>
        <v> </v>
      </c>
      <c r="AI200" s="45" t="str">
        <f aca="false">IF(T200="DV",U200," ")</f>
        <v> </v>
      </c>
      <c r="AJ200" s="45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4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7" width="9.15"/>
    <col collapsed="false" customWidth="true" hidden="false" outlineLevel="0" max="2" min="2" style="2" width="21.99"/>
    <col collapsed="false" customWidth="true" hidden="false" outlineLevel="0" max="3" min="3" style="48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9" width="9.15"/>
  </cols>
  <sheetData>
    <row r="1" customFormat="false" ht="15" hidden="false" customHeight="true" outlineLevel="0" collapsed="false">
      <c r="A1" s="50" t="n">
        <f aca="false">Jun!A2</f>
        <v>542</v>
      </c>
      <c r="B1" s="8" t="s">
        <v>0</v>
      </c>
      <c r="C1" s="9" t="n">
        <f aca="false">[1]Admin!$B$25</f>
        <v>46569</v>
      </c>
      <c r="D1" s="10" t="s">
        <v>1</v>
      </c>
      <c r="E1" s="11" t="n">
        <f aca="false">F1-SUM(G1:N1)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3"/>
      <c r="P1" s="14" t="str">
        <f aca="false">IF(T1=0," ","Check all payment code letters entered")</f>
        <v> </v>
      </c>
      <c r="Q1" s="14"/>
      <c r="R1" s="15"/>
      <c r="S1" s="16" t="s">
        <v>1</v>
      </c>
      <c r="T1" s="11" t="n">
        <f aca="false">U1-SUM(V1:AJ1)</f>
        <v>0</v>
      </c>
      <c r="U1" s="12" t="n">
        <f aca="false">SUM(U6:U200)</f>
        <v>50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50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A1+F1-U1</f>
        <v>492</v>
      </c>
      <c r="B2" s="18" t="s">
        <v>2</v>
      </c>
      <c r="C2" s="9" t="n">
        <f aca="false">[1]Admin!$B$26</f>
        <v>46599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13"/>
      <c r="P2" s="14" t="str">
        <f aca="false">IF(E1=0," ","Check all Receipts Code Letters entered")</f>
        <v> </v>
      </c>
      <c r="Q2" s="14"/>
      <c r="R2" s="22" t="s">
        <v>6</v>
      </c>
      <c r="S2" s="23" t="s">
        <v>7</v>
      </c>
      <c r="T2" s="20" t="s">
        <v>4</v>
      </c>
      <c r="U2" s="21" t="s">
        <v>8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46599</v>
      </c>
      <c r="D3" s="19"/>
      <c r="E3" s="20"/>
      <c r="F3" s="23" t="s">
        <v>10</v>
      </c>
      <c r="G3" s="23" t="s">
        <v>11</v>
      </c>
      <c r="H3" s="23" t="s">
        <v>12</v>
      </c>
      <c r="I3" s="23" t="s">
        <v>13</v>
      </c>
      <c r="J3" s="23" t="s">
        <v>14</v>
      </c>
      <c r="K3" s="23" t="s">
        <v>15</v>
      </c>
      <c r="L3" s="23" t="s">
        <v>16</v>
      </c>
      <c r="M3" s="23" t="s">
        <v>17</v>
      </c>
      <c r="N3" s="23" t="s">
        <v>18</v>
      </c>
      <c r="O3" s="13"/>
      <c r="P3" s="26"/>
      <c r="Q3" s="27"/>
      <c r="R3" s="22"/>
      <c r="S3" s="23"/>
      <c r="T3" s="20"/>
      <c r="U3" s="23" t="s">
        <v>19</v>
      </c>
      <c r="V3" s="23" t="s">
        <v>20</v>
      </c>
      <c r="W3" s="23" t="s">
        <v>21</v>
      </c>
      <c r="X3" s="23" t="s">
        <v>22</v>
      </c>
      <c r="Y3" s="23" t="s">
        <v>23</v>
      </c>
      <c r="Z3" s="23" t="s">
        <v>24</v>
      </c>
      <c r="AA3" s="23" t="s">
        <v>25</v>
      </c>
      <c r="AB3" s="23" t="s">
        <v>26</v>
      </c>
      <c r="AC3" s="23" t="s">
        <v>16</v>
      </c>
      <c r="AD3" s="23" t="s">
        <v>17</v>
      </c>
      <c r="AE3" s="23" t="s">
        <v>27</v>
      </c>
      <c r="AF3" s="23" t="s">
        <v>28</v>
      </c>
      <c r="AG3" s="23" t="s">
        <v>29</v>
      </c>
      <c r="AH3" s="23" t="s">
        <v>30</v>
      </c>
      <c r="AI3" s="23" t="s">
        <v>31</v>
      </c>
      <c r="AJ3" s="23" t="s">
        <v>18</v>
      </c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8" t="n">
        <f aca="false">A2-A3</f>
        <v>492</v>
      </c>
      <c r="B4" s="29" t="str">
        <f aca="false">IF(A4=0,"&lt;  Cash Balanced","  Reconcile Cash")</f>
        <v>  Reconcile Cash</v>
      </c>
      <c r="C4" s="29"/>
      <c r="D4" s="19"/>
      <c r="E4" s="20"/>
      <c r="F4" s="23"/>
      <c r="G4" s="23"/>
      <c r="H4" s="23"/>
      <c r="I4" s="23"/>
      <c r="J4" s="23"/>
      <c r="K4" s="23"/>
      <c r="L4" s="23"/>
      <c r="M4" s="23"/>
      <c r="N4" s="23"/>
      <c r="O4" s="13"/>
      <c r="P4" s="30" t="s">
        <v>32</v>
      </c>
      <c r="Q4" s="31" t="s">
        <v>33</v>
      </c>
      <c r="R4" s="22"/>
      <c r="S4" s="23"/>
      <c r="T4" s="20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2" t="s">
        <v>34</v>
      </c>
      <c r="B5" s="33" t="s">
        <v>35</v>
      </c>
      <c r="C5" s="34" t="s">
        <v>36</v>
      </c>
      <c r="D5" s="19"/>
      <c r="E5" s="20"/>
      <c r="F5" s="23"/>
      <c r="G5" s="35" t="s">
        <v>37</v>
      </c>
      <c r="H5" s="35" t="s">
        <v>38</v>
      </c>
      <c r="I5" s="35" t="s">
        <v>39</v>
      </c>
      <c r="J5" s="35" t="s">
        <v>40</v>
      </c>
      <c r="K5" s="35" t="s">
        <v>41</v>
      </c>
      <c r="L5" s="35" t="s">
        <v>42</v>
      </c>
      <c r="M5" s="35" t="s">
        <v>43</v>
      </c>
      <c r="N5" s="35" t="s">
        <v>44</v>
      </c>
      <c r="O5" s="13"/>
      <c r="P5" s="30"/>
      <c r="Q5" s="31"/>
      <c r="R5" s="22"/>
      <c r="S5" s="23"/>
      <c r="T5" s="20"/>
      <c r="U5" s="23"/>
      <c r="V5" s="35" t="s">
        <v>37</v>
      </c>
      <c r="W5" s="35" t="s">
        <v>38</v>
      </c>
      <c r="X5" s="35" t="s">
        <v>39</v>
      </c>
      <c r="Y5" s="35" t="s">
        <v>45</v>
      </c>
      <c r="Z5" s="35" t="s">
        <v>46</v>
      </c>
      <c r="AA5" s="35" t="s">
        <v>47</v>
      </c>
      <c r="AB5" s="35" t="s">
        <v>48</v>
      </c>
      <c r="AC5" s="35" t="s">
        <v>42</v>
      </c>
      <c r="AD5" s="35" t="s">
        <v>43</v>
      </c>
      <c r="AE5" s="35" t="s">
        <v>49</v>
      </c>
      <c r="AF5" s="35" t="s">
        <v>50</v>
      </c>
      <c r="AG5" s="35" t="s">
        <v>51</v>
      </c>
      <c r="AH5" s="35" t="s">
        <v>52</v>
      </c>
      <c r="AI5" s="35" t="s">
        <v>53</v>
      </c>
      <c r="AJ5" s="35" t="s">
        <v>44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6"/>
      <c r="P6" s="1" t="n">
        <v>46578</v>
      </c>
      <c r="Q6" s="4" t="s">
        <v>65</v>
      </c>
      <c r="R6" s="3" t="s">
        <v>66</v>
      </c>
      <c r="S6" s="3" t="s">
        <v>67</v>
      </c>
      <c r="T6" s="37" t="s">
        <v>45</v>
      </c>
      <c r="U6" s="6" t="n">
        <v>50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n">
        <f aca="false">IF(T6="CR",U6," ")</f>
        <v>50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8"/>
      <c r="T7" s="37"/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8"/>
      <c r="T8" s="37"/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8"/>
      <c r="T9" s="37"/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8"/>
      <c r="T10" s="37"/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8"/>
      <c r="T11" s="37"/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8"/>
      <c r="T12" s="37"/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8"/>
      <c r="T13" s="37"/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8"/>
      <c r="T14" s="37"/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8"/>
      <c r="T15" s="37"/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8"/>
      <c r="T16" s="37"/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8"/>
      <c r="T17" s="37"/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8"/>
      <c r="T18" s="37"/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8"/>
      <c r="T19" s="37"/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8"/>
      <c r="T20" s="37"/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8"/>
      <c r="T21" s="37"/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8"/>
      <c r="T22" s="37"/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8"/>
      <c r="T23" s="37"/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8"/>
      <c r="T24" s="37"/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8"/>
      <c r="T25" s="37"/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8"/>
      <c r="T26" s="37"/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8"/>
      <c r="T27" s="37"/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8"/>
      <c r="T28" s="37"/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8"/>
      <c r="T29" s="37"/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8"/>
      <c r="T30" s="37"/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8"/>
      <c r="T31" s="37"/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8"/>
      <c r="T32" s="37"/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8"/>
      <c r="T33" s="37"/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8"/>
      <c r="T34" s="37"/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8"/>
      <c r="T35" s="37"/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8"/>
      <c r="T36" s="37"/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8"/>
      <c r="T37" s="37"/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8"/>
      <c r="T38" s="37"/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8"/>
      <c r="T39" s="37"/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8"/>
      <c r="T40" s="37"/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8"/>
      <c r="T41" s="37"/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8"/>
      <c r="T42" s="37"/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8"/>
      <c r="T43" s="37"/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8"/>
      <c r="T44" s="37"/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8"/>
      <c r="T45" s="37"/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8"/>
      <c r="T46" s="37"/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8"/>
      <c r="T47" s="37"/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8"/>
      <c r="T48" s="37"/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8"/>
      <c r="T49" s="37"/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8"/>
      <c r="T50" s="37"/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8"/>
      <c r="T51" s="37"/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8"/>
      <c r="T52" s="37"/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8"/>
      <c r="T53" s="37"/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8"/>
      <c r="T54" s="37"/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8"/>
      <c r="T55" s="37"/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8"/>
      <c r="T56" s="37"/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8"/>
      <c r="T57" s="37"/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8"/>
      <c r="T58" s="37"/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8"/>
      <c r="T59" s="37"/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8"/>
      <c r="T60" s="37"/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8"/>
      <c r="T61" s="37"/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8"/>
      <c r="T62" s="37"/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8"/>
      <c r="T63" s="37"/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8"/>
      <c r="T64" s="37"/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8"/>
      <c r="T65" s="37"/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8"/>
      <c r="T66" s="37"/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8"/>
      <c r="T67" s="37"/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8"/>
      <c r="T68" s="37"/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8"/>
      <c r="T69" s="37"/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8"/>
      <c r="T70" s="37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8"/>
      <c r="T71" s="37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8"/>
      <c r="T72" s="37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8"/>
      <c r="T73" s="37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8"/>
      <c r="T74" s="37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8"/>
      <c r="T75" s="37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8"/>
      <c r="T76" s="37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8"/>
      <c r="T77" s="37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8"/>
      <c r="T78" s="37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8"/>
      <c r="T79" s="37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8"/>
      <c r="T80" s="37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8"/>
      <c r="T81" s="37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8"/>
      <c r="T82" s="37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8"/>
      <c r="T83" s="37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8"/>
      <c r="T84" s="37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8"/>
      <c r="T85" s="37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8"/>
      <c r="T86" s="37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8"/>
      <c r="T87" s="37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8"/>
      <c r="T88" s="37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8"/>
      <c r="T89" s="37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8"/>
      <c r="T90" s="37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8"/>
      <c r="T91" s="37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8"/>
      <c r="T92" s="37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8"/>
      <c r="T93" s="37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8"/>
      <c r="T94" s="37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8"/>
      <c r="T95" s="37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8"/>
      <c r="T96" s="37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8"/>
      <c r="T97" s="37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8"/>
      <c r="T98" s="37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8"/>
      <c r="T99" s="37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8"/>
      <c r="T100" s="37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8"/>
      <c r="T101" s="37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8"/>
      <c r="T102" s="37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8"/>
      <c r="T103" s="37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8"/>
      <c r="T104" s="37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8"/>
      <c r="T105" s="37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8"/>
      <c r="T106" s="37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8"/>
      <c r="T107" s="37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8"/>
      <c r="T108" s="37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8"/>
      <c r="T109" s="37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8"/>
      <c r="T110" s="37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8"/>
      <c r="T111" s="37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8"/>
      <c r="T112" s="37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8"/>
      <c r="T113" s="37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8"/>
      <c r="T114" s="37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8"/>
      <c r="T115" s="37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8"/>
      <c r="T116" s="37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8"/>
      <c r="T117" s="37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8"/>
      <c r="T118" s="37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8"/>
      <c r="T119" s="37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8"/>
      <c r="T120" s="37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8"/>
      <c r="T121" s="37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8"/>
      <c r="T122" s="37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8"/>
      <c r="T123" s="37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8"/>
      <c r="T124" s="37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8"/>
      <c r="T125" s="37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8"/>
      <c r="T126" s="37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8"/>
      <c r="T127" s="37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8"/>
      <c r="T128" s="37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8"/>
      <c r="T129" s="37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8"/>
      <c r="T130" s="37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8"/>
      <c r="T131" s="37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8"/>
      <c r="T132" s="37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8"/>
      <c r="T133" s="37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8"/>
      <c r="T134" s="37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8"/>
      <c r="T135" s="37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8"/>
      <c r="T136" s="37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8"/>
      <c r="T137" s="37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8"/>
      <c r="T138" s="37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8"/>
      <c r="T139" s="37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8"/>
      <c r="T140" s="37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8"/>
      <c r="T141" s="37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8"/>
      <c r="T142" s="37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8"/>
      <c r="T143" s="37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8"/>
      <c r="T144" s="37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8"/>
      <c r="T145" s="37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8"/>
      <c r="T146" s="37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8"/>
      <c r="T147" s="37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8"/>
      <c r="T148" s="37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8"/>
      <c r="T149" s="37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8"/>
      <c r="T150" s="37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8"/>
      <c r="T151" s="37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8"/>
      <c r="T152" s="37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8"/>
      <c r="T153" s="37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8"/>
      <c r="T154" s="37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8"/>
      <c r="T155" s="37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8"/>
      <c r="T156" s="37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8"/>
      <c r="T157" s="37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8"/>
      <c r="T158" s="37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8"/>
      <c r="T159" s="37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8"/>
      <c r="T160" s="37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8"/>
      <c r="T161" s="37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8"/>
      <c r="T162" s="37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8"/>
      <c r="T163" s="37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8"/>
      <c r="T164" s="37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8"/>
      <c r="T165" s="37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8"/>
      <c r="T166" s="37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8"/>
      <c r="T167" s="37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8"/>
      <c r="T168" s="37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8"/>
      <c r="T169" s="37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8"/>
      <c r="T170" s="37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8"/>
      <c r="T171" s="37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8"/>
      <c r="T172" s="37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8"/>
      <c r="T173" s="37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6"/>
      <c r="T174" s="37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9"/>
      <c r="T175" s="37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8"/>
      <c r="T176" s="37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8"/>
      <c r="T177" s="37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8"/>
      <c r="T178" s="37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8"/>
      <c r="T179" s="37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8"/>
      <c r="T180" s="37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8"/>
      <c r="T181" s="37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8"/>
      <c r="T182" s="37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8"/>
      <c r="T183" s="37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8"/>
      <c r="T184" s="37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8"/>
      <c r="T185" s="37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8"/>
      <c r="T186" s="37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8"/>
      <c r="T187" s="37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8"/>
      <c r="T188" s="37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8"/>
      <c r="T189" s="37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8"/>
      <c r="T190" s="37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8"/>
      <c r="T191" s="37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8"/>
      <c r="T192" s="37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8"/>
      <c r="T193" s="37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8"/>
      <c r="T194" s="37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8"/>
      <c r="T195" s="37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8"/>
      <c r="T196" s="37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8"/>
      <c r="T197" s="37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8"/>
      <c r="T198" s="37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8"/>
      <c r="T199" s="37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1"/>
      <c r="C200" s="5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IF(E200="BS",F200," ")</f>
        <v> </v>
      </c>
      <c r="I200" s="45" t="str">
        <f aca="false">IF(E200="BD",F200,"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IF(E200="DL",F200," ")</f>
        <v> </v>
      </c>
      <c r="O200" s="39"/>
      <c r="P200" s="40"/>
      <c r="Q200" s="43"/>
      <c r="R200" s="42"/>
      <c r="S200" s="42"/>
      <c r="T200" s="46" t="str">
        <f aca="false">IF(U200&lt;&gt;0,"Enter Code"," ")</f>
        <v> </v>
      </c>
      <c r="U200" s="45"/>
      <c r="V200" s="45" t="str">
        <f aca="false">IF(T200="BB",U200," ")</f>
        <v> </v>
      </c>
      <c r="W200" s="45" t="str">
        <f aca="false">IF(T200="BS",U200," ")</f>
        <v> </v>
      </c>
      <c r="X200" s="45" t="str">
        <f aca="false">IF(T200="BD",U200," ")</f>
        <v> </v>
      </c>
      <c r="Y200" s="45" t="str">
        <f aca="false">IF(T200="CR",U200," ")</f>
        <v> </v>
      </c>
      <c r="Z200" s="45" t="str">
        <f aca="false">IF(T200="W",U200," ")</f>
        <v> </v>
      </c>
      <c r="AA200" s="45" t="str">
        <f aca="false">IF(T200="B",U200," ")</f>
        <v> </v>
      </c>
      <c r="AB200" s="45" t="str">
        <f aca="false">IF(T200="J",U200," ")</f>
        <v> </v>
      </c>
      <c r="AC200" s="45" t="str">
        <f aca="false">IF(T200="LDR",U200," ")</f>
        <v> </v>
      </c>
      <c r="AD200" s="45" t="str">
        <f aca="false">IF(T200="LCR",U200," ")</f>
        <v> </v>
      </c>
      <c r="AE200" s="45" t="str">
        <f aca="false">IF(T200="RP",U200," ")</f>
        <v> </v>
      </c>
      <c r="AF200" s="45" t="str">
        <f aca="false">IF(T200="RV",U200," ")</f>
        <v> </v>
      </c>
      <c r="AG200" s="45" t="str">
        <f aca="false">IF(T200="RC",U200," ")</f>
        <v> </v>
      </c>
      <c r="AH200" s="45" t="str">
        <f aca="false">IF(T200="RT",U200," ")</f>
        <v> </v>
      </c>
      <c r="AI200" s="45" t="str">
        <f aca="false">IF(T200="DV",U200," ")</f>
        <v> </v>
      </c>
      <c r="AJ200" s="45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4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7" width="9.15"/>
    <col collapsed="false" customWidth="true" hidden="false" outlineLevel="0" max="2" min="2" style="2" width="21.99"/>
    <col collapsed="false" customWidth="true" hidden="false" outlineLevel="0" max="3" min="3" style="48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9" width="9.15"/>
  </cols>
  <sheetData>
    <row r="1" customFormat="false" ht="15" hidden="false" customHeight="true" outlineLevel="0" collapsed="false">
      <c r="A1" s="50" t="n">
        <f aca="false">Jul!A2</f>
        <v>492</v>
      </c>
      <c r="B1" s="8" t="s">
        <v>0</v>
      </c>
      <c r="C1" s="9" t="n">
        <f aca="false">[1]Admin!$B$27</f>
        <v>46600</v>
      </c>
      <c r="D1" s="10" t="s">
        <v>1</v>
      </c>
      <c r="E1" s="11" t="n">
        <f aca="false">F1-SUM(G1:N1)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3"/>
      <c r="P1" s="14" t="str">
        <f aca="false">IF(T1=0," ","Check all payment code letters entered")</f>
        <v> </v>
      </c>
      <c r="Q1" s="14"/>
      <c r="R1" s="15"/>
      <c r="S1" s="16" t="s">
        <v>1</v>
      </c>
      <c r="T1" s="11" t="n">
        <f aca="false">U1-SUM(V1:AJ1)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A1+F1-U1</f>
        <v>492</v>
      </c>
      <c r="B2" s="18" t="s">
        <v>2</v>
      </c>
      <c r="C2" s="9" t="n">
        <f aca="false">[1]Admin!$B$28</f>
        <v>46630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13"/>
      <c r="P2" s="14" t="str">
        <f aca="false">IF(E1=0," ","Check all Receipts Code Letters entered")</f>
        <v> </v>
      </c>
      <c r="Q2" s="14"/>
      <c r="R2" s="22" t="s">
        <v>6</v>
      </c>
      <c r="S2" s="23" t="s">
        <v>7</v>
      </c>
      <c r="T2" s="20" t="s">
        <v>4</v>
      </c>
      <c r="U2" s="21" t="s">
        <v>8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46630</v>
      </c>
      <c r="D3" s="19"/>
      <c r="E3" s="20"/>
      <c r="F3" s="23" t="s">
        <v>10</v>
      </c>
      <c r="G3" s="23" t="s">
        <v>11</v>
      </c>
      <c r="H3" s="23" t="s">
        <v>12</v>
      </c>
      <c r="I3" s="23" t="s">
        <v>13</v>
      </c>
      <c r="J3" s="23" t="s">
        <v>14</v>
      </c>
      <c r="K3" s="23" t="s">
        <v>15</v>
      </c>
      <c r="L3" s="23" t="s">
        <v>16</v>
      </c>
      <c r="M3" s="23" t="s">
        <v>17</v>
      </c>
      <c r="N3" s="23" t="s">
        <v>18</v>
      </c>
      <c r="O3" s="13"/>
      <c r="P3" s="26"/>
      <c r="Q3" s="27"/>
      <c r="R3" s="22"/>
      <c r="S3" s="23"/>
      <c r="T3" s="20"/>
      <c r="U3" s="23" t="s">
        <v>19</v>
      </c>
      <c r="V3" s="23" t="s">
        <v>20</v>
      </c>
      <c r="W3" s="23" t="s">
        <v>21</v>
      </c>
      <c r="X3" s="23" t="s">
        <v>22</v>
      </c>
      <c r="Y3" s="23" t="s">
        <v>23</v>
      </c>
      <c r="Z3" s="23" t="s">
        <v>24</v>
      </c>
      <c r="AA3" s="23" t="s">
        <v>25</v>
      </c>
      <c r="AB3" s="23" t="s">
        <v>26</v>
      </c>
      <c r="AC3" s="23" t="s">
        <v>16</v>
      </c>
      <c r="AD3" s="23" t="s">
        <v>17</v>
      </c>
      <c r="AE3" s="23" t="s">
        <v>27</v>
      </c>
      <c r="AF3" s="23" t="s">
        <v>28</v>
      </c>
      <c r="AG3" s="23" t="s">
        <v>29</v>
      </c>
      <c r="AH3" s="23" t="s">
        <v>30</v>
      </c>
      <c r="AI3" s="23" t="s">
        <v>31</v>
      </c>
      <c r="AJ3" s="23" t="s">
        <v>18</v>
      </c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8" t="n">
        <f aca="false">A2-A3</f>
        <v>492</v>
      </c>
      <c r="B4" s="29" t="str">
        <f aca="false">IF(A4=0,"&lt;  Cash Balanced","  Reconcile Cash")</f>
        <v>  Reconcile Cash</v>
      </c>
      <c r="C4" s="29"/>
      <c r="D4" s="19"/>
      <c r="E4" s="20"/>
      <c r="F4" s="23"/>
      <c r="G4" s="23"/>
      <c r="H4" s="23"/>
      <c r="I4" s="23"/>
      <c r="J4" s="23"/>
      <c r="K4" s="23"/>
      <c r="L4" s="23"/>
      <c r="M4" s="23"/>
      <c r="N4" s="23"/>
      <c r="O4" s="13"/>
      <c r="P4" s="30" t="s">
        <v>32</v>
      </c>
      <c r="Q4" s="31" t="s">
        <v>33</v>
      </c>
      <c r="R4" s="22"/>
      <c r="S4" s="23"/>
      <c r="T4" s="20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2" t="s">
        <v>34</v>
      </c>
      <c r="B5" s="33" t="s">
        <v>35</v>
      </c>
      <c r="C5" s="34" t="s">
        <v>36</v>
      </c>
      <c r="D5" s="19"/>
      <c r="E5" s="20"/>
      <c r="F5" s="23"/>
      <c r="G5" s="35" t="s">
        <v>37</v>
      </c>
      <c r="H5" s="35" t="s">
        <v>38</v>
      </c>
      <c r="I5" s="35" t="s">
        <v>39</v>
      </c>
      <c r="J5" s="35" t="s">
        <v>40</v>
      </c>
      <c r="K5" s="35" t="s">
        <v>41</v>
      </c>
      <c r="L5" s="35" t="s">
        <v>42</v>
      </c>
      <c r="M5" s="35" t="s">
        <v>43</v>
      </c>
      <c r="N5" s="35" t="s">
        <v>44</v>
      </c>
      <c r="O5" s="13"/>
      <c r="P5" s="30"/>
      <c r="Q5" s="31"/>
      <c r="R5" s="22"/>
      <c r="S5" s="23"/>
      <c r="T5" s="20"/>
      <c r="U5" s="23"/>
      <c r="V5" s="35" t="s">
        <v>37</v>
      </c>
      <c r="W5" s="35" t="s">
        <v>38</v>
      </c>
      <c r="X5" s="35" t="s">
        <v>39</v>
      </c>
      <c r="Y5" s="35" t="s">
        <v>45</v>
      </c>
      <c r="Z5" s="35" t="s">
        <v>46</v>
      </c>
      <c r="AA5" s="35" t="s">
        <v>47</v>
      </c>
      <c r="AB5" s="35" t="s">
        <v>48</v>
      </c>
      <c r="AC5" s="35" t="s">
        <v>42</v>
      </c>
      <c r="AD5" s="35" t="s">
        <v>43</v>
      </c>
      <c r="AE5" s="35" t="s">
        <v>49</v>
      </c>
      <c r="AF5" s="35" t="s">
        <v>50</v>
      </c>
      <c r="AG5" s="35" t="s">
        <v>51</v>
      </c>
      <c r="AH5" s="35" t="s">
        <v>52</v>
      </c>
      <c r="AI5" s="35" t="s">
        <v>53</v>
      </c>
      <c r="AJ5" s="35" t="s">
        <v>44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6"/>
      <c r="T6" s="37" t="str">
        <f aca="false">IF(U6&lt;&gt;0,"Enter Code"," ")</f>
        <v> 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str">
        <f aca="false">IF(T6="CR",U6," ")</f>
        <v> 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8"/>
      <c r="T7" s="37" t="str">
        <f aca="false">IF(U7&lt;&gt;0,"Enter Code"," ")</f>
        <v> </v>
      </c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8"/>
      <c r="T8" s="37" t="str">
        <f aca="false">IF(U8&lt;&gt;0,"Enter Code"," ")</f>
        <v> </v>
      </c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8"/>
      <c r="T9" s="37" t="str">
        <f aca="false">IF(U9&lt;&gt;0,"Enter Code"," ")</f>
        <v> </v>
      </c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8"/>
      <c r="T10" s="37" t="str">
        <f aca="false">IF(U10&lt;&gt;0,"Enter Code"," ")</f>
        <v> </v>
      </c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8"/>
      <c r="T11" s="37" t="str">
        <f aca="false">IF(U11&lt;&gt;0,"Enter Code"," ")</f>
        <v> </v>
      </c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8"/>
      <c r="T12" s="37" t="str">
        <f aca="false">IF(U12&lt;&gt;0,"Enter Code"," ")</f>
        <v> </v>
      </c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8"/>
      <c r="T13" s="37" t="str">
        <f aca="false">IF(U13&lt;&gt;0,"Enter Code"," ")</f>
        <v> </v>
      </c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8"/>
      <c r="T14" s="37" t="str">
        <f aca="false">IF(U14&lt;&gt;0,"Enter Code"," ")</f>
        <v> </v>
      </c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8"/>
      <c r="T15" s="37" t="str">
        <f aca="false">IF(U15&lt;&gt;0,"Enter Code"," ")</f>
        <v> </v>
      </c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8"/>
      <c r="T16" s="37" t="str">
        <f aca="false">IF(U16&lt;&gt;0,"Enter Code"," ")</f>
        <v> </v>
      </c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8"/>
      <c r="T17" s="37" t="str">
        <f aca="false">IF(U17&lt;&gt;0,"Enter Code"," ")</f>
        <v> </v>
      </c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8"/>
      <c r="T18" s="37" t="str">
        <f aca="false">IF(U18&lt;&gt;0,"Enter Code"," ")</f>
        <v> </v>
      </c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8"/>
      <c r="T19" s="37" t="str">
        <f aca="false">IF(U19&lt;&gt;0,"Enter Code"," ")</f>
        <v> </v>
      </c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8"/>
      <c r="T20" s="37" t="str">
        <f aca="false">IF(U20&lt;&gt;0,"Enter Code"," ")</f>
        <v> </v>
      </c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8"/>
      <c r="T21" s="37" t="str">
        <f aca="false">IF(U21&lt;&gt;0,"Enter Code"," ")</f>
        <v> </v>
      </c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8"/>
      <c r="T22" s="37" t="str">
        <f aca="false">IF(U22&lt;&gt;0,"Enter Code"," ")</f>
        <v> </v>
      </c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8"/>
      <c r="T23" s="37" t="str">
        <f aca="false">IF(U23&lt;&gt;0,"Enter Code"," ")</f>
        <v> </v>
      </c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8"/>
      <c r="T24" s="37" t="str">
        <f aca="false">IF(U24&lt;&gt;0,"Enter Code"," ")</f>
        <v> </v>
      </c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8"/>
      <c r="T25" s="37" t="str">
        <f aca="false">IF(U25&lt;&gt;0,"Enter Code"," ")</f>
        <v> </v>
      </c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8"/>
      <c r="T26" s="37" t="str">
        <f aca="false">IF(U26&lt;&gt;0,"Enter Code"," ")</f>
        <v> </v>
      </c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8"/>
      <c r="T27" s="37" t="str">
        <f aca="false">IF(U27&lt;&gt;0,"Enter Code"," ")</f>
        <v> </v>
      </c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8"/>
      <c r="T28" s="37" t="str">
        <f aca="false">IF(U28&lt;&gt;0,"Enter Code"," ")</f>
        <v> </v>
      </c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8"/>
      <c r="T29" s="37" t="str">
        <f aca="false">IF(U29&lt;&gt;0,"Enter Code"," ")</f>
        <v> </v>
      </c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8"/>
      <c r="T30" s="37" t="str">
        <f aca="false">IF(U30&lt;&gt;0,"Enter Code"," ")</f>
        <v> </v>
      </c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8"/>
      <c r="T31" s="37" t="str">
        <f aca="false">IF(U31&lt;&gt;0,"Enter Code"," ")</f>
        <v> </v>
      </c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8"/>
      <c r="T32" s="37" t="str">
        <f aca="false">IF(U32&lt;&gt;0,"Enter Code"," ")</f>
        <v> </v>
      </c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8"/>
      <c r="T33" s="37" t="str">
        <f aca="false">IF(U33&lt;&gt;0,"Enter Code"," ")</f>
        <v> </v>
      </c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8"/>
      <c r="T34" s="37" t="str">
        <f aca="false">IF(U34&lt;&gt;0,"Enter Code"," ")</f>
        <v> </v>
      </c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8"/>
      <c r="T35" s="37" t="str">
        <f aca="false">IF(U35&lt;&gt;0,"Enter Code"," ")</f>
        <v> </v>
      </c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8"/>
      <c r="T36" s="37" t="str">
        <f aca="false">IF(U36&lt;&gt;0,"Enter Code"," ")</f>
        <v> </v>
      </c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8"/>
      <c r="T37" s="37" t="str">
        <f aca="false">IF(U37&lt;&gt;0,"Enter Code"," ")</f>
        <v> </v>
      </c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8"/>
      <c r="T38" s="37" t="str">
        <f aca="false">IF(U38&lt;&gt;0,"Enter Code"," ")</f>
        <v> </v>
      </c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8"/>
      <c r="T39" s="37" t="str">
        <f aca="false">IF(U39&lt;&gt;0,"Enter Code"," ")</f>
        <v> </v>
      </c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8"/>
      <c r="T40" s="37" t="str">
        <f aca="false">IF(U40&lt;&gt;0,"Enter Code"," ")</f>
        <v> </v>
      </c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8"/>
      <c r="T41" s="37" t="str">
        <f aca="false">IF(U41&lt;&gt;0,"Enter Code"," ")</f>
        <v> </v>
      </c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8"/>
      <c r="T42" s="37" t="str">
        <f aca="false">IF(U42&lt;&gt;0,"Enter Code"," ")</f>
        <v> </v>
      </c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8"/>
      <c r="T43" s="37" t="str">
        <f aca="false">IF(U43&lt;&gt;0,"Enter Code"," ")</f>
        <v> </v>
      </c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8"/>
      <c r="T44" s="37" t="str">
        <f aca="false">IF(U44&lt;&gt;0,"Enter Code"," ")</f>
        <v> </v>
      </c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8"/>
      <c r="T45" s="37" t="str">
        <f aca="false">IF(U45&lt;&gt;0,"Enter Code"," ")</f>
        <v> </v>
      </c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8"/>
      <c r="T46" s="37" t="str">
        <f aca="false">IF(U46&lt;&gt;0,"Enter Code"," ")</f>
        <v> </v>
      </c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8"/>
      <c r="T47" s="37" t="str">
        <f aca="false">IF(U47&lt;&gt;0,"Enter Code"," ")</f>
        <v> </v>
      </c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8"/>
      <c r="T48" s="37" t="str">
        <f aca="false">IF(U48&lt;&gt;0,"Enter Code"," ")</f>
        <v> </v>
      </c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8"/>
      <c r="T49" s="37" t="str">
        <f aca="false">IF(U49&lt;&gt;0,"Enter Code"," ")</f>
        <v> </v>
      </c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8"/>
      <c r="T50" s="37" t="str">
        <f aca="false">IF(U50&lt;&gt;0,"Enter Code"," ")</f>
        <v> </v>
      </c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8"/>
      <c r="T51" s="37" t="str">
        <f aca="false">IF(U51&lt;&gt;0,"Enter Code"," ")</f>
        <v> </v>
      </c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8"/>
      <c r="T52" s="37" t="str">
        <f aca="false">IF(U52&lt;&gt;0,"Enter Code"," ")</f>
        <v> </v>
      </c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8"/>
      <c r="T53" s="37" t="str">
        <f aca="false">IF(U53&lt;&gt;0,"Enter Code"," ")</f>
        <v> </v>
      </c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8"/>
      <c r="T54" s="37" t="str">
        <f aca="false">IF(U54&lt;&gt;0,"Enter Code"," ")</f>
        <v> </v>
      </c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8"/>
      <c r="T55" s="37" t="str">
        <f aca="false">IF(U55&lt;&gt;0,"Enter Code"," ")</f>
        <v> </v>
      </c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8"/>
      <c r="T56" s="37" t="str">
        <f aca="false">IF(U56&lt;&gt;0,"Enter Code"," ")</f>
        <v> </v>
      </c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8"/>
      <c r="T57" s="37" t="str">
        <f aca="false">IF(U57&lt;&gt;0,"Enter Code"," ")</f>
        <v> </v>
      </c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8"/>
      <c r="T58" s="37" t="str">
        <f aca="false">IF(U58&lt;&gt;0,"Enter Code"," ")</f>
        <v> </v>
      </c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8"/>
      <c r="T59" s="37" t="str">
        <f aca="false">IF(U59&lt;&gt;0,"Enter Code"," ")</f>
        <v> </v>
      </c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8"/>
      <c r="T60" s="37" t="str">
        <f aca="false">IF(U60&lt;&gt;0,"Enter Code"," ")</f>
        <v> </v>
      </c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8"/>
      <c r="T61" s="37" t="str">
        <f aca="false">IF(U61&lt;&gt;0,"Enter Code"," ")</f>
        <v> </v>
      </c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8"/>
      <c r="T62" s="37" t="str">
        <f aca="false">IF(U62&lt;&gt;0,"Enter Code"," ")</f>
        <v> </v>
      </c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8"/>
      <c r="T63" s="37" t="str">
        <f aca="false">IF(U63&lt;&gt;0,"Enter Code"," ")</f>
        <v> </v>
      </c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8"/>
      <c r="T64" s="37" t="str">
        <f aca="false">IF(U64&lt;&gt;0,"Enter Code"," ")</f>
        <v> </v>
      </c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8"/>
      <c r="T65" s="37" t="str">
        <f aca="false">IF(U65&lt;&gt;0,"Enter Code"," ")</f>
        <v> </v>
      </c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8"/>
      <c r="T66" s="37" t="str">
        <f aca="false">IF(U66&lt;&gt;0,"Enter Code"," ")</f>
        <v> </v>
      </c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8"/>
      <c r="T67" s="37" t="str">
        <f aca="false">IF(U67&lt;&gt;0,"Enter Code"," ")</f>
        <v> </v>
      </c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8"/>
      <c r="T68" s="37" t="str">
        <f aca="false">IF(U68&lt;&gt;0,"Enter Code"," ")</f>
        <v> </v>
      </c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8"/>
      <c r="T69" s="37" t="str">
        <f aca="false">IF(U69&lt;&gt;0,"Enter Code"," ")</f>
        <v> </v>
      </c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8"/>
      <c r="T70" s="37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8"/>
      <c r="T71" s="37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8"/>
      <c r="T72" s="37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8"/>
      <c r="T73" s="37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8"/>
      <c r="T74" s="37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8"/>
      <c r="T75" s="37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8"/>
      <c r="T76" s="37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8"/>
      <c r="T77" s="37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8"/>
      <c r="T78" s="37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8"/>
      <c r="T79" s="37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8"/>
      <c r="T80" s="37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8"/>
      <c r="T81" s="37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8"/>
      <c r="T82" s="37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8"/>
      <c r="T83" s="37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8"/>
      <c r="T84" s="37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8"/>
      <c r="T85" s="37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8"/>
      <c r="T86" s="37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8"/>
      <c r="T87" s="37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8"/>
      <c r="T88" s="37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8"/>
      <c r="T89" s="37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8"/>
      <c r="T90" s="37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8"/>
      <c r="T91" s="37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8"/>
      <c r="T92" s="37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8"/>
      <c r="T93" s="37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8"/>
      <c r="T94" s="37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8"/>
      <c r="T95" s="37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8"/>
      <c r="T96" s="37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8"/>
      <c r="T97" s="37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8"/>
      <c r="T98" s="37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8"/>
      <c r="T99" s="37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8"/>
      <c r="T100" s="37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8"/>
      <c r="T101" s="37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8"/>
      <c r="T102" s="37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8"/>
      <c r="T103" s="37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8"/>
      <c r="T104" s="37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8"/>
      <c r="T105" s="37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8"/>
      <c r="T106" s="37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8"/>
      <c r="T107" s="37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8"/>
      <c r="T108" s="37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8"/>
      <c r="T109" s="37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8"/>
      <c r="T110" s="37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8"/>
      <c r="T111" s="37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8"/>
      <c r="T112" s="37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8"/>
      <c r="T113" s="37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8"/>
      <c r="T114" s="37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8"/>
      <c r="T115" s="37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8"/>
      <c r="T116" s="37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8"/>
      <c r="T117" s="37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8"/>
      <c r="T118" s="37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8"/>
      <c r="T119" s="37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8"/>
      <c r="T120" s="37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8"/>
      <c r="T121" s="37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8"/>
      <c r="T122" s="37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8"/>
      <c r="T123" s="37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8"/>
      <c r="T124" s="37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8"/>
      <c r="T125" s="37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8"/>
      <c r="T126" s="37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8"/>
      <c r="T127" s="37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8"/>
      <c r="T128" s="37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8"/>
      <c r="T129" s="37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8"/>
      <c r="T130" s="37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8"/>
      <c r="T131" s="37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8"/>
      <c r="T132" s="37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8"/>
      <c r="T133" s="37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8"/>
      <c r="T134" s="37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8"/>
      <c r="T135" s="37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8"/>
      <c r="T136" s="37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8"/>
      <c r="T137" s="37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8"/>
      <c r="T138" s="37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8"/>
      <c r="T139" s="37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8"/>
      <c r="T140" s="37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8"/>
      <c r="T141" s="37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8"/>
      <c r="T142" s="37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8"/>
      <c r="T143" s="37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8"/>
      <c r="T144" s="37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8"/>
      <c r="T145" s="37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8"/>
      <c r="T146" s="37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8"/>
      <c r="T147" s="37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8"/>
      <c r="T148" s="37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8"/>
      <c r="T149" s="37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8"/>
      <c r="T150" s="37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8"/>
      <c r="T151" s="37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8"/>
      <c r="T152" s="37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8"/>
      <c r="T153" s="37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8"/>
      <c r="T154" s="37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8"/>
      <c r="T155" s="37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8"/>
      <c r="T156" s="37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8"/>
      <c r="T157" s="37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8"/>
      <c r="T158" s="37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8"/>
      <c r="T159" s="37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8"/>
      <c r="T160" s="37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8"/>
      <c r="T161" s="37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8"/>
      <c r="T162" s="37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8"/>
      <c r="T163" s="37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8"/>
      <c r="T164" s="37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8"/>
      <c r="T165" s="37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8"/>
      <c r="T166" s="37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8"/>
      <c r="T167" s="37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8"/>
      <c r="T168" s="37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8"/>
      <c r="T169" s="37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8"/>
      <c r="T170" s="37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8"/>
      <c r="T171" s="37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8"/>
      <c r="T172" s="37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8"/>
      <c r="T173" s="37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6"/>
      <c r="T174" s="37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9"/>
      <c r="T175" s="37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8"/>
      <c r="T176" s="37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8"/>
      <c r="T177" s="37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8"/>
      <c r="T178" s="37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8"/>
      <c r="T179" s="37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8"/>
      <c r="T180" s="37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8"/>
      <c r="T181" s="37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8"/>
      <c r="T182" s="37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8"/>
      <c r="T183" s="37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8"/>
      <c r="T184" s="37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8"/>
      <c r="T185" s="37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8"/>
      <c r="T186" s="37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8"/>
      <c r="T187" s="37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8"/>
      <c r="T188" s="37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8"/>
      <c r="T189" s="37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8"/>
      <c r="T190" s="37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8"/>
      <c r="T191" s="37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8"/>
      <c r="T192" s="37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8"/>
      <c r="T193" s="37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8"/>
      <c r="T194" s="37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8"/>
      <c r="T195" s="37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8"/>
      <c r="T196" s="37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8"/>
      <c r="T197" s="37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8"/>
      <c r="T198" s="37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8"/>
      <c r="T199" s="37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1"/>
      <c r="C200" s="5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IF(E200="BS",F200," ")</f>
        <v> </v>
      </c>
      <c r="I200" s="45" t="str">
        <f aca="false">IF(E200="BD",F200,"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IF(E200="DL",F200," ")</f>
        <v> </v>
      </c>
      <c r="O200" s="39"/>
      <c r="P200" s="40"/>
      <c r="Q200" s="43"/>
      <c r="R200" s="42"/>
      <c r="S200" s="42"/>
      <c r="T200" s="46" t="str">
        <f aca="false">IF(U200&lt;&gt;0,"Enter Code"," ")</f>
        <v> </v>
      </c>
      <c r="U200" s="45"/>
      <c r="V200" s="45" t="str">
        <f aca="false">IF(T200="BB",U200," ")</f>
        <v> </v>
      </c>
      <c r="W200" s="45" t="str">
        <f aca="false">IF(T200="BS",U200," ")</f>
        <v> </v>
      </c>
      <c r="X200" s="45" t="str">
        <f aca="false">IF(T200="BD",U200," ")</f>
        <v> </v>
      </c>
      <c r="Y200" s="45" t="str">
        <f aca="false">IF(T200="CR",U200," ")</f>
        <v> </v>
      </c>
      <c r="Z200" s="45" t="str">
        <f aca="false">IF(T200="W",U200," ")</f>
        <v> </v>
      </c>
      <c r="AA200" s="45" t="str">
        <f aca="false">IF(T200="B",U200," ")</f>
        <v> </v>
      </c>
      <c r="AB200" s="45" t="str">
        <f aca="false">IF(T200="J",U200," ")</f>
        <v> </v>
      </c>
      <c r="AC200" s="45" t="str">
        <f aca="false">IF(T200="LDR",U200," ")</f>
        <v> </v>
      </c>
      <c r="AD200" s="45" t="str">
        <f aca="false">IF(T200="LCR",U200," ")</f>
        <v> </v>
      </c>
      <c r="AE200" s="45" t="str">
        <f aca="false">IF(T200="RP",U200," ")</f>
        <v> </v>
      </c>
      <c r="AF200" s="45" t="str">
        <f aca="false">IF(T200="RV",U200," ")</f>
        <v> </v>
      </c>
      <c r="AG200" s="45" t="str">
        <f aca="false">IF(T200="RC",U200," ")</f>
        <v> </v>
      </c>
      <c r="AH200" s="45" t="str">
        <f aca="false">IF(T200="RT",U200," ")</f>
        <v> </v>
      </c>
      <c r="AI200" s="45" t="str">
        <f aca="false">IF(T200="DV",U200," ")</f>
        <v> </v>
      </c>
      <c r="AJ200" s="45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4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7" width="9.15"/>
    <col collapsed="false" customWidth="true" hidden="false" outlineLevel="0" max="2" min="2" style="2" width="21.99"/>
    <col collapsed="false" customWidth="true" hidden="false" outlineLevel="0" max="3" min="3" style="48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9" width="9.15"/>
  </cols>
  <sheetData>
    <row r="1" customFormat="false" ht="15" hidden="false" customHeight="true" outlineLevel="0" collapsed="false">
      <c r="A1" s="50" t="n">
        <f aca="false">Aug!A2</f>
        <v>492</v>
      </c>
      <c r="B1" s="8" t="s">
        <v>0</v>
      </c>
      <c r="C1" s="9" t="n">
        <f aca="false">[1]Admin!$B$29</f>
        <v>46631</v>
      </c>
      <c r="D1" s="10" t="s">
        <v>1</v>
      </c>
      <c r="E1" s="11" t="n">
        <f aca="false">F1-SUM(G1:N1)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3"/>
      <c r="P1" s="14" t="str">
        <f aca="false">IF(T1=0," ","Check all payment code letters entered")</f>
        <v> </v>
      </c>
      <c r="Q1" s="14"/>
      <c r="R1" s="15"/>
      <c r="S1" s="16" t="s">
        <v>1</v>
      </c>
      <c r="T1" s="11" t="n">
        <f aca="false">U1-SUM(V1:AJ1)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A1+F1-U1</f>
        <v>492</v>
      </c>
      <c r="B2" s="18" t="s">
        <v>2</v>
      </c>
      <c r="C2" s="9" t="n">
        <f aca="false">[1]Admin!$B$30</f>
        <v>46660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13"/>
      <c r="P2" s="14" t="str">
        <f aca="false">IF(E1=0," ","Check all Receipts Code Letters entered")</f>
        <v> </v>
      </c>
      <c r="Q2" s="14"/>
      <c r="R2" s="22" t="s">
        <v>6</v>
      </c>
      <c r="S2" s="23" t="s">
        <v>7</v>
      </c>
      <c r="T2" s="20" t="s">
        <v>4</v>
      </c>
      <c r="U2" s="21" t="s">
        <v>8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46660</v>
      </c>
      <c r="D3" s="19"/>
      <c r="E3" s="20"/>
      <c r="F3" s="23" t="s">
        <v>10</v>
      </c>
      <c r="G3" s="23" t="s">
        <v>11</v>
      </c>
      <c r="H3" s="23" t="s">
        <v>12</v>
      </c>
      <c r="I3" s="23" t="s">
        <v>13</v>
      </c>
      <c r="J3" s="23" t="s">
        <v>14</v>
      </c>
      <c r="K3" s="23" t="s">
        <v>15</v>
      </c>
      <c r="L3" s="23" t="s">
        <v>16</v>
      </c>
      <c r="M3" s="23" t="s">
        <v>17</v>
      </c>
      <c r="N3" s="23" t="s">
        <v>18</v>
      </c>
      <c r="O3" s="13"/>
      <c r="P3" s="26"/>
      <c r="Q3" s="27"/>
      <c r="R3" s="22"/>
      <c r="S3" s="23"/>
      <c r="T3" s="20"/>
      <c r="U3" s="23" t="s">
        <v>19</v>
      </c>
      <c r="V3" s="23" t="s">
        <v>20</v>
      </c>
      <c r="W3" s="23" t="s">
        <v>21</v>
      </c>
      <c r="X3" s="23" t="s">
        <v>22</v>
      </c>
      <c r="Y3" s="23" t="s">
        <v>23</v>
      </c>
      <c r="Z3" s="23" t="s">
        <v>24</v>
      </c>
      <c r="AA3" s="23" t="s">
        <v>25</v>
      </c>
      <c r="AB3" s="23" t="s">
        <v>26</v>
      </c>
      <c r="AC3" s="23" t="s">
        <v>16</v>
      </c>
      <c r="AD3" s="23" t="s">
        <v>17</v>
      </c>
      <c r="AE3" s="23" t="s">
        <v>27</v>
      </c>
      <c r="AF3" s="23" t="s">
        <v>28</v>
      </c>
      <c r="AG3" s="23" t="s">
        <v>29</v>
      </c>
      <c r="AH3" s="23" t="s">
        <v>30</v>
      </c>
      <c r="AI3" s="23" t="s">
        <v>31</v>
      </c>
      <c r="AJ3" s="23" t="s">
        <v>18</v>
      </c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8" t="n">
        <f aca="false">A2-A3</f>
        <v>492</v>
      </c>
      <c r="B4" s="29" t="str">
        <f aca="false">IF(A4=0,"&lt;  Cash Balanced","  Reconcile Cash")</f>
        <v>  Reconcile Cash</v>
      </c>
      <c r="C4" s="29"/>
      <c r="D4" s="19"/>
      <c r="E4" s="20"/>
      <c r="F4" s="23"/>
      <c r="G4" s="23"/>
      <c r="H4" s="23"/>
      <c r="I4" s="23"/>
      <c r="J4" s="23"/>
      <c r="K4" s="23"/>
      <c r="L4" s="23"/>
      <c r="M4" s="23"/>
      <c r="N4" s="23"/>
      <c r="O4" s="13"/>
      <c r="P4" s="30" t="s">
        <v>32</v>
      </c>
      <c r="Q4" s="31" t="s">
        <v>33</v>
      </c>
      <c r="R4" s="22"/>
      <c r="S4" s="23"/>
      <c r="T4" s="20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2" t="s">
        <v>34</v>
      </c>
      <c r="B5" s="33" t="s">
        <v>35</v>
      </c>
      <c r="C5" s="34" t="s">
        <v>36</v>
      </c>
      <c r="D5" s="19"/>
      <c r="E5" s="20"/>
      <c r="F5" s="23"/>
      <c r="G5" s="35" t="s">
        <v>37</v>
      </c>
      <c r="H5" s="35" t="s">
        <v>38</v>
      </c>
      <c r="I5" s="35" t="s">
        <v>39</v>
      </c>
      <c r="J5" s="35" t="s">
        <v>40</v>
      </c>
      <c r="K5" s="35" t="s">
        <v>41</v>
      </c>
      <c r="L5" s="35" t="s">
        <v>42</v>
      </c>
      <c r="M5" s="35" t="s">
        <v>43</v>
      </c>
      <c r="N5" s="35" t="s">
        <v>44</v>
      </c>
      <c r="O5" s="13"/>
      <c r="P5" s="30"/>
      <c r="Q5" s="31"/>
      <c r="R5" s="22"/>
      <c r="S5" s="23"/>
      <c r="T5" s="20"/>
      <c r="U5" s="23"/>
      <c r="V5" s="35" t="s">
        <v>37</v>
      </c>
      <c r="W5" s="35" t="s">
        <v>38</v>
      </c>
      <c r="X5" s="35" t="s">
        <v>39</v>
      </c>
      <c r="Y5" s="35" t="s">
        <v>45</v>
      </c>
      <c r="Z5" s="35" t="s">
        <v>46</v>
      </c>
      <c r="AA5" s="35" t="s">
        <v>47</v>
      </c>
      <c r="AB5" s="35" t="s">
        <v>48</v>
      </c>
      <c r="AC5" s="35" t="s">
        <v>42</v>
      </c>
      <c r="AD5" s="35" t="s">
        <v>43</v>
      </c>
      <c r="AE5" s="35" t="s">
        <v>49</v>
      </c>
      <c r="AF5" s="35" t="s">
        <v>50</v>
      </c>
      <c r="AG5" s="35" t="s">
        <v>51</v>
      </c>
      <c r="AH5" s="35" t="s">
        <v>52</v>
      </c>
      <c r="AI5" s="35" t="s">
        <v>53</v>
      </c>
      <c r="AJ5" s="35" t="s">
        <v>44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6"/>
      <c r="T6" s="37" t="str">
        <f aca="false">IF(U6&lt;&gt;0,"Enter Code"," ")</f>
        <v> 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str">
        <f aca="false">IF(T6="CR",U6," ")</f>
        <v> 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8"/>
      <c r="T7" s="37" t="str">
        <f aca="false">IF(U7&lt;&gt;0,"Enter Code"," ")</f>
        <v> </v>
      </c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8"/>
      <c r="T8" s="37" t="str">
        <f aca="false">IF(U8&lt;&gt;0,"Enter Code"," ")</f>
        <v> </v>
      </c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8"/>
      <c r="T9" s="37" t="str">
        <f aca="false">IF(U9&lt;&gt;0,"Enter Code"," ")</f>
        <v> </v>
      </c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8"/>
      <c r="T10" s="37" t="str">
        <f aca="false">IF(U10&lt;&gt;0,"Enter Code"," ")</f>
        <v> </v>
      </c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8"/>
      <c r="T11" s="37" t="str">
        <f aca="false">IF(U11&lt;&gt;0,"Enter Code"," ")</f>
        <v> </v>
      </c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8"/>
      <c r="T12" s="37" t="str">
        <f aca="false">IF(U12&lt;&gt;0,"Enter Code"," ")</f>
        <v> </v>
      </c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8"/>
      <c r="T13" s="37" t="str">
        <f aca="false">IF(U13&lt;&gt;0,"Enter Code"," ")</f>
        <v> </v>
      </c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8"/>
      <c r="T14" s="37" t="str">
        <f aca="false">IF(U14&lt;&gt;0,"Enter Code"," ")</f>
        <v> </v>
      </c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8"/>
      <c r="T15" s="37" t="str">
        <f aca="false">IF(U15&lt;&gt;0,"Enter Code"," ")</f>
        <v> </v>
      </c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8"/>
      <c r="T16" s="37" t="str">
        <f aca="false">IF(U16&lt;&gt;0,"Enter Code"," ")</f>
        <v> </v>
      </c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8"/>
      <c r="T17" s="37" t="str">
        <f aca="false">IF(U17&lt;&gt;0,"Enter Code"," ")</f>
        <v> </v>
      </c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8"/>
      <c r="T18" s="37" t="str">
        <f aca="false">IF(U18&lt;&gt;0,"Enter Code"," ")</f>
        <v> </v>
      </c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8"/>
      <c r="T19" s="37" t="str">
        <f aca="false">IF(U19&lt;&gt;0,"Enter Code"," ")</f>
        <v> </v>
      </c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8"/>
      <c r="T20" s="37" t="str">
        <f aca="false">IF(U20&lt;&gt;0,"Enter Code"," ")</f>
        <v> </v>
      </c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8"/>
      <c r="T21" s="37" t="str">
        <f aca="false">IF(U21&lt;&gt;0,"Enter Code"," ")</f>
        <v> </v>
      </c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8"/>
      <c r="T22" s="37" t="str">
        <f aca="false">IF(U22&lt;&gt;0,"Enter Code"," ")</f>
        <v> </v>
      </c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8"/>
      <c r="T23" s="37" t="str">
        <f aca="false">IF(U23&lt;&gt;0,"Enter Code"," ")</f>
        <v> </v>
      </c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8"/>
      <c r="T24" s="37" t="str">
        <f aca="false">IF(U24&lt;&gt;0,"Enter Code"," ")</f>
        <v> </v>
      </c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8"/>
      <c r="T25" s="37" t="str">
        <f aca="false">IF(U25&lt;&gt;0,"Enter Code"," ")</f>
        <v> </v>
      </c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8"/>
      <c r="T26" s="37" t="str">
        <f aca="false">IF(U26&lt;&gt;0,"Enter Code"," ")</f>
        <v> </v>
      </c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8"/>
      <c r="T27" s="37" t="str">
        <f aca="false">IF(U27&lt;&gt;0,"Enter Code"," ")</f>
        <v> </v>
      </c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8"/>
      <c r="T28" s="37" t="str">
        <f aca="false">IF(U28&lt;&gt;0,"Enter Code"," ")</f>
        <v> </v>
      </c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8"/>
      <c r="T29" s="37" t="str">
        <f aca="false">IF(U29&lt;&gt;0,"Enter Code"," ")</f>
        <v> </v>
      </c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8"/>
      <c r="T30" s="37" t="str">
        <f aca="false">IF(U30&lt;&gt;0,"Enter Code"," ")</f>
        <v> </v>
      </c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8"/>
      <c r="T31" s="37" t="str">
        <f aca="false">IF(U31&lt;&gt;0,"Enter Code"," ")</f>
        <v> </v>
      </c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8"/>
      <c r="T32" s="37" t="str">
        <f aca="false">IF(U32&lt;&gt;0,"Enter Code"," ")</f>
        <v> </v>
      </c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8"/>
      <c r="T33" s="37" t="str">
        <f aca="false">IF(U33&lt;&gt;0,"Enter Code"," ")</f>
        <v> </v>
      </c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8"/>
      <c r="T34" s="37" t="str">
        <f aca="false">IF(U34&lt;&gt;0,"Enter Code"," ")</f>
        <v> </v>
      </c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8"/>
      <c r="T35" s="37" t="str">
        <f aca="false">IF(U35&lt;&gt;0,"Enter Code"," ")</f>
        <v> </v>
      </c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8"/>
      <c r="T36" s="37" t="str">
        <f aca="false">IF(U36&lt;&gt;0,"Enter Code"," ")</f>
        <v> </v>
      </c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8"/>
      <c r="T37" s="37" t="str">
        <f aca="false">IF(U37&lt;&gt;0,"Enter Code"," ")</f>
        <v> </v>
      </c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8"/>
      <c r="T38" s="37" t="str">
        <f aca="false">IF(U38&lt;&gt;0,"Enter Code"," ")</f>
        <v> </v>
      </c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8"/>
      <c r="T39" s="37" t="str">
        <f aca="false">IF(U39&lt;&gt;0,"Enter Code"," ")</f>
        <v> </v>
      </c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8"/>
      <c r="T40" s="37" t="str">
        <f aca="false">IF(U40&lt;&gt;0,"Enter Code"," ")</f>
        <v> </v>
      </c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8"/>
      <c r="T41" s="37" t="str">
        <f aca="false">IF(U41&lt;&gt;0,"Enter Code"," ")</f>
        <v> </v>
      </c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8"/>
      <c r="T42" s="37" t="str">
        <f aca="false">IF(U42&lt;&gt;0,"Enter Code"," ")</f>
        <v> </v>
      </c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8"/>
      <c r="T43" s="37" t="str">
        <f aca="false">IF(U43&lt;&gt;0,"Enter Code"," ")</f>
        <v> </v>
      </c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8"/>
      <c r="T44" s="37" t="str">
        <f aca="false">IF(U44&lt;&gt;0,"Enter Code"," ")</f>
        <v> </v>
      </c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8"/>
      <c r="T45" s="37" t="str">
        <f aca="false">IF(U45&lt;&gt;0,"Enter Code"," ")</f>
        <v> </v>
      </c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8"/>
      <c r="T46" s="37" t="str">
        <f aca="false">IF(U46&lt;&gt;0,"Enter Code"," ")</f>
        <v> </v>
      </c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8"/>
      <c r="T47" s="37" t="str">
        <f aca="false">IF(U47&lt;&gt;0,"Enter Code"," ")</f>
        <v> </v>
      </c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8"/>
      <c r="T48" s="37" t="str">
        <f aca="false">IF(U48&lt;&gt;0,"Enter Code"," ")</f>
        <v> </v>
      </c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8"/>
      <c r="T49" s="37" t="str">
        <f aca="false">IF(U49&lt;&gt;0,"Enter Code"," ")</f>
        <v> </v>
      </c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8"/>
      <c r="T50" s="37" t="str">
        <f aca="false">IF(U50&lt;&gt;0,"Enter Code"," ")</f>
        <v> </v>
      </c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8"/>
      <c r="T51" s="37" t="str">
        <f aca="false">IF(U51&lt;&gt;0,"Enter Code"," ")</f>
        <v> </v>
      </c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8"/>
      <c r="T52" s="37" t="str">
        <f aca="false">IF(U52&lt;&gt;0,"Enter Code"," ")</f>
        <v> </v>
      </c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8"/>
      <c r="T53" s="37" t="str">
        <f aca="false">IF(U53&lt;&gt;0,"Enter Code"," ")</f>
        <v> </v>
      </c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8"/>
      <c r="T54" s="37" t="str">
        <f aca="false">IF(U54&lt;&gt;0,"Enter Code"," ")</f>
        <v> </v>
      </c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8"/>
      <c r="T55" s="37" t="str">
        <f aca="false">IF(U55&lt;&gt;0,"Enter Code"," ")</f>
        <v> </v>
      </c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8"/>
      <c r="T56" s="37" t="str">
        <f aca="false">IF(U56&lt;&gt;0,"Enter Code"," ")</f>
        <v> </v>
      </c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8"/>
      <c r="T57" s="37" t="str">
        <f aca="false">IF(U57&lt;&gt;0,"Enter Code"," ")</f>
        <v> </v>
      </c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8"/>
      <c r="T58" s="37" t="str">
        <f aca="false">IF(U58&lt;&gt;0,"Enter Code"," ")</f>
        <v> </v>
      </c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8"/>
      <c r="T59" s="37" t="str">
        <f aca="false">IF(U59&lt;&gt;0,"Enter Code"," ")</f>
        <v> </v>
      </c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8"/>
      <c r="T60" s="37" t="str">
        <f aca="false">IF(U60&lt;&gt;0,"Enter Code"," ")</f>
        <v> </v>
      </c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8"/>
      <c r="T61" s="37" t="str">
        <f aca="false">IF(U61&lt;&gt;0,"Enter Code"," ")</f>
        <v> </v>
      </c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8"/>
      <c r="T62" s="37" t="str">
        <f aca="false">IF(U62&lt;&gt;0,"Enter Code"," ")</f>
        <v> </v>
      </c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8"/>
      <c r="T63" s="37" t="str">
        <f aca="false">IF(U63&lt;&gt;0,"Enter Code"," ")</f>
        <v> </v>
      </c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8"/>
      <c r="T64" s="37" t="str">
        <f aca="false">IF(U64&lt;&gt;0,"Enter Code"," ")</f>
        <v> </v>
      </c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8"/>
      <c r="T65" s="37" t="str">
        <f aca="false">IF(U65&lt;&gt;0,"Enter Code"," ")</f>
        <v> </v>
      </c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8"/>
      <c r="T66" s="37" t="str">
        <f aca="false">IF(U66&lt;&gt;0,"Enter Code"," ")</f>
        <v> </v>
      </c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8"/>
      <c r="T67" s="37" t="str">
        <f aca="false">IF(U67&lt;&gt;0,"Enter Code"," ")</f>
        <v> </v>
      </c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8"/>
      <c r="T68" s="37" t="str">
        <f aca="false">IF(U68&lt;&gt;0,"Enter Code"," ")</f>
        <v> </v>
      </c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8"/>
      <c r="T69" s="37" t="str">
        <f aca="false">IF(U69&lt;&gt;0,"Enter Code"," ")</f>
        <v> </v>
      </c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8"/>
      <c r="T70" s="37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8"/>
      <c r="T71" s="37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8"/>
      <c r="T72" s="37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8"/>
      <c r="T73" s="37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8"/>
      <c r="T74" s="37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8"/>
      <c r="T75" s="37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8"/>
      <c r="T76" s="37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8"/>
      <c r="T77" s="37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8"/>
      <c r="T78" s="37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8"/>
      <c r="T79" s="37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8"/>
      <c r="T80" s="37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8"/>
      <c r="T81" s="37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8"/>
      <c r="T82" s="37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8"/>
      <c r="T83" s="37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8"/>
      <c r="T84" s="37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8"/>
      <c r="T85" s="37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8"/>
      <c r="T86" s="37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8"/>
      <c r="T87" s="37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8"/>
      <c r="T88" s="37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8"/>
      <c r="T89" s="37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8"/>
      <c r="T90" s="37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8"/>
      <c r="T91" s="37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8"/>
      <c r="T92" s="37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8"/>
      <c r="T93" s="37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8"/>
      <c r="T94" s="37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8"/>
      <c r="T95" s="37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8"/>
      <c r="T96" s="37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8"/>
      <c r="T97" s="37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8"/>
      <c r="T98" s="37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8"/>
      <c r="T99" s="37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8"/>
      <c r="T100" s="37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8"/>
      <c r="T101" s="37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8"/>
      <c r="T102" s="37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8"/>
      <c r="T103" s="37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8"/>
      <c r="T104" s="37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8"/>
      <c r="T105" s="37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8"/>
      <c r="T106" s="37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8"/>
      <c r="T107" s="37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8"/>
      <c r="T108" s="37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8"/>
      <c r="T109" s="37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8"/>
      <c r="T110" s="37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8"/>
      <c r="T111" s="37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8"/>
      <c r="T112" s="37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8"/>
      <c r="T113" s="37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8"/>
      <c r="T114" s="37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8"/>
      <c r="T115" s="37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8"/>
      <c r="T116" s="37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8"/>
      <c r="T117" s="37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8"/>
      <c r="T118" s="37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8"/>
      <c r="T119" s="37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8"/>
      <c r="T120" s="37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8"/>
      <c r="T121" s="37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8"/>
      <c r="T122" s="37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8"/>
      <c r="T123" s="37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8"/>
      <c r="T124" s="37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8"/>
      <c r="T125" s="37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8"/>
      <c r="T126" s="37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8"/>
      <c r="T127" s="37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8"/>
      <c r="T128" s="37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8"/>
      <c r="T129" s="37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8"/>
      <c r="T130" s="37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8"/>
      <c r="T131" s="37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8"/>
      <c r="T132" s="37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8"/>
      <c r="T133" s="37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8"/>
      <c r="T134" s="37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8"/>
      <c r="T135" s="37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8"/>
      <c r="T136" s="37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8"/>
      <c r="T137" s="37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8"/>
      <c r="T138" s="37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8"/>
      <c r="T139" s="37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8"/>
      <c r="T140" s="37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8"/>
      <c r="T141" s="37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8"/>
      <c r="T142" s="37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8"/>
      <c r="T143" s="37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8"/>
      <c r="T144" s="37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8"/>
      <c r="T145" s="37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8"/>
      <c r="T146" s="37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8"/>
      <c r="T147" s="37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8"/>
      <c r="T148" s="37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8"/>
      <c r="T149" s="37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8"/>
      <c r="T150" s="37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8"/>
      <c r="T151" s="37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8"/>
      <c r="T152" s="37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8"/>
      <c r="T153" s="37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8"/>
      <c r="T154" s="37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8"/>
      <c r="T155" s="37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8"/>
      <c r="T156" s="37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8"/>
      <c r="T157" s="37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8"/>
      <c r="T158" s="37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8"/>
      <c r="T159" s="37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8"/>
      <c r="T160" s="37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8"/>
      <c r="T161" s="37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8"/>
      <c r="T162" s="37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8"/>
      <c r="T163" s="37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8"/>
      <c r="T164" s="37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8"/>
      <c r="T165" s="37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8"/>
      <c r="T166" s="37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8"/>
      <c r="T167" s="37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8"/>
      <c r="T168" s="37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8"/>
      <c r="T169" s="37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8"/>
      <c r="T170" s="37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8"/>
      <c r="T171" s="37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8"/>
      <c r="T172" s="37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8"/>
      <c r="T173" s="37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6"/>
      <c r="T174" s="37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9"/>
      <c r="T175" s="37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8"/>
      <c r="T176" s="37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8"/>
      <c r="T177" s="37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8"/>
      <c r="T178" s="37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8"/>
      <c r="T179" s="37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8"/>
      <c r="T180" s="37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8"/>
      <c r="T181" s="37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8"/>
      <c r="T182" s="37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8"/>
      <c r="T183" s="37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8"/>
      <c r="T184" s="37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8"/>
      <c r="T185" s="37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8"/>
      <c r="T186" s="37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8"/>
      <c r="T187" s="37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8"/>
      <c r="T188" s="37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8"/>
      <c r="T189" s="37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8"/>
      <c r="T190" s="37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8"/>
      <c r="T191" s="37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8"/>
      <c r="T192" s="37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8"/>
      <c r="T193" s="37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8"/>
      <c r="T194" s="37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8"/>
      <c r="T195" s="37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8"/>
      <c r="T196" s="37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8"/>
      <c r="T197" s="37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8"/>
      <c r="T198" s="37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8"/>
      <c r="T199" s="37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1"/>
      <c r="C200" s="5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IF(E200="BS",F200," ")</f>
        <v> </v>
      </c>
      <c r="I200" s="45" t="str">
        <f aca="false">IF(E200="BD",F200,"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IF(E200="DL",F200," ")</f>
        <v> </v>
      </c>
      <c r="O200" s="39"/>
      <c r="P200" s="40"/>
      <c r="Q200" s="43"/>
      <c r="R200" s="42"/>
      <c r="S200" s="42"/>
      <c r="T200" s="46" t="str">
        <f aca="false">IF(U200&lt;&gt;0,"Enter Code"," ")</f>
        <v> </v>
      </c>
      <c r="U200" s="45"/>
      <c r="V200" s="45" t="str">
        <f aca="false">IF(T200="BB",U200," ")</f>
        <v> </v>
      </c>
      <c r="W200" s="45" t="str">
        <f aca="false">IF(T200="BS",U200," ")</f>
        <v> </v>
      </c>
      <c r="X200" s="45" t="str">
        <f aca="false">IF(T200="BD",U200," ")</f>
        <v> </v>
      </c>
      <c r="Y200" s="45" t="str">
        <f aca="false">IF(T200="CR",U200," ")</f>
        <v> </v>
      </c>
      <c r="Z200" s="45" t="str">
        <f aca="false">IF(T200="W",U200," ")</f>
        <v> </v>
      </c>
      <c r="AA200" s="45" t="str">
        <f aca="false">IF(T200="B",U200," ")</f>
        <v> </v>
      </c>
      <c r="AB200" s="45" t="str">
        <f aca="false">IF(T200="J",U200," ")</f>
        <v> </v>
      </c>
      <c r="AC200" s="45" t="str">
        <f aca="false">IF(T200="LDR",U200," ")</f>
        <v> </v>
      </c>
      <c r="AD200" s="45" t="str">
        <f aca="false">IF(T200="LCR",U200," ")</f>
        <v> </v>
      </c>
      <c r="AE200" s="45" t="str">
        <f aca="false">IF(T200="RP",U200," ")</f>
        <v> </v>
      </c>
      <c r="AF200" s="45" t="str">
        <f aca="false">IF(T200="RV",U200," ")</f>
        <v> </v>
      </c>
      <c r="AG200" s="45" t="str">
        <f aca="false">IF(T200="RC",U200," ")</f>
        <v> </v>
      </c>
      <c r="AH200" s="45" t="str">
        <f aca="false">IF(T200="RT",U200," ")</f>
        <v> </v>
      </c>
      <c r="AI200" s="45" t="str">
        <f aca="false">IF(T200="DV",U200," ")</f>
        <v> </v>
      </c>
      <c r="AJ200" s="45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 of  &amp;N&amp;R&amp;F  &amp;A</oddFooter>
  </headerFooter>
  <colBreaks count="1" manualBreakCount="1">
    <brk id="14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7" width="9.15"/>
    <col collapsed="false" customWidth="true" hidden="false" outlineLevel="0" max="2" min="2" style="2" width="21.99"/>
    <col collapsed="false" customWidth="true" hidden="false" outlineLevel="0" max="3" min="3" style="48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4" min="6" style="6" width="8.66"/>
    <col collapsed="false" customWidth="true" hidden="false" outlineLevel="0" max="15" min="15" style="6" width="0.82"/>
    <col collapsed="false" customWidth="true" hidden="false" outlineLevel="0" max="16" min="16" style="1" width="8.66"/>
    <col collapsed="false" customWidth="true" hidden="false" outlineLevel="0" max="17" min="17" style="4" width="25.15"/>
    <col collapsed="false" customWidth="true" hidden="false" outlineLevel="0" max="18" min="18" style="3" width="11.82"/>
    <col collapsed="false" customWidth="true" hidden="false" outlineLevel="0" max="19" min="19" style="3" width="8.66"/>
    <col collapsed="false" customWidth="true" hidden="false" outlineLevel="0" max="36" min="20" style="6" width="8.66"/>
    <col collapsed="false" customWidth="false" hidden="false" outlineLevel="0" max="257" min="37" style="49" width="9.15"/>
  </cols>
  <sheetData>
    <row r="1" customFormat="false" ht="15" hidden="false" customHeight="true" outlineLevel="0" collapsed="false">
      <c r="A1" s="50" t="n">
        <f aca="false">Sep!A2</f>
        <v>492</v>
      </c>
      <c r="B1" s="8" t="s">
        <v>0</v>
      </c>
      <c r="C1" s="9" t="n">
        <f aca="false">[1]Admin!$B$31</f>
        <v>46661</v>
      </c>
      <c r="D1" s="10" t="s">
        <v>1</v>
      </c>
      <c r="E1" s="11" t="n">
        <f aca="false">F1-SUM(G1:N1)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3"/>
      <c r="P1" s="14" t="str">
        <f aca="false">IF(T1=0," ","Check all payment code letters entered")</f>
        <v> </v>
      </c>
      <c r="Q1" s="14"/>
      <c r="R1" s="15"/>
      <c r="S1" s="16" t="s">
        <v>1</v>
      </c>
      <c r="T1" s="11" t="n">
        <f aca="false">U1-SUM(V1:AJ1)</f>
        <v>0</v>
      </c>
      <c r="U1" s="12" t="n">
        <f aca="false">SUM(U6:U200)</f>
        <v>12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12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A1+F1-U1</f>
        <v>480</v>
      </c>
      <c r="B2" s="18" t="s">
        <v>2</v>
      </c>
      <c r="C2" s="9" t="n">
        <f aca="false">[1]Admin!$B$32</f>
        <v>46691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13"/>
      <c r="P2" s="14" t="str">
        <f aca="false">IF(E1=0," ","Check all Receipts Code Letters entered")</f>
        <v> </v>
      </c>
      <c r="Q2" s="14"/>
      <c r="R2" s="22" t="s">
        <v>6</v>
      </c>
      <c r="S2" s="23" t="s">
        <v>7</v>
      </c>
      <c r="T2" s="20" t="s">
        <v>4</v>
      </c>
      <c r="U2" s="21" t="s">
        <v>8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46691</v>
      </c>
      <c r="D3" s="19"/>
      <c r="E3" s="20"/>
      <c r="F3" s="23" t="s">
        <v>10</v>
      </c>
      <c r="G3" s="23" t="s">
        <v>11</v>
      </c>
      <c r="H3" s="23" t="s">
        <v>12</v>
      </c>
      <c r="I3" s="23" t="s">
        <v>13</v>
      </c>
      <c r="J3" s="23" t="s">
        <v>14</v>
      </c>
      <c r="K3" s="23" t="s">
        <v>15</v>
      </c>
      <c r="L3" s="23" t="s">
        <v>16</v>
      </c>
      <c r="M3" s="23" t="s">
        <v>17</v>
      </c>
      <c r="N3" s="23" t="s">
        <v>18</v>
      </c>
      <c r="O3" s="13"/>
      <c r="P3" s="26"/>
      <c r="Q3" s="27"/>
      <c r="R3" s="22"/>
      <c r="S3" s="23"/>
      <c r="T3" s="20"/>
      <c r="U3" s="23" t="s">
        <v>19</v>
      </c>
      <c r="V3" s="23" t="s">
        <v>20</v>
      </c>
      <c r="W3" s="23" t="s">
        <v>21</v>
      </c>
      <c r="X3" s="23" t="s">
        <v>22</v>
      </c>
      <c r="Y3" s="23" t="s">
        <v>23</v>
      </c>
      <c r="Z3" s="23" t="s">
        <v>24</v>
      </c>
      <c r="AA3" s="23" t="s">
        <v>25</v>
      </c>
      <c r="AB3" s="23" t="s">
        <v>26</v>
      </c>
      <c r="AC3" s="23" t="s">
        <v>16</v>
      </c>
      <c r="AD3" s="23" t="s">
        <v>17</v>
      </c>
      <c r="AE3" s="23" t="s">
        <v>27</v>
      </c>
      <c r="AF3" s="23" t="s">
        <v>28</v>
      </c>
      <c r="AG3" s="23" t="s">
        <v>29</v>
      </c>
      <c r="AH3" s="23" t="s">
        <v>30</v>
      </c>
      <c r="AI3" s="23" t="s">
        <v>31</v>
      </c>
      <c r="AJ3" s="23" t="s">
        <v>18</v>
      </c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8" t="n">
        <f aca="false">A2-A3</f>
        <v>480</v>
      </c>
      <c r="B4" s="29" t="str">
        <f aca="false">IF(A4=0,"&lt;  Cash Balanced","  Reconcile Cash")</f>
        <v>  Reconcile Cash</v>
      </c>
      <c r="C4" s="29"/>
      <c r="D4" s="19"/>
      <c r="E4" s="20"/>
      <c r="F4" s="23"/>
      <c r="G4" s="23"/>
      <c r="H4" s="23"/>
      <c r="I4" s="23"/>
      <c r="J4" s="23"/>
      <c r="K4" s="23"/>
      <c r="L4" s="23"/>
      <c r="M4" s="23"/>
      <c r="N4" s="23"/>
      <c r="O4" s="13"/>
      <c r="P4" s="30" t="s">
        <v>32</v>
      </c>
      <c r="Q4" s="31" t="s">
        <v>33</v>
      </c>
      <c r="R4" s="22"/>
      <c r="S4" s="23"/>
      <c r="T4" s="20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2" t="s">
        <v>34</v>
      </c>
      <c r="B5" s="33" t="s">
        <v>35</v>
      </c>
      <c r="C5" s="34" t="s">
        <v>36</v>
      </c>
      <c r="D5" s="19"/>
      <c r="E5" s="20"/>
      <c r="F5" s="23"/>
      <c r="G5" s="35" t="s">
        <v>37</v>
      </c>
      <c r="H5" s="35" t="s">
        <v>38</v>
      </c>
      <c r="I5" s="35" t="s">
        <v>39</v>
      </c>
      <c r="J5" s="35" t="s">
        <v>40</v>
      </c>
      <c r="K5" s="35" t="s">
        <v>41</v>
      </c>
      <c r="L5" s="35" t="s">
        <v>42</v>
      </c>
      <c r="M5" s="35" t="s">
        <v>43</v>
      </c>
      <c r="N5" s="35" t="s">
        <v>44</v>
      </c>
      <c r="O5" s="13"/>
      <c r="P5" s="30"/>
      <c r="Q5" s="31"/>
      <c r="R5" s="22"/>
      <c r="S5" s="23"/>
      <c r="T5" s="20"/>
      <c r="U5" s="23"/>
      <c r="V5" s="35" t="s">
        <v>37</v>
      </c>
      <c r="W5" s="35" t="s">
        <v>38</v>
      </c>
      <c r="X5" s="35" t="s">
        <v>39</v>
      </c>
      <c r="Y5" s="35" t="s">
        <v>45</v>
      </c>
      <c r="Z5" s="35" t="s">
        <v>46</v>
      </c>
      <c r="AA5" s="35" t="s">
        <v>47</v>
      </c>
      <c r="AB5" s="35" t="s">
        <v>48</v>
      </c>
      <c r="AC5" s="35" t="s">
        <v>42</v>
      </c>
      <c r="AD5" s="35" t="s">
        <v>43</v>
      </c>
      <c r="AE5" s="35" t="s">
        <v>49</v>
      </c>
      <c r="AF5" s="35" t="s">
        <v>50</v>
      </c>
      <c r="AG5" s="35" t="s">
        <v>51</v>
      </c>
      <c r="AH5" s="35" t="s">
        <v>52</v>
      </c>
      <c r="AI5" s="35" t="s">
        <v>53</v>
      </c>
      <c r="AJ5" s="35" t="s">
        <v>44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IF(E6="BD",F6,"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IF(E6="DL",F6," ")</f>
        <v> </v>
      </c>
      <c r="O6" s="36"/>
      <c r="P6" s="1" t="n">
        <v>46680</v>
      </c>
      <c r="Q6" s="4" t="s">
        <v>68</v>
      </c>
      <c r="R6" s="3" t="s">
        <v>69</v>
      </c>
      <c r="S6" s="3" t="s">
        <v>70</v>
      </c>
      <c r="T6" s="37" t="s">
        <v>45</v>
      </c>
      <c r="U6" s="6" t="n">
        <v>12</v>
      </c>
      <c r="V6" s="6" t="str">
        <f aca="false">IF(T6="BB",U6," ")</f>
        <v> </v>
      </c>
      <c r="W6" s="6" t="str">
        <f aca="false">IF(T6="BS",U6," ")</f>
        <v> </v>
      </c>
      <c r="X6" s="6" t="str">
        <f aca="false">IF(T6="BD",U6," ")</f>
        <v> </v>
      </c>
      <c r="Y6" s="6" t="n">
        <f aca="false">IF(T6="CR",U6," ")</f>
        <v>12</v>
      </c>
      <c r="Z6" s="6" t="str">
        <f aca="false">IF(T6="W",U6," ")</f>
        <v> </v>
      </c>
      <c r="AA6" s="6" t="str">
        <f aca="false">IF(T6="B",U6," ")</f>
        <v> </v>
      </c>
      <c r="AB6" s="6" t="str">
        <f aca="false">IF(T6="J",U6," ")</f>
        <v> </v>
      </c>
      <c r="AC6" s="6" t="str">
        <f aca="false">IF(T6="LDR",U6," ")</f>
        <v> </v>
      </c>
      <c r="AD6" s="6" t="str">
        <f aca="false">IF(T6="LCR",U6," ")</f>
        <v> </v>
      </c>
      <c r="AE6" s="6" t="str">
        <f aca="false">IF(T6="RP",U6," ")</f>
        <v> </v>
      </c>
      <c r="AF6" s="6" t="str">
        <f aca="false">IF(T6="RV",U6," ")</f>
        <v> </v>
      </c>
      <c r="AG6" s="6" t="str">
        <f aca="false">IF(T6="RC",U6," ")</f>
        <v> </v>
      </c>
      <c r="AH6" s="6" t="str">
        <f aca="false">IF(T6="RT",U6," ")</f>
        <v> </v>
      </c>
      <c r="AI6" s="6" t="str">
        <f aca="false">IF(T6="DV",U6," ")</f>
        <v> </v>
      </c>
      <c r="AJ6" s="6" t="str">
        <f aca="false">IF(T6="DL",U6,"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IF(E7="BD",F7,"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IF(E7="DL",F7," ")</f>
        <v> </v>
      </c>
      <c r="O7" s="38"/>
      <c r="T7" s="37"/>
      <c r="V7" s="6" t="str">
        <f aca="false">IF(T7="BB",U7," ")</f>
        <v> </v>
      </c>
      <c r="W7" s="6" t="str">
        <f aca="false">IF(T7="BS",U7," ")</f>
        <v> </v>
      </c>
      <c r="X7" s="6" t="str">
        <f aca="false">IF(T7="BD",U7," ")</f>
        <v> </v>
      </c>
      <c r="Y7" s="6" t="str">
        <f aca="false">IF(T7="CR",U7," ")</f>
        <v> </v>
      </c>
      <c r="Z7" s="6" t="str">
        <f aca="false">IF(T7="W",U7," ")</f>
        <v> </v>
      </c>
      <c r="AA7" s="6" t="str">
        <f aca="false">IF(T7="B",U7," ")</f>
        <v> </v>
      </c>
      <c r="AB7" s="6" t="str">
        <f aca="false">IF(T7="J",U7," ")</f>
        <v> </v>
      </c>
      <c r="AC7" s="6" t="str">
        <f aca="false">IF(T7="LDR",U7," ")</f>
        <v> </v>
      </c>
      <c r="AD7" s="6" t="str">
        <f aca="false">IF(T7="LCR",U7," ")</f>
        <v> </v>
      </c>
      <c r="AE7" s="6" t="str">
        <f aca="false">IF(T7="RP",U7," ")</f>
        <v> </v>
      </c>
      <c r="AF7" s="6" t="str">
        <f aca="false">IF(T7="RV",U7," ")</f>
        <v> </v>
      </c>
      <c r="AG7" s="6" t="str">
        <f aca="false">IF(T7="RC",U7," ")</f>
        <v> </v>
      </c>
      <c r="AH7" s="6" t="str">
        <f aca="false">IF(T7="RT",U7," ")</f>
        <v> </v>
      </c>
      <c r="AI7" s="6" t="str">
        <f aca="false">IF(T7="DV",U7," ")</f>
        <v> </v>
      </c>
      <c r="AJ7" s="6" t="str">
        <f aca="false">IF(T7="DL",U7,"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IF(E8="BD",F8,"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IF(E8="DL",F8," ")</f>
        <v> </v>
      </c>
      <c r="O8" s="38"/>
      <c r="T8" s="37"/>
      <c r="V8" s="6" t="str">
        <f aca="false">IF(T8="BB",U8," ")</f>
        <v> </v>
      </c>
      <c r="W8" s="6" t="str">
        <f aca="false">IF(T8="BS",U8," ")</f>
        <v> </v>
      </c>
      <c r="X8" s="6" t="str">
        <f aca="false">IF(T8="BD",U8," ")</f>
        <v> </v>
      </c>
      <c r="Y8" s="6" t="str">
        <f aca="false">IF(T8="CR",U8," ")</f>
        <v> </v>
      </c>
      <c r="Z8" s="6" t="str">
        <f aca="false">IF(T8="W",U8," ")</f>
        <v> </v>
      </c>
      <c r="AA8" s="6" t="str">
        <f aca="false">IF(T8="B",U8," ")</f>
        <v> </v>
      </c>
      <c r="AB8" s="6" t="str">
        <f aca="false">IF(T8="J",U8," ")</f>
        <v> </v>
      </c>
      <c r="AC8" s="6" t="str">
        <f aca="false">IF(T8="LDR",U8," ")</f>
        <v> </v>
      </c>
      <c r="AD8" s="6" t="str">
        <f aca="false">IF(T8="LCR",U8," ")</f>
        <v> </v>
      </c>
      <c r="AE8" s="6" t="str">
        <f aca="false">IF(T8="RP",U8," ")</f>
        <v> </v>
      </c>
      <c r="AF8" s="6" t="str">
        <f aca="false">IF(T8="RV",U8," ")</f>
        <v> </v>
      </c>
      <c r="AG8" s="6" t="str">
        <f aca="false">IF(T8="RC",U8," ")</f>
        <v> </v>
      </c>
      <c r="AH8" s="6" t="str">
        <f aca="false">IF(T8="RT",U8," ")</f>
        <v> </v>
      </c>
      <c r="AI8" s="6" t="str">
        <f aca="false">IF(T8="DV",U8," ")</f>
        <v> </v>
      </c>
      <c r="AJ8" s="6" t="str">
        <f aca="false">IF(T8="DL",U8,"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IF(E9="BD",F9,"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IF(E9="DL",F9," ")</f>
        <v> </v>
      </c>
      <c r="O9" s="38"/>
      <c r="T9" s="37"/>
      <c r="V9" s="6" t="str">
        <f aca="false">IF(T9="BB",U9," ")</f>
        <v> </v>
      </c>
      <c r="W9" s="6" t="str">
        <f aca="false">IF(T9="BS",U9," ")</f>
        <v> </v>
      </c>
      <c r="X9" s="6" t="str">
        <f aca="false">IF(T9="BD",U9," ")</f>
        <v> </v>
      </c>
      <c r="Y9" s="6" t="str">
        <f aca="false">IF(T9="CR",U9," ")</f>
        <v> </v>
      </c>
      <c r="Z9" s="6" t="str">
        <f aca="false">IF(T9="W",U9," ")</f>
        <v> </v>
      </c>
      <c r="AA9" s="6" t="str">
        <f aca="false">IF(T9="B",U9," ")</f>
        <v> </v>
      </c>
      <c r="AB9" s="6" t="str">
        <f aca="false">IF(T9="J",U9," ")</f>
        <v> </v>
      </c>
      <c r="AC9" s="6" t="str">
        <f aca="false">IF(T9="LDR",U9," ")</f>
        <v> </v>
      </c>
      <c r="AD9" s="6" t="str">
        <f aca="false">IF(T9="LCR",U9," ")</f>
        <v> </v>
      </c>
      <c r="AE9" s="6" t="str">
        <f aca="false">IF(T9="RP",U9," ")</f>
        <v> </v>
      </c>
      <c r="AF9" s="6" t="str">
        <f aca="false">IF(T9="RV",U9," ")</f>
        <v> </v>
      </c>
      <c r="AG9" s="6" t="str">
        <f aca="false">IF(T9="RC",U9," ")</f>
        <v> </v>
      </c>
      <c r="AH9" s="6" t="str">
        <f aca="false">IF(T9="RT",U9," ")</f>
        <v> </v>
      </c>
      <c r="AI9" s="6" t="str">
        <f aca="false">IF(T9="DV",U9," ")</f>
        <v> </v>
      </c>
      <c r="AJ9" s="6" t="str">
        <f aca="false">IF(T9="DL",U9,"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IF(E10="BD",F10,"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IF(E10="DL",F10," ")</f>
        <v> </v>
      </c>
      <c r="O10" s="38"/>
      <c r="T10" s="37"/>
      <c r="V10" s="6" t="str">
        <f aca="false">IF(T10="BB",U10," ")</f>
        <v> </v>
      </c>
      <c r="W10" s="6" t="str">
        <f aca="false">IF(T10="BS",U10," ")</f>
        <v> </v>
      </c>
      <c r="X10" s="6" t="str">
        <f aca="false">IF(T10="BD",U10," ")</f>
        <v> </v>
      </c>
      <c r="Y10" s="6" t="str">
        <f aca="false">IF(T10="CR",U10," ")</f>
        <v> </v>
      </c>
      <c r="Z10" s="6" t="str">
        <f aca="false">IF(T10="W",U10," ")</f>
        <v> </v>
      </c>
      <c r="AA10" s="6" t="str">
        <f aca="false">IF(T10="B",U10," ")</f>
        <v> </v>
      </c>
      <c r="AB10" s="6" t="str">
        <f aca="false">IF(T10="J",U10," ")</f>
        <v> </v>
      </c>
      <c r="AC10" s="6" t="str">
        <f aca="false">IF(T10="LDR",U10," ")</f>
        <v> </v>
      </c>
      <c r="AD10" s="6" t="str">
        <f aca="false">IF(T10="LCR",U10," ")</f>
        <v> </v>
      </c>
      <c r="AE10" s="6" t="str">
        <f aca="false">IF(T10="RP",U10," ")</f>
        <v> </v>
      </c>
      <c r="AF10" s="6" t="str">
        <f aca="false">IF(T10="RV",U10," ")</f>
        <v> </v>
      </c>
      <c r="AG10" s="6" t="str">
        <f aca="false">IF(T10="RC",U10," ")</f>
        <v> </v>
      </c>
      <c r="AH10" s="6" t="str">
        <f aca="false">IF(T10="RT",U10," ")</f>
        <v> </v>
      </c>
      <c r="AI10" s="6" t="str">
        <f aca="false">IF(T10="DV",U10," ")</f>
        <v> </v>
      </c>
      <c r="AJ10" s="6" t="str">
        <f aca="false">IF(T10="DL",U10,"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IF(E11="BD",F11,"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IF(E11="DL",F11," ")</f>
        <v> </v>
      </c>
      <c r="O11" s="38"/>
      <c r="T11" s="37"/>
      <c r="V11" s="6" t="str">
        <f aca="false">IF(T11="BB",U11," ")</f>
        <v> </v>
      </c>
      <c r="W11" s="6" t="str">
        <f aca="false">IF(T11="BS",U11," ")</f>
        <v> </v>
      </c>
      <c r="X11" s="6" t="str">
        <f aca="false">IF(T11="BD",U11," ")</f>
        <v> </v>
      </c>
      <c r="Y11" s="6" t="str">
        <f aca="false">IF(T11="CR",U11," ")</f>
        <v> </v>
      </c>
      <c r="Z11" s="6" t="str">
        <f aca="false">IF(T11="W",U11," ")</f>
        <v> </v>
      </c>
      <c r="AA11" s="6" t="str">
        <f aca="false">IF(T11="B",U11," ")</f>
        <v> </v>
      </c>
      <c r="AB11" s="6" t="str">
        <f aca="false">IF(T11="J",U11," ")</f>
        <v> </v>
      </c>
      <c r="AC11" s="6" t="str">
        <f aca="false">IF(T11="LDR",U11," ")</f>
        <v> </v>
      </c>
      <c r="AD11" s="6" t="str">
        <f aca="false">IF(T11="LCR",U11," ")</f>
        <v> </v>
      </c>
      <c r="AE11" s="6" t="str">
        <f aca="false">IF(T11="RP",U11," ")</f>
        <v> </v>
      </c>
      <c r="AF11" s="6" t="str">
        <f aca="false">IF(T11="RV",U11," ")</f>
        <v> </v>
      </c>
      <c r="AG11" s="6" t="str">
        <f aca="false">IF(T11="RC",U11," ")</f>
        <v> </v>
      </c>
      <c r="AH11" s="6" t="str">
        <f aca="false">IF(T11="RT",U11," ")</f>
        <v> </v>
      </c>
      <c r="AI11" s="6" t="str">
        <f aca="false">IF(T11="DV",U11," ")</f>
        <v> </v>
      </c>
      <c r="AJ11" s="6" t="str">
        <f aca="false">IF(T11="DL",U11,"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IF(E12="BD",F12,"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IF(E12="DL",F12," ")</f>
        <v> </v>
      </c>
      <c r="O12" s="38"/>
      <c r="T12" s="37"/>
      <c r="V12" s="6" t="str">
        <f aca="false">IF(T12="BB",U12," ")</f>
        <v> </v>
      </c>
      <c r="W12" s="6" t="str">
        <f aca="false">IF(T12="BS",U12," ")</f>
        <v> </v>
      </c>
      <c r="X12" s="6" t="str">
        <f aca="false">IF(T12="BD",U12," ")</f>
        <v> </v>
      </c>
      <c r="Y12" s="6" t="str">
        <f aca="false">IF(T12="CR",U12," ")</f>
        <v> </v>
      </c>
      <c r="Z12" s="6" t="str">
        <f aca="false">IF(T12="W",U12," ")</f>
        <v> </v>
      </c>
      <c r="AA12" s="6" t="str">
        <f aca="false">IF(T12="B",U12," ")</f>
        <v> </v>
      </c>
      <c r="AB12" s="6" t="str">
        <f aca="false">IF(T12="J",U12," ")</f>
        <v> </v>
      </c>
      <c r="AC12" s="6" t="str">
        <f aca="false">IF(T12="LDR",U12," ")</f>
        <v> </v>
      </c>
      <c r="AD12" s="6" t="str">
        <f aca="false">IF(T12="LCR",U12," ")</f>
        <v> </v>
      </c>
      <c r="AE12" s="6" t="str">
        <f aca="false">IF(T12="RP",U12," ")</f>
        <v> </v>
      </c>
      <c r="AF12" s="6" t="str">
        <f aca="false">IF(T12="RV",U12," ")</f>
        <v> </v>
      </c>
      <c r="AG12" s="6" t="str">
        <f aca="false">IF(T12="RC",U12," ")</f>
        <v> </v>
      </c>
      <c r="AH12" s="6" t="str">
        <f aca="false">IF(T12="RT",U12," ")</f>
        <v> </v>
      </c>
      <c r="AI12" s="6" t="str">
        <f aca="false">IF(T12="DV",U12," ")</f>
        <v> </v>
      </c>
      <c r="AJ12" s="6" t="str">
        <f aca="false">IF(T12="DL",U12,"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IF(E13="BD",F13,"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IF(E13="DL",F13," ")</f>
        <v> </v>
      </c>
      <c r="O13" s="38"/>
      <c r="T13" s="37"/>
      <c r="V13" s="6" t="str">
        <f aca="false">IF(T13="BB",U13," ")</f>
        <v> </v>
      </c>
      <c r="W13" s="6" t="str">
        <f aca="false">IF(T13="BS",U13," ")</f>
        <v> </v>
      </c>
      <c r="X13" s="6" t="str">
        <f aca="false">IF(T13="BD",U13," ")</f>
        <v> </v>
      </c>
      <c r="Y13" s="6" t="str">
        <f aca="false">IF(T13="CR",U13," ")</f>
        <v> </v>
      </c>
      <c r="Z13" s="6" t="str">
        <f aca="false">IF(T13="W",U13," ")</f>
        <v> </v>
      </c>
      <c r="AA13" s="6" t="str">
        <f aca="false">IF(T13="B",U13," ")</f>
        <v> </v>
      </c>
      <c r="AB13" s="6" t="str">
        <f aca="false">IF(T13="J",U13," ")</f>
        <v> </v>
      </c>
      <c r="AC13" s="6" t="str">
        <f aca="false">IF(T13="LDR",U13," ")</f>
        <v> </v>
      </c>
      <c r="AD13" s="6" t="str">
        <f aca="false">IF(T13="LCR",U13," ")</f>
        <v> </v>
      </c>
      <c r="AE13" s="6" t="str">
        <f aca="false">IF(T13="RP",U13," ")</f>
        <v> </v>
      </c>
      <c r="AF13" s="6" t="str">
        <f aca="false">IF(T13="RV",U13," ")</f>
        <v> </v>
      </c>
      <c r="AG13" s="6" t="str">
        <f aca="false">IF(T13="RC",U13," ")</f>
        <v> </v>
      </c>
      <c r="AH13" s="6" t="str">
        <f aca="false">IF(T13="RT",U13," ")</f>
        <v> </v>
      </c>
      <c r="AI13" s="6" t="str">
        <f aca="false">IF(T13="DV",U13," ")</f>
        <v> </v>
      </c>
      <c r="AJ13" s="6" t="str">
        <f aca="false">IF(T13="DL",U13,"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IF(E14="BD",F14,"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IF(E14="DL",F14," ")</f>
        <v> </v>
      </c>
      <c r="O14" s="38"/>
      <c r="T14" s="37"/>
      <c r="V14" s="6" t="str">
        <f aca="false">IF(T14="BB",U14," ")</f>
        <v> </v>
      </c>
      <c r="W14" s="6" t="str">
        <f aca="false">IF(T14="BS",U14," ")</f>
        <v> </v>
      </c>
      <c r="X14" s="6" t="str">
        <f aca="false">IF(T14="BD",U14," ")</f>
        <v> </v>
      </c>
      <c r="Y14" s="6" t="str">
        <f aca="false">IF(T14="CR",U14," ")</f>
        <v> </v>
      </c>
      <c r="Z14" s="6" t="str">
        <f aca="false">IF(T14="W",U14," ")</f>
        <v> </v>
      </c>
      <c r="AA14" s="6" t="str">
        <f aca="false">IF(T14="B",U14," ")</f>
        <v> </v>
      </c>
      <c r="AB14" s="6" t="str">
        <f aca="false">IF(T14="J",U14," ")</f>
        <v> </v>
      </c>
      <c r="AC14" s="6" t="str">
        <f aca="false">IF(T14="LDR",U14," ")</f>
        <v> </v>
      </c>
      <c r="AD14" s="6" t="str">
        <f aca="false">IF(T14="LCR",U14," ")</f>
        <v> </v>
      </c>
      <c r="AE14" s="6" t="str">
        <f aca="false">IF(T14="RP",U14," ")</f>
        <v> </v>
      </c>
      <c r="AF14" s="6" t="str">
        <f aca="false">IF(T14="RV",U14," ")</f>
        <v> </v>
      </c>
      <c r="AG14" s="6" t="str">
        <f aca="false">IF(T14="RC",U14," ")</f>
        <v> </v>
      </c>
      <c r="AH14" s="6" t="str">
        <f aca="false">IF(T14="RT",U14," ")</f>
        <v> </v>
      </c>
      <c r="AI14" s="6" t="str">
        <f aca="false">IF(T14="DV",U14," ")</f>
        <v> </v>
      </c>
      <c r="AJ14" s="6" t="str">
        <f aca="false">IF(T14="DL",U14,"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IF(E15="BD",F15,"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IF(E15="DL",F15," ")</f>
        <v> </v>
      </c>
      <c r="O15" s="38"/>
      <c r="T15" s="37"/>
      <c r="V15" s="6" t="str">
        <f aca="false">IF(T15="BB",U15," ")</f>
        <v> </v>
      </c>
      <c r="W15" s="6" t="str">
        <f aca="false">IF(T15="BS",U15," ")</f>
        <v> </v>
      </c>
      <c r="X15" s="6" t="str">
        <f aca="false">IF(T15="BD",U15," ")</f>
        <v> </v>
      </c>
      <c r="Y15" s="6" t="str">
        <f aca="false">IF(T15="CR",U15," ")</f>
        <v> </v>
      </c>
      <c r="Z15" s="6" t="str">
        <f aca="false">IF(T15="W",U15," ")</f>
        <v> </v>
      </c>
      <c r="AA15" s="6" t="str">
        <f aca="false">IF(T15="B",U15," ")</f>
        <v> </v>
      </c>
      <c r="AB15" s="6" t="str">
        <f aca="false">IF(T15="J",U15," ")</f>
        <v> </v>
      </c>
      <c r="AC15" s="6" t="str">
        <f aca="false">IF(T15="LDR",U15," ")</f>
        <v> </v>
      </c>
      <c r="AD15" s="6" t="str">
        <f aca="false">IF(T15="LCR",U15," ")</f>
        <v> </v>
      </c>
      <c r="AE15" s="6" t="str">
        <f aca="false">IF(T15="RP",U15," ")</f>
        <v> </v>
      </c>
      <c r="AF15" s="6" t="str">
        <f aca="false">IF(T15="RV",U15," ")</f>
        <v> </v>
      </c>
      <c r="AG15" s="6" t="str">
        <f aca="false">IF(T15="RC",U15," ")</f>
        <v> </v>
      </c>
      <c r="AH15" s="6" t="str">
        <f aca="false">IF(T15="RT",U15," ")</f>
        <v> </v>
      </c>
      <c r="AI15" s="6" t="str">
        <f aca="false">IF(T15="DV",U15," ")</f>
        <v> </v>
      </c>
      <c r="AJ15" s="6" t="str">
        <f aca="false">IF(T15="DL",U15,"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IF(E16="BD",F16,"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IF(E16="DL",F16," ")</f>
        <v> </v>
      </c>
      <c r="O16" s="38"/>
      <c r="T16" s="37"/>
      <c r="V16" s="6" t="str">
        <f aca="false">IF(T16="BB",U16," ")</f>
        <v> </v>
      </c>
      <c r="W16" s="6" t="str">
        <f aca="false">IF(T16="BS",U16," ")</f>
        <v> </v>
      </c>
      <c r="X16" s="6" t="str">
        <f aca="false">IF(T16="BD",U16," ")</f>
        <v> </v>
      </c>
      <c r="Y16" s="6" t="str">
        <f aca="false">IF(T16="CR",U16," ")</f>
        <v> </v>
      </c>
      <c r="Z16" s="6" t="str">
        <f aca="false">IF(T16="W",U16," ")</f>
        <v> </v>
      </c>
      <c r="AA16" s="6" t="str">
        <f aca="false">IF(T16="B",U16," ")</f>
        <v> </v>
      </c>
      <c r="AB16" s="6" t="str">
        <f aca="false">IF(T16="J",U16," ")</f>
        <v> </v>
      </c>
      <c r="AC16" s="6" t="str">
        <f aca="false">IF(T16="LDR",U16," ")</f>
        <v> </v>
      </c>
      <c r="AD16" s="6" t="str">
        <f aca="false">IF(T16="LCR",U16," ")</f>
        <v> </v>
      </c>
      <c r="AE16" s="6" t="str">
        <f aca="false">IF(T16="RP",U16," ")</f>
        <v> </v>
      </c>
      <c r="AF16" s="6" t="str">
        <f aca="false">IF(T16="RV",U16," ")</f>
        <v> </v>
      </c>
      <c r="AG16" s="6" t="str">
        <f aca="false">IF(T16="RC",U16," ")</f>
        <v> </v>
      </c>
      <c r="AH16" s="6" t="str">
        <f aca="false">IF(T16="RT",U16," ")</f>
        <v> </v>
      </c>
      <c r="AI16" s="6" t="str">
        <f aca="false">IF(T16="DV",U16," ")</f>
        <v> </v>
      </c>
      <c r="AJ16" s="6" t="str">
        <f aca="false">IF(T16="DL",U16,"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IF(E17="BD",F17,"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IF(E17="DL",F17," ")</f>
        <v> </v>
      </c>
      <c r="O17" s="38"/>
      <c r="T17" s="37"/>
      <c r="V17" s="6" t="str">
        <f aca="false">IF(T17="BB",U17," ")</f>
        <v> </v>
      </c>
      <c r="W17" s="6" t="str">
        <f aca="false">IF(T17="BS",U17," ")</f>
        <v> </v>
      </c>
      <c r="X17" s="6" t="str">
        <f aca="false">IF(T17="BD",U17," ")</f>
        <v> </v>
      </c>
      <c r="Y17" s="6" t="str">
        <f aca="false">IF(T17="CR",U17," ")</f>
        <v> </v>
      </c>
      <c r="Z17" s="6" t="str">
        <f aca="false">IF(T17="W",U17," ")</f>
        <v> </v>
      </c>
      <c r="AA17" s="6" t="str">
        <f aca="false">IF(T17="B",U17," ")</f>
        <v> </v>
      </c>
      <c r="AB17" s="6" t="str">
        <f aca="false">IF(T17="J",U17," ")</f>
        <v> </v>
      </c>
      <c r="AC17" s="6" t="str">
        <f aca="false">IF(T17="LDR",U17," ")</f>
        <v> </v>
      </c>
      <c r="AD17" s="6" t="str">
        <f aca="false">IF(T17="LCR",U17," ")</f>
        <v> </v>
      </c>
      <c r="AE17" s="6" t="str">
        <f aca="false">IF(T17="RP",U17," ")</f>
        <v> </v>
      </c>
      <c r="AF17" s="6" t="str">
        <f aca="false">IF(T17="RV",U17," ")</f>
        <v> </v>
      </c>
      <c r="AG17" s="6" t="str">
        <f aca="false">IF(T17="RC",U17," ")</f>
        <v> </v>
      </c>
      <c r="AH17" s="6" t="str">
        <f aca="false">IF(T17="RT",U17," ")</f>
        <v> </v>
      </c>
      <c r="AI17" s="6" t="str">
        <f aca="false">IF(T17="DV",U17," ")</f>
        <v> </v>
      </c>
      <c r="AJ17" s="6" t="str">
        <f aca="false">IF(T17="DL",U17,"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IF(E18="BD",F18,"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IF(E18="DL",F18," ")</f>
        <v> </v>
      </c>
      <c r="O18" s="38"/>
      <c r="T18" s="37"/>
      <c r="V18" s="6" t="str">
        <f aca="false">IF(T18="BB",U18," ")</f>
        <v> </v>
      </c>
      <c r="W18" s="6" t="str">
        <f aca="false">IF(T18="BS",U18," ")</f>
        <v> </v>
      </c>
      <c r="X18" s="6" t="str">
        <f aca="false">IF(T18="BD",U18," ")</f>
        <v> </v>
      </c>
      <c r="Y18" s="6" t="str">
        <f aca="false">IF(T18="CR",U18," ")</f>
        <v> </v>
      </c>
      <c r="Z18" s="6" t="str">
        <f aca="false">IF(T18="W",U18," ")</f>
        <v> </v>
      </c>
      <c r="AA18" s="6" t="str">
        <f aca="false">IF(T18="B",U18," ")</f>
        <v> </v>
      </c>
      <c r="AB18" s="6" t="str">
        <f aca="false">IF(T18="J",U18," ")</f>
        <v> </v>
      </c>
      <c r="AC18" s="6" t="str">
        <f aca="false">IF(T18="LDR",U18," ")</f>
        <v> </v>
      </c>
      <c r="AD18" s="6" t="str">
        <f aca="false">IF(T18="LCR",U18," ")</f>
        <v> </v>
      </c>
      <c r="AE18" s="6" t="str">
        <f aca="false">IF(T18="RP",U18," ")</f>
        <v> </v>
      </c>
      <c r="AF18" s="6" t="str">
        <f aca="false">IF(T18="RV",U18," ")</f>
        <v> </v>
      </c>
      <c r="AG18" s="6" t="str">
        <f aca="false">IF(T18="RC",U18," ")</f>
        <v> </v>
      </c>
      <c r="AH18" s="6" t="str">
        <f aca="false">IF(T18="RT",U18," ")</f>
        <v> </v>
      </c>
      <c r="AI18" s="6" t="str">
        <f aca="false">IF(T18="DV",U18," ")</f>
        <v> </v>
      </c>
      <c r="AJ18" s="6" t="str">
        <f aca="false">IF(T18="DL",U18,"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IF(E19="BD",F19,"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IF(E19="DL",F19," ")</f>
        <v> </v>
      </c>
      <c r="O19" s="38"/>
      <c r="T19" s="37"/>
      <c r="V19" s="6" t="str">
        <f aca="false">IF(T19="BB",U19," ")</f>
        <v> </v>
      </c>
      <c r="W19" s="6" t="str">
        <f aca="false">IF(T19="BS",U19," ")</f>
        <v> </v>
      </c>
      <c r="X19" s="6" t="str">
        <f aca="false">IF(T19="BD",U19," ")</f>
        <v> </v>
      </c>
      <c r="Y19" s="6" t="str">
        <f aca="false">IF(T19="CR",U19," ")</f>
        <v> </v>
      </c>
      <c r="Z19" s="6" t="str">
        <f aca="false">IF(T19="W",U19," ")</f>
        <v> </v>
      </c>
      <c r="AA19" s="6" t="str">
        <f aca="false">IF(T19="B",U19," ")</f>
        <v> </v>
      </c>
      <c r="AB19" s="6" t="str">
        <f aca="false">IF(T19="J",U19," ")</f>
        <v> </v>
      </c>
      <c r="AC19" s="6" t="str">
        <f aca="false">IF(T19="LDR",U19," ")</f>
        <v> </v>
      </c>
      <c r="AD19" s="6" t="str">
        <f aca="false">IF(T19="LCR",U19," ")</f>
        <v> </v>
      </c>
      <c r="AE19" s="6" t="str">
        <f aca="false">IF(T19="RP",U19," ")</f>
        <v> </v>
      </c>
      <c r="AF19" s="6" t="str">
        <f aca="false">IF(T19="RV",U19," ")</f>
        <v> </v>
      </c>
      <c r="AG19" s="6" t="str">
        <f aca="false">IF(T19="RC",U19," ")</f>
        <v> </v>
      </c>
      <c r="AH19" s="6" t="str">
        <f aca="false">IF(T19="RT",U19," ")</f>
        <v> </v>
      </c>
      <c r="AI19" s="6" t="str">
        <f aca="false">IF(T19="DV",U19," ")</f>
        <v> </v>
      </c>
      <c r="AJ19" s="6" t="str">
        <f aca="false">IF(T19="DL",U19,"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IF(E20="BD",F20,"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IF(E20="DL",F20," ")</f>
        <v> </v>
      </c>
      <c r="O20" s="38"/>
      <c r="T20" s="37"/>
      <c r="V20" s="6" t="str">
        <f aca="false">IF(T20="BB",U20," ")</f>
        <v> </v>
      </c>
      <c r="W20" s="6" t="str">
        <f aca="false">IF(T20="BS",U20," ")</f>
        <v> </v>
      </c>
      <c r="X20" s="6" t="str">
        <f aca="false">IF(T20="BD",U20," ")</f>
        <v> </v>
      </c>
      <c r="Y20" s="6" t="str">
        <f aca="false">IF(T20="CR",U20," ")</f>
        <v> </v>
      </c>
      <c r="Z20" s="6" t="str">
        <f aca="false">IF(T20="W",U20," ")</f>
        <v> </v>
      </c>
      <c r="AA20" s="6" t="str">
        <f aca="false">IF(T20="B",U20," ")</f>
        <v> </v>
      </c>
      <c r="AB20" s="6" t="str">
        <f aca="false">IF(T20="J",U20," ")</f>
        <v> </v>
      </c>
      <c r="AC20" s="6" t="str">
        <f aca="false">IF(T20="LDR",U20," ")</f>
        <v> </v>
      </c>
      <c r="AD20" s="6" t="str">
        <f aca="false">IF(T20="LCR",U20," ")</f>
        <v> </v>
      </c>
      <c r="AE20" s="6" t="str">
        <f aca="false">IF(T20="RP",U20," ")</f>
        <v> </v>
      </c>
      <c r="AF20" s="6" t="str">
        <f aca="false">IF(T20="RV",U20," ")</f>
        <v> </v>
      </c>
      <c r="AG20" s="6" t="str">
        <f aca="false">IF(T20="RC",U20," ")</f>
        <v> </v>
      </c>
      <c r="AH20" s="6" t="str">
        <f aca="false">IF(T20="RT",U20," ")</f>
        <v> </v>
      </c>
      <c r="AI20" s="6" t="str">
        <f aca="false">IF(T20="DV",U20," ")</f>
        <v> </v>
      </c>
      <c r="AJ20" s="6" t="str">
        <f aca="false">IF(T20="DL",U20,"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IF(E21="BD",F21,"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IF(E21="DL",F21," ")</f>
        <v> </v>
      </c>
      <c r="O21" s="38"/>
      <c r="T21" s="37"/>
      <c r="V21" s="6" t="str">
        <f aca="false">IF(T21="BB",U21," ")</f>
        <v> </v>
      </c>
      <c r="W21" s="6" t="str">
        <f aca="false">IF(T21="BS",U21," ")</f>
        <v> </v>
      </c>
      <c r="X21" s="6" t="str">
        <f aca="false">IF(T21="BD",U21," ")</f>
        <v> </v>
      </c>
      <c r="Y21" s="6" t="str">
        <f aca="false">IF(T21="CR",U21," ")</f>
        <v> </v>
      </c>
      <c r="Z21" s="6" t="str">
        <f aca="false">IF(T21="W",U21," ")</f>
        <v> </v>
      </c>
      <c r="AA21" s="6" t="str">
        <f aca="false">IF(T21="B",U21," ")</f>
        <v> </v>
      </c>
      <c r="AB21" s="6" t="str">
        <f aca="false">IF(T21="J",U21," ")</f>
        <v> </v>
      </c>
      <c r="AC21" s="6" t="str">
        <f aca="false">IF(T21="LDR",U21," ")</f>
        <v> </v>
      </c>
      <c r="AD21" s="6" t="str">
        <f aca="false">IF(T21="LCR",U21," ")</f>
        <v> </v>
      </c>
      <c r="AE21" s="6" t="str">
        <f aca="false">IF(T21="RP",U21," ")</f>
        <v> </v>
      </c>
      <c r="AF21" s="6" t="str">
        <f aca="false">IF(T21="RV",U21," ")</f>
        <v> </v>
      </c>
      <c r="AG21" s="6" t="str">
        <f aca="false">IF(T21="RC",U21," ")</f>
        <v> </v>
      </c>
      <c r="AH21" s="6" t="str">
        <f aca="false">IF(T21="RT",U21," ")</f>
        <v> </v>
      </c>
      <c r="AI21" s="6" t="str">
        <f aca="false">IF(T21="DV",U21," ")</f>
        <v> </v>
      </c>
      <c r="AJ21" s="6" t="str">
        <f aca="false">IF(T21="DL",U21,"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IF(E22="BD",F22,"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IF(E22="DL",F22," ")</f>
        <v> </v>
      </c>
      <c r="O22" s="38"/>
      <c r="T22" s="37"/>
      <c r="V22" s="6" t="str">
        <f aca="false">IF(T22="BB",U22," ")</f>
        <v> </v>
      </c>
      <c r="W22" s="6" t="str">
        <f aca="false">IF(T22="BS",U22," ")</f>
        <v> </v>
      </c>
      <c r="X22" s="6" t="str">
        <f aca="false">IF(T22="BD",U22," ")</f>
        <v> </v>
      </c>
      <c r="Y22" s="6" t="str">
        <f aca="false">IF(T22="CR",U22," ")</f>
        <v> </v>
      </c>
      <c r="Z22" s="6" t="str">
        <f aca="false">IF(T22="W",U22," ")</f>
        <v> </v>
      </c>
      <c r="AA22" s="6" t="str">
        <f aca="false">IF(T22="B",U22," ")</f>
        <v> </v>
      </c>
      <c r="AB22" s="6" t="str">
        <f aca="false">IF(T22="J",U22," ")</f>
        <v> </v>
      </c>
      <c r="AC22" s="6" t="str">
        <f aca="false">IF(T22="LDR",U22," ")</f>
        <v> </v>
      </c>
      <c r="AD22" s="6" t="str">
        <f aca="false">IF(T22="LCR",U22," ")</f>
        <v> </v>
      </c>
      <c r="AE22" s="6" t="str">
        <f aca="false">IF(T22="RP",U22," ")</f>
        <v> </v>
      </c>
      <c r="AF22" s="6" t="str">
        <f aca="false">IF(T22="RV",U22," ")</f>
        <v> </v>
      </c>
      <c r="AG22" s="6" t="str">
        <f aca="false">IF(T22="RC",U22," ")</f>
        <v> </v>
      </c>
      <c r="AH22" s="6" t="str">
        <f aca="false">IF(T22="RT",U22," ")</f>
        <v> </v>
      </c>
      <c r="AI22" s="6" t="str">
        <f aca="false">IF(T22="DV",U22," ")</f>
        <v> </v>
      </c>
      <c r="AJ22" s="6" t="str">
        <f aca="false">IF(T22="DL",U22,"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IF(E23="BD",F23,"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IF(E23="DL",F23," ")</f>
        <v> </v>
      </c>
      <c r="O23" s="38"/>
      <c r="T23" s="37"/>
      <c r="V23" s="6" t="str">
        <f aca="false">IF(T23="BB",U23," ")</f>
        <v> </v>
      </c>
      <c r="W23" s="6" t="str">
        <f aca="false">IF(T23="BS",U23," ")</f>
        <v> </v>
      </c>
      <c r="X23" s="6" t="str">
        <f aca="false">IF(T23="BD",U23," ")</f>
        <v> </v>
      </c>
      <c r="Y23" s="6" t="str">
        <f aca="false">IF(T23="CR",U23," ")</f>
        <v> </v>
      </c>
      <c r="Z23" s="6" t="str">
        <f aca="false">IF(T23="W",U23," ")</f>
        <v> </v>
      </c>
      <c r="AA23" s="6" t="str">
        <f aca="false">IF(T23="B",U23," ")</f>
        <v> </v>
      </c>
      <c r="AB23" s="6" t="str">
        <f aca="false">IF(T23="J",U23," ")</f>
        <v> </v>
      </c>
      <c r="AC23" s="6" t="str">
        <f aca="false">IF(T23="LDR",U23," ")</f>
        <v> </v>
      </c>
      <c r="AD23" s="6" t="str">
        <f aca="false">IF(T23="LCR",U23," ")</f>
        <v> </v>
      </c>
      <c r="AE23" s="6" t="str">
        <f aca="false">IF(T23="RP",U23," ")</f>
        <v> </v>
      </c>
      <c r="AF23" s="6" t="str">
        <f aca="false">IF(T23="RV",U23," ")</f>
        <v> </v>
      </c>
      <c r="AG23" s="6" t="str">
        <f aca="false">IF(T23="RC",U23," ")</f>
        <v> </v>
      </c>
      <c r="AH23" s="6" t="str">
        <f aca="false">IF(T23="RT",U23," ")</f>
        <v> </v>
      </c>
      <c r="AI23" s="6" t="str">
        <f aca="false">IF(T23="DV",U23," ")</f>
        <v> </v>
      </c>
      <c r="AJ23" s="6" t="str">
        <f aca="false">IF(T23="DL",U23,"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IF(E24="BD",F24,"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IF(E24="DL",F24," ")</f>
        <v> </v>
      </c>
      <c r="O24" s="38"/>
      <c r="T24" s="37"/>
      <c r="V24" s="6" t="str">
        <f aca="false">IF(T24="BB",U24," ")</f>
        <v> </v>
      </c>
      <c r="W24" s="6" t="str">
        <f aca="false">IF(T24="BS",U24," ")</f>
        <v> </v>
      </c>
      <c r="X24" s="6" t="str">
        <f aca="false">IF(T24="BD",U24," ")</f>
        <v> </v>
      </c>
      <c r="Y24" s="6" t="str">
        <f aca="false">IF(T24="CR",U24," ")</f>
        <v> </v>
      </c>
      <c r="Z24" s="6" t="str">
        <f aca="false">IF(T24="W",U24," ")</f>
        <v> </v>
      </c>
      <c r="AA24" s="6" t="str">
        <f aca="false">IF(T24="B",U24," ")</f>
        <v> </v>
      </c>
      <c r="AB24" s="6" t="str">
        <f aca="false">IF(T24="J",U24," ")</f>
        <v> </v>
      </c>
      <c r="AC24" s="6" t="str">
        <f aca="false">IF(T24="LDR",U24," ")</f>
        <v> </v>
      </c>
      <c r="AD24" s="6" t="str">
        <f aca="false">IF(T24="LCR",U24," ")</f>
        <v> </v>
      </c>
      <c r="AE24" s="6" t="str">
        <f aca="false">IF(T24="RP",U24," ")</f>
        <v> </v>
      </c>
      <c r="AF24" s="6" t="str">
        <f aca="false">IF(T24="RV",U24," ")</f>
        <v> </v>
      </c>
      <c r="AG24" s="6" t="str">
        <f aca="false">IF(T24="RC",U24," ")</f>
        <v> </v>
      </c>
      <c r="AH24" s="6" t="str">
        <f aca="false">IF(T24="RT",U24," ")</f>
        <v> </v>
      </c>
      <c r="AI24" s="6" t="str">
        <f aca="false">IF(T24="DV",U24," ")</f>
        <v> </v>
      </c>
      <c r="AJ24" s="6" t="str">
        <f aca="false">IF(T24="DL",U24,"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IF(E25="BD",F25,"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IF(E25="DL",F25," ")</f>
        <v> </v>
      </c>
      <c r="O25" s="38"/>
      <c r="T25" s="37"/>
      <c r="V25" s="6" t="str">
        <f aca="false">IF(T25="BB",U25," ")</f>
        <v> </v>
      </c>
      <c r="W25" s="6" t="str">
        <f aca="false">IF(T25="BS",U25," ")</f>
        <v> </v>
      </c>
      <c r="X25" s="6" t="str">
        <f aca="false">IF(T25="BD",U25," ")</f>
        <v> </v>
      </c>
      <c r="Y25" s="6" t="str">
        <f aca="false">IF(T25="CR",U25," ")</f>
        <v> </v>
      </c>
      <c r="Z25" s="6" t="str">
        <f aca="false">IF(T25="W",U25," ")</f>
        <v> </v>
      </c>
      <c r="AA25" s="6" t="str">
        <f aca="false">IF(T25="B",U25," ")</f>
        <v> </v>
      </c>
      <c r="AB25" s="6" t="str">
        <f aca="false">IF(T25="J",U25," ")</f>
        <v> </v>
      </c>
      <c r="AC25" s="6" t="str">
        <f aca="false">IF(T25="LDR",U25," ")</f>
        <v> </v>
      </c>
      <c r="AD25" s="6" t="str">
        <f aca="false">IF(T25="LCR",U25," ")</f>
        <v> </v>
      </c>
      <c r="AE25" s="6" t="str">
        <f aca="false">IF(T25="RP",U25," ")</f>
        <v> </v>
      </c>
      <c r="AF25" s="6" t="str">
        <f aca="false">IF(T25="RV",U25," ")</f>
        <v> </v>
      </c>
      <c r="AG25" s="6" t="str">
        <f aca="false">IF(T25="RC",U25," ")</f>
        <v> </v>
      </c>
      <c r="AH25" s="6" t="str">
        <f aca="false">IF(T25="RT",U25," ")</f>
        <v> </v>
      </c>
      <c r="AI25" s="6" t="str">
        <f aca="false">IF(T25="DV",U25," ")</f>
        <v> </v>
      </c>
      <c r="AJ25" s="6" t="str">
        <f aca="false">IF(T25="DL",U25,"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IF(E26="BD",F26,"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IF(E26="DL",F26," ")</f>
        <v> </v>
      </c>
      <c r="O26" s="38"/>
      <c r="T26" s="37"/>
      <c r="V26" s="6" t="str">
        <f aca="false">IF(T26="BB",U26," ")</f>
        <v> </v>
      </c>
      <c r="W26" s="6" t="str">
        <f aca="false">IF(T26="BS",U26," ")</f>
        <v> </v>
      </c>
      <c r="X26" s="6" t="str">
        <f aca="false">IF(T26="BD",U26," ")</f>
        <v> </v>
      </c>
      <c r="Y26" s="6" t="str">
        <f aca="false">IF(T26="CR",U26," ")</f>
        <v> </v>
      </c>
      <c r="Z26" s="6" t="str">
        <f aca="false">IF(T26="W",U26," ")</f>
        <v> </v>
      </c>
      <c r="AA26" s="6" t="str">
        <f aca="false">IF(T26="B",U26," ")</f>
        <v> </v>
      </c>
      <c r="AB26" s="6" t="str">
        <f aca="false">IF(T26="J",U26," ")</f>
        <v> </v>
      </c>
      <c r="AC26" s="6" t="str">
        <f aca="false">IF(T26="LDR",U26," ")</f>
        <v> </v>
      </c>
      <c r="AD26" s="6" t="str">
        <f aca="false">IF(T26="LCR",U26," ")</f>
        <v> </v>
      </c>
      <c r="AE26" s="6" t="str">
        <f aca="false">IF(T26="RP",U26," ")</f>
        <v> </v>
      </c>
      <c r="AF26" s="6" t="str">
        <f aca="false">IF(T26="RV",U26," ")</f>
        <v> </v>
      </c>
      <c r="AG26" s="6" t="str">
        <f aca="false">IF(T26="RC",U26," ")</f>
        <v> </v>
      </c>
      <c r="AH26" s="6" t="str">
        <f aca="false">IF(T26="RT",U26," ")</f>
        <v> </v>
      </c>
      <c r="AI26" s="6" t="str">
        <f aca="false">IF(T26="DV",U26," ")</f>
        <v> </v>
      </c>
      <c r="AJ26" s="6" t="str">
        <f aca="false">IF(T26="DL",U26,"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IF(E27="BD",F27,"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IF(E27="DL",F27," ")</f>
        <v> </v>
      </c>
      <c r="O27" s="38"/>
      <c r="T27" s="37"/>
      <c r="V27" s="6" t="str">
        <f aca="false">IF(T27="BB",U27," ")</f>
        <v> </v>
      </c>
      <c r="W27" s="6" t="str">
        <f aca="false">IF(T27="BS",U27," ")</f>
        <v> </v>
      </c>
      <c r="X27" s="6" t="str">
        <f aca="false">IF(T27="BD",U27," ")</f>
        <v> </v>
      </c>
      <c r="Y27" s="6" t="str">
        <f aca="false">IF(T27="CR",U27," ")</f>
        <v> </v>
      </c>
      <c r="Z27" s="6" t="str">
        <f aca="false">IF(T27="W",U27," ")</f>
        <v> </v>
      </c>
      <c r="AA27" s="6" t="str">
        <f aca="false">IF(T27="B",U27," ")</f>
        <v> </v>
      </c>
      <c r="AB27" s="6" t="str">
        <f aca="false">IF(T27="J",U27," ")</f>
        <v> </v>
      </c>
      <c r="AC27" s="6" t="str">
        <f aca="false">IF(T27="LDR",U27," ")</f>
        <v> </v>
      </c>
      <c r="AD27" s="6" t="str">
        <f aca="false">IF(T27="LCR",U27," ")</f>
        <v> </v>
      </c>
      <c r="AE27" s="6" t="str">
        <f aca="false">IF(T27="RP",U27," ")</f>
        <v> </v>
      </c>
      <c r="AF27" s="6" t="str">
        <f aca="false">IF(T27="RV",U27," ")</f>
        <v> </v>
      </c>
      <c r="AG27" s="6" t="str">
        <f aca="false">IF(T27="RC",U27," ")</f>
        <v> </v>
      </c>
      <c r="AH27" s="6" t="str">
        <f aca="false">IF(T27="RT",U27," ")</f>
        <v> </v>
      </c>
      <c r="AI27" s="6" t="str">
        <f aca="false">IF(T27="DV",U27," ")</f>
        <v> </v>
      </c>
      <c r="AJ27" s="6" t="str">
        <f aca="false">IF(T27="DL",U27,"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IF(E28="BD",F28,"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IF(E28="DL",F28," ")</f>
        <v> </v>
      </c>
      <c r="O28" s="38"/>
      <c r="T28" s="37"/>
      <c r="V28" s="6" t="str">
        <f aca="false">IF(T28="BB",U28," ")</f>
        <v> </v>
      </c>
      <c r="W28" s="6" t="str">
        <f aca="false">IF(T28="BS",U28," ")</f>
        <v> </v>
      </c>
      <c r="X28" s="6" t="str">
        <f aca="false">IF(T28="BD",U28," ")</f>
        <v> </v>
      </c>
      <c r="Y28" s="6" t="str">
        <f aca="false">IF(T28="CR",U28," ")</f>
        <v> </v>
      </c>
      <c r="Z28" s="6" t="str">
        <f aca="false">IF(T28="W",U28," ")</f>
        <v> </v>
      </c>
      <c r="AA28" s="6" t="str">
        <f aca="false">IF(T28="B",U28," ")</f>
        <v> </v>
      </c>
      <c r="AB28" s="6" t="str">
        <f aca="false">IF(T28="J",U28," ")</f>
        <v> </v>
      </c>
      <c r="AC28" s="6" t="str">
        <f aca="false">IF(T28="LDR",U28," ")</f>
        <v> </v>
      </c>
      <c r="AD28" s="6" t="str">
        <f aca="false">IF(T28="LCR",U28," ")</f>
        <v> </v>
      </c>
      <c r="AE28" s="6" t="str">
        <f aca="false">IF(T28="RP",U28," ")</f>
        <v> </v>
      </c>
      <c r="AF28" s="6" t="str">
        <f aca="false">IF(T28="RV",U28," ")</f>
        <v> </v>
      </c>
      <c r="AG28" s="6" t="str">
        <f aca="false">IF(T28="RC",U28," ")</f>
        <v> </v>
      </c>
      <c r="AH28" s="6" t="str">
        <f aca="false">IF(T28="RT",U28," ")</f>
        <v> </v>
      </c>
      <c r="AI28" s="6" t="str">
        <f aca="false">IF(T28="DV",U28," ")</f>
        <v> </v>
      </c>
      <c r="AJ28" s="6" t="str">
        <f aca="false">IF(T28="DL",U28,"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IF(E29="BD",F29,"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IF(E29="DL",F29," ")</f>
        <v> </v>
      </c>
      <c r="O29" s="38"/>
      <c r="T29" s="37"/>
      <c r="V29" s="6" t="str">
        <f aca="false">IF(T29="BB",U29," ")</f>
        <v> </v>
      </c>
      <c r="W29" s="6" t="str">
        <f aca="false">IF(T29="BS",U29," ")</f>
        <v> </v>
      </c>
      <c r="X29" s="6" t="str">
        <f aca="false">IF(T29="BD",U29," ")</f>
        <v> </v>
      </c>
      <c r="Y29" s="6" t="str">
        <f aca="false">IF(T29="CR",U29," ")</f>
        <v> </v>
      </c>
      <c r="Z29" s="6" t="str">
        <f aca="false">IF(T29="W",U29," ")</f>
        <v> </v>
      </c>
      <c r="AA29" s="6" t="str">
        <f aca="false">IF(T29="B",U29," ")</f>
        <v> </v>
      </c>
      <c r="AB29" s="6" t="str">
        <f aca="false">IF(T29="J",U29," ")</f>
        <v> </v>
      </c>
      <c r="AC29" s="6" t="str">
        <f aca="false">IF(T29="LDR",U29," ")</f>
        <v> </v>
      </c>
      <c r="AD29" s="6" t="str">
        <f aca="false">IF(T29="LCR",U29," ")</f>
        <v> </v>
      </c>
      <c r="AE29" s="6" t="str">
        <f aca="false">IF(T29="RP",U29," ")</f>
        <v> </v>
      </c>
      <c r="AF29" s="6" t="str">
        <f aca="false">IF(T29="RV",U29," ")</f>
        <v> </v>
      </c>
      <c r="AG29" s="6" t="str">
        <f aca="false">IF(T29="RC",U29," ")</f>
        <v> </v>
      </c>
      <c r="AH29" s="6" t="str">
        <f aca="false">IF(T29="RT",U29," ")</f>
        <v> </v>
      </c>
      <c r="AI29" s="6" t="str">
        <f aca="false">IF(T29="DV",U29," ")</f>
        <v> </v>
      </c>
      <c r="AJ29" s="6" t="str">
        <f aca="false">IF(T29="DL",U29,"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IF(E30="BD",F30,"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IF(E30="DL",F30," ")</f>
        <v> </v>
      </c>
      <c r="O30" s="38"/>
      <c r="T30" s="37"/>
      <c r="V30" s="6" t="str">
        <f aca="false">IF(T30="BB",U30," ")</f>
        <v> </v>
      </c>
      <c r="W30" s="6" t="str">
        <f aca="false">IF(T30="BS",U30," ")</f>
        <v> </v>
      </c>
      <c r="X30" s="6" t="str">
        <f aca="false">IF(T30="BD",U30," ")</f>
        <v> </v>
      </c>
      <c r="Y30" s="6" t="str">
        <f aca="false">IF(T30="CR",U30," ")</f>
        <v> </v>
      </c>
      <c r="Z30" s="6" t="str">
        <f aca="false">IF(T30="W",U30," ")</f>
        <v> </v>
      </c>
      <c r="AA30" s="6" t="str">
        <f aca="false">IF(T30="B",U30," ")</f>
        <v> </v>
      </c>
      <c r="AB30" s="6" t="str">
        <f aca="false">IF(T30="J",U30," ")</f>
        <v> </v>
      </c>
      <c r="AC30" s="6" t="str">
        <f aca="false">IF(T30="LDR",U30," ")</f>
        <v> </v>
      </c>
      <c r="AD30" s="6" t="str">
        <f aca="false">IF(T30="LCR",U30," ")</f>
        <v> </v>
      </c>
      <c r="AE30" s="6" t="str">
        <f aca="false">IF(T30="RP",U30," ")</f>
        <v> </v>
      </c>
      <c r="AF30" s="6" t="str">
        <f aca="false">IF(T30="RV",U30," ")</f>
        <v> </v>
      </c>
      <c r="AG30" s="6" t="str">
        <f aca="false">IF(T30="RC",U30," ")</f>
        <v> </v>
      </c>
      <c r="AH30" s="6" t="str">
        <f aca="false">IF(T30="RT",U30," ")</f>
        <v> </v>
      </c>
      <c r="AI30" s="6" t="str">
        <f aca="false">IF(T30="DV",U30," ")</f>
        <v> </v>
      </c>
      <c r="AJ30" s="6" t="str">
        <f aca="false">IF(T30="DL",U30,"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IF(E31="BD",F31,"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IF(E31="DL",F31," ")</f>
        <v> </v>
      </c>
      <c r="O31" s="38"/>
      <c r="T31" s="37"/>
      <c r="V31" s="6" t="str">
        <f aca="false">IF(T31="BB",U31," ")</f>
        <v> </v>
      </c>
      <c r="W31" s="6" t="str">
        <f aca="false">IF(T31="BS",U31," ")</f>
        <v> </v>
      </c>
      <c r="X31" s="6" t="str">
        <f aca="false">IF(T31="BD",U31," ")</f>
        <v> </v>
      </c>
      <c r="Y31" s="6" t="str">
        <f aca="false">IF(T31="CR",U31," ")</f>
        <v> </v>
      </c>
      <c r="Z31" s="6" t="str">
        <f aca="false">IF(T31="W",U31," ")</f>
        <v> </v>
      </c>
      <c r="AA31" s="6" t="str">
        <f aca="false">IF(T31="B",U31," ")</f>
        <v> </v>
      </c>
      <c r="AB31" s="6" t="str">
        <f aca="false">IF(T31="J",U31," ")</f>
        <v> </v>
      </c>
      <c r="AC31" s="6" t="str">
        <f aca="false">IF(T31="LDR",U31," ")</f>
        <v> </v>
      </c>
      <c r="AD31" s="6" t="str">
        <f aca="false">IF(T31="LCR",U31," ")</f>
        <v> </v>
      </c>
      <c r="AE31" s="6" t="str">
        <f aca="false">IF(T31="RP",U31," ")</f>
        <v> </v>
      </c>
      <c r="AF31" s="6" t="str">
        <f aca="false">IF(T31="RV",U31," ")</f>
        <v> </v>
      </c>
      <c r="AG31" s="6" t="str">
        <f aca="false">IF(T31="RC",U31," ")</f>
        <v> </v>
      </c>
      <c r="AH31" s="6" t="str">
        <f aca="false">IF(T31="RT",U31," ")</f>
        <v> </v>
      </c>
      <c r="AI31" s="6" t="str">
        <f aca="false">IF(T31="DV",U31," ")</f>
        <v> </v>
      </c>
      <c r="AJ31" s="6" t="str">
        <f aca="false">IF(T31="DL",U31,"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IF(E32="BD",F32,"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IF(E32="DL",F32," ")</f>
        <v> </v>
      </c>
      <c r="O32" s="38"/>
      <c r="T32" s="37"/>
      <c r="V32" s="6" t="str">
        <f aca="false">IF(T32="BB",U32," ")</f>
        <v> </v>
      </c>
      <c r="W32" s="6" t="str">
        <f aca="false">IF(T32="BS",U32," ")</f>
        <v> </v>
      </c>
      <c r="X32" s="6" t="str">
        <f aca="false">IF(T32="BD",U32," ")</f>
        <v> </v>
      </c>
      <c r="Y32" s="6" t="str">
        <f aca="false">IF(T32="CR",U32," ")</f>
        <v> </v>
      </c>
      <c r="Z32" s="6" t="str">
        <f aca="false">IF(T32="W",U32," ")</f>
        <v> </v>
      </c>
      <c r="AA32" s="6" t="str">
        <f aca="false">IF(T32="B",U32," ")</f>
        <v> </v>
      </c>
      <c r="AB32" s="6" t="str">
        <f aca="false">IF(T32="J",U32," ")</f>
        <v> </v>
      </c>
      <c r="AC32" s="6" t="str">
        <f aca="false">IF(T32="LDR",U32," ")</f>
        <v> </v>
      </c>
      <c r="AD32" s="6" t="str">
        <f aca="false">IF(T32="LCR",U32," ")</f>
        <v> </v>
      </c>
      <c r="AE32" s="6" t="str">
        <f aca="false">IF(T32="RP",U32," ")</f>
        <v> </v>
      </c>
      <c r="AF32" s="6" t="str">
        <f aca="false">IF(T32="RV",U32," ")</f>
        <v> </v>
      </c>
      <c r="AG32" s="6" t="str">
        <f aca="false">IF(T32="RC",U32," ")</f>
        <v> </v>
      </c>
      <c r="AH32" s="6" t="str">
        <f aca="false">IF(T32="RT",U32," ")</f>
        <v> </v>
      </c>
      <c r="AI32" s="6" t="str">
        <f aca="false">IF(T32="DV",U32," ")</f>
        <v> </v>
      </c>
      <c r="AJ32" s="6" t="str">
        <f aca="false">IF(T32="DL",U32,"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IF(E33="BD",F33,"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IF(E33="DL",F33," ")</f>
        <v> </v>
      </c>
      <c r="O33" s="38"/>
      <c r="T33" s="37"/>
      <c r="V33" s="6" t="str">
        <f aca="false">IF(T33="BB",U33," ")</f>
        <v> </v>
      </c>
      <c r="W33" s="6" t="str">
        <f aca="false">IF(T33="BS",U33," ")</f>
        <v> </v>
      </c>
      <c r="X33" s="6" t="str">
        <f aca="false">IF(T33="BD",U33," ")</f>
        <v> </v>
      </c>
      <c r="Y33" s="6" t="str">
        <f aca="false">IF(T33="CR",U33," ")</f>
        <v> </v>
      </c>
      <c r="Z33" s="6" t="str">
        <f aca="false">IF(T33="W",U33," ")</f>
        <v> </v>
      </c>
      <c r="AA33" s="6" t="str">
        <f aca="false">IF(T33="B",U33," ")</f>
        <v> </v>
      </c>
      <c r="AB33" s="6" t="str">
        <f aca="false">IF(T33="J",U33," ")</f>
        <v> </v>
      </c>
      <c r="AC33" s="6" t="str">
        <f aca="false">IF(T33="LDR",U33," ")</f>
        <v> </v>
      </c>
      <c r="AD33" s="6" t="str">
        <f aca="false">IF(T33="LCR",U33," ")</f>
        <v> </v>
      </c>
      <c r="AE33" s="6" t="str">
        <f aca="false">IF(T33="RP",U33," ")</f>
        <v> </v>
      </c>
      <c r="AF33" s="6" t="str">
        <f aca="false">IF(T33="RV",U33," ")</f>
        <v> </v>
      </c>
      <c r="AG33" s="6" t="str">
        <f aca="false">IF(T33="RC",U33," ")</f>
        <v> </v>
      </c>
      <c r="AH33" s="6" t="str">
        <f aca="false">IF(T33="RT",U33," ")</f>
        <v> </v>
      </c>
      <c r="AI33" s="6" t="str">
        <f aca="false">IF(T33="DV",U33," ")</f>
        <v> </v>
      </c>
      <c r="AJ33" s="6" t="str">
        <f aca="false">IF(T33="DL",U33,"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IF(E34="BD",F34,"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IF(E34="DL",F34," ")</f>
        <v> </v>
      </c>
      <c r="O34" s="38"/>
      <c r="T34" s="37"/>
      <c r="V34" s="6" t="str">
        <f aca="false">IF(T34="BB",U34," ")</f>
        <v> </v>
      </c>
      <c r="W34" s="6" t="str">
        <f aca="false">IF(T34="BS",U34," ")</f>
        <v> </v>
      </c>
      <c r="X34" s="6" t="str">
        <f aca="false">IF(T34="BD",U34," ")</f>
        <v> </v>
      </c>
      <c r="Y34" s="6" t="str">
        <f aca="false">IF(T34="CR",U34," ")</f>
        <v> </v>
      </c>
      <c r="Z34" s="6" t="str">
        <f aca="false">IF(T34="W",U34," ")</f>
        <v> </v>
      </c>
      <c r="AA34" s="6" t="str">
        <f aca="false">IF(T34="B",U34," ")</f>
        <v> </v>
      </c>
      <c r="AB34" s="6" t="str">
        <f aca="false">IF(T34="J",U34," ")</f>
        <v> </v>
      </c>
      <c r="AC34" s="6" t="str">
        <f aca="false">IF(T34="LDR",U34," ")</f>
        <v> </v>
      </c>
      <c r="AD34" s="6" t="str">
        <f aca="false">IF(T34="LCR",U34," ")</f>
        <v> </v>
      </c>
      <c r="AE34" s="6" t="str">
        <f aca="false">IF(T34="RP",U34," ")</f>
        <v> </v>
      </c>
      <c r="AF34" s="6" t="str">
        <f aca="false">IF(T34="RV",U34," ")</f>
        <v> </v>
      </c>
      <c r="AG34" s="6" t="str">
        <f aca="false">IF(T34="RC",U34," ")</f>
        <v> </v>
      </c>
      <c r="AH34" s="6" t="str">
        <f aca="false">IF(T34="RT",U34," ")</f>
        <v> </v>
      </c>
      <c r="AI34" s="6" t="str">
        <f aca="false">IF(T34="DV",U34," ")</f>
        <v> </v>
      </c>
      <c r="AJ34" s="6" t="str">
        <f aca="false">IF(T34="DL",U34,"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IF(E35="BD",F35,"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IF(E35="DL",F35," ")</f>
        <v> </v>
      </c>
      <c r="O35" s="38"/>
      <c r="T35" s="37"/>
      <c r="V35" s="6" t="str">
        <f aca="false">IF(T35="BB",U35," ")</f>
        <v> </v>
      </c>
      <c r="W35" s="6" t="str">
        <f aca="false">IF(T35="BS",U35," ")</f>
        <v> </v>
      </c>
      <c r="X35" s="6" t="str">
        <f aca="false">IF(T35="BD",U35," ")</f>
        <v> </v>
      </c>
      <c r="Y35" s="6" t="str">
        <f aca="false">IF(T35="CR",U35," ")</f>
        <v> </v>
      </c>
      <c r="Z35" s="6" t="str">
        <f aca="false">IF(T35="W",U35," ")</f>
        <v> </v>
      </c>
      <c r="AA35" s="6" t="str">
        <f aca="false">IF(T35="B",U35," ")</f>
        <v> </v>
      </c>
      <c r="AB35" s="6" t="str">
        <f aca="false">IF(T35="J",U35," ")</f>
        <v> </v>
      </c>
      <c r="AC35" s="6" t="str">
        <f aca="false">IF(T35="LDR",U35," ")</f>
        <v> </v>
      </c>
      <c r="AD35" s="6" t="str">
        <f aca="false">IF(T35="LCR",U35," ")</f>
        <v> </v>
      </c>
      <c r="AE35" s="6" t="str">
        <f aca="false">IF(T35="RP",U35," ")</f>
        <v> </v>
      </c>
      <c r="AF35" s="6" t="str">
        <f aca="false">IF(T35="RV",U35," ")</f>
        <v> </v>
      </c>
      <c r="AG35" s="6" t="str">
        <f aca="false">IF(T35="RC",U35," ")</f>
        <v> </v>
      </c>
      <c r="AH35" s="6" t="str">
        <f aca="false">IF(T35="RT",U35," ")</f>
        <v> </v>
      </c>
      <c r="AI35" s="6" t="str">
        <f aca="false">IF(T35="DV",U35," ")</f>
        <v> </v>
      </c>
      <c r="AJ35" s="6" t="str">
        <f aca="false">IF(T35="DL",U35,"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IF(E36="BD",F36,"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IF(E36="DL",F36," ")</f>
        <v> </v>
      </c>
      <c r="O36" s="38"/>
      <c r="T36" s="37"/>
      <c r="V36" s="6" t="str">
        <f aca="false">IF(T36="BB",U36," ")</f>
        <v> </v>
      </c>
      <c r="W36" s="6" t="str">
        <f aca="false">IF(T36="BS",U36," ")</f>
        <v> </v>
      </c>
      <c r="X36" s="6" t="str">
        <f aca="false">IF(T36="BD",U36," ")</f>
        <v> </v>
      </c>
      <c r="Y36" s="6" t="str">
        <f aca="false">IF(T36="CR",U36," ")</f>
        <v> </v>
      </c>
      <c r="Z36" s="6" t="str">
        <f aca="false">IF(T36="W",U36," ")</f>
        <v> </v>
      </c>
      <c r="AA36" s="6" t="str">
        <f aca="false">IF(T36="B",U36," ")</f>
        <v> </v>
      </c>
      <c r="AB36" s="6" t="str">
        <f aca="false">IF(T36="J",U36," ")</f>
        <v> </v>
      </c>
      <c r="AC36" s="6" t="str">
        <f aca="false">IF(T36="LDR",U36," ")</f>
        <v> </v>
      </c>
      <c r="AD36" s="6" t="str">
        <f aca="false">IF(T36="LCR",U36," ")</f>
        <v> </v>
      </c>
      <c r="AE36" s="6" t="str">
        <f aca="false">IF(T36="RP",U36," ")</f>
        <v> </v>
      </c>
      <c r="AF36" s="6" t="str">
        <f aca="false">IF(T36="RV",U36," ")</f>
        <v> </v>
      </c>
      <c r="AG36" s="6" t="str">
        <f aca="false">IF(T36="RC",U36," ")</f>
        <v> </v>
      </c>
      <c r="AH36" s="6" t="str">
        <f aca="false">IF(T36="RT",U36," ")</f>
        <v> </v>
      </c>
      <c r="AI36" s="6" t="str">
        <f aca="false">IF(T36="DV",U36," ")</f>
        <v> </v>
      </c>
      <c r="AJ36" s="6" t="str">
        <f aca="false">IF(T36="DL",U36,"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IF(E37="BD",F37,"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IF(E37="DL",F37," ")</f>
        <v> </v>
      </c>
      <c r="O37" s="38"/>
      <c r="T37" s="37"/>
      <c r="V37" s="6" t="str">
        <f aca="false">IF(T37="BB",U37," ")</f>
        <v> </v>
      </c>
      <c r="W37" s="6" t="str">
        <f aca="false">IF(T37="BS",U37," ")</f>
        <v> </v>
      </c>
      <c r="X37" s="6" t="str">
        <f aca="false">IF(T37="BD",U37," ")</f>
        <v> </v>
      </c>
      <c r="Y37" s="6" t="str">
        <f aca="false">IF(T37="CR",U37," ")</f>
        <v> </v>
      </c>
      <c r="Z37" s="6" t="str">
        <f aca="false">IF(T37="W",U37," ")</f>
        <v> </v>
      </c>
      <c r="AA37" s="6" t="str">
        <f aca="false">IF(T37="B",U37," ")</f>
        <v> </v>
      </c>
      <c r="AB37" s="6" t="str">
        <f aca="false">IF(T37="J",U37," ")</f>
        <v> </v>
      </c>
      <c r="AC37" s="6" t="str">
        <f aca="false">IF(T37="LDR",U37," ")</f>
        <v> </v>
      </c>
      <c r="AD37" s="6" t="str">
        <f aca="false">IF(T37="LCR",U37," ")</f>
        <v> </v>
      </c>
      <c r="AE37" s="6" t="str">
        <f aca="false">IF(T37="RP",U37," ")</f>
        <v> </v>
      </c>
      <c r="AF37" s="6" t="str">
        <f aca="false">IF(T37="RV",U37," ")</f>
        <v> </v>
      </c>
      <c r="AG37" s="6" t="str">
        <f aca="false">IF(T37="RC",U37," ")</f>
        <v> </v>
      </c>
      <c r="AH37" s="6" t="str">
        <f aca="false">IF(T37="RT",U37," ")</f>
        <v> </v>
      </c>
      <c r="AI37" s="6" t="str">
        <f aca="false">IF(T37="DV",U37," ")</f>
        <v> </v>
      </c>
      <c r="AJ37" s="6" t="str">
        <f aca="false">IF(T37="DL",U37,"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IF(E38="BD",F38,"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IF(E38="DL",F38," ")</f>
        <v> </v>
      </c>
      <c r="O38" s="38"/>
      <c r="T38" s="37"/>
      <c r="V38" s="6" t="str">
        <f aca="false">IF(T38="BB",U38," ")</f>
        <v> </v>
      </c>
      <c r="W38" s="6" t="str">
        <f aca="false">IF(T38="BS",U38," ")</f>
        <v> </v>
      </c>
      <c r="X38" s="6" t="str">
        <f aca="false">IF(T38="BD",U38," ")</f>
        <v> </v>
      </c>
      <c r="Y38" s="6" t="str">
        <f aca="false">IF(T38="CR",U38," ")</f>
        <v> </v>
      </c>
      <c r="Z38" s="6" t="str">
        <f aca="false">IF(T38="W",U38," ")</f>
        <v> </v>
      </c>
      <c r="AA38" s="6" t="str">
        <f aca="false">IF(T38="B",U38," ")</f>
        <v> </v>
      </c>
      <c r="AB38" s="6" t="str">
        <f aca="false">IF(T38="J",U38," ")</f>
        <v> </v>
      </c>
      <c r="AC38" s="6" t="str">
        <f aca="false">IF(T38="LDR",U38," ")</f>
        <v> </v>
      </c>
      <c r="AD38" s="6" t="str">
        <f aca="false">IF(T38="LCR",U38," ")</f>
        <v> </v>
      </c>
      <c r="AE38" s="6" t="str">
        <f aca="false">IF(T38="RP",U38," ")</f>
        <v> </v>
      </c>
      <c r="AF38" s="6" t="str">
        <f aca="false">IF(T38="RV",U38," ")</f>
        <v> </v>
      </c>
      <c r="AG38" s="6" t="str">
        <f aca="false">IF(T38="RC",U38," ")</f>
        <v> </v>
      </c>
      <c r="AH38" s="6" t="str">
        <f aca="false">IF(T38="RT",U38," ")</f>
        <v> </v>
      </c>
      <c r="AI38" s="6" t="str">
        <f aca="false">IF(T38="DV",U38," ")</f>
        <v> </v>
      </c>
      <c r="AJ38" s="6" t="str">
        <f aca="false">IF(T38="DL",U38,"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IF(E39="BD",F39,"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IF(E39="DL",F39," ")</f>
        <v> </v>
      </c>
      <c r="O39" s="38"/>
      <c r="T39" s="37"/>
      <c r="V39" s="6" t="str">
        <f aca="false">IF(T39="BB",U39," ")</f>
        <v> </v>
      </c>
      <c r="W39" s="6" t="str">
        <f aca="false">IF(T39="BS",U39," ")</f>
        <v> </v>
      </c>
      <c r="X39" s="6" t="str">
        <f aca="false">IF(T39="BD",U39," ")</f>
        <v> </v>
      </c>
      <c r="Y39" s="6" t="str">
        <f aca="false">IF(T39="CR",U39," ")</f>
        <v> </v>
      </c>
      <c r="Z39" s="6" t="str">
        <f aca="false">IF(T39="W",U39," ")</f>
        <v> </v>
      </c>
      <c r="AA39" s="6" t="str">
        <f aca="false">IF(T39="B",U39," ")</f>
        <v> </v>
      </c>
      <c r="AB39" s="6" t="str">
        <f aca="false">IF(T39="J",U39," ")</f>
        <v> </v>
      </c>
      <c r="AC39" s="6" t="str">
        <f aca="false">IF(T39="LDR",U39," ")</f>
        <v> </v>
      </c>
      <c r="AD39" s="6" t="str">
        <f aca="false">IF(T39="LCR",U39," ")</f>
        <v> </v>
      </c>
      <c r="AE39" s="6" t="str">
        <f aca="false">IF(T39="RP",U39," ")</f>
        <v> </v>
      </c>
      <c r="AF39" s="6" t="str">
        <f aca="false">IF(T39="RV",U39," ")</f>
        <v> </v>
      </c>
      <c r="AG39" s="6" t="str">
        <f aca="false">IF(T39="RC",U39," ")</f>
        <v> </v>
      </c>
      <c r="AH39" s="6" t="str">
        <f aca="false">IF(T39="RT",U39," ")</f>
        <v> </v>
      </c>
      <c r="AI39" s="6" t="str">
        <f aca="false">IF(T39="DV",U39," ")</f>
        <v> </v>
      </c>
      <c r="AJ39" s="6" t="str">
        <f aca="false">IF(T39="DL",U39,"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IF(E40="BD",F40,"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IF(E40="DL",F40," ")</f>
        <v> </v>
      </c>
      <c r="O40" s="38"/>
      <c r="T40" s="37"/>
      <c r="V40" s="6" t="str">
        <f aca="false">IF(T40="BB",U40," ")</f>
        <v> </v>
      </c>
      <c r="W40" s="6" t="str">
        <f aca="false">IF(T40="BS",U40," ")</f>
        <v> </v>
      </c>
      <c r="X40" s="6" t="str">
        <f aca="false">IF(T40="BD",U40," ")</f>
        <v> </v>
      </c>
      <c r="Y40" s="6" t="str">
        <f aca="false">IF(T40="CR",U40," ")</f>
        <v> </v>
      </c>
      <c r="Z40" s="6" t="str">
        <f aca="false">IF(T40="W",U40," ")</f>
        <v> </v>
      </c>
      <c r="AA40" s="6" t="str">
        <f aca="false">IF(T40="B",U40," ")</f>
        <v> </v>
      </c>
      <c r="AB40" s="6" t="str">
        <f aca="false">IF(T40="J",U40," ")</f>
        <v> </v>
      </c>
      <c r="AC40" s="6" t="str">
        <f aca="false">IF(T40="LDR",U40," ")</f>
        <v> </v>
      </c>
      <c r="AD40" s="6" t="str">
        <f aca="false">IF(T40="LCR",U40," ")</f>
        <v> </v>
      </c>
      <c r="AE40" s="6" t="str">
        <f aca="false">IF(T40="RP",U40," ")</f>
        <v> </v>
      </c>
      <c r="AF40" s="6" t="str">
        <f aca="false">IF(T40="RV",U40," ")</f>
        <v> </v>
      </c>
      <c r="AG40" s="6" t="str">
        <f aca="false">IF(T40="RC",U40," ")</f>
        <v> </v>
      </c>
      <c r="AH40" s="6" t="str">
        <f aca="false">IF(T40="RT",U40," ")</f>
        <v> </v>
      </c>
      <c r="AI40" s="6" t="str">
        <f aca="false">IF(T40="DV",U40," ")</f>
        <v> </v>
      </c>
      <c r="AJ40" s="6" t="str">
        <f aca="false">IF(T40="DL",U40,"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IF(E41="BD",F41,"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IF(E41="DL",F41," ")</f>
        <v> </v>
      </c>
      <c r="O41" s="38"/>
      <c r="T41" s="37"/>
      <c r="V41" s="6" t="str">
        <f aca="false">IF(T41="BB",U41," ")</f>
        <v> </v>
      </c>
      <c r="W41" s="6" t="str">
        <f aca="false">IF(T41="BS",U41," ")</f>
        <v> </v>
      </c>
      <c r="X41" s="6" t="str">
        <f aca="false">IF(T41="BD",U41," ")</f>
        <v> </v>
      </c>
      <c r="Y41" s="6" t="str">
        <f aca="false">IF(T41="CR",U41," ")</f>
        <v> </v>
      </c>
      <c r="Z41" s="6" t="str">
        <f aca="false">IF(T41="W",U41," ")</f>
        <v> </v>
      </c>
      <c r="AA41" s="6" t="str">
        <f aca="false">IF(T41="B",U41," ")</f>
        <v> </v>
      </c>
      <c r="AB41" s="6" t="str">
        <f aca="false">IF(T41="J",U41," ")</f>
        <v> </v>
      </c>
      <c r="AC41" s="6" t="str">
        <f aca="false">IF(T41="LDR",U41," ")</f>
        <v> </v>
      </c>
      <c r="AD41" s="6" t="str">
        <f aca="false">IF(T41="LCR",U41," ")</f>
        <v> </v>
      </c>
      <c r="AE41" s="6" t="str">
        <f aca="false">IF(T41="RP",U41," ")</f>
        <v> </v>
      </c>
      <c r="AF41" s="6" t="str">
        <f aca="false">IF(T41="RV",U41," ")</f>
        <v> </v>
      </c>
      <c r="AG41" s="6" t="str">
        <f aca="false">IF(T41="RC",U41," ")</f>
        <v> </v>
      </c>
      <c r="AH41" s="6" t="str">
        <f aca="false">IF(T41="RT",U41," ")</f>
        <v> </v>
      </c>
      <c r="AI41" s="6" t="str">
        <f aca="false">IF(T41="DV",U41," ")</f>
        <v> </v>
      </c>
      <c r="AJ41" s="6" t="str">
        <f aca="false">IF(T41="DL",U41,"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IF(E42="BD",F42,"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IF(E42="DL",F42," ")</f>
        <v> </v>
      </c>
      <c r="O42" s="38"/>
      <c r="T42" s="37"/>
      <c r="V42" s="6" t="str">
        <f aca="false">IF(T42="BB",U42," ")</f>
        <v> </v>
      </c>
      <c r="W42" s="6" t="str">
        <f aca="false">IF(T42="BS",U42," ")</f>
        <v> </v>
      </c>
      <c r="X42" s="6" t="str">
        <f aca="false">IF(T42="BD",U42," ")</f>
        <v> </v>
      </c>
      <c r="Y42" s="6" t="str">
        <f aca="false">IF(T42="CR",U42," ")</f>
        <v> </v>
      </c>
      <c r="Z42" s="6" t="str">
        <f aca="false">IF(T42="W",U42," ")</f>
        <v> </v>
      </c>
      <c r="AA42" s="6" t="str">
        <f aca="false">IF(T42="B",U42," ")</f>
        <v> </v>
      </c>
      <c r="AB42" s="6" t="str">
        <f aca="false">IF(T42="J",U42," ")</f>
        <v> </v>
      </c>
      <c r="AC42" s="6" t="str">
        <f aca="false">IF(T42="LDR",U42," ")</f>
        <v> </v>
      </c>
      <c r="AD42" s="6" t="str">
        <f aca="false">IF(T42="LCR",U42," ")</f>
        <v> </v>
      </c>
      <c r="AE42" s="6" t="str">
        <f aca="false">IF(T42="RP",U42," ")</f>
        <v> </v>
      </c>
      <c r="AF42" s="6" t="str">
        <f aca="false">IF(T42="RV",U42," ")</f>
        <v> </v>
      </c>
      <c r="AG42" s="6" t="str">
        <f aca="false">IF(T42="RC",U42," ")</f>
        <v> </v>
      </c>
      <c r="AH42" s="6" t="str">
        <f aca="false">IF(T42="RT",U42," ")</f>
        <v> </v>
      </c>
      <c r="AI42" s="6" t="str">
        <f aca="false">IF(T42="DV",U42," ")</f>
        <v> </v>
      </c>
      <c r="AJ42" s="6" t="str">
        <f aca="false">IF(T42="DL",U42,"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IF(E43="BD",F43,"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IF(E43="DL",F43," ")</f>
        <v> </v>
      </c>
      <c r="O43" s="38"/>
      <c r="T43" s="37"/>
      <c r="V43" s="6" t="str">
        <f aca="false">IF(T43="BB",U43," ")</f>
        <v> </v>
      </c>
      <c r="W43" s="6" t="str">
        <f aca="false">IF(T43="BS",U43," ")</f>
        <v> </v>
      </c>
      <c r="X43" s="6" t="str">
        <f aca="false">IF(T43="BD",U43," ")</f>
        <v> </v>
      </c>
      <c r="Y43" s="6" t="str">
        <f aca="false">IF(T43="CR",U43," ")</f>
        <v> </v>
      </c>
      <c r="Z43" s="6" t="str">
        <f aca="false">IF(T43="W",U43," ")</f>
        <v> </v>
      </c>
      <c r="AA43" s="6" t="str">
        <f aca="false">IF(T43="B",U43," ")</f>
        <v> </v>
      </c>
      <c r="AB43" s="6" t="str">
        <f aca="false">IF(T43="J",U43," ")</f>
        <v> </v>
      </c>
      <c r="AC43" s="6" t="str">
        <f aca="false">IF(T43="LDR",U43," ")</f>
        <v> </v>
      </c>
      <c r="AD43" s="6" t="str">
        <f aca="false">IF(T43="LCR",U43," ")</f>
        <v> </v>
      </c>
      <c r="AE43" s="6" t="str">
        <f aca="false">IF(T43="RP",U43," ")</f>
        <v> </v>
      </c>
      <c r="AF43" s="6" t="str">
        <f aca="false">IF(T43="RV",U43," ")</f>
        <v> </v>
      </c>
      <c r="AG43" s="6" t="str">
        <f aca="false">IF(T43="RC",U43," ")</f>
        <v> </v>
      </c>
      <c r="AH43" s="6" t="str">
        <f aca="false">IF(T43="RT",U43," ")</f>
        <v> </v>
      </c>
      <c r="AI43" s="6" t="str">
        <f aca="false">IF(T43="DV",U43," ")</f>
        <v> </v>
      </c>
      <c r="AJ43" s="6" t="str">
        <f aca="false">IF(T43="DL",U43,"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IF(E44="BD",F44,"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IF(E44="DL",F44," ")</f>
        <v> </v>
      </c>
      <c r="O44" s="38"/>
      <c r="T44" s="37"/>
      <c r="V44" s="6" t="str">
        <f aca="false">IF(T44="BB",U44," ")</f>
        <v> </v>
      </c>
      <c r="W44" s="6" t="str">
        <f aca="false">IF(T44="BS",U44," ")</f>
        <v> </v>
      </c>
      <c r="X44" s="6" t="str">
        <f aca="false">IF(T44="BD",U44," ")</f>
        <v> </v>
      </c>
      <c r="Y44" s="6" t="str">
        <f aca="false">IF(T44="CR",U44," ")</f>
        <v> </v>
      </c>
      <c r="Z44" s="6" t="str">
        <f aca="false">IF(T44="W",U44," ")</f>
        <v> </v>
      </c>
      <c r="AA44" s="6" t="str">
        <f aca="false">IF(T44="B",U44," ")</f>
        <v> </v>
      </c>
      <c r="AB44" s="6" t="str">
        <f aca="false">IF(T44="J",U44," ")</f>
        <v> </v>
      </c>
      <c r="AC44" s="6" t="str">
        <f aca="false">IF(T44="LDR",U44," ")</f>
        <v> </v>
      </c>
      <c r="AD44" s="6" t="str">
        <f aca="false">IF(T44="LCR",U44," ")</f>
        <v> </v>
      </c>
      <c r="AE44" s="6" t="str">
        <f aca="false">IF(T44="RP",U44," ")</f>
        <v> </v>
      </c>
      <c r="AF44" s="6" t="str">
        <f aca="false">IF(T44="RV",U44," ")</f>
        <v> </v>
      </c>
      <c r="AG44" s="6" t="str">
        <f aca="false">IF(T44="RC",U44," ")</f>
        <v> </v>
      </c>
      <c r="AH44" s="6" t="str">
        <f aca="false">IF(T44="RT",U44," ")</f>
        <v> </v>
      </c>
      <c r="AI44" s="6" t="str">
        <f aca="false">IF(T44="DV",U44," ")</f>
        <v> </v>
      </c>
      <c r="AJ44" s="6" t="str">
        <f aca="false">IF(T44="DL",U44,"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IF(E45="BD",F45,"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IF(E45="DL",F45," ")</f>
        <v> </v>
      </c>
      <c r="O45" s="38"/>
      <c r="T45" s="37"/>
      <c r="V45" s="6" t="str">
        <f aca="false">IF(T45="BB",U45," ")</f>
        <v> </v>
      </c>
      <c r="W45" s="6" t="str">
        <f aca="false">IF(T45="BS",U45," ")</f>
        <v> </v>
      </c>
      <c r="X45" s="6" t="str">
        <f aca="false">IF(T45="BD",U45," ")</f>
        <v> </v>
      </c>
      <c r="Y45" s="6" t="str">
        <f aca="false">IF(T45="CR",U45," ")</f>
        <v> </v>
      </c>
      <c r="Z45" s="6" t="str">
        <f aca="false">IF(T45="W",U45," ")</f>
        <v> </v>
      </c>
      <c r="AA45" s="6" t="str">
        <f aca="false">IF(T45="B",U45," ")</f>
        <v> </v>
      </c>
      <c r="AB45" s="6" t="str">
        <f aca="false">IF(T45="J",U45," ")</f>
        <v> </v>
      </c>
      <c r="AC45" s="6" t="str">
        <f aca="false">IF(T45="LDR",U45," ")</f>
        <v> </v>
      </c>
      <c r="AD45" s="6" t="str">
        <f aca="false">IF(T45="LCR",U45," ")</f>
        <v> </v>
      </c>
      <c r="AE45" s="6" t="str">
        <f aca="false">IF(T45="RP",U45," ")</f>
        <v> </v>
      </c>
      <c r="AF45" s="6" t="str">
        <f aca="false">IF(T45="RV",U45," ")</f>
        <v> </v>
      </c>
      <c r="AG45" s="6" t="str">
        <f aca="false">IF(T45="RC",U45," ")</f>
        <v> </v>
      </c>
      <c r="AH45" s="6" t="str">
        <f aca="false">IF(T45="RT",U45," ")</f>
        <v> </v>
      </c>
      <c r="AI45" s="6" t="str">
        <f aca="false">IF(T45="DV",U45," ")</f>
        <v> </v>
      </c>
      <c r="AJ45" s="6" t="str">
        <f aca="false">IF(T45="DL",U45,"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IF(E46="BD",F46,"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IF(E46="DL",F46," ")</f>
        <v> </v>
      </c>
      <c r="O46" s="38"/>
      <c r="T46" s="37"/>
      <c r="V46" s="6" t="str">
        <f aca="false">IF(T46="BB",U46," ")</f>
        <v> </v>
      </c>
      <c r="W46" s="6" t="str">
        <f aca="false">IF(T46="BS",U46," ")</f>
        <v> </v>
      </c>
      <c r="X46" s="6" t="str">
        <f aca="false">IF(T46="BD",U46," ")</f>
        <v> </v>
      </c>
      <c r="Y46" s="6" t="str">
        <f aca="false">IF(T46="CR",U46," ")</f>
        <v> </v>
      </c>
      <c r="Z46" s="6" t="str">
        <f aca="false">IF(T46="W",U46," ")</f>
        <v> </v>
      </c>
      <c r="AA46" s="6" t="str">
        <f aca="false">IF(T46="B",U46," ")</f>
        <v> </v>
      </c>
      <c r="AB46" s="6" t="str">
        <f aca="false">IF(T46="J",U46," ")</f>
        <v> </v>
      </c>
      <c r="AC46" s="6" t="str">
        <f aca="false">IF(T46="LDR",U46," ")</f>
        <v> </v>
      </c>
      <c r="AD46" s="6" t="str">
        <f aca="false">IF(T46="LCR",U46," ")</f>
        <v> </v>
      </c>
      <c r="AE46" s="6" t="str">
        <f aca="false">IF(T46="RP",U46," ")</f>
        <v> </v>
      </c>
      <c r="AF46" s="6" t="str">
        <f aca="false">IF(T46="RV",U46," ")</f>
        <v> </v>
      </c>
      <c r="AG46" s="6" t="str">
        <f aca="false">IF(T46="RC",U46," ")</f>
        <v> </v>
      </c>
      <c r="AH46" s="6" t="str">
        <f aca="false">IF(T46="RT",U46," ")</f>
        <v> </v>
      </c>
      <c r="AI46" s="6" t="str">
        <f aca="false">IF(T46="DV",U46," ")</f>
        <v> </v>
      </c>
      <c r="AJ46" s="6" t="str">
        <f aca="false">IF(T46="DL",U46,"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IF(E47="BD",F47,"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IF(E47="DL",F47," ")</f>
        <v> </v>
      </c>
      <c r="O47" s="38"/>
      <c r="T47" s="37"/>
      <c r="V47" s="6" t="str">
        <f aca="false">IF(T47="BB",U47," ")</f>
        <v> </v>
      </c>
      <c r="W47" s="6" t="str">
        <f aca="false">IF(T47="BS",U47," ")</f>
        <v> </v>
      </c>
      <c r="X47" s="6" t="str">
        <f aca="false">IF(T47="BD",U47," ")</f>
        <v> </v>
      </c>
      <c r="Y47" s="6" t="str">
        <f aca="false">IF(T47="CR",U47," ")</f>
        <v> </v>
      </c>
      <c r="Z47" s="6" t="str">
        <f aca="false">IF(T47="W",U47," ")</f>
        <v> </v>
      </c>
      <c r="AA47" s="6" t="str">
        <f aca="false">IF(T47="B",U47," ")</f>
        <v> </v>
      </c>
      <c r="AB47" s="6" t="str">
        <f aca="false">IF(T47="J",U47," ")</f>
        <v> </v>
      </c>
      <c r="AC47" s="6" t="str">
        <f aca="false">IF(T47="LDR",U47," ")</f>
        <v> </v>
      </c>
      <c r="AD47" s="6" t="str">
        <f aca="false">IF(T47="LCR",U47," ")</f>
        <v> </v>
      </c>
      <c r="AE47" s="6" t="str">
        <f aca="false">IF(T47="RP",U47," ")</f>
        <v> </v>
      </c>
      <c r="AF47" s="6" t="str">
        <f aca="false">IF(T47="RV",U47," ")</f>
        <v> </v>
      </c>
      <c r="AG47" s="6" t="str">
        <f aca="false">IF(T47="RC",U47," ")</f>
        <v> </v>
      </c>
      <c r="AH47" s="6" t="str">
        <f aca="false">IF(T47="RT",U47," ")</f>
        <v> </v>
      </c>
      <c r="AI47" s="6" t="str">
        <f aca="false">IF(T47="DV",U47," ")</f>
        <v> </v>
      </c>
      <c r="AJ47" s="6" t="str">
        <f aca="false">IF(T47="DL",U47,"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IF(E48="BD",F48,"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IF(E48="DL",F48," ")</f>
        <v> </v>
      </c>
      <c r="O48" s="38"/>
      <c r="T48" s="37"/>
      <c r="V48" s="6" t="str">
        <f aca="false">IF(T48="BB",U48," ")</f>
        <v> </v>
      </c>
      <c r="W48" s="6" t="str">
        <f aca="false">IF(T48="BS",U48," ")</f>
        <v> </v>
      </c>
      <c r="X48" s="6" t="str">
        <f aca="false">IF(T48="BD",U48," ")</f>
        <v> </v>
      </c>
      <c r="Y48" s="6" t="str">
        <f aca="false">IF(T48="CR",U48," ")</f>
        <v> </v>
      </c>
      <c r="Z48" s="6" t="str">
        <f aca="false">IF(T48="W",U48," ")</f>
        <v> </v>
      </c>
      <c r="AA48" s="6" t="str">
        <f aca="false">IF(T48="B",U48," ")</f>
        <v> </v>
      </c>
      <c r="AB48" s="6" t="str">
        <f aca="false">IF(T48="J",U48," ")</f>
        <v> </v>
      </c>
      <c r="AC48" s="6" t="str">
        <f aca="false">IF(T48="LDR",U48," ")</f>
        <v> </v>
      </c>
      <c r="AD48" s="6" t="str">
        <f aca="false">IF(T48="LCR",U48," ")</f>
        <v> </v>
      </c>
      <c r="AE48" s="6" t="str">
        <f aca="false">IF(T48="RP",U48," ")</f>
        <v> </v>
      </c>
      <c r="AF48" s="6" t="str">
        <f aca="false">IF(T48="RV",U48," ")</f>
        <v> </v>
      </c>
      <c r="AG48" s="6" t="str">
        <f aca="false">IF(T48="RC",U48," ")</f>
        <v> </v>
      </c>
      <c r="AH48" s="6" t="str">
        <f aca="false">IF(T48="RT",U48," ")</f>
        <v> </v>
      </c>
      <c r="AI48" s="6" t="str">
        <f aca="false">IF(T48="DV",U48," ")</f>
        <v> </v>
      </c>
      <c r="AJ48" s="6" t="str">
        <f aca="false">IF(T48="DL",U48,"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IF(E49="BD",F49,"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IF(E49="DL",F49," ")</f>
        <v> </v>
      </c>
      <c r="O49" s="38"/>
      <c r="T49" s="37"/>
      <c r="V49" s="6" t="str">
        <f aca="false">IF(T49="BB",U49," ")</f>
        <v> </v>
      </c>
      <c r="W49" s="6" t="str">
        <f aca="false">IF(T49="BS",U49," ")</f>
        <v> </v>
      </c>
      <c r="X49" s="6" t="str">
        <f aca="false">IF(T49="BD",U49," ")</f>
        <v> </v>
      </c>
      <c r="Y49" s="6" t="str">
        <f aca="false">IF(T49="CR",U49," ")</f>
        <v> </v>
      </c>
      <c r="Z49" s="6" t="str">
        <f aca="false">IF(T49="W",U49," ")</f>
        <v> </v>
      </c>
      <c r="AA49" s="6" t="str">
        <f aca="false">IF(T49="B",U49," ")</f>
        <v> </v>
      </c>
      <c r="AB49" s="6" t="str">
        <f aca="false">IF(T49="J",U49," ")</f>
        <v> </v>
      </c>
      <c r="AC49" s="6" t="str">
        <f aca="false">IF(T49="LDR",U49," ")</f>
        <v> </v>
      </c>
      <c r="AD49" s="6" t="str">
        <f aca="false">IF(T49="LCR",U49," ")</f>
        <v> </v>
      </c>
      <c r="AE49" s="6" t="str">
        <f aca="false">IF(T49="RP",U49," ")</f>
        <v> </v>
      </c>
      <c r="AF49" s="6" t="str">
        <f aca="false">IF(T49="RV",U49," ")</f>
        <v> </v>
      </c>
      <c r="AG49" s="6" t="str">
        <f aca="false">IF(T49="RC",U49," ")</f>
        <v> </v>
      </c>
      <c r="AH49" s="6" t="str">
        <f aca="false">IF(T49="RT",U49," ")</f>
        <v> </v>
      </c>
      <c r="AI49" s="6" t="str">
        <f aca="false">IF(T49="DV",U49," ")</f>
        <v> </v>
      </c>
      <c r="AJ49" s="6" t="str">
        <f aca="false">IF(T49="DL",U49,"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IF(E50="BD",F50,"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IF(E50="DL",F50," ")</f>
        <v> </v>
      </c>
      <c r="O50" s="38"/>
      <c r="T50" s="37"/>
      <c r="V50" s="6" t="str">
        <f aca="false">IF(T50="BB",U50," ")</f>
        <v> </v>
      </c>
      <c r="W50" s="6" t="str">
        <f aca="false">IF(T50="BS",U50," ")</f>
        <v> </v>
      </c>
      <c r="X50" s="6" t="str">
        <f aca="false">IF(T50="BD",U50," ")</f>
        <v> </v>
      </c>
      <c r="Y50" s="6" t="str">
        <f aca="false">IF(T50="CR",U50," ")</f>
        <v> </v>
      </c>
      <c r="Z50" s="6" t="str">
        <f aca="false">IF(T50="W",U50," ")</f>
        <v> </v>
      </c>
      <c r="AA50" s="6" t="str">
        <f aca="false">IF(T50="B",U50," ")</f>
        <v> </v>
      </c>
      <c r="AB50" s="6" t="str">
        <f aca="false">IF(T50="J",U50," ")</f>
        <v> </v>
      </c>
      <c r="AC50" s="6" t="str">
        <f aca="false">IF(T50="LDR",U50," ")</f>
        <v> </v>
      </c>
      <c r="AD50" s="6" t="str">
        <f aca="false">IF(T50="LCR",U50," ")</f>
        <v> </v>
      </c>
      <c r="AE50" s="6" t="str">
        <f aca="false">IF(T50="RP",U50," ")</f>
        <v> </v>
      </c>
      <c r="AF50" s="6" t="str">
        <f aca="false">IF(T50="RV",U50," ")</f>
        <v> </v>
      </c>
      <c r="AG50" s="6" t="str">
        <f aca="false">IF(T50="RC",U50," ")</f>
        <v> </v>
      </c>
      <c r="AH50" s="6" t="str">
        <f aca="false">IF(T50="RT",U50," ")</f>
        <v> </v>
      </c>
      <c r="AI50" s="6" t="str">
        <f aca="false">IF(T50="DV",U50," ")</f>
        <v> </v>
      </c>
      <c r="AJ50" s="6" t="str">
        <f aca="false">IF(T50="DL",U50,"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IF(E51="BD",F51,"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IF(E51="DL",F51," ")</f>
        <v> </v>
      </c>
      <c r="O51" s="38"/>
      <c r="T51" s="37"/>
      <c r="V51" s="6" t="str">
        <f aca="false">IF(T51="BB",U51," ")</f>
        <v> </v>
      </c>
      <c r="W51" s="6" t="str">
        <f aca="false">IF(T51="BS",U51," ")</f>
        <v> </v>
      </c>
      <c r="X51" s="6" t="str">
        <f aca="false">IF(T51="BD",U51," ")</f>
        <v> </v>
      </c>
      <c r="Y51" s="6" t="str">
        <f aca="false">IF(T51="CR",U51," ")</f>
        <v> </v>
      </c>
      <c r="Z51" s="6" t="str">
        <f aca="false">IF(T51="W",U51," ")</f>
        <v> </v>
      </c>
      <c r="AA51" s="6" t="str">
        <f aca="false">IF(T51="B",U51," ")</f>
        <v> </v>
      </c>
      <c r="AB51" s="6" t="str">
        <f aca="false">IF(T51="J",U51," ")</f>
        <v> </v>
      </c>
      <c r="AC51" s="6" t="str">
        <f aca="false">IF(T51="LDR",U51," ")</f>
        <v> </v>
      </c>
      <c r="AD51" s="6" t="str">
        <f aca="false">IF(T51="LCR",U51," ")</f>
        <v> </v>
      </c>
      <c r="AE51" s="6" t="str">
        <f aca="false">IF(T51="RP",U51," ")</f>
        <v> </v>
      </c>
      <c r="AF51" s="6" t="str">
        <f aca="false">IF(T51="RV",U51," ")</f>
        <v> </v>
      </c>
      <c r="AG51" s="6" t="str">
        <f aca="false">IF(T51="RC",U51," ")</f>
        <v> </v>
      </c>
      <c r="AH51" s="6" t="str">
        <f aca="false">IF(T51="RT",U51," ")</f>
        <v> </v>
      </c>
      <c r="AI51" s="6" t="str">
        <f aca="false">IF(T51="DV",U51," ")</f>
        <v> </v>
      </c>
      <c r="AJ51" s="6" t="str">
        <f aca="false">IF(T51="DL",U51,"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IF(E52="BD",F52,"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IF(E52="DL",F52," ")</f>
        <v> </v>
      </c>
      <c r="O52" s="38"/>
      <c r="T52" s="37"/>
      <c r="V52" s="6" t="str">
        <f aca="false">IF(T52="BB",U52," ")</f>
        <v> </v>
      </c>
      <c r="W52" s="6" t="str">
        <f aca="false">IF(T52="BS",U52," ")</f>
        <v> </v>
      </c>
      <c r="X52" s="6" t="str">
        <f aca="false">IF(T52="BD",U52," ")</f>
        <v> </v>
      </c>
      <c r="Y52" s="6" t="str">
        <f aca="false">IF(T52="CR",U52," ")</f>
        <v> </v>
      </c>
      <c r="Z52" s="6" t="str">
        <f aca="false">IF(T52="W",U52," ")</f>
        <v> </v>
      </c>
      <c r="AA52" s="6" t="str">
        <f aca="false">IF(T52="B",U52," ")</f>
        <v> </v>
      </c>
      <c r="AB52" s="6" t="str">
        <f aca="false">IF(T52="J",U52," ")</f>
        <v> </v>
      </c>
      <c r="AC52" s="6" t="str">
        <f aca="false">IF(T52="LDR",U52," ")</f>
        <v> </v>
      </c>
      <c r="AD52" s="6" t="str">
        <f aca="false">IF(T52="LCR",U52," ")</f>
        <v> </v>
      </c>
      <c r="AE52" s="6" t="str">
        <f aca="false">IF(T52="RP",U52," ")</f>
        <v> </v>
      </c>
      <c r="AF52" s="6" t="str">
        <f aca="false">IF(T52="RV",U52," ")</f>
        <v> </v>
      </c>
      <c r="AG52" s="6" t="str">
        <f aca="false">IF(T52="RC",U52," ")</f>
        <v> </v>
      </c>
      <c r="AH52" s="6" t="str">
        <f aca="false">IF(T52="RT",U52," ")</f>
        <v> </v>
      </c>
      <c r="AI52" s="6" t="str">
        <f aca="false">IF(T52="DV",U52," ")</f>
        <v> </v>
      </c>
      <c r="AJ52" s="6" t="str">
        <f aca="false">IF(T52="DL",U52,"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IF(E53="BD",F53,"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IF(E53="DL",F53," ")</f>
        <v> </v>
      </c>
      <c r="O53" s="38"/>
      <c r="T53" s="37"/>
      <c r="V53" s="6" t="str">
        <f aca="false">IF(T53="BB",U53," ")</f>
        <v> </v>
      </c>
      <c r="W53" s="6" t="str">
        <f aca="false">IF(T53="BS",U53," ")</f>
        <v> </v>
      </c>
      <c r="X53" s="6" t="str">
        <f aca="false">IF(T53="BD",U53," ")</f>
        <v> </v>
      </c>
      <c r="Y53" s="6" t="str">
        <f aca="false">IF(T53="CR",U53," ")</f>
        <v> </v>
      </c>
      <c r="Z53" s="6" t="str">
        <f aca="false">IF(T53="W",U53," ")</f>
        <v> </v>
      </c>
      <c r="AA53" s="6" t="str">
        <f aca="false">IF(T53="B",U53," ")</f>
        <v> </v>
      </c>
      <c r="AB53" s="6" t="str">
        <f aca="false">IF(T53="J",U53," ")</f>
        <v> </v>
      </c>
      <c r="AC53" s="6" t="str">
        <f aca="false">IF(T53="LDR",U53," ")</f>
        <v> </v>
      </c>
      <c r="AD53" s="6" t="str">
        <f aca="false">IF(T53="LCR",U53," ")</f>
        <v> </v>
      </c>
      <c r="AE53" s="6" t="str">
        <f aca="false">IF(T53="RP",U53," ")</f>
        <v> </v>
      </c>
      <c r="AF53" s="6" t="str">
        <f aca="false">IF(T53="RV",U53," ")</f>
        <v> </v>
      </c>
      <c r="AG53" s="6" t="str">
        <f aca="false">IF(T53="RC",U53," ")</f>
        <v> </v>
      </c>
      <c r="AH53" s="6" t="str">
        <f aca="false">IF(T53="RT",U53," ")</f>
        <v> </v>
      </c>
      <c r="AI53" s="6" t="str">
        <f aca="false">IF(T53="DV",U53," ")</f>
        <v> </v>
      </c>
      <c r="AJ53" s="6" t="str">
        <f aca="false">IF(T53="DL",U53,"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IF(E54="BD",F54,"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IF(E54="DL",F54," ")</f>
        <v> </v>
      </c>
      <c r="O54" s="38"/>
      <c r="T54" s="37"/>
      <c r="V54" s="6" t="str">
        <f aca="false">IF(T54="BB",U54," ")</f>
        <v> </v>
      </c>
      <c r="W54" s="6" t="str">
        <f aca="false">IF(T54="BS",U54," ")</f>
        <v> </v>
      </c>
      <c r="X54" s="6" t="str">
        <f aca="false">IF(T54="BD",U54," ")</f>
        <v> </v>
      </c>
      <c r="Y54" s="6" t="str">
        <f aca="false">IF(T54="CR",U54," ")</f>
        <v> </v>
      </c>
      <c r="Z54" s="6" t="str">
        <f aca="false">IF(T54="W",U54," ")</f>
        <v> </v>
      </c>
      <c r="AA54" s="6" t="str">
        <f aca="false">IF(T54="B",U54," ")</f>
        <v> </v>
      </c>
      <c r="AB54" s="6" t="str">
        <f aca="false">IF(T54="J",U54," ")</f>
        <v> </v>
      </c>
      <c r="AC54" s="6" t="str">
        <f aca="false">IF(T54="LDR",U54," ")</f>
        <v> </v>
      </c>
      <c r="AD54" s="6" t="str">
        <f aca="false">IF(T54="LCR",U54," ")</f>
        <v> </v>
      </c>
      <c r="AE54" s="6" t="str">
        <f aca="false">IF(T54="RP",U54," ")</f>
        <v> </v>
      </c>
      <c r="AF54" s="6" t="str">
        <f aca="false">IF(T54="RV",U54," ")</f>
        <v> </v>
      </c>
      <c r="AG54" s="6" t="str">
        <f aca="false">IF(T54="RC",U54," ")</f>
        <v> </v>
      </c>
      <c r="AH54" s="6" t="str">
        <f aca="false">IF(T54="RT",U54," ")</f>
        <v> </v>
      </c>
      <c r="AI54" s="6" t="str">
        <f aca="false">IF(T54="DV",U54," ")</f>
        <v> </v>
      </c>
      <c r="AJ54" s="6" t="str">
        <f aca="false">IF(T54="DL",U54,"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IF(E55="BD",F55,"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IF(E55="DL",F55," ")</f>
        <v> </v>
      </c>
      <c r="O55" s="38"/>
      <c r="T55" s="37"/>
      <c r="V55" s="6" t="str">
        <f aca="false">IF(T55="BB",U55," ")</f>
        <v> </v>
      </c>
      <c r="W55" s="6" t="str">
        <f aca="false">IF(T55="BS",U55," ")</f>
        <v> </v>
      </c>
      <c r="X55" s="6" t="str">
        <f aca="false">IF(T55="BD",U55," ")</f>
        <v> </v>
      </c>
      <c r="Y55" s="6" t="str">
        <f aca="false">IF(T55="CR",U55," ")</f>
        <v> </v>
      </c>
      <c r="Z55" s="6" t="str">
        <f aca="false">IF(T55="W",U55," ")</f>
        <v> </v>
      </c>
      <c r="AA55" s="6" t="str">
        <f aca="false">IF(T55="B",U55," ")</f>
        <v> </v>
      </c>
      <c r="AB55" s="6" t="str">
        <f aca="false">IF(T55="J",U55," ")</f>
        <v> </v>
      </c>
      <c r="AC55" s="6" t="str">
        <f aca="false">IF(T55="LDR",U55," ")</f>
        <v> </v>
      </c>
      <c r="AD55" s="6" t="str">
        <f aca="false">IF(T55="LCR",U55," ")</f>
        <v> </v>
      </c>
      <c r="AE55" s="6" t="str">
        <f aca="false">IF(T55="RP",U55," ")</f>
        <v> </v>
      </c>
      <c r="AF55" s="6" t="str">
        <f aca="false">IF(T55="RV",U55," ")</f>
        <v> </v>
      </c>
      <c r="AG55" s="6" t="str">
        <f aca="false">IF(T55="RC",U55," ")</f>
        <v> </v>
      </c>
      <c r="AH55" s="6" t="str">
        <f aca="false">IF(T55="RT",U55," ")</f>
        <v> </v>
      </c>
      <c r="AI55" s="6" t="str">
        <f aca="false">IF(T55="DV",U55," ")</f>
        <v> </v>
      </c>
      <c r="AJ55" s="6" t="str">
        <f aca="false">IF(T55="DL",U55,"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IF(E56="BD",F56,"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IF(E56="DL",F56," ")</f>
        <v> </v>
      </c>
      <c r="O56" s="38"/>
      <c r="T56" s="37"/>
      <c r="V56" s="6" t="str">
        <f aca="false">IF(T56="BB",U56," ")</f>
        <v> </v>
      </c>
      <c r="W56" s="6" t="str">
        <f aca="false">IF(T56="BS",U56," ")</f>
        <v> </v>
      </c>
      <c r="X56" s="6" t="str">
        <f aca="false">IF(T56="BD",U56," ")</f>
        <v> </v>
      </c>
      <c r="Y56" s="6" t="str">
        <f aca="false">IF(T56="CR",U56," ")</f>
        <v> </v>
      </c>
      <c r="Z56" s="6" t="str">
        <f aca="false">IF(T56="W",U56," ")</f>
        <v> </v>
      </c>
      <c r="AA56" s="6" t="str">
        <f aca="false">IF(T56="B",U56," ")</f>
        <v> </v>
      </c>
      <c r="AB56" s="6" t="str">
        <f aca="false">IF(T56="J",U56," ")</f>
        <v> </v>
      </c>
      <c r="AC56" s="6" t="str">
        <f aca="false">IF(T56="LDR",U56," ")</f>
        <v> </v>
      </c>
      <c r="AD56" s="6" t="str">
        <f aca="false">IF(T56="LCR",U56," ")</f>
        <v> </v>
      </c>
      <c r="AE56" s="6" t="str">
        <f aca="false">IF(T56="RP",U56," ")</f>
        <v> </v>
      </c>
      <c r="AF56" s="6" t="str">
        <f aca="false">IF(T56="RV",U56," ")</f>
        <v> </v>
      </c>
      <c r="AG56" s="6" t="str">
        <f aca="false">IF(T56="RC",U56," ")</f>
        <v> </v>
      </c>
      <c r="AH56" s="6" t="str">
        <f aca="false">IF(T56="RT",U56," ")</f>
        <v> </v>
      </c>
      <c r="AI56" s="6" t="str">
        <f aca="false">IF(T56="DV",U56," ")</f>
        <v> </v>
      </c>
      <c r="AJ56" s="6" t="str">
        <f aca="false">IF(T56="DL",U56,"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IF(E57="BD",F57,"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IF(E57="DL",F57," ")</f>
        <v> </v>
      </c>
      <c r="O57" s="38"/>
      <c r="T57" s="37"/>
      <c r="V57" s="6" t="str">
        <f aca="false">IF(T57="BB",U57," ")</f>
        <v> </v>
      </c>
      <c r="W57" s="6" t="str">
        <f aca="false">IF(T57="BS",U57," ")</f>
        <v> </v>
      </c>
      <c r="X57" s="6" t="str">
        <f aca="false">IF(T57="BD",U57," ")</f>
        <v> </v>
      </c>
      <c r="Y57" s="6" t="str">
        <f aca="false">IF(T57="CR",U57," ")</f>
        <v> </v>
      </c>
      <c r="Z57" s="6" t="str">
        <f aca="false">IF(T57="W",U57," ")</f>
        <v> </v>
      </c>
      <c r="AA57" s="6" t="str">
        <f aca="false">IF(T57="B",U57," ")</f>
        <v> </v>
      </c>
      <c r="AB57" s="6" t="str">
        <f aca="false">IF(T57="J",U57," ")</f>
        <v> </v>
      </c>
      <c r="AC57" s="6" t="str">
        <f aca="false">IF(T57="LDR",U57," ")</f>
        <v> </v>
      </c>
      <c r="AD57" s="6" t="str">
        <f aca="false">IF(T57="LCR",U57," ")</f>
        <v> </v>
      </c>
      <c r="AE57" s="6" t="str">
        <f aca="false">IF(T57="RP",U57," ")</f>
        <v> </v>
      </c>
      <c r="AF57" s="6" t="str">
        <f aca="false">IF(T57="RV",U57," ")</f>
        <v> </v>
      </c>
      <c r="AG57" s="6" t="str">
        <f aca="false">IF(T57="RC",U57," ")</f>
        <v> </v>
      </c>
      <c r="AH57" s="6" t="str">
        <f aca="false">IF(T57="RT",U57," ")</f>
        <v> </v>
      </c>
      <c r="AI57" s="6" t="str">
        <f aca="false">IF(T57="DV",U57," ")</f>
        <v> </v>
      </c>
      <c r="AJ57" s="6" t="str">
        <f aca="false">IF(T57="DL",U57,"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IF(E58="BD",F58,"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IF(E58="DL",F58," ")</f>
        <v> </v>
      </c>
      <c r="O58" s="38"/>
      <c r="T58" s="37"/>
      <c r="V58" s="6" t="str">
        <f aca="false">IF(T58="BB",U58," ")</f>
        <v> </v>
      </c>
      <c r="W58" s="6" t="str">
        <f aca="false">IF(T58="BS",U58," ")</f>
        <v> </v>
      </c>
      <c r="X58" s="6" t="str">
        <f aca="false">IF(T58="BD",U58," ")</f>
        <v> </v>
      </c>
      <c r="Y58" s="6" t="str">
        <f aca="false">IF(T58="CR",U58," ")</f>
        <v> </v>
      </c>
      <c r="Z58" s="6" t="str">
        <f aca="false">IF(T58="W",U58," ")</f>
        <v> </v>
      </c>
      <c r="AA58" s="6" t="str">
        <f aca="false">IF(T58="B",U58," ")</f>
        <v> </v>
      </c>
      <c r="AB58" s="6" t="str">
        <f aca="false">IF(T58="J",U58," ")</f>
        <v> </v>
      </c>
      <c r="AC58" s="6" t="str">
        <f aca="false">IF(T58="LDR",U58," ")</f>
        <v> </v>
      </c>
      <c r="AD58" s="6" t="str">
        <f aca="false">IF(T58="LCR",U58," ")</f>
        <v> </v>
      </c>
      <c r="AE58" s="6" t="str">
        <f aca="false">IF(T58="RP",U58," ")</f>
        <v> </v>
      </c>
      <c r="AF58" s="6" t="str">
        <f aca="false">IF(T58="RV",U58," ")</f>
        <v> </v>
      </c>
      <c r="AG58" s="6" t="str">
        <f aca="false">IF(T58="RC",U58," ")</f>
        <v> </v>
      </c>
      <c r="AH58" s="6" t="str">
        <f aca="false">IF(T58="RT",U58," ")</f>
        <v> </v>
      </c>
      <c r="AI58" s="6" t="str">
        <f aca="false">IF(T58="DV",U58," ")</f>
        <v> </v>
      </c>
      <c r="AJ58" s="6" t="str">
        <f aca="false">IF(T58="DL",U58,"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IF(E59="BD",F59,"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IF(E59="DL",F59," ")</f>
        <v> </v>
      </c>
      <c r="O59" s="38"/>
      <c r="T59" s="37"/>
      <c r="V59" s="6" t="str">
        <f aca="false">IF(T59="BB",U59," ")</f>
        <v> </v>
      </c>
      <c r="W59" s="6" t="str">
        <f aca="false">IF(T59="BS",U59," ")</f>
        <v> </v>
      </c>
      <c r="X59" s="6" t="str">
        <f aca="false">IF(T59="BD",U59," ")</f>
        <v> </v>
      </c>
      <c r="Y59" s="6" t="str">
        <f aca="false">IF(T59="CR",U59," ")</f>
        <v> </v>
      </c>
      <c r="Z59" s="6" t="str">
        <f aca="false">IF(T59="W",U59," ")</f>
        <v> </v>
      </c>
      <c r="AA59" s="6" t="str">
        <f aca="false">IF(T59="B",U59," ")</f>
        <v> </v>
      </c>
      <c r="AB59" s="6" t="str">
        <f aca="false">IF(T59="J",U59," ")</f>
        <v> </v>
      </c>
      <c r="AC59" s="6" t="str">
        <f aca="false">IF(T59="LDR",U59," ")</f>
        <v> </v>
      </c>
      <c r="AD59" s="6" t="str">
        <f aca="false">IF(T59="LCR",U59," ")</f>
        <v> </v>
      </c>
      <c r="AE59" s="6" t="str">
        <f aca="false">IF(T59="RP",U59," ")</f>
        <v> </v>
      </c>
      <c r="AF59" s="6" t="str">
        <f aca="false">IF(T59="RV",U59," ")</f>
        <v> </v>
      </c>
      <c r="AG59" s="6" t="str">
        <f aca="false">IF(T59="RC",U59," ")</f>
        <v> </v>
      </c>
      <c r="AH59" s="6" t="str">
        <f aca="false">IF(T59="RT",U59," ")</f>
        <v> </v>
      </c>
      <c r="AI59" s="6" t="str">
        <f aca="false">IF(T59="DV",U59," ")</f>
        <v> </v>
      </c>
      <c r="AJ59" s="6" t="str">
        <f aca="false">IF(T59="DL",U59,"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IF(E60="BD",F60,"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IF(E60="DL",F60," ")</f>
        <v> </v>
      </c>
      <c r="O60" s="38"/>
      <c r="T60" s="37"/>
      <c r="V60" s="6" t="str">
        <f aca="false">IF(T60="BB",U60," ")</f>
        <v> </v>
      </c>
      <c r="W60" s="6" t="str">
        <f aca="false">IF(T60="BS",U60," ")</f>
        <v> </v>
      </c>
      <c r="X60" s="6" t="str">
        <f aca="false">IF(T60="BD",U60," ")</f>
        <v> </v>
      </c>
      <c r="Y60" s="6" t="str">
        <f aca="false">IF(T60="CR",U60," ")</f>
        <v> </v>
      </c>
      <c r="Z60" s="6" t="str">
        <f aca="false">IF(T60="W",U60," ")</f>
        <v> </v>
      </c>
      <c r="AA60" s="6" t="str">
        <f aca="false">IF(T60="B",U60," ")</f>
        <v> </v>
      </c>
      <c r="AB60" s="6" t="str">
        <f aca="false">IF(T60="J",U60," ")</f>
        <v> </v>
      </c>
      <c r="AC60" s="6" t="str">
        <f aca="false">IF(T60="LDR",U60," ")</f>
        <v> </v>
      </c>
      <c r="AD60" s="6" t="str">
        <f aca="false">IF(T60="LCR",U60," ")</f>
        <v> </v>
      </c>
      <c r="AE60" s="6" t="str">
        <f aca="false">IF(T60="RP",U60," ")</f>
        <v> </v>
      </c>
      <c r="AF60" s="6" t="str">
        <f aca="false">IF(T60="RV",U60," ")</f>
        <v> </v>
      </c>
      <c r="AG60" s="6" t="str">
        <f aca="false">IF(T60="RC",U60," ")</f>
        <v> </v>
      </c>
      <c r="AH60" s="6" t="str">
        <f aca="false">IF(T60="RT",U60," ")</f>
        <v> </v>
      </c>
      <c r="AI60" s="6" t="str">
        <f aca="false">IF(T60="DV",U60," ")</f>
        <v> </v>
      </c>
      <c r="AJ60" s="6" t="str">
        <f aca="false">IF(T60="DL",U60,"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IF(E61="BD",F61,"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IF(E61="DL",F61," ")</f>
        <v> </v>
      </c>
      <c r="O61" s="38"/>
      <c r="T61" s="37"/>
      <c r="V61" s="6" t="str">
        <f aca="false">IF(T61="BB",U61," ")</f>
        <v> </v>
      </c>
      <c r="W61" s="6" t="str">
        <f aca="false">IF(T61="BS",U61," ")</f>
        <v> </v>
      </c>
      <c r="X61" s="6" t="str">
        <f aca="false">IF(T61="BD",U61," ")</f>
        <v> </v>
      </c>
      <c r="Y61" s="6" t="str">
        <f aca="false">IF(T61="CR",U61," ")</f>
        <v> </v>
      </c>
      <c r="Z61" s="6" t="str">
        <f aca="false">IF(T61="W",U61," ")</f>
        <v> </v>
      </c>
      <c r="AA61" s="6" t="str">
        <f aca="false">IF(T61="B",U61," ")</f>
        <v> </v>
      </c>
      <c r="AB61" s="6" t="str">
        <f aca="false">IF(T61="J",U61," ")</f>
        <v> </v>
      </c>
      <c r="AC61" s="6" t="str">
        <f aca="false">IF(T61="LDR",U61," ")</f>
        <v> </v>
      </c>
      <c r="AD61" s="6" t="str">
        <f aca="false">IF(T61="LCR",U61," ")</f>
        <v> </v>
      </c>
      <c r="AE61" s="6" t="str">
        <f aca="false">IF(T61="RP",U61," ")</f>
        <v> </v>
      </c>
      <c r="AF61" s="6" t="str">
        <f aca="false">IF(T61="RV",U61," ")</f>
        <v> </v>
      </c>
      <c r="AG61" s="6" t="str">
        <f aca="false">IF(T61="RC",U61," ")</f>
        <v> </v>
      </c>
      <c r="AH61" s="6" t="str">
        <f aca="false">IF(T61="RT",U61," ")</f>
        <v> </v>
      </c>
      <c r="AI61" s="6" t="str">
        <f aca="false">IF(T61="DV",U61," ")</f>
        <v> </v>
      </c>
      <c r="AJ61" s="6" t="str">
        <f aca="false">IF(T61="DL",U61,"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IF(E62="BD",F62,"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IF(E62="DL",F62," ")</f>
        <v> </v>
      </c>
      <c r="O62" s="38"/>
      <c r="T62" s="37"/>
      <c r="V62" s="6" t="str">
        <f aca="false">IF(T62="BB",U62," ")</f>
        <v> </v>
      </c>
      <c r="W62" s="6" t="str">
        <f aca="false">IF(T62="BS",U62," ")</f>
        <v> </v>
      </c>
      <c r="X62" s="6" t="str">
        <f aca="false">IF(T62="BD",U62," ")</f>
        <v> </v>
      </c>
      <c r="Y62" s="6" t="str">
        <f aca="false">IF(T62="CR",U62," ")</f>
        <v> </v>
      </c>
      <c r="Z62" s="6" t="str">
        <f aca="false">IF(T62="W",U62," ")</f>
        <v> </v>
      </c>
      <c r="AA62" s="6" t="str">
        <f aca="false">IF(T62="B",U62," ")</f>
        <v> </v>
      </c>
      <c r="AB62" s="6" t="str">
        <f aca="false">IF(T62="J",U62," ")</f>
        <v> </v>
      </c>
      <c r="AC62" s="6" t="str">
        <f aca="false">IF(T62="LDR",U62," ")</f>
        <v> </v>
      </c>
      <c r="AD62" s="6" t="str">
        <f aca="false">IF(T62="LCR",U62," ")</f>
        <v> </v>
      </c>
      <c r="AE62" s="6" t="str">
        <f aca="false">IF(T62="RP",U62," ")</f>
        <v> </v>
      </c>
      <c r="AF62" s="6" t="str">
        <f aca="false">IF(T62="RV",U62," ")</f>
        <v> </v>
      </c>
      <c r="AG62" s="6" t="str">
        <f aca="false">IF(T62="RC",U62," ")</f>
        <v> </v>
      </c>
      <c r="AH62" s="6" t="str">
        <f aca="false">IF(T62="RT",U62," ")</f>
        <v> </v>
      </c>
      <c r="AI62" s="6" t="str">
        <f aca="false">IF(T62="DV",U62," ")</f>
        <v> </v>
      </c>
      <c r="AJ62" s="6" t="str">
        <f aca="false">IF(T62="DL",U62,"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IF(E63="BD",F63,"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IF(E63="DL",F63," ")</f>
        <v> </v>
      </c>
      <c r="O63" s="38"/>
      <c r="T63" s="37"/>
      <c r="V63" s="6" t="str">
        <f aca="false">IF(T63="BB",U63," ")</f>
        <v> </v>
      </c>
      <c r="W63" s="6" t="str">
        <f aca="false">IF(T63="BS",U63," ")</f>
        <v> </v>
      </c>
      <c r="X63" s="6" t="str">
        <f aca="false">IF(T63="BD",U63," ")</f>
        <v> </v>
      </c>
      <c r="Y63" s="6" t="str">
        <f aca="false">IF(T63="CR",U63," ")</f>
        <v> </v>
      </c>
      <c r="Z63" s="6" t="str">
        <f aca="false">IF(T63="W",U63," ")</f>
        <v> </v>
      </c>
      <c r="AA63" s="6" t="str">
        <f aca="false">IF(T63="B",U63," ")</f>
        <v> </v>
      </c>
      <c r="AB63" s="6" t="str">
        <f aca="false">IF(T63="J",U63," ")</f>
        <v> </v>
      </c>
      <c r="AC63" s="6" t="str">
        <f aca="false">IF(T63="LDR",U63," ")</f>
        <v> </v>
      </c>
      <c r="AD63" s="6" t="str">
        <f aca="false">IF(T63="LCR",U63," ")</f>
        <v> </v>
      </c>
      <c r="AE63" s="6" t="str">
        <f aca="false">IF(T63="RP",U63," ")</f>
        <v> </v>
      </c>
      <c r="AF63" s="6" t="str">
        <f aca="false">IF(T63="RV",U63," ")</f>
        <v> </v>
      </c>
      <c r="AG63" s="6" t="str">
        <f aca="false">IF(T63="RC",U63," ")</f>
        <v> </v>
      </c>
      <c r="AH63" s="6" t="str">
        <f aca="false">IF(T63="RT",U63," ")</f>
        <v> </v>
      </c>
      <c r="AI63" s="6" t="str">
        <f aca="false">IF(T63="DV",U63," ")</f>
        <v> </v>
      </c>
      <c r="AJ63" s="6" t="str">
        <f aca="false">IF(T63="DL",U63,"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IF(E64="BD",F64,"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IF(E64="DL",F64," ")</f>
        <v> </v>
      </c>
      <c r="O64" s="38"/>
      <c r="T64" s="37"/>
      <c r="V64" s="6" t="str">
        <f aca="false">IF(T64="BB",U64," ")</f>
        <v> </v>
      </c>
      <c r="W64" s="6" t="str">
        <f aca="false">IF(T64="BS",U64," ")</f>
        <v> </v>
      </c>
      <c r="X64" s="6" t="str">
        <f aca="false">IF(T64="BD",U64," ")</f>
        <v> </v>
      </c>
      <c r="Y64" s="6" t="str">
        <f aca="false">IF(T64="CR",U64," ")</f>
        <v> </v>
      </c>
      <c r="Z64" s="6" t="str">
        <f aca="false">IF(T64="W",U64," ")</f>
        <v> </v>
      </c>
      <c r="AA64" s="6" t="str">
        <f aca="false">IF(T64="B",U64," ")</f>
        <v> </v>
      </c>
      <c r="AB64" s="6" t="str">
        <f aca="false">IF(T64="J",U64," ")</f>
        <v> </v>
      </c>
      <c r="AC64" s="6" t="str">
        <f aca="false">IF(T64="LDR",U64," ")</f>
        <v> </v>
      </c>
      <c r="AD64" s="6" t="str">
        <f aca="false">IF(T64="LCR",U64," ")</f>
        <v> </v>
      </c>
      <c r="AE64" s="6" t="str">
        <f aca="false">IF(T64="RP",U64," ")</f>
        <v> </v>
      </c>
      <c r="AF64" s="6" t="str">
        <f aca="false">IF(T64="RV",U64," ")</f>
        <v> </v>
      </c>
      <c r="AG64" s="6" t="str">
        <f aca="false">IF(T64="RC",U64," ")</f>
        <v> </v>
      </c>
      <c r="AH64" s="6" t="str">
        <f aca="false">IF(T64="RT",U64," ")</f>
        <v> </v>
      </c>
      <c r="AI64" s="6" t="str">
        <f aca="false">IF(T64="DV",U64," ")</f>
        <v> </v>
      </c>
      <c r="AJ64" s="6" t="str">
        <f aca="false">IF(T64="DL",U64,"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IF(E65="BD",F65,"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IF(E65="DL",F65," ")</f>
        <v> </v>
      </c>
      <c r="O65" s="38"/>
      <c r="T65" s="37"/>
      <c r="V65" s="6" t="str">
        <f aca="false">IF(T65="BB",U65," ")</f>
        <v> </v>
      </c>
      <c r="W65" s="6" t="str">
        <f aca="false">IF(T65="BS",U65," ")</f>
        <v> </v>
      </c>
      <c r="X65" s="6" t="str">
        <f aca="false">IF(T65="BD",U65," ")</f>
        <v> </v>
      </c>
      <c r="Y65" s="6" t="str">
        <f aca="false">IF(T65="CR",U65," ")</f>
        <v> </v>
      </c>
      <c r="Z65" s="6" t="str">
        <f aca="false">IF(T65="W",U65," ")</f>
        <v> </v>
      </c>
      <c r="AA65" s="6" t="str">
        <f aca="false">IF(T65="B",U65," ")</f>
        <v> </v>
      </c>
      <c r="AB65" s="6" t="str">
        <f aca="false">IF(T65="J",U65," ")</f>
        <v> </v>
      </c>
      <c r="AC65" s="6" t="str">
        <f aca="false">IF(T65="LDR",U65," ")</f>
        <v> </v>
      </c>
      <c r="AD65" s="6" t="str">
        <f aca="false">IF(T65="LCR",U65," ")</f>
        <v> </v>
      </c>
      <c r="AE65" s="6" t="str">
        <f aca="false">IF(T65="RP",U65," ")</f>
        <v> </v>
      </c>
      <c r="AF65" s="6" t="str">
        <f aca="false">IF(T65="RV",U65," ")</f>
        <v> </v>
      </c>
      <c r="AG65" s="6" t="str">
        <f aca="false">IF(T65="RC",U65," ")</f>
        <v> </v>
      </c>
      <c r="AH65" s="6" t="str">
        <f aca="false">IF(T65="RT",U65," ")</f>
        <v> </v>
      </c>
      <c r="AI65" s="6" t="str">
        <f aca="false">IF(T65="DV",U65," ")</f>
        <v> </v>
      </c>
      <c r="AJ65" s="6" t="str">
        <f aca="false">IF(T65="DL",U65,"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IF(E66="BD",F66,"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IF(E66="DL",F66," ")</f>
        <v> </v>
      </c>
      <c r="O66" s="38"/>
      <c r="T66" s="37"/>
      <c r="V66" s="6" t="str">
        <f aca="false">IF(T66="BB",U66," ")</f>
        <v> </v>
      </c>
      <c r="W66" s="6" t="str">
        <f aca="false">IF(T66="BS",U66," ")</f>
        <v> </v>
      </c>
      <c r="X66" s="6" t="str">
        <f aca="false">IF(T66="BD",U66," ")</f>
        <v> </v>
      </c>
      <c r="Y66" s="6" t="str">
        <f aca="false">IF(T66="CR",U66," ")</f>
        <v> </v>
      </c>
      <c r="Z66" s="6" t="str">
        <f aca="false">IF(T66="W",U66," ")</f>
        <v> </v>
      </c>
      <c r="AA66" s="6" t="str">
        <f aca="false">IF(T66="B",U66," ")</f>
        <v> </v>
      </c>
      <c r="AB66" s="6" t="str">
        <f aca="false">IF(T66="J",U66," ")</f>
        <v> </v>
      </c>
      <c r="AC66" s="6" t="str">
        <f aca="false">IF(T66="LDR",U66," ")</f>
        <v> </v>
      </c>
      <c r="AD66" s="6" t="str">
        <f aca="false">IF(T66="LCR",U66," ")</f>
        <v> </v>
      </c>
      <c r="AE66" s="6" t="str">
        <f aca="false">IF(T66="RP",U66," ")</f>
        <v> </v>
      </c>
      <c r="AF66" s="6" t="str">
        <f aca="false">IF(T66="RV",U66," ")</f>
        <v> </v>
      </c>
      <c r="AG66" s="6" t="str">
        <f aca="false">IF(T66="RC",U66," ")</f>
        <v> </v>
      </c>
      <c r="AH66" s="6" t="str">
        <f aca="false">IF(T66="RT",U66," ")</f>
        <v> </v>
      </c>
      <c r="AI66" s="6" t="str">
        <f aca="false">IF(T66="DV",U66," ")</f>
        <v> </v>
      </c>
      <c r="AJ66" s="6" t="str">
        <f aca="false">IF(T66="DL",U66,"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IF(E67="BD",F67,"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IF(E67="DL",F67," ")</f>
        <v> </v>
      </c>
      <c r="O67" s="38"/>
      <c r="T67" s="37"/>
      <c r="V67" s="6" t="str">
        <f aca="false">IF(T67="BB",U67," ")</f>
        <v> </v>
      </c>
      <c r="W67" s="6" t="str">
        <f aca="false">IF(T67="BS",U67," ")</f>
        <v> </v>
      </c>
      <c r="X67" s="6" t="str">
        <f aca="false">IF(T67="BD",U67," ")</f>
        <v> </v>
      </c>
      <c r="Y67" s="6" t="str">
        <f aca="false">IF(T67="CR",U67," ")</f>
        <v> </v>
      </c>
      <c r="Z67" s="6" t="str">
        <f aca="false">IF(T67="W",U67," ")</f>
        <v> </v>
      </c>
      <c r="AA67" s="6" t="str">
        <f aca="false">IF(T67="B",U67," ")</f>
        <v> </v>
      </c>
      <c r="AB67" s="6" t="str">
        <f aca="false">IF(T67="J",U67," ")</f>
        <v> </v>
      </c>
      <c r="AC67" s="6" t="str">
        <f aca="false">IF(T67="LDR",U67," ")</f>
        <v> </v>
      </c>
      <c r="AD67" s="6" t="str">
        <f aca="false">IF(T67="LCR",U67," ")</f>
        <v> </v>
      </c>
      <c r="AE67" s="6" t="str">
        <f aca="false">IF(T67="RP",U67," ")</f>
        <v> </v>
      </c>
      <c r="AF67" s="6" t="str">
        <f aca="false">IF(T67="RV",U67," ")</f>
        <v> </v>
      </c>
      <c r="AG67" s="6" t="str">
        <f aca="false">IF(T67="RC",U67," ")</f>
        <v> </v>
      </c>
      <c r="AH67" s="6" t="str">
        <f aca="false">IF(T67="RT",U67," ")</f>
        <v> </v>
      </c>
      <c r="AI67" s="6" t="str">
        <f aca="false">IF(T67="DV",U67," ")</f>
        <v> </v>
      </c>
      <c r="AJ67" s="6" t="str">
        <f aca="false">IF(T67="DL",U67,"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IF(E68="BD",F68,"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IF(E68="DL",F68," ")</f>
        <v> </v>
      </c>
      <c r="O68" s="38"/>
      <c r="T68" s="37"/>
      <c r="V68" s="6" t="str">
        <f aca="false">IF(T68="BB",U68," ")</f>
        <v> </v>
      </c>
      <c r="W68" s="6" t="str">
        <f aca="false">IF(T68="BS",U68," ")</f>
        <v> </v>
      </c>
      <c r="X68" s="6" t="str">
        <f aca="false">IF(T68="BD",U68," ")</f>
        <v> </v>
      </c>
      <c r="Y68" s="6" t="str">
        <f aca="false">IF(T68="CR",U68," ")</f>
        <v> </v>
      </c>
      <c r="Z68" s="6" t="str">
        <f aca="false">IF(T68="W",U68," ")</f>
        <v> </v>
      </c>
      <c r="AA68" s="6" t="str">
        <f aca="false">IF(T68="B",U68," ")</f>
        <v> </v>
      </c>
      <c r="AB68" s="6" t="str">
        <f aca="false">IF(T68="J",U68," ")</f>
        <v> </v>
      </c>
      <c r="AC68" s="6" t="str">
        <f aca="false">IF(T68="LDR",U68," ")</f>
        <v> </v>
      </c>
      <c r="AD68" s="6" t="str">
        <f aca="false">IF(T68="LCR",U68," ")</f>
        <v> </v>
      </c>
      <c r="AE68" s="6" t="str">
        <f aca="false">IF(T68="RP",U68," ")</f>
        <v> </v>
      </c>
      <c r="AF68" s="6" t="str">
        <f aca="false">IF(T68="RV",U68," ")</f>
        <v> </v>
      </c>
      <c r="AG68" s="6" t="str">
        <f aca="false">IF(T68="RC",U68," ")</f>
        <v> </v>
      </c>
      <c r="AH68" s="6" t="str">
        <f aca="false">IF(T68="RT",U68," ")</f>
        <v> </v>
      </c>
      <c r="AI68" s="6" t="str">
        <f aca="false">IF(T68="DV",U68," ")</f>
        <v> </v>
      </c>
      <c r="AJ68" s="6" t="str">
        <f aca="false">IF(T68="DL",U68,"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IF(E69="BD",F69,"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IF(E69="DL",F69," ")</f>
        <v> </v>
      </c>
      <c r="O69" s="38"/>
      <c r="T69" s="37"/>
      <c r="V69" s="6" t="str">
        <f aca="false">IF(T69="BB",U69," ")</f>
        <v> </v>
      </c>
      <c r="W69" s="6" t="str">
        <f aca="false">IF(T69="BS",U69," ")</f>
        <v> </v>
      </c>
      <c r="X69" s="6" t="str">
        <f aca="false">IF(T69="BD",U69," ")</f>
        <v> </v>
      </c>
      <c r="Y69" s="6" t="str">
        <f aca="false">IF(T69="CR",U69," ")</f>
        <v> </v>
      </c>
      <c r="Z69" s="6" t="str">
        <f aca="false">IF(T69="W",U69," ")</f>
        <v> </v>
      </c>
      <c r="AA69" s="6" t="str">
        <f aca="false">IF(T69="B",U69," ")</f>
        <v> </v>
      </c>
      <c r="AB69" s="6" t="str">
        <f aca="false">IF(T69="J",U69," ")</f>
        <v> </v>
      </c>
      <c r="AC69" s="6" t="str">
        <f aca="false">IF(T69="LDR",U69," ")</f>
        <v> </v>
      </c>
      <c r="AD69" s="6" t="str">
        <f aca="false">IF(T69="LCR",U69," ")</f>
        <v> </v>
      </c>
      <c r="AE69" s="6" t="str">
        <f aca="false">IF(T69="RP",U69," ")</f>
        <v> </v>
      </c>
      <c r="AF69" s="6" t="str">
        <f aca="false">IF(T69="RV",U69," ")</f>
        <v> </v>
      </c>
      <c r="AG69" s="6" t="str">
        <f aca="false">IF(T69="RC",U69," ")</f>
        <v> </v>
      </c>
      <c r="AH69" s="6" t="str">
        <f aca="false">IF(T69="RT",U69," ")</f>
        <v> </v>
      </c>
      <c r="AI69" s="6" t="str">
        <f aca="false">IF(T69="DV",U69," ")</f>
        <v> </v>
      </c>
      <c r="AJ69" s="6" t="str">
        <f aca="false">IF(T69="DL",U69,"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IF(E70="BD",F70,"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IF(E70="DL",F70," ")</f>
        <v> </v>
      </c>
      <c r="O70" s="38"/>
      <c r="T70" s="37" t="str">
        <f aca="false">IF(U70&lt;&gt;0,"Enter Code"," ")</f>
        <v> </v>
      </c>
      <c r="V70" s="6" t="str">
        <f aca="false">IF(T70="BB",U70," ")</f>
        <v> </v>
      </c>
      <c r="W70" s="6" t="str">
        <f aca="false">IF(T70="BS",U70," ")</f>
        <v> </v>
      </c>
      <c r="X70" s="6" t="str">
        <f aca="false">IF(T70="BD",U70," ")</f>
        <v> </v>
      </c>
      <c r="Y70" s="6" t="str">
        <f aca="false">IF(T70="CR",U70," ")</f>
        <v> </v>
      </c>
      <c r="Z70" s="6" t="str">
        <f aca="false">IF(T70="W",U70," ")</f>
        <v> </v>
      </c>
      <c r="AA70" s="6" t="str">
        <f aca="false">IF(T70="B",U70," ")</f>
        <v> </v>
      </c>
      <c r="AB70" s="6" t="str">
        <f aca="false">IF(T70="J",U70," ")</f>
        <v> </v>
      </c>
      <c r="AC70" s="6" t="str">
        <f aca="false">IF(T70="LDR",U70," ")</f>
        <v> </v>
      </c>
      <c r="AD70" s="6" t="str">
        <f aca="false">IF(T70="LCR",U70," ")</f>
        <v> </v>
      </c>
      <c r="AE70" s="6" t="str">
        <f aca="false">IF(T70="RP",U70," ")</f>
        <v> </v>
      </c>
      <c r="AF70" s="6" t="str">
        <f aca="false">IF(T70="RV",U70," ")</f>
        <v> </v>
      </c>
      <c r="AG70" s="6" t="str">
        <f aca="false">IF(T70="RC",U70," ")</f>
        <v> </v>
      </c>
      <c r="AH70" s="6" t="str">
        <f aca="false">IF(T70="RT",U70," ")</f>
        <v> </v>
      </c>
      <c r="AI70" s="6" t="str">
        <f aca="false">IF(T70="DV",U70," ")</f>
        <v> </v>
      </c>
      <c r="AJ70" s="6" t="str">
        <f aca="false">IF(T70="DL",U70,"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IF(E71="BD",F71,"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IF(E71="DL",F71," ")</f>
        <v> </v>
      </c>
      <c r="O71" s="38"/>
      <c r="T71" s="37" t="str">
        <f aca="false">IF(U71&lt;&gt;0,"Enter Code"," ")</f>
        <v> </v>
      </c>
      <c r="V71" s="6" t="str">
        <f aca="false">IF(T71="BB",U71," ")</f>
        <v> </v>
      </c>
      <c r="W71" s="6" t="str">
        <f aca="false">IF(T71="BS",U71," ")</f>
        <v> </v>
      </c>
      <c r="X71" s="6" t="str">
        <f aca="false">IF(T71="BD",U71," ")</f>
        <v> </v>
      </c>
      <c r="Y71" s="6" t="str">
        <f aca="false">IF(T71="CR",U71," ")</f>
        <v> </v>
      </c>
      <c r="Z71" s="6" t="str">
        <f aca="false">IF(T71="W",U71," ")</f>
        <v> </v>
      </c>
      <c r="AA71" s="6" t="str">
        <f aca="false">IF(T71="B",U71," ")</f>
        <v> </v>
      </c>
      <c r="AB71" s="6" t="str">
        <f aca="false">IF(T71="J",U71," ")</f>
        <v> </v>
      </c>
      <c r="AC71" s="6" t="str">
        <f aca="false">IF(T71="LDR",U71," ")</f>
        <v> </v>
      </c>
      <c r="AD71" s="6" t="str">
        <f aca="false">IF(T71="LCR",U71," ")</f>
        <v> </v>
      </c>
      <c r="AE71" s="6" t="str">
        <f aca="false">IF(T71="RP",U71," ")</f>
        <v> </v>
      </c>
      <c r="AF71" s="6" t="str">
        <f aca="false">IF(T71="RV",U71," ")</f>
        <v> </v>
      </c>
      <c r="AG71" s="6" t="str">
        <f aca="false">IF(T71="RC",U71," ")</f>
        <v> </v>
      </c>
      <c r="AH71" s="6" t="str">
        <f aca="false">IF(T71="RT",U71," ")</f>
        <v> </v>
      </c>
      <c r="AI71" s="6" t="str">
        <f aca="false">IF(T71="DV",U71," ")</f>
        <v> </v>
      </c>
      <c r="AJ71" s="6" t="str">
        <f aca="false">IF(T71="DL",U71,"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IF(E72="BD",F72,"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IF(E72="DL",F72," ")</f>
        <v> </v>
      </c>
      <c r="O72" s="38"/>
      <c r="T72" s="37" t="str">
        <f aca="false">IF(U72&lt;&gt;0,"Enter Code"," ")</f>
        <v> </v>
      </c>
      <c r="V72" s="6" t="str">
        <f aca="false">IF(T72="BB",U72," ")</f>
        <v> </v>
      </c>
      <c r="W72" s="6" t="str">
        <f aca="false">IF(T72="BS",U72," ")</f>
        <v> </v>
      </c>
      <c r="X72" s="6" t="str">
        <f aca="false">IF(T72="BD",U72," ")</f>
        <v> </v>
      </c>
      <c r="Y72" s="6" t="str">
        <f aca="false">IF(T72="CR",U72," ")</f>
        <v> </v>
      </c>
      <c r="Z72" s="6" t="str">
        <f aca="false">IF(T72="W",U72," ")</f>
        <v> </v>
      </c>
      <c r="AA72" s="6" t="str">
        <f aca="false">IF(T72="B",U72," ")</f>
        <v> </v>
      </c>
      <c r="AB72" s="6" t="str">
        <f aca="false">IF(T72="J",U72," ")</f>
        <v> </v>
      </c>
      <c r="AC72" s="6" t="str">
        <f aca="false">IF(T72="LDR",U72," ")</f>
        <v> </v>
      </c>
      <c r="AD72" s="6" t="str">
        <f aca="false">IF(T72="LCR",U72," ")</f>
        <v> </v>
      </c>
      <c r="AE72" s="6" t="str">
        <f aca="false">IF(T72="RP",U72," ")</f>
        <v> </v>
      </c>
      <c r="AF72" s="6" t="str">
        <f aca="false">IF(T72="RV",U72," ")</f>
        <v> </v>
      </c>
      <c r="AG72" s="6" t="str">
        <f aca="false">IF(T72="RC",U72," ")</f>
        <v> </v>
      </c>
      <c r="AH72" s="6" t="str">
        <f aca="false">IF(T72="RT",U72," ")</f>
        <v> </v>
      </c>
      <c r="AI72" s="6" t="str">
        <f aca="false">IF(T72="DV",U72," ")</f>
        <v> </v>
      </c>
      <c r="AJ72" s="6" t="str">
        <f aca="false">IF(T72="DL",U72,"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IF(E73="BD",F73,"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IF(E73="DL",F73," ")</f>
        <v> </v>
      </c>
      <c r="O73" s="38"/>
      <c r="T73" s="37" t="str">
        <f aca="false">IF(U73&lt;&gt;0,"Enter Code"," ")</f>
        <v> </v>
      </c>
      <c r="V73" s="6" t="str">
        <f aca="false">IF(T73="BB",U73," ")</f>
        <v> </v>
      </c>
      <c r="W73" s="6" t="str">
        <f aca="false">IF(T73="BS",U73," ")</f>
        <v> </v>
      </c>
      <c r="X73" s="6" t="str">
        <f aca="false">IF(T73="BD",U73," ")</f>
        <v> </v>
      </c>
      <c r="Y73" s="6" t="str">
        <f aca="false">IF(T73="CR",U73," ")</f>
        <v> </v>
      </c>
      <c r="Z73" s="6" t="str">
        <f aca="false">IF(T73="W",U73," ")</f>
        <v> </v>
      </c>
      <c r="AA73" s="6" t="str">
        <f aca="false">IF(T73="B",U73," ")</f>
        <v> </v>
      </c>
      <c r="AB73" s="6" t="str">
        <f aca="false">IF(T73="J",U73," ")</f>
        <v> </v>
      </c>
      <c r="AC73" s="6" t="str">
        <f aca="false">IF(T73="LDR",U73," ")</f>
        <v> </v>
      </c>
      <c r="AD73" s="6" t="str">
        <f aca="false">IF(T73="LCR",U73," ")</f>
        <v> </v>
      </c>
      <c r="AE73" s="6" t="str">
        <f aca="false">IF(T73="RP",U73," ")</f>
        <v> </v>
      </c>
      <c r="AF73" s="6" t="str">
        <f aca="false">IF(T73="RV",U73," ")</f>
        <v> </v>
      </c>
      <c r="AG73" s="6" t="str">
        <f aca="false">IF(T73="RC",U73," ")</f>
        <v> </v>
      </c>
      <c r="AH73" s="6" t="str">
        <f aca="false">IF(T73="RT",U73," ")</f>
        <v> </v>
      </c>
      <c r="AI73" s="6" t="str">
        <f aca="false">IF(T73="DV",U73," ")</f>
        <v> </v>
      </c>
      <c r="AJ73" s="6" t="str">
        <f aca="false">IF(T73="DL",U73,"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IF(E74="BD",F74,"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IF(E74="DL",F74," ")</f>
        <v> </v>
      </c>
      <c r="O74" s="38"/>
      <c r="T74" s="37" t="str">
        <f aca="false">IF(U74&lt;&gt;0,"Enter Code"," ")</f>
        <v> </v>
      </c>
      <c r="V74" s="6" t="str">
        <f aca="false">IF(T74="BB",U74," ")</f>
        <v> </v>
      </c>
      <c r="W74" s="6" t="str">
        <f aca="false">IF(T74="BS",U74," ")</f>
        <v> </v>
      </c>
      <c r="X74" s="6" t="str">
        <f aca="false">IF(T74="BD",U74," ")</f>
        <v> </v>
      </c>
      <c r="Y74" s="6" t="str">
        <f aca="false">IF(T74="CR",U74," ")</f>
        <v> </v>
      </c>
      <c r="Z74" s="6" t="str">
        <f aca="false">IF(T74="W",U74," ")</f>
        <v> </v>
      </c>
      <c r="AA74" s="6" t="str">
        <f aca="false">IF(T74="B",U74," ")</f>
        <v> </v>
      </c>
      <c r="AB74" s="6" t="str">
        <f aca="false">IF(T74="J",U74," ")</f>
        <v> </v>
      </c>
      <c r="AC74" s="6" t="str">
        <f aca="false">IF(T74="LDR",U74," ")</f>
        <v> </v>
      </c>
      <c r="AD74" s="6" t="str">
        <f aca="false">IF(T74="LCR",U74," ")</f>
        <v> </v>
      </c>
      <c r="AE74" s="6" t="str">
        <f aca="false">IF(T74="RP",U74," ")</f>
        <v> </v>
      </c>
      <c r="AF74" s="6" t="str">
        <f aca="false">IF(T74="RV",U74," ")</f>
        <v> </v>
      </c>
      <c r="AG74" s="6" t="str">
        <f aca="false">IF(T74="RC",U74," ")</f>
        <v> </v>
      </c>
      <c r="AH74" s="6" t="str">
        <f aca="false">IF(T74="RT",U74," ")</f>
        <v> </v>
      </c>
      <c r="AI74" s="6" t="str">
        <f aca="false">IF(T74="DV",U74," ")</f>
        <v> </v>
      </c>
      <c r="AJ74" s="6" t="str">
        <f aca="false">IF(T74="DL",U74,"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IF(E75="BD",F75,"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IF(E75="DL",F75," ")</f>
        <v> </v>
      </c>
      <c r="O75" s="38"/>
      <c r="T75" s="37" t="str">
        <f aca="false">IF(U75&lt;&gt;0,"Enter Code"," ")</f>
        <v> </v>
      </c>
      <c r="V75" s="6" t="str">
        <f aca="false">IF(T75="BB",U75," ")</f>
        <v> </v>
      </c>
      <c r="W75" s="6" t="str">
        <f aca="false">IF(T75="BS",U75," ")</f>
        <v> </v>
      </c>
      <c r="X75" s="6" t="str">
        <f aca="false">IF(T75="BD",U75," ")</f>
        <v> </v>
      </c>
      <c r="Y75" s="6" t="str">
        <f aca="false">IF(T75="CR",U75," ")</f>
        <v> </v>
      </c>
      <c r="Z75" s="6" t="str">
        <f aca="false">IF(T75="W",U75," ")</f>
        <v> </v>
      </c>
      <c r="AA75" s="6" t="str">
        <f aca="false">IF(T75="B",U75," ")</f>
        <v> </v>
      </c>
      <c r="AB75" s="6" t="str">
        <f aca="false">IF(T75="J",U75," ")</f>
        <v> </v>
      </c>
      <c r="AC75" s="6" t="str">
        <f aca="false">IF(T75="LDR",U75," ")</f>
        <v> </v>
      </c>
      <c r="AD75" s="6" t="str">
        <f aca="false">IF(T75="LCR",U75," ")</f>
        <v> </v>
      </c>
      <c r="AE75" s="6" t="str">
        <f aca="false">IF(T75="RP",U75," ")</f>
        <v> </v>
      </c>
      <c r="AF75" s="6" t="str">
        <f aca="false">IF(T75="RV",U75," ")</f>
        <v> </v>
      </c>
      <c r="AG75" s="6" t="str">
        <f aca="false">IF(T75="RC",U75," ")</f>
        <v> </v>
      </c>
      <c r="AH75" s="6" t="str">
        <f aca="false">IF(T75="RT",U75," ")</f>
        <v> </v>
      </c>
      <c r="AI75" s="6" t="str">
        <f aca="false">IF(T75="DV",U75," ")</f>
        <v> </v>
      </c>
      <c r="AJ75" s="6" t="str">
        <f aca="false">IF(T75="DL",U75,"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IF(E76="BD",F76,"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IF(E76="DL",F76," ")</f>
        <v> </v>
      </c>
      <c r="O76" s="38"/>
      <c r="T76" s="37" t="str">
        <f aca="false">IF(U76&lt;&gt;0,"Enter Code"," ")</f>
        <v> </v>
      </c>
      <c r="V76" s="6" t="str">
        <f aca="false">IF(T76="BB",U76," ")</f>
        <v> </v>
      </c>
      <c r="W76" s="6" t="str">
        <f aca="false">IF(T76="BS",U76," ")</f>
        <v> </v>
      </c>
      <c r="X76" s="6" t="str">
        <f aca="false">IF(T76="BD",U76," ")</f>
        <v> </v>
      </c>
      <c r="Y76" s="6" t="str">
        <f aca="false">IF(T76="CR",U76," ")</f>
        <v> </v>
      </c>
      <c r="Z76" s="6" t="str">
        <f aca="false">IF(T76="W",U76," ")</f>
        <v> </v>
      </c>
      <c r="AA76" s="6" t="str">
        <f aca="false">IF(T76="B",U76," ")</f>
        <v> </v>
      </c>
      <c r="AB76" s="6" t="str">
        <f aca="false">IF(T76="J",U76," ")</f>
        <v> </v>
      </c>
      <c r="AC76" s="6" t="str">
        <f aca="false">IF(T76="LDR",U76," ")</f>
        <v> </v>
      </c>
      <c r="AD76" s="6" t="str">
        <f aca="false">IF(T76="LCR",U76," ")</f>
        <v> </v>
      </c>
      <c r="AE76" s="6" t="str">
        <f aca="false">IF(T76="RP",U76," ")</f>
        <v> </v>
      </c>
      <c r="AF76" s="6" t="str">
        <f aca="false">IF(T76="RV",U76," ")</f>
        <v> </v>
      </c>
      <c r="AG76" s="6" t="str">
        <f aca="false">IF(T76="RC",U76," ")</f>
        <v> </v>
      </c>
      <c r="AH76" s="6" t="str">
        <f aca="false">IF(T76="RT",U76," ")</f>
        <v> </v>
      </c>
      <c r="AI76" s="6" t="str">
        <f aca="false">IF(T76="DV",U76," ")</f>
        <v> </v>
      </c>
      <c r="AJ76" s="6" t="str">
        <f aca="false">IF(T76="DL",U76,"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IF(E77="BD",F77,"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IF(E77="DL",F77," ")</f>
        <v> </v>
      </c>
      <c r="O77" s="38"/>
      <c r="T77" s="37" t="str">
        <f aca="false">IF(U77&lt;&gt;0,"Enter Code"," ")</f>
        <v> </v>
      </c>
      <c r="V77" s="6" t="str">
        <f aca="false">IF(T77="BB",U77," ")</f>
        <v> </v>
      </c>
      <c r="W77" s="6" t="str">
        <f aca="false">IF(T77="BS",U77," ")</f>
        <v> </v>
      </c>
      <c r="X77" s="6" t="str">
        <f aca="false">IF(T77="BD",U77," ")</f>
        <v> </v>
      </c>
      <c r="Y77" s="6" t="str">
        <f aca="false">IF(T77="CR",U77," ")</f>
        <v> </v>
      </c>
      <c r="Z77" s="6" t="str">
        <f aca="false">IF(T77="W",U77," ")</f>
        <v> </v>
      </c>
      <c r="AA77" s="6" t="str">
        <f aca="false">IF(T77="B",U77," ")</f>
        <v> </v>
      </c>
      <c r="AB77" s="6" t="str">
        <f aca="false">IF(T77="J",U77," ")</f>
        <v> </v>
      </c>
      <c r="AC77" s="6" t="str">
        <f aca="false">IF(T77="LDR",U77," ")</f>
        <v> </v>
      </c>
      <c r="AD77" s="6" t="str">
        <f aca="false">IF(T77="LCR",U77," ")</f>
        <v> </v>
      </c>
      <c r="AE77" s="6" t="str">
        <f aca="false">IF(T77="RP",U77," ")</f>
        <v> </v>
      </c>
      <c r="AF77" s="6" t="str">
        <f aca="false">IF(T77="RV",U77," ")</f>
        <v> </v>
      </c>
      <c r="AG77" s="6" t="str">
        <f aca="false">IF(T77="RC",U77," ")</f>
        <v> </v>
      </c>
      <c r="AH77" s="6" t="str">
        <f aca="false">IF(T77="RT",U77," ")</f>
        <v> </v>
      </c>
      <c r="AI77" s="6" t="str">
        <f aca="false">IF(T77="DV",U77," ")</f>
        <v> </v>
      </c>
      <c r="AJ77" s="6" t="str">
        <f aca="false">IF(T77="DL",U77,"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IF(E78="BD",F78,"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IF(E78="DL",F78," ")</f>
        <v> </v>
      </c>
      <c r="O78" s="38"/>
      <c r="T78" s="37" t="str">
        <f aca="false">IF(U78&lt;&gt;0,"Enter Code"," ")</f>
        <v> </v>
      </c>
      <c r="V78" s="6" t="str">
        <f aca="false">IF(T78="BB",U78," ")</f>
        <v> </v>
      </c>
      <c r="W78" s="6" t="str">
        <f aca="false">IF(T78="BS",U78," ")</f>
        <v> </v>
      </c>
      <c r="X78" s="6" t="str">
        <f aca="false">IF(T78="BD",U78," ")</f>
        <v> </v>
      </c>
      <c r="Y78" s="6" t="str">
        <f aca="false">IF(T78="CR",U78," ")</f>
        <v> </v>
      </c>
      <c r="Z78" s="6" t="str">
        <f aca="false">IF(T78="W",U78," ")</f>
        <v> </v>
      </c>
      <c r="AA78" s="6" t="str">
        <f aca="false">IF(T78="B",U78," ")</f>
        <v> </v>
      </c>
      <c r="AB78" s="6" t="str">
        <f aca="false">IF(T78="J",U78," ")</f>
        <v> </v>
      </c>
      <c r="AC78" s="6" t="str">
        <f aca="false">IF(T78="LDR",U78," ")</f>
        <v> </v>
      </c>
      <c r="AD78" s="6" t="str">
        <f aca="false">IF(T78="LCR",U78," ")</f>
        <v> </v>
      </c>
      <c r="AE78" s="6" t="str">
        <f aca="false">IF(T78="RP",U78," ")</f>
        <v> </v>
      </c>
      <c r="AF78" s="6" t="str">
        <f aca="false">IF(T78="RV",U78," ")</f>
        <v> </v>
      </c>
      <c r="AG78" s="6" t="str">
        <f aca="false">IF(T78="RC",U78," ")</f>
        <v> </v>
      </c>
      <c r="AH78" s="6" t="str">
        <f aca="false">IF(T78="RT",U78," ")</f>
        <v> </v>
      </c>
      <c r="AI78" s="6" t="str">
        <f aca="false">IF(T78="DV",U78," ")</f>
        <v> </v>
      </c>
      <c r="AJ78" s="6" t="str">
        <f aca="false">IF(T78="DL",U78,"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IF(E79="BD",F79,"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IF(E79="DL",F79," ")</f>
        <v> </v>
      </c>
      <c r="O79" s="38"/>
      <c r="T79" s="37" t="str">
        <f aca="false">IF(U79&lt;&gt;0,"Enter Code"," ")</f>
        <v> </v>
      </c>
      <c r="V79" s="6" t="str">
        <f aca="false">IF(T79="BB",U79," ")</f>
        <v> </v>
      </c>
      <c r="W79" s="6" t="str">
        <f aca="false">IF(T79="BS",U79," ")</f>
        <v> </v>
      </c>
      <c r="X79" s="6" t="str">
        <f aca="false">IF(T79="BD",U79," ")</f>
        <v> </v>
      </c>
      <c r="Y79" s="6" t="str">
        <f aca="false">IF(T79="CR",U79," ")</f>
        <v> </v>
      </c>
      <c r="Z79" s="6" t="str">
        <f aca="false">IF(T79="W",U79," ")</f>
        <v> </v>
      </c>
      <c r="AA79" s="6" t="str">
        <f aca="false">IF(T79="B",U79," ")</f>
        <v> </v>
      </c>
      <c r="AB79" s="6" t="str">
        <f aca="false">IF(T79="J",U79," ")</f>
        <v> </v>
      </c>
      <c r="AC79" s="6" t="str">
        <f aca="false">IF(T79="LDR",U79," ")</f>
        <v> </v>
      </c>
      <c r="AD79" s="6" t="str">
        <f aca="false">IF(T79="LCR",U79," ")</f>
        <v> </v>
      </c>
      <c r="AE79" s="6" t="str">
        <f aca="false">IF(T79="RP",U79," ")</f>
        <v> </v>
      </c>
      <c r="AF79" s="6" t="str">
        <f aca="false">IF(T79="RV",U79," ")</f>
        <v> </v>
      </c>
      <c r="AG79" s="6" t="str">
        <f aca="false">IF(T79="RC",U79," ")</f>
        <v> </v>
      </c>
      <c r="AH79" s="6" t="str">
        <f aca="false">IF(T79="RT",U79," ")</f>
        <v> </v>
      </c>
      <c r="AI79" s="6" t="str">
        <f aca="false">IF(T79="DV",U79," ")</f>
        <v> </v>
      </c>
      <c r="AJ79" s="6" t="str">
        <f aca="false">IF(T79="DL",U79,"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IF(E80="BD",F80,"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IF(E80="DL",F80," ")</f>
        <v> </v>
      </c>
      <c r="O80" s="38"/>
      <c r="T80" s="37" t="str">
        <f aca="false">IF(U80&lt;&gt;0,"Enter Code"," ")</f>
        <v> </v>
      </c>
      <c r="V80" s="6" t="str">
        <f aca="false">IF(T80="BB",U80," ")</f>
        <v> </v>
      </c>
      <c r="W80" s="6" t="str">
        <f aca="false">IF(T80="BS",U80," ")</f>
        <v> </v>
      </c>
      <c r="X80" s="6" t="str">
        <f aca="false">IF(T80="BD",U80," ")</f>
        <v> </v>
      </c>
      <c r="Y80" s="6" t="str">
        <f aca="false">IF(T80="CR",U80," ")</f>
        <v> </v>
      </c>
      <c r="Z80" s="6" t="str">
        <f aca="false">IF(T80="W",U80," ")</f>
        <v> </v>
      </c>
      <c r="AA80" s="6" t="str">
        <f aca="false">IF(T80="B",U80," ")</f>
        <v> </v>
      </c>
      <c r="AB80" s="6" t="str">
        <f aca="false">IF(T80="J",U80," ")</f>
        <v> </v>
      </c>
      <c r="AC80" s="6" t="str">
        <f aca="false">IF(T80="LDR",U80," ")</f>
        <v> </v>
      </c>
      <c r="AD80" s="6" t="str">
        <f aca="false">IF(T80="LCR",U80," ")</f>
        <v> </v>
      </c>
      <c r="AE80" s="6" t="str">
        <f aca="false">IF(T80="RP",U80," ")</f>
        <v> </v>
      </c>
      <c r="AF80" s="6" t="str">
        <f aca="false">IF(T80="RV",U80," ")</f>
        <v> </v>
      </c>
      <c r="AG80" s="6" t="str">
        <f aca="false">IF(T80="RC",U80," ")</f>
        <v> </v>
      </c>
      <c r="AH80" s="6" t="str">
        <f aca="false">IF(T80="RT",U80," ")</f>
        <v> </v>
      </c>
      <c r="AI80" s="6" t="str">
        <f aca="false">IF(T80="DV",U80," ")</f>
        <v> </v>
      </c>
      <c r="AJ80" s="6" t="str">
        <f aca="false">IF(T80="DL",U80,"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IF(E81="BD",F81,"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IF(E81="DL",F81," ")</f>
        <v> </v>
      </c>
      <c r="O81" s="38"/>
      <c r="T81" s="37" t="str">
        <f aca="false">IF(U81&lt;&gt;0,"Enter Code"," ")</f>
        <v> </v>
      </c>
      <c r="V81" s="6" t="str">
        <f aca="false">IF(T81="BB",U81," ")</f>
        <v> </v>
      </c>
      <c r="W81" s="6" t="str">
        <f aca="false">IF(T81="BS",U81," ")</f>
        <v> </v>
      </c>
      <c r="X81" s="6" t="str">
        <f aca="false">IF(T81="BD",U81," ")</f>
        <v> </v>
      </c>
      <c r="Y81" s="6" t="str">
        <f aca="false">IF(T81="CR",U81," ")</f>
        <v> </v>
      </c>
      <c r="Z81" s="6" t="str">
        <f aca="false">IF(T81="W",U81," ")</f>
        <v> </v>
      </c>
      <c r="AA81" s="6" t="str">
        <f aca="false">IF(T81="B",U81," ")</f>
        <v> </v>
      </c>
      <c r="AB81" s="6" t="str">
        <f aca="false">IF(T81="J",U81," ")</f>
        <v> </v>
      </c>
      <c r="AC81" s="6" t="str">
        <f aca="false">IF(T81="LDR",U81," ")</f>
        <v> </v>
      </c>
      <c r="AD81" s="6" t="str">
        <f aca="false">IF(T81="LCR",U81," ")</f>
        <v> </v>
      </c>
      <c r="AE81" s="6" t="str">
        <f aca="false">IF(T81="RP",U81," ")</f>
        <v> </v>
      </c>
      <c r="AF81" s="6" t="str">
        <f aca="false">IF(T81="RV",U81," ")</f>
        <v> </v>
      </c>
      <c r="AG81" s="6" t="str">
        <f aca="false">IF(T81="RC",U81," ")</f>
        <v> </v>
      </c>
      <c r="AH81" s="6" t="str">
        <f aca="false">IF(T81="RT",U81," ")</f>
        <v> </v>
      </c>
      <c r="AI81" s="6" t="str">
        <f aca="false">IF(T81="DV",U81," ")</f>
        <v> </v>
      </c>
      <c r="AJ81" s="6" t="str">
        <f aca="false">IF(T81="DL",U81,"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IF(E82="BD",F82,"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IF(E82="DL",F82," ")</f>
        <v> </v>
      </c>
      <c r="O82" s="38"/>
      <c r="T82" s="37" t="str">
        <f aca="false">IF(U82&lt;&gt;0,"Enter Code"," ")</f>
        <v> </v>
      </c>
      <c r="V82" s="6" t="str">
        <f aca="false">IF(T82="BB",U82," ")</f>
        <v> </v>
      </c>
      <c r="W82" s="6" t="str">
        <f aca="false">IF(T82="BS",U82," ")</f>
        <v> </v>
      </c>
      <c r="X82" s="6" t="str">
        <f aca="false">IF(T82="BD",U82," ")</f>
        <v> </v>
      </c>
      <c r="Y82" s="6" t="str">
        <f aca="false">IF(T82="CR",U82," ")</f>
        <v> </v>
      </c>
      <c r="Z82" s="6" t="str">
        <f aca="false">IF(T82="W",U82," ")</f>
        <v> </v>
      </c>
      <c r="AA82" s="6" t="str">
        <f aca="false">IF(T82="B",U82," ")</f>
        <v> </v>
      </c>
      <c r="AB82" s="6" t="str">
        <f aca="false">IF(T82="J",U82," ")</f>
        <v> </v>
      </c>
      <c r="AC82" s="6" t="str">
        <f aca="false">IF(T82="LDR",U82," ")</f>
        <v> </v>
      </c>
      <c r="AD82" s="6" t="str">
        <f aca="false">IF(T82="LCR",U82," ")</f>
        <v> </v>
      </c>
      <c r="AE82" s="6" t="str">
        <f aca="false">IF(T82="RP",U82," ")</f>
        <v> </v>
      </c>
      <c r="AF82" s="6" t="str">
        <f aca="false">IF(T82="RV",U82," ")</f>
        <v> </v>
      </c>
      <c r="AG82" s="6" t="str">
        <f aca="false">IF(T82="RC",U82," ")</f>
        <v> </v>
      </c>
      <c r="AH82" s="6" t="str">
        <f aca="false">IF(T82="RT",U82," ")</f>
        <v> </v>
      </c>
      <c r="AI82" s="6" t="str">
        <f aca="false">IF(T82="DV",U82," ")</f>
        <v> </v>
      </c>
      <c r="AJ82" s="6" t="str">
        <f aca="false">IF(T82="DL",U82,"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IF(E83="BD",F83,"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IF(E83="DL",F83," ")</f>
        <v> </v>
      </c>
      <c r="O83" s="38"/>
      <c r="T83" s="37" t="str">
        <f aca="false">IF(U83&lt;&gt;0,"Enter Code"," ")</f>
        <v> </v>
      </c>
      <c r="V83" s="6" t="str">
        <f aca="false">IF(T83="BB",U83," ")</f>
        <v> </v>
      </c>
      <c r="W83" s="6" t="str">
        <f aca="false">IF(T83="BS",U83," ")</f>
        <v> </v>
      </c>
      <c r="X83" s="6" t="str">
        <f aca="false">IF(T83="BD",U83," ")</f>
        <v> </v>
      </c>
      <c r="Y83" s="6" t="str">
        <f aca="false">IF(T83="CR",U83," ")</f>
        <v> </v>
      </c>
      <c r="Z83" s="6" t="str">
        <f aca="false">IF(T83="W",U83," ")</f>
        <v> </v>
      </c>
      <c r="AA83" s="6" t="str">
        <f aca="false">IF(T83="B",U83," ")</f>
        <v> </v>
      </c>
      <c r="AB83" s="6" t="str">
        <f aca="false">IF(T83="J",U83," ")</f>
        <v> </v>
      </c>
      <c r="AC83" s="6" t="str">
        <f aca="false">IF(T83="LDR",U83," ")</f>
        <v> </v>
      </c>
      <c r="AD83" s="6" t="str">
        <f aca="false">IF(T83="LCR",U83," ")</f>
        <v> </v>
      </c>
      <c r="AE83" s="6" t="str">
        <f aca="false">IF(T83="RP",U83," ")</f>
        <v> </v>
      </c>
      <c r="AF83" s="6" t="str">
        <f aca="false">IF(T83="RV",U83," ")</f>
        <v> </v>
      </c>
      <c r="AG83" s="6" t="str">
        <f aca="false">IF(T83="RC",U83," ")</f>
        <v> </v>
      </c>
      <c r="AH83" s="6" t="str">
        <f aca="false">IF(T83="RT",U83," ")</f>
        <v> </v>
      </c>
      <c r="AI83" s="6" t="str">
        <f aca="false">IF(T83="DV",U83," ")</f>
        <v> </v>
      </c>
      <c r="AJ83" s="6" t="str">
        <f aca="false">IF(T83="DL",U83,"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IF(E84="BD",F84,"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IF(E84="DL",F84," ")</f>
        <v> </v>
      </c>
      <c r="O84" s="38"/>
      <c r="T84" s="37" t="str">
        <f aca="false">IF(U84&lt;&gt;0,"Enter Code"," ")</f>
        <v> </v>
      </c>
      <c r="V84" s="6" t="str">
        <f aca="false">IF(T84="BB",U84," ")</f>
        <v> </v>
      </c>
      <c r="W84" s="6" t="str">
        <f aca="false">IF(T84="BS",U84," ")</f>
        <v> </v>
      </c>
      <c r="X84" s="6" t="str">
        <f aca="false">IF(T84="BD",U84," ")</f>
        <v> </v>
      </c>
      <c r="Y84" s="6" t="str">
        <f aca="false">IF(T84="CR",U84," ")</f>
        <v> </v>
      </c>
      <c r="Z84" s="6" t="str">
        <f aca="false">IF(T84="W",U84," ")</f>
        <v> </v>
      </c>
      <c r="AA84" s="6" t="str">
        <f aca="false">IF(T84="B",U84," ")</f>
        <v> </v>
      </c>
      <c r="AB84" s="6" t="str">
        <f aca="false">IF(T84="J",U84," ")</f>
        <v> </v>
      </c>
      <c r="AC84" s="6" t="str">
        <f aca="false">IF(T84="LDR",U84," ")</f>
        <v> </v>
      </c>
      <c r="AD84" s="6" t="str">
        <f aca="false">IF(T84="LCR",U84," ")</f>
        <v> </v>
      </c>
      <c r="AE84" s="6" t="str">
        <f aca="false">IF(T84="RP",U84," ")</f>
        <v> </v>
      </c>
      <c r="AF84" s="6" t="str">
        <f aca="false">IF(T84="RV",U84," ")</f>
        <v> </v>
      </c>
      <c r="AG84" s="6" t="str">
        <f aca="false">IF(T84="RC",U84," ")</f>
        <v> </v>
      </c>
      <c r="AH84" s="6" t="str">
        <f aca="false">IF(T84="RT",U84," ")</f>
        <v> </v>
      </c>
      <c r="AI84" s="6" t="str">
        <f aca="false">IF(T84="DV",U84," ")</f>
        <v> </v>
      </c>
      <c r="AJ84" s="6" t="str">
        <f aca="false">IF(T84="DL",U84,"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IF(E85="BD",F85,"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IF(E85="DL",F85," ")</f>
        <v> </v>
      </c>
      <c r="O85" s="38"/>
      <c r="T85" s="37" t="str">
        <f aca="false">IF(U85&lt;&gt;0,"Enter Code"," ")</f>
        <v> </v>
      </c>
      <c r="V85" s="6" t="str">
        <f aca="false">IF(T85="BB",U85," ")</f>
        <v> </v>
      </c>
      <c r="W85" s="6" t="str">
        <f aca="false">IF(T85="BS",U85," ")</f>
        <v> </v>
      </c>
      <c r="X85" s="6" t="str">
        <f aca="false">IF(T85="BD",U85," ")</f>
        <v> </v>
      </c>
      <c r="Y85" s="6" t="str">
        <f aca="false">IF(T85="CR",U85," ")</f>
        <v> </v>
      </c>
      <c r="Z85" s="6" t="str">
        <f aca="false">IF(T85="W",U85," ")</f>
        <v> </v>
      </c>
      <c r="AA85" s="6" t="str">
        <f aca="false">IF(T85="B",U85," ")</f>
        <v> </v>
      </c>
      <c r="AB85" s="6" t="str">
        <f aca="false">IF(T85="J",U85," ")</f>
        <v> </v>
      </c>
      <c r="AC85" s="6" t="str">
        <f aca="false">IF(T85="LDR",U85," ")</f>
        <v> </v>
      </c>
      <c r="AD85" s="6" t="str">
        <f aca="false">IF(T85="LCR",U85," ")</f>
        <v> </v>
      </c>
      <c r="AE85" s="6" t="str">
        <f aca="false">IF(T85="RP",U85," ")</f>
        <v> </v>
      </c>
      <c r="AF85" s="6" t="str">
        <f aca="false">IF(T85="RV",U85," ")</f>
        <v> </v>
      </c>
      <c r="AG85" s="6" t="str">
        <f aca="false">IF(T85="RC",U85," ")</f>
        <v> </v>
      </c>
      <c r="AH85" s="6" t="str">
        <f aca="false">IF(T85="RT",U85," ")</f>
        <v> </v>
      </c>
      <c r="AI85" s="6" t="str">
        <f aca="false">IF(T85="DV",U85," ")</f>
        <v> </v>
      </c>
      <c r="AJ85" s="6" t="str">
        <f aca="false">IF(T85="DL",U85,"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IF(E86="BD",F86,"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IF(E86="DL",F86," ")</f>
        <v> </v>
      </c>
      <c r="O86" s="38"/>
      <c r="T86" s="37" t="str">
        <f aca="false">IF(U86&lt;&gt;0,"Enter Code"," ")</f>
        <v> </v>
      </c>
      <c r="V86" s="6" t="str">
        <f aca="false">IF(T86="BB",U86," ")</f>
        <v> </v>
      </c>
      <c r="W86" s="6" t="str">
        <f aca="false">IF(T86="BS",U86," ")</f>
        <v> </v>
      </c>
      <c r="X86" s="6" t="str">
        <f aca="false">IF(T86="BD",U86," ")</f>
        <v> </v>
      </c>
      <c r="Y86" s="6" t="str">
        <f aca="false">IF(T86="CR",U86," ")</f>
        <v> </v>
      </c>
      <c r="Z86" s="6" t="str">
        <f aca="false">IF(T86="W",U86," ")</f>
        <v> </v>
      </c>
      <c r="AA86" s="6" t="str">
        <f aca="false">IF(T86="B",U86," ")</f>
        <v> </v>
      </c>
      <c r="AB86" s="6" t="str">
        <f aca="false">IF(T86="J",U86," ")</f>
        <v> </v>
      </c>
      <c r="AC86" s="6" t="str">
        <f aca="false">IF(T86="LDR",U86," ")</f>
        <v> </v>
      </c>
      <c r="AD86" s="6" t="str">
        <f aca="false">IF(T86="LCR",U86," ")</f>
        <v> </v>
      </c>
      <c r="AE86" s="6" t="str">
        <f aca="false">IF(T86="RP",U86," ")</f>
        <v> </v>
      </c>
      <c r="AF86" s="6" t="str">
        <f aca="false">IF(T86="RV",U86," ")</f>
        <v> </v>
      </c>
      <c r="AG86" s="6" t="str">
        <f aca="false">IF(T86="RC",U86," ")</f>
        <v> </v>
      </c>
      <c r="AH86" s="6" t="str">
        <f aca="false">IF(T86="RT",U86," ")</f>
        <v> </v>
      </c>
      <c r="AI86" s="6" t="str">
        <f aca="false">IF(T86="DV",U86," ")</f>
        <v> </v>
      </c>
      <c r="AJ86" s="6" t="str">
        <f aca="false">IF(T86="DL",U86,"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IF(E87="BD",F87,"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IF(E87="DL",F87," ")</f>
        <v> </v>
      </c>
      <c r="O87" s="38"/>
      <c r="T87" s="37" t="str">
        <f aca="false">IF(U87&lt;&gt;0,"Enter Code"," ")</f>
        <v> </v>
      </c>
      <c r="V87" s="6" t="str">
        <f aca="false">IF(T87="BB",U87," ")</f>
        <v> </v>
      </c>
      <c r="W87" s="6" t="str">
        <f aca="false">IF(T87="BS",U87," ")</f>
        <v> </v>
      </c>
      <c r="X87" s="6" t="str">
        <f aca="false">IF(T87="BD",U87," ")</f>
        <v> </v>
      </c>
      <c r="Y87" s="6" t="str">
        <f aca="false">IF(T87="CR",U87," ")</f>
        <v> </v>
      </c>
      <c r="Z87" s="6" t="str">
        <f aca="false">IF(T87="W",U87," ")</f>
        <v> </v>
      </c>
      <c r="AA87" s="6" t="str">
        <f aca="false">IF(T87="B",U87," ")</f>
        <v> </v>
      </c>
      <c r="AB87" s="6" t="str">
        <f aca="false">IF(T87="J",U87," ")</f>
        <v> </v>
      </c>
      <c r="AC87" s="6" t="str">
        <f aca="false">IF(T87="LDR",U87," ")</f>
        <v> </v>
      </c>
      <c r="AD87" s="6" t="str">
        <f aca="false">IF(T87="LCR",U87," ")</f>
        <v> </v>
      </c>
      <c r="AE87" s="6" t="str">
        <f aca="false">IF(T87="RP",U87," ")</f>
        <v> </v>
      </c>
      <c r="AF87" s="6" t="str">
        <f aca="false">IF(T87="RV",U87," ")</f>
        <v> </v>
      </c>
      <c r="AG87" s="6" t="str">
        <f aca="false">IF(T87="RC",U87," ")</f>
        <v> </v>
      </c>
      <c r="AH87" s="6" t="str">
        <f aca="false">IF(T87="RT",U87," ")</f>
        <v> </v>
      </c>
      <c r="AI87" s="6" t="str">
        <f aca="false">IF(T87="DV",U87," ")</f>
        <v> </v>
      </c>
      <c r="AJ87" s="6" t="str">
        <f aca="false">IF(T87="DL",U87,"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IF(E88="BD",F88,"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IF(E88="DL",F88," ")</f>
        <v> </v>
      </c>
      <c r="O88" s="38"/>
      <c r="T88" s="37" t="str">
        <f aca="false">IF(U88&lt;&gt;0,"Enter Code"," ")</f>
        <v> </v>
      </c>
      <c r="V88" s="6" t="str">
        <f aca="false">IF(T88="BB",U88," ")</f>
        <v> </v>
      </c>
      <c r="W88" s="6" t="str">
        <f aca="false">IF(T88="BS",U88," ")</f>
        <v> </v>
      </c>
      <c r="X88" s="6" t="str">
        <f aca="false">IF(T88="BD",U88," ")</f>
        <v> </v>
      </c>
      <c r="Y88" s="6" t="str">
        <f aca="false">IF(T88="CR",U88," ")</f>
        <v> </v>
      </c>
      <c r="Z88" s="6" t="str">
        <f aca="false">IF(T88="W",U88," ")</f>
        <v> </v>
      </c>
      <c r="AA88" s="6" t="str">
        <f aca="false">IF(T88="B",U88," ")</f>
        <v> </v>
      </c>
      <c r="AB88" s="6" t="str">
        <f aca="false">IF(T88="J",U88," ")</f>
        <v> </v>
      </c>
      <c r="AC88" s="6" t="str">
        <f aca="false">IF(T88="LDR",U88," ")</f>
        <v> </v>
      </c>
      <c r="AD88" s="6" t="str">
        <f aca="false">IF(T88="LCR",U88," ")</f>
        <v> </v>
      </c>
      <c r="AE88" s="6" t="str">
        <f aca="false">IF(T88="RP",U88," ")</f>
        <v> </v>
      </c>
      <c r="AF88" s="6" t="str">
        <f aca="false">IF(T88="RV",U88," ")</f>
        <v> </v>
      </c>
      <c r="AG88" s="6" t="str">
        <f aca="false">IF(T88="RC",U88," ")</f>
        <v> </v>
      </c>
      <c r="AH88" s="6" t="str">
        <f aca="false">IF(T88="RT",U88," ")</f>
        <v> </v>
      </c>
      <c r="AI88" s="6" t="str">
        <f aca="false">IF(T88="DV",U88," ")</f>
        <v> </v>
      </c>
      <c r="AJ88" s="6" t="str">
        <f aca="false">IF(T88="DL",U88,"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IF(E89="BD",F89,"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IF(E89="DL",F89," ")</f>
        <v> </v>
      </c>
      <c r="O89" s="38"/>
      <c r="T89" s="37" t="str">
        <f aca="false">IF(U89&lt;&gt;0,"Enter Code"," ")</f>
        <v> </v>
      </c>
      <c r="V89" s="6" t="str">
        <f aca="false">IF(T89="BB",U89," ")</f>
        <v> </v>
      </c>
      <c r="W89" s="6" t="str">
        <f aca="false">IF(T89="BS",U89," ")</f>
        <v> </v>
      </c>
      <c r="X89" s="6" t="str">
        <f aca="false">IF(T89="BD",U89," ")</f>
        <v> </v>
      </c>
      <c r="Y89" s="6" t="str">
        <f aca="false">IF(T89="CR",U89," ")</f>
        <v> </v>
      </c>
      <c r="Z89" s="6" t="str">
        <f aca="false">IF(T89="W",U89," ")</f>
        <v> </v>
      </c>
      <c r="AA89" s="6" t="str">
        <f aca="false">IF(T89="B",U89," ")</f>
        <v> </v>
      </c>
      <c r="AB89" s="6" t="str">
        <f aca="false">IF(T89="J",U89," ")</f>
        <v> </v>
      </c>
      <c r="AC89" s="6" t="str">
        <f aca="false">IF(T89="LDR",U89," ")</f>
        <v> </v>
      </c>
      <c r="AD89" s="6" t="str">
        <f aca="false">IF(T89="LCR",U89," ")</f>
        <v> </v>
      </c>
      <c r="AE89" s="6" t="str">
        <f aca="false">IF(T89="RP",U89," ")</f>
        <v> </v>
      </c>
      <c r="AF89" s="6" t="str">
        <f aca="false">IF(T89="RV",U89," ")</f>
        <v> </v>
      </c>
      <c r="AG89" s="6" t="str">
        <f aca="false">IF(T89="RC",U89," ")</f>
        <v> </v>
      </c>
      <c r="AH89" s="6" t="str">
        <f aca="false">IF(T89="RT",U89," ")</f>
        <v> </v>
      </c>
      <c r="AI89" s="6" t="str">
        <f aca="false">IF(T89="DV",U89," ")</f>
        <v> </v>
      </c>
      <c r="AJ89" s="6" t="str">
        <f aca="false">IF(T89="DL",U89,"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IF(E90="BD",F90,"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IF(E90="DL",F90," ")</f>
        <v> </v>
      </c>
      <c r="O90" s="38"/>
      <c r="T90" s="37" t="str">
        <f aca="false">IF(U90&lt;&gt;0,"Enter Code"," ")</f>
        <v> </v>
      </c>
      <c r="V90" s="6" t="str">
        <f aca="false">IF(T90="BB",U90," ")</f>
        <v> </v>
      </c>
      <c r="W90" s="6" t="str">
        <f aca="false">IF(T90="BS",U90," ")</f>
        <v> </v>
      </c>
      <c r="X90" s="6" t="str">
        <f aca="false">IF(T90="BD",U90," ")</f>
        <v> </v>
      </c>
      <c r="Y90" s="6" t="str">
        <f aca="false">IF(T90="CR",U90," ")</f>
        <v> </v>
      </c>
      <c r="Z90" s="6" t="str">
        <f aca="false">IF(T90="W",U90," ")</f>
        <v> </v>
      </c>
      <c r="AA90" s="6" t="str">
        <f aca="false">IF(T90="B",U90," ")</f>
        <v> </v>
      </c>
      <c r="AB90" s="6" t="str">
        <f aca="false">IF(T90="J",U90," ")</f>
        <v> </v>
      </c>
      <c r="AC90" s="6" t="str">
        <f aca="false">IF(T90="LDR",U90," ")</f>
        <v> </v>
      </c>
      <c r="AD90" s="6" t="str">
        <f aca="false">IF(T90="LCR",U90," ")</f>
        <v> </v>
      </c>
      <c r="AE90" s="6" t="str">
        <f aca="false">IF(T90="RP",U90," ")</f>
        <v> </v>
      </c>
      <c r="AF90" s="6" t="str">
        <f aca="false">IF(T90="RV",U90," ")</f>
        <v> </v>
      </c>
      <c r="AG90" s="6" t="str">
        <f aca="false">IF(T90="RC",U90," ")</f>
        <v> </v>
      </c>
      <c r="AH90" s="6" t="str">
        <f aca="false">IF(T90="RT",U90," ")</f>
        <v> </v>
      </c>
      <c r="AI90" s="6" t="str">
        <f aca="false">IF(T90="DV",U90," ")</f>
        <v> </v>
      </c>
      <c r="AJ90" s="6" t="str">
        <f aca="false">IF(T90="DL",U90,"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IF(E91="BD",F91,"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IF(E91="DL",F91," ")</f>
        <v> </v>
      </c>
      <c r="O91" s="38"/>
      <c r="T91" s="37" t="str">
        <f aca="false">IF(U91&lt;&gt;0,"Enter Code"," ")</f>
        <v> </v>
      </c>
      <c r="V91" s="6" t="str">
        <f aca="false">IF(T91="BB",U91," ")</f>
        <v> </v>
      </c>
      <c r="W91" s="6" t="str">
        <f aca="false">IF(T91="BS",U91," ")</f>
        <v> </v>
      </c>
      <c r="X91" s="6" t="str">
        <f aca="false">IF(T91="BD",U91," ")</f>
        <v> </v>
      </c>
      <c r="Y91" s="6" t="str">
        <f aca="false">IF(T91="CR",U91," ")</f>
        <v> </v>
      </c>
      <c r="Z91" s="6" t="str">
        <f aca="false">IF(T91="W",U91," ")</f>
        <v> </v>
      </c>
      <c r="AA91" s="6" t="str">
        <f aca="false">IF(T91="B",U91," ")</f>
        <v> </v>
      </c>
      <c r="AB91" s="6" t="str">
        <f aca="false">IF(T91="J",U91," ")</f>
        <v> </v>
      </c>
      <c r="AC91" s="6" t="str">
        <f aca="false">IF(T91="LDR",U91," ")</f>
        <v> </v>
      </c>
      <c r="AD91" s="6" t="str">
        <f aca="false">IF(T91="LCR",U91," ")</f>
        <v> </v>
      </c>
      <c r="AE91" s="6" t="str">
        <f aca="false">IF(T91="RP",U91," ")</f>
        <v> </v>
      </c>
      <c r="AF91" s="6" t="str">
        <f aca="false">IF(T91="RV",U91," ")</f>
        <v> </v>
      </c>
      <c r="AG91" s="6" t="str">
        <f aca="false">IF(T91="RC",U91," ")</f>
        <v> </v>
      </c>
      <c r="AH91" s="6" t="str">
        <f aca="false">IF(T91="RT",U91," ")</f>
        <v> </v>
      </c>
      <c r="AI91" s="6" t="str">
        <f aca="false">IF(T91="DV",U91," ")</f>
        <v> </v>
      </c>
      <c r="AJ91" s="6" t="str">
        <f aca="false">IF(T91="DL",U91,"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IF(E92="BD",F92,"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IF(E92="DL",F92," ")</f>
        <v> </v>
      </c>
      <c r="O92" s="38"/>
      <c r="T92" s="37" t="str">
        <f aca="false">IF(U92&lt;&gt;0,"Enter Code"," ")</f>
        <v> </v>
      </c>
      <c r="V92" s="6" t="str">
        <f aca="false">IF(T92="BB",U92," ")</f>
        <v> </v>
      </c>
      <c r="W92" s="6" t="str">
        <f aca="false">IF(T92="BS",U92," ")</f>
        <v> </v>
      </c>
      <c r="X92" s="6" t="str">
        <f aca="false">IF(T92="BD",U92," ")</f>
        <v> </v>
      </c>
      <c r="Y92" s="6" t="str">
        <f aca="false">IF(T92="CR",U92," ")</f>
        <v> </v>
      </c>
      <c r="Z92" s="6" t="str">
        <f aca="false">IF(T92="W",U92," ")</f>
        <v> </v>
      </c>
      <c r="AA92" s="6" t="str">
        <f aca="false">IF(T92="B",U92," ")</f>
        <v> </v>
      </c>
      <c r="AB92" s="6" t="str">
        <f aca="false">IF(T92="J",U92," ")</f>
        <v> </v>
      </c>
      <c r="AC92" s="6" t="str">
        <f aca="false">IF(T92="LDR",U92," ")</f>
        <v> </v>
      </c>
      <c r="AD92" s="6" t="str">
        <f aca="false">IF(T92="LCR",U92," ")</f>
        <v> </v>
      </c>
      <c r="AE92" s="6" t="str">
        <f aca="false">IF(T92="RP",U92," ")</f>
        <v> </v>
      </c>
      <c r="AF92" s="6" t="str">
        <f aca="false">IF(T92="RV",U92," ")</f>
        <v> </v>
      </c>
      <c r="AG92" s="6" t="str">
        <f aca="false">IF(T92="RC",U92," ")</f>
        <v> </v>
      </c>
      <c r="AH92" s="6" t="str">
        <f aca="false">IF(T92="RT",U92," ")</f>
        <v> </v>
      </c>
      <c r="AI92" s="6" t="str">
        <f aca="false">IF(T92="DV",U92," ")</f>
        <v> </v>
      </c>
      <c r="AJ92" s="6" t="str">
        <f aca="false">IF(T92="DL",U92,"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IF(E93="BD",F93,"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IF(E93="DL",F93," ")</f>
        <v> </v>
      </c>
      <c r="O93" s="38"/>
      <c r="T93" s="37" t="str">
        <f aca="false">IF(U93&lt;&gt;0,"Enter Code"," ")</f>
        <v> </v>
      </c>
      <c r="V93" s="6" t="str">
        <f aca="false">IF(T93="BB",U93," ")</f>
        <v> </v>
      </c>
      <c r="W93" s="6" t="str">
        <f aca="false">IF(T93="BS",U93," ")</f>
        <v> </v>
      </c>
      <c r="X93" s="6" t="str">
        <f aca="false">IF(T93="BD",U93," ")</f>
        <v> </v>
      </c>
      <c r="Y93" s="6" t="str">
        <f aca="false">IF(T93="CR",U93," ")</f>
        <v> </v>
      </c>
      <c r="Z93" s="6" t="str">
        <f aca="false">IF(T93="W",U93," ")</f>
        <v> </v>
      </c>
      <c r="AA93" s="6" t="str">
        <f aca="false">IF(T93="B",U93," ")</f>
        <v> </v>
      </c>
      <c r="AB93" s="6" t="str">
        <f aca="false">IF(T93="J",U93," ")</f>
        <v> </v>
      </c>
      <c r="AC93" s="6" t="str">
        <f aca="false">IF(T93="LDR",U93," ")</f>
        <v> </v>
      </c>
      <c r="AD93" s="6" t="str">
        <f aca="false">IF(T93="LCR",U93," ")</f>
        <v> </v>
      </c>
      <c r="AE93" s="6" t="str">
        <f aca="false">IF(T93="RP",U93," ")</f>
        <v> </v>
      </c>
      <c r="AF93" s="6" t="str">
        <f aca="false">IF(T93="RV",U93," ")</f>
        <v> </v>
      </c>
      <c r="AG93" s="6" t="str">
        <f aca="false">IF(T93="RC",U93," ")</f>
        <v> </v>
      </c>
      <c r="AH93" s="6" t="str">
        <f aca="false">IF(T93="RT",U93," ")</f>
        <v> </v>
      </c>
      <c r="AI93" s="6" t="str">
        <f aca="false">IF(T93="DV",U93," ")</f>
        <v> </v>
      </c>
      <c r="AJ93" s="6" t="str">
        <f aca="false">IF(T93="DL",U93,"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IF(E94="BD",F94,"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IF(E94="DL",F94," ")</f>
        <v> </v>
      </c>
      <c r="O94" s="38"/>
      <c r="T94" s="37" t="str">
        <f aca="false">IF(U94&lt;&gt;0,"Enter Code"," ")</f>
        <v> </v>
      </c>
      <c r="V94" s="6" t="str">
        <f aca="false">IF(T94="BB",U94," ")</f>
        <v> </v>
      </c>
      <c r="W94" s="6" t="str">
        <f aca="false">IF(T94="BS",U94," ")</f>
        <v> </v>
      </c>
      <c r="X94" s="6" t="str">
        <f aca="false">IF(T94="BD",U94," ")</f>
        <v> </v>
      </c>
      <c r="Y94" s="6" t="str">
        <f aca="false">IF(T94="CR",U94," ")</f>
        <v> </v>
      </c>
      <c r="Z94" s="6" t="str">
        <f aca="false">IF(T94="W",U94," ")</f>
        <v> </v>
      </c>
      <c r="AA94" s="6" t="str">
        <f aca="false">IF(T94="B",U94," ")</f>
        <v> </v>
      </c>
      <c r="AB94" s="6" t="str">
        <f aca="false">IF(T94="J",U94," ")</f>
        <v> </v>
      </c>
      <c r="AC94" s="6" t="str">
        <f aca="false">IF(T94="LDR",U94," ")</f>
        <v> </v>
      </c>
      <c r="AD94" s="6" t="str">
        <f aca="false">IF(T94="LCR",U94," ")</f>
        <v> </v>
      </c>
      <c r="AE94" s="6" t="str">
        <f aca="false">IF(T94="RP",U94," ")</f>
        <v> </v>
      </c>
      <c r="AF94" s="6" t="str">
        <f aca="false">IF(T94="RV",U94," ")</f>
        <v> </v>
      </c>
      <c r="AG94" s="6" t="str">
        <f aca="false">IF(T94="RC",U94," ")</f>
        <v> </v>
      </c>
      <c r="AH94" s="6" t="str">
        <f aca="false">IF(T94="RT",U94," ")</f>
        <v> </v>
      </c>
      <c r="AI94" s="6" t="str">
        <f aca="false">IF(T94="DV",U94," ")</f>
        <v> </v>
      </c>
      <c r="AJ94" s="6" t="str">
        <f aca="false">IF(T94="DL",U94,"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IF(E95="BD",F95,"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IF(E95="DL",F95," ")</f>
        <v> </v>
      </c>
      <c r="O95" s="38"/>
      <c r="T95" s="37" t="str">
        <f aca="false">IF(U95&lt;&gt;0,"Enter Code"," ")</f>
        <v> </v>
      </c>
      <c r="V95" s="6" t="str">
        <f aca="false">IF(T95="BB",U95," ")</f>
        <v> </v>
      </c>
      <c r="W95" s="6" t="str">
        <f aca="false">IF(T95="BS",U95," ")</f>
        <v> </v>
      </c>
      <c r="X95" s="6" t="str">
        <f aca="false">IF(T95="BD",U95," ")</f>
        <v> </v>
      </c>
      <c r="Y95" s="6" t="str">
        <f aca="false">IF(T95="CR",U95," ")</f>
        <v> </v>
      </c>
      <c r="Z95" s="6" t="str">
        <f aca="false">IF(T95="W",U95," ")</f>
        <v> </v>
      </c>
      <c r="AA95" s="6" t="str">
        <f aca="false">IF(T95="B",U95," ")</f>
        <v> </v>
      </c>
      <c r="AB95" s="6" t="str">
        <f aca="false">IF(T95="J",U95," ")</f>
        <v> </v>
      </c>
      <c r="AC95" s="6" t="str">
        <f aca="false">IF(T95="LDR",U95," ")</f>
        <v> </v>
      </c>
      <c r="AD95" s="6" t="str">
        <f aca="false">IF(T95="LCR",U95," ")</f>
        <v> </v>
      </c>
      <c r="AE95" s="6" t="str">
        <f aca="false">IF(T95="RP",U95," ")</f>
        <v> </v>
      </c>
      <c r="AF95" s="6" t="str">
        <f aca="false">IF(T95="RV",U95," ")</f>
        <v> </v>
      </c>
      <c r="AG95" s="6" t="str">
        <f aca="false">IF(T95="RC",U95," ")</f>
        <v> </v>
      </c>
      <c r="AH95" s="6" t="str">
        <f aca="false">IF(T95="RT",U95," ")</f>
        <v> </v>
      </c>
      <c r="AI95" s="6" t="str">
        <f aca="false">IF(T95="DV",U95," ")</f>
        <v> </v>
      </c>
      <c r="AJ95" s="6" t="str">
        <f aca="false">IF(T95="DL",U95,"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IF(E96="BD",F96,"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IF(E96="DL",F96," ")</f>
        <v> </v>
      </c>
      <c r="O96" s="38"/>
      <c r="T96" s="37" t="str">
        <f aca="false">IF(U96&lt;&gt;0,"Enter Code"," ")</f>
        <v> </v>
      </c>
      <c r="V96" s="6" t="str">
        <f aca="false">IF(T96="BB",U96," ")</f>
        <v> </v>
      </c>
      <c r="W96" s="6" t="str">
        <f aca="false">IF(T96="BS",U96," ")</f>
        <v> </v>
      </c>
      <c r="X96" s="6" t="str">
        <f aca="false">IF(T96="BD",U96," ")</f>
        <v> </v>
      </c>
      <c r="Y96" s="6" t="str">
        <f aca="false">IF(T96="CR",U96," ")</f>
        <v> </v>
      </c>
      <c r="Z96" s="6" t="str">
        <f aca="false">IF(T96="W",U96," ")</f>
        <v> </v>
      </c>
      <c r="AA96" s="6" t="str">
        <f aca="false">IF(T96="B",U96," ")</f>
        <v> </v>
      </c>
      <c r="AB96" s="6" t="str">
        <f aca="false">IF(T96="J",U96," ")</f>
        <v> </v>
      </c>
      <c r="AC96" s="6" t="str">
        <f aca="false">IF(T96="LDR",U96," ")</f>
        <v> </v>
      </c>
      <c r="AD96" s="6" t="str">
        <f aca="false">IF(T96="LCR",U96," ")</f>
        <v> </v>
      </c>
      <c r="AE96" s="6" t="str">
        <f aca="false">IF(T96="RP",U96," ")</f>
        <v> </v>
      </c>
      <c r="AF96" s="6" t="str">
        <f aca="false">IF(T96="RV",U96," ")</f>
        <v> </v>
      </c>
      <c r="AG96" s="6" t="str">
        <f aca="false">IF(T96="RC",U96," ")</f>
        <v> </v>
      </c>
      <c r="AH96" s="6" t="str">
        <f aca="false">IF(T96="RT",U96," ")</f>
        <v> </v>
      </c>
      <c r="AI96" s="6" t="str">
        <f aca="false">IF(T96="DV",U96," ")</f>
        <v> </v>
      </c>
      <c r="AJ96" s="6" t="str">
        <f aca="false">IF(T96="DL",U96,"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IF(E97="BD",F97,"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IF(E97="DL",F97," ")</f>
        <v> </v>
      </c>
      <c r="O97" s="38"/>
      <c r="T97" s="37" t="str">
        <f aca="false">IF(U97&lt;&gt;0,"Enter Code"," ")</f>
        <v> </v>
      </c>
      <c r="V97" s="6" t="str">
        <f aca="false">IF(T97="BB",U97," ")</f>
        <v> </v>
      </c>
      <c r="W97" s="6" t="str">
        <f aca="false">IF(T97="BS",U97," ")</f>
        <v> </v>
      </c>
      <c r="X97" s="6" t="str">
        <f aca="false">IF(T97="BD",U97," ")</f>
        <v> </v>
      </c>
      <c r="Y97" s="6" t="str">
        <f aca="false">IF(T97="CR",U97," ")</f>
        <v> </v>
      </c>
      <c r="Z97" s="6" t="str">
        <f aca="false">IF(T97="W",U97," ")</f>
        <v> </v>
      </c>
      <c r="AA97" s="6" t="str">
        <f aca="false">IF(T97="B",U97," ")</f>
        <v> </v>
      </c>
      <c r="AB97" s="6" t="str">
        <f aca="false">IF(T97="J",U97," ")</f>
        <v> </v>
      </c>
      <c r="AC97" s="6" t="str">
        <f aca="false">IF(T97="LDR",U97," ")</f>
        <v> </v>
      </c>
      <c r="AD97" s="6" t="str">
        <f aca="false">IF(T97="LCR",U97," ")</f>
        <v> </v>
      </c>
      <c r="AE97" s="6" t="str">
        <f aca="false">IF(T97="RP",U97," ")</f>
        <v> </v>
      </c>
      <c r="AF97" s="6" t="str">
        <f aca="false">IF(T97="RV",U97," ")</f>
        <v> </v>
      </c>
      <c r="AG97" s="6" t="str">
        <f aca="false">IF(T97="RC",U97," ")</f>
        <v> </v>
      </c>
      <c r="AH97" s="6" t="str">
        <f aca="false">IF(T97="RT",U97," ")</f>
        <v> </v>
      </c>
      <c r="AI97" s="6" t="str">
        <f aca="false">IF(T97="DV",U97," ")</f>
        <v> </v>
      </c>
      <c r="AJ97" s="6" t="str">
        <f aca="false">IF(T97="DL",U97,"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IF(E98="BD",F98,"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IF(E98="DL",F98," ")</f>
        <v> </v>
      </c>
      <c r="O98" s="38"/>
      <c r="T98" s="37" t="str">
        <f aca="false">IF(U98&lt;&gt;0,"Enter Code"," ")</f>
        <v> </v>
      </c>
      <c r="V98" s="6" t="str">
        <f aca="false">IF(T98="BB",U98," ")</f>
        <v> </v>
      </c>
      <c r="W98" s="6" t="str">
        <f aca="false">IF(T98="BS",U98," ")</f>
        <v> </v>
      </c>
      <c r="X98" s="6" t="str">
        <f aca="false">IF(T98="BD",U98," ")</f>
        <v> </v>
      </c>
      <c r="Y98" s="6" t="str">
        <f aca="false">IF(T98="CR",U98," ")</f>
        <v> </v>
      </c>
      <c r="Z98" s="6" t="str">
        <f aca="false">IF(T98="W",U98," ")</f>
        <v> </v>
      </c>
      <c r="AA98" s="6" t="str">
        <f aca="false">IF(T98="B",U98," ")</f>
        <v> </v>
      </c>
      <c r="AB98" s="6" t="str">
        <f aca="false">IF(T98="J",U98," ")</f>
        <v> </v>
      </c>
      <c r="AC98" s="6" t="str">
        <f aca="false">IF(T98="LDR",U98," ")</f>
        <v> </v>
      </c>
      <c r="AD98" s="6" t="str">
        <f aca="false">IF(T98="LCR",U98," ")</f>
        <v> </v>
      </c>
      <c r="AE98" s="6" t="str">
        <f aca="false">IF(T98="RP",U98," ")</f>
        <v> </v>
      </c>
      <c r="AF98" s="6" t="str">
        <f aca="false">IF(T98="RV",U98," ")</f>
        <v> </v>
      </c>
      <c r="AG98" s="6" t="str">
        <f aca="false">IF(T98="RC",U98," ")</f>
        <v> </v>
      </c>
      <c r="AH98" s="6" t="str">
        <f aca="false">IF(T98="RT",U98," ")</f>
        <v> </v>
      </c>
      <c r="AI98" s="6" t="str">
        <f aca="false">IF(T98="DV",U98," ")</f>
        <v> </v>
      </c>
      <c r="AJ98" s="6" t="str">
        <f aca="false">IF(T98="DL",U98,"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IF(E99="BD",F99,"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IF(E99="DL",F99," ")</f>
        <v> </v>
      </c>
      <c r="O99" s="38"/>
      <c r="T99" s="37" t="str">
        <f aca="false">IF(U99&lt;&gt;0,"Enter Code"," ")</f>
        <v> </v>
      </c>
      <c r="V99" s="6" t="str">
        <f aca="false">IF(T99="BB",U99," ")</f>
        <v> </v>
      </c>
      <c r="W99" s="6" t="str">
        <f aca="false">IF(T99="BS",U99," ")</f>
        <v> </v>
      </c>
      <c r="X99" s="6" t="str">
        <f aca="false">IF(T99="BD",U99," ")</f>
        <v> </v>
      </c>
      <c r="Y99" s="6" t="str">
        <f aca="false">IF(T99="CR",U99," ")</f>
        <v> </v>
      </c>
      <c r="Z99" s="6" t="str">
        <f aca="false">IF(T99="W",U99," ")</f>
        <v> </v>
      </c>
      <c r="AA99" s="6" t="str">
        <f aca="false">IF(T99="B",U99," ")</f>
        <v> </v>
      </c>
      <c r="AB99" s="6" t="str">
        <f aca="false">IF(T99="J",U99," ")</f>
        <v> </v>
      </c>
      <c r="AC99" s="6" t="str">
        <f aca="false">IF(T99="LDR",U99," ")</f>
        <v> </v>
      </c>
      <c r="AD99" s="6" t="str">
        <f aca="false">IF(T99="LCR",U99," ")</f>
        <v> </v>
      </c>
      <c r="AE99" s="6" t="str">
        <f aca="false">IF(T99="RP",U99," ")</f>
        <v> </v>
      </c>
      <c r="AF99" s="6" t="str">
        <f aca="false">IF(T99="RV",U99," ")</f>
        <v> </v>
      </c>
      <c r="AG99" s="6" t="str">
        <f aca="false">IF(T99="RC",U99," ")</f>
        <v> </v>
      </c>
      <c r="AH99" s="6" t="str">
        <f aca="false">IF(T99="RT",U99," ")</f>
        <v> </v>
      </c>
      <c r="AI99" s="6" t="str">
        <f aca="false">IF(T99="DV",U99," ")</f>
        <v> </v>
      </c>
      <c r="AJ99" s="6" t="str">
        <f aca="false">IF(T99="DL",U99,"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IF(E100="BD",F100,"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IF(E100="DL",F100," ")</f>
        <v> </v>
      </c>
      <c r="O100" s="38"/>
      <c r="T100" s="37" t="str">
        <f aca="false">IF(U100&lt;&gt;0,"Enter Code"," ")</f>
        <v> </v>
      </c>
      <c r="V100" s="6" t="str">
        <f aca="false">IF(T100="BB",U100," ")</f>
        <v> </v>
      </c>
      <c r="W100" s="6" t="str">
        <f aca="false">IF(T100="BS",U100," ")</f>
        <v> </v>
      </c>
      <c r="X100" s="6" t="str">
        <f aca="false">IF(T100="BD",U100," ")</f>
        <v> </v>
      </c>
      <c r="Y100" s="6" t="str">
        <f aca="false">IF(T100="CR",U100," ")</f>
        <v> </v>
      </c>
      <c r="Z100" s="6" t="str">
        <f aca="false">IF(T100="W",U100," ")</f>
        <v> </v>
      </c>
      <c r="AA100" s="6" t="str">
        <f aca="false">IF(T100="B",U100," ")</f>
        <v> </v>
      </c>
      <c r="AB100" s="6" t="str">
        <f aca="false">IF(T100="J",U100," ")</f>
        <v> </v>
      </c>
      <c r="AC100" s="6" t="str">
        <f aca="false">IF(T100="LDR",U100," ")</f>
        <v> </v>
      </c>
      <c r="AD100" s="6" t="str">
        <f aca="false">IF(T100="LCR",U100," ")</f>
        <v> </v>
      </c>
      <c r="AE100" s="6" t="str">
        <f aca="false">IF(T100="RP",U100," ")</f>
        <v> </v>
      </c>
      <c r="AF100" s="6" t="str">
        <f aca="false">IF(T100="RV",U100," ")</f>
        <v> </v>
      </c>
      <c r="AG100" s="6" t="str">
        <f aca="false">IF(T100="RC",U100," ")</f>
        <v> </v>
      </c>
      <c r="AH100" s="6" t="str">
        <f aca="false">IF(T100="RT",U100," ")</f>
        <v> </v>
      </c>
      <c r="AI100" s="6" t="str">
        <f aca="false">IF(T100="DV",U100," ")</f>
        <v> </v>
      </c>
      <c r="AJ100" s="6" t="str">
        <f aca="false">IF(T100="DL",U100,"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IF(E101="BD",F101,"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IF(E101="DL",F101," ")</f>
        <v> </v>
      </c>
      <c r="O101" s="38"/>
      <c r="T101" s="37" t="str">
        <f aca="false">IF(U101&lt;&gt;0,"Enter Code"," ")</f>
        <v> </v>
      </c>
      <c r="V101" s="6" t="str">
        <f aca="false">IF(T101="BB",U101," ")</f>
        <v> </v>
      </c>
      <c r="W101" s="6" t="str">
        <f aca="false">IF(T101="BS",U101," ")</f>
        <v> </v>
      </c>
      <c r="X101" s="6" t="str">
        <f aca="false">IF(T101="BD",U101," ")</f>
        <v> </v>
      </c>
      <c r="Y101" s="6" t="str">
        <f aca="false">IF(T101="CR",U101," ")</f>
        <v> </v>
      </c>
      <c r="Z101" s="6" t="str">
        <f aca="false">IF(T101="W",U101," ")</f>
        <v> </v>
      </c>
      <c r="AA101" s="6" t="str">
        <f aca="false">IF(T101="B",U101," ")</f>
        <v> </v>
      </c>
      <c r="AB101" s="6" t="str">
        <f aca="false">IF(T101="J",U101," ")</f>
        <v> </v>
      </c>
      <c r="AC101" s="6" t="str">
        <f aca="false">IF(T101="LDR",U101," ")</f>
        <v> </v>
      </c>
      <c r="AD101" s="6" t="str">
        <f aca="false">IF(T101="LCR",U101," ")</f>
        <v> </v>
      </c>
      <c r="AE101" s="6" t="str">
        <f aca="false">IF(T101="RP",U101," ")</f>
        <v> </v>
      </c>
      <c r="AF101" s="6" t="str">
        <f aca="false">IF(T101="RV",U101," ")</f>
        <v> </v>
      </c>
      <c r="AG101" s="6" t="str">
        <f aca="false">IF(T101="RC",U101," ")</f>
        <v> </v>
      </c>
      <c r="AH101" s="6" t="str">
        <f aca="false">IF(T101="RT",U101," ")</f>
        <v> </v>
      </c>
      <c r="AI101" s="6" t="str">
        <f aca="false">IF(T101="DV",U101," ")</f>
        <v> </v>
      </c>
      <c r="AJ101" s="6" t="str">
        <f aca="false">IF(T101="DL",U101,"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IF(E102="BD",F102,"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IF(E102="DL",F102," ")</f>
        <v> </v>
      </c>
      <c r="O102" s="38"/>
      <c r="T102" s="37" t="str">
        <f aca="false">IF(U102&lt;&gt;0,"Enter Code"," ")</f>
        <v> </v>
      </c>
      <c r="V102" s="6" t="str">
        <f aca="false">IF(T102="BB",U102," ")</f>
        <v> </v>
      </c>
      <c r="W102" s="6" t="str">
        <f aca="false">IF(T102="BS",U102," ")</f>
        <v> </v>
      </c>
      <c r="X102" s="6" t="str">
        <f aca="false">IF(T102="BD",U102," ")</f>
        <v> </v>
      </c>
      <c r="Y102" s="6" t="str">
        <f aca="false">IF(T102="CR",U102," ")</f>
        <v> </v>
      </c>
      <c r="Z102" s="6" t="str">
        <f aca="false">IF(T102="W",U102," ")</f>
        <v> </v>
      </c>
      <c r="AA102" s="6" t="str">
        <f aca="false">IF(T102="B",U102," ")</f>
        <v> </v>
      </c>
      <c r="AB102" s="6" t="str">
        <f aca="false">IF(T102="J",U102," ")</f>
        <v> </v>
      </c>
      <c r="AC102" s="6" t="str">
        <f aca="false">IF(T102="LDR",U102," ")</f>
        <v> </v>
      </c>
      <c r="AD102" s="6" t="str">
        <f aca="false">IF(T102="LCR",U102," ")</f>
        <v> </v>
      </c>
      <c r="AE102" s="6" t="str">
        <f aca="false">IF(T102="RP",U102," ")</f>
        <v> </v>
      </c>
      <c r="AF102" s="6" t="str">
        <f aca="false">IF(T102="RV",U102," ")</f>
        <v> </v>
      </c>
      <c r="AG102" s="6" t="str">
        <f aca="false">IF(T102="RC",U102," ")</f>
        <v> </v>
      </c>
      <c r="AH102" s="6" t="str">
        <f aca="false">IF(T102="RT",U102," ")</f>
        <v> </v>
      </c>
      <c r="AI102" s="6" t="str">
        <f aca="false">IF(T102="DV",U102," ")</f>
        <v> </v>
      </c>
      <c r="AJ102" s="6" t="str">
        <f aca="false">IF(T102="DL",U102,"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IF(E103="BD",F103,"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IF(E103="DL",F103," ")</f>
        <v> </v>
      </c>
      <c r="O103" s="38"/>
      <c r="T103" s="37" t="str">
        <f aca="false">IF(U103&lt;&gt;0,"Enter Code"," ")</f>
        <v> </v>
      </c>
      <c r="V103" s="6" t="str">
        <f aca="false">IF(T103="BB",U103," ")</f>
        <v> </v>
      </c>
      <c r="W103" s="6" t="str">
        <f aca="false">IF(T103="BS",U103," ")</f>
        <v> </v>
      </c>
      <c r="X103" s="6" t="str">
        <f aca="false">IF(T103="BD",U103," ")</f>
        <v> </v>
      </c>
      <c r="Y103" s="6" t="str">
        <f aca="false">IF(T103="CR",U103," ")</f>
        <v> </v>
      </c>
      <c r="Z103" s="6" t="str">
        <f aca="false">IF(T103="W",U103," ")</f>
        <v> </v>
      </c>
      <c r="AA103" s="6" t="str">
        <f aca="false">IF(T103="B",U103," ")</f>
        <v> </v>
      </c>
      <c r="AB103" s="6" t="str">
        <f aca="false">IF(T103="J",U103," ")</f>
        <v> </v>
      </c>
      <c r="AC103" s="6" t="str">
        <f aca="false">IF(T103="LDR",U103," ")</f>
        <v> </v>
      </c>
      <c r="AD103" s="6" t="str">
        <f aca="false">IF(T103="LCR",U103," ")</f>
        <v> </v>
      </c>
      <c r="AE103" s="6" t="str">
        <f aca="false">IF(T103="RP",U103," ")</f>
        <v> </v>
      </c>
      <c r="AF103" s="6" t="str">
        <f aca="false">IF(T103="RV",U103," ")</f>
        <v> </v>
      </c>
      <c r="AG103" s="6" t="str">
        <f aca="false">IF(T103="RC",U103," ")</f>
        <v> </v>
      </c>
      <c r="AH103" s="6" t="str">
        <f aca="false">IF(T103="RT",U103," ")</f>
        <v> </v>
      </c>
      <c r="AI103" s="6" t="str">
        <f aca="false">IF(T103="DV",U103," ")</f>
        <v> </v>
      </c>
      <c r="AJ103" s="6" t="str">
        <f aca="false">IF(T103="DL",U103,"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IF(E104="BD",F104,"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IF(E104="DL",F104," ")</f>
        <v> </v>
      </c>
      <c r="O104" s="38"/>
      <c r="T104" s="37" t="str">
        <f aca="false">IF(U104&lt;&gt;0,"Enter Code"," ")</f>
        <v> </v>
      </c>
      <c r="V104" s="6" t="str">
        <f aca="false">IF(T104="BB",U104," ")</f>
        <v> </v>
      </c>
      <c r="W104" s="6" t="str">
        <f aca="false">IF(T104="BS",U104," ")</f>
        <v> </v>
      </c>
      <c r="X104" s="6" t="str">
        <f aca="false">IF(T104="BD",U104," ")</f>
        <v> </v>
      </c>
      <c r="Y104" s="6" t="str">
        <f aca="false">IF(T104="CR",U104," ")</f>
        <v> </v>
      </c>
      <c r="Z104" s="6" t="str">
        <f aca="false">IF(T104="W",U104," ")</f>
        <v> </v>
      </c>
      <c r="AA104" s="6" t="str">
        <f aca="false">IF(T104="B",U104," ")</f>
        <v> </v>
      </c>
      <c r="AB104" s="6" t="str">
        <f aca="false">IF(T104="J",U104," ")</f>
        <v> </v>
      </c>
      <c r="AC104" s="6" t="str">
        <f aca="false">IF(T104="LDR",U104," ")</f>
        <v> </v>
      </c>
      <c r="AD104" s="6" t="str">
        <f aca="false">IF(T104="LCR",U104," ")</f>
        <v> </v>
      </c>
      <c r="AE104" s="6" t="str">
        <f aca="false">IF(T104="RP",U104," ")</f>
        <v> </v>
      </c>
      <c r="AF104" s="6" t="str">
        <f aca="false">IF(T104="RV",U104," ")</f>
        <v> </v>
      </c>
      <c r="AG104" s="6" t="str">
        <f aca="false">IF(T104="RC",U104," ")</f>
        <v> </v>
      </c>
      <c r="AH104" s="6" t="str">
        <f aca="false">IF(T104="RT",U104," ")</f>
        <v> </v>
      </c>
      <c r="AI104" s="6" t="str">
        <f aca="false">IF(T104="DV",U104," ")</f>
        <v> </v>
      </c>
      <c r="AJ104" s="6" t="str">
        <f aca="false">IF(T104="DL",U104,"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IF(E105="BD",F105,"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IF(E105="DL",F105," ")</f>
        <v> </v>
      </c>
      <c r="O105" s="38"/>
      <c r="T105" s="37" t="str">
        <f aca="false">IF(U105&lt;&gt;0,"Enter Code"," ")</f>
        <v> </v>
      </c>
      <c r="V105" s="6" t="str">
        <f aca="false">IF(T105="BB",U105," ")</f>
        <v> </v>
      </c>
      <c r="W105" s="6" t="str">
        <f aca="false">IF(T105="BS",U105," ")</f>
        <v> </v>
      </c>
      <c r="X105" s="6" t="str">
        <f aca="false">IF(T105="BD",U105," ")</f>
        <v> </v>
      </c>
      <c r="Y105" s="6" t="str">
        <f aca="false">IF(T105="CR",U105," ")</f>
        <v> </v>
      </c>
      <c r="Z105" s="6" t="str">
        <f aca="false">IF(T105="W",U105," ")</f>
        <v> </v>
      </c>
      <c r="AA105" s="6" t="str">
        <f aca="false">IF(T105="B",U105," ")</f>
        <v> </v>
      </c>
      <c r="AB105" s="6" t="str">
        <f aca="false">IF(T105="J",U105," ")</f>
        <v> </v>
      </c>
      <c r="AC105" s="6" t="str">
        <f aca="false">IF(T105="LDR",U105," ")</f>
        <v> </v>
      </c>
      <c r="AD105" s="6" t="str">
        <f aca="false">IF(T105="LCR",U105," ")</f>
        <v> </v>
      </c>
      <c r="AE105" s="6" t="str">
        <f aca="false">IF(T105="RP",U105," ")</f>
        <v> </v>
      </c>
      <c r="AF105" s="6" t="str">
        <f aca="false">IF(T105="RV",U105," ")</f>
        <v> </v>
      </c>
      <c r="AG105" s="6" t="str">
        <f aca="false">IF(T105="RC",U105," ")</f>
        <v> </v>
      </c>
      <c r="AH105" s="6" t="str">
        <f aca="false">IF(T105="RT",U105," ")</f>
        <v> </v>
      </c>
      <c r="AI105" s="6" t="str">
        <f aca="false">IF(T105="DV",U105," ")</f>
        <v> </v>
      </c>
      <c r="AJ105" s="6" t="str">
        <f aca="false">IF(T105="DL",U105,"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IF(E106="BD",F106,"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IF(E106="DL",F106," ")</f>
        <v> </v>
      </c>
      <c r="O106" s="38"/>
      <c r="T106" s="37" t="str">
        <f aca="false">IF(U106&lt;&gt;0,"Enter Code"," ")</f>
        <v> </v>
      </c>
      <c r="V106" s="6" t="str">
        <f aca="false">IF(T106="BB",U106," ")</f>
        <v> </v>
      </c>
      <c r="W106" s="6" t="str">
        <f aca="false">IF(T106="BS",U106," ")</f>
        <v> </v>
      </c>
      <c r="X106" s="6" t="str">
        <f aca="false">IF(T106="BD",U106," ")</f>
        <v> </v>
      </c>
      <c r="Y106" s="6" t="str">
        <f aca="false">IF(T106="CR",U106," ")</f>
        <v> </v>
      </c>
      <c r="Z106" s="6" t="str">
        <f aca="false">IF(T106="W",U106," ")</f>
        <v> </v>
      </c>
      <c r="AA106" s="6" t="str">
        <f aca="false">IF(T106="B",U106," ")</f>
        <v> </v>
      </c>
      <c r="AB106" s="6" t="str">
        <f aca="false">IF(T106="J",U106," ")</f>
        <v> </v>
      </c>
      <c r="AC106" s="6" t="str">
        <f aca="false">IF(T106="LDR",U106," ")</f>
        <v> </v>
      </c>
      <c r="AD106" s="6" t="str">
        <f aca="false">IF(T106="LCR",U106," ")</f>
        <v> </v>
      </c>
      <c r="AE106" s="6" t="str">
        <f aca="false">IF(T106="RP",U106," ")</f>
        <v> </v>
      </c>
      <c r="AF106" s="6" t="str">
        <f aca="false">IF(T106="RV",U106," ")</f>
        <v> </v>
      </c>
      <c r="AG106" s="6" t="str">
        <f aca="false">IF(T106="RC",U106," ")</f>
        <v> </v>
      </c>
      <c r="AH106" s="6" t="str">
        <f aca="false">IF(T106="RT",U106," ")</f>
        <v> </v>
      </c>
      <c r="AI106" s="6" t="str">
        <f aca="false">IF(T106="DV",U106," ")</f>
        <v> </v>
      </c>
      <c r="AJ106" s="6" t="str">
        <f aca="false">IF(T106="DL",U106,"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IF(E107="BD",F107,"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IF(E107="DL",F107," ")</f>
        <v> </v>
      </c>
      <c r="O107" s="38"/>
      <c r="T107" s="37" t="str">
        <f aca="false">IF(U107&lt;&gt;0,"Enter Code"," ")</f>
        <v> </v>
      </c>
      <c r="V107" s="6" t="str">
        <f aca="false">IF(T107="BB",U107," ")</f>
        <v> </v>
      </c>
      <c r="W107" s="6" t="str">
        <f aca="false">IF(T107="BS",U107," ")</f>
        <v> </v>
      </c>
      <c r="X107" s="6" t="str">
        <f aca="false">IF(T107="BD",U107," ")</f>
        <v> </v>
      </c>
      <c r="Y107" s="6" t="str">
        <f aca="false">IF(T107="CR",U107," ")</f>
        <v> </v>
      </c>
      <c r="Z107" s="6" t="str">
        <f aca="false">IF(T107="W",U107," ")</f>
        <v> </v>
      </c>
      <c r="AA107" s="6" t="str">
        <f aca="false">IF(T107="B",U107," ")</f>
        <v> </v>
      </c>
      <c r="AB107" s="6" t="str">
        <f aca="false">IF(T107="J",U107," ")</f>
        <v> </v>
      </c>
      <c r="AC107" s="6" t="str">
        <f aca="false">IF(T107="LDR",U107," ")</f>
        <v> </v>
      </c>
      <c r="AD107" s="6" t="str">
        <f aca="false">IF(T107="LCR",U107," ")</f>
        <v> </v>
      </c>
      <c r="AE107" s="6" t="str">
        <f aca="false">IF(T107="RP",U107," ")</f>
        <v> </v>
      </c>
      <c r="AF107" s="6" t="str">
        <f aca="false">IF(T107="RV",U107," ")</f>
        <v> </v>
      </c>
      <c r="AG107" s="6" t="str">
        <f aca="false">IF(T107="RC",U107," ")</f>
        <v> </v>
      </c>
      <c r="AH107" s="6" t="str">
        <f aca="false">IF(T107="RT",U107," ")</f>
        <v> </v>
      </c>
      <c r="AI107" s="6" t="str">
        <f aca="false">IF(T107="DV",U107," ")</f>
        <v> </v>
      </c>
      <c r="AJ107" s="6" t="str">
        <f aca="false">IF(T107="DL",U107,"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IF(E108="BD",F108,"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IF(E108="DL",F108," ")</f>
        <v> </v>
      </c>
      <c r="O108" s="38"/>
      <c r="T108" s="37" t="str">
        <f aca="false">IF(U108&lt;&gt;0,"Enter Code"," ")</f>
        <v> </v>
      </c>
      <c r="V108" s="6" t="str">
        <f aca="false">IF(T108="BB",U108," ")</f>
        <v> </v>
      </c>
      <c r="W108" s="6" t="str">
        <f aca="false">IF(T108="BS",U108," ")</f>
        <v> </v>
      </c>
      <c r="X108" s="6" t="str">
        <f aca="false">IF(T108="BD",U108," ")</f>
        <v> </v>
      </c>
      <c r="Y108" s="6" t="str">
        <f aca="false">IF(T108="CR",U108," ")</f>
        <v> </v>
      </c>
      <c r="Z108" s="6" t="str">
        <f aca="false">IF(T108="W",U108," ")</f>
        <v> </v>
      </c>
      <c r="AA108" s="6" t="str">
        <f aca="false">IF(T108="B",U108," ")</f>
        <v> </v>
      </c>
      <c r="AB108" s="6" t="str">
        <f aca="false">IF(T108="J",U108," ")</f>
        <v> </v>
      </c>
      <c r="AC108" s="6" t="str">
        <f aca="false">IF(T108="LDR",U108," ")</f>
        <v> </v>
      </c>
      <c r="AD108" s="6" t="str">
        <f aca="false">IF(T108="LCR",U108," ")</f>
        <v> </v>
      </c>
      <c r="AE108" s="6" t="str">
        <f aca="false">IF(T108="RP",U108," ")</f>
        <v> </v>
      </c>
      <c r="AF108" s="6" t="str">
        <f aca="false">IF(T108="RV",U108," ")</f>
        <v> </v>
      </c>
      <c r="AG108" s="6" t="str">
        <f aca="false">IF(T108="RC",U108," ")</f>
        <v> </v>
      </c>
      <c r="AH108" s="6" t="str">
        <f aca="false">IF(T108="RT",U108," ")</f>
        <v> </v>
      </c>
      <c r="AI108" s="6" t="str">
        <f aca="false">IF(T108="DV",U108," ")</f>
        <v> </v>
      </c>
      <c r="AJ108" s="6" t="str">
        <f aca="false">IF(T108="DL",U108,"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IF(E109="BD",F109,"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IF(E109="DL",F109," ")</f>
        <v> </v>
      </c>
      <c r="O109" s="38"/>
      <c r="T109" s="37" t="str">
        <f aca="false">IF(U109&lt;&gt;0,"Enter Code"," ")</f>
        <v> </v>
      </c>
      <c r="V109" s="6" t="str">
        <f aca="false">IF(T109="BB",U109," ")</f>
        <v> </v>
      </c>
      <c r="W109" s="6" t="str">
        <f aca="false">IF(T109="BS",U109," ")</f>
        <v> </v>
      </c>
      <c r="X109" s="6" t="str">
        <f aca="false">IF(T109="BD",U109," ")</f>
        <v> </v>
      </c>
      <c r="Y109" s="6" t="str">
        <f aca="false">IF(T109="CR",U109," ")</f>
        <v> </v>
      </c>
      <c r="Z109" s="6" t="str">
        <f aca="false">IF(T109="W",U109," ")</f>
        <v> </v>
      </c>
      <c r="AA109" s="6" t="str">
        <f aca="false">IF(T109="B",U109," ")</f>
        <v> </v>
      </c>
      <c r="AB109" s="6" t="str">
        <f aca="false">IF(T109="J",U109," ")</f>
        <v> </v>
      </c>
      <c r="AC109" s="6" t="str">
        <f aca="false">IF(T109="LDR",U109," ")</f>
        <v> </v>
      </c>
      <c r="AD109" s="6" t="str">
        <f aca="false">IF(T109="LCR",U109," ")</f>
        <v> </v>
      </c>
      <c r="AE109" s="6" t="str">
        <f aca="false">IF(T109="RP",U109," ")</f>
        <v> </v>
      </c>
      <c r="AF109" s="6" t="str">
        <f aca="false">IF(T109="RV",U109," ")</f>
        <v> </v>
      </c>
      <c r="AG109" s="6" t="str">
        <f aca="false">IF(T109="RC",U109," ")</f>
        <v> </v>
      </c>
      <c r="AH109" s="6" t="str">
        <f aca="false">IF(T109="RT",U109," ")</f>
        <v> </v>
      </c>
      <c r="AI109" s="6" t="str">
        <f aca="false">IF(T109="DV",U109," ")</f>
        <v> </v>
      </c>
      <c r="AJ109" s="6" t="str">
        <f aca="false">IF(T109="DL",U109,"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IF(E110="BD",F110,"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IF(E110="DL",F110," ")</f>
        <v> </v>
      </c>
      <c r="O110" s="38"/>
      <c r="T110" s="37" t="str">
        <f aca="false">IF(U110&lt;&gt;0,"Enter Code"," ")</f>
        <v> </v>
      </c>
      <c r="V110" s="6" t="str">
        <f aca="false">IF(T110="BB",U110," ")</f>
        <v> </v>
      </c>
      <c r="W110" s="6" t="str">
        <f aca="false">IF(T110="BS",U110," ")</f>
        <v> </v>
      </c>
      <c r="X110" s="6" t="str">
        <f aca="false">IF(T110="BD",U110," ")</f>
        <v> </v>
      </c>
      <c r="Y110" s="6" t="str">
        <f aca="false">IF(T110="CR",U110," ")</f>
        <v> </v>
      </c>
      <c r="Z110" s="6" t="str">
        <f aca="false">IF(T110="W",U110," ")</f>
        <v> </v>
      </c>
      <c r="AA110" s="6" t="str">
        <f aca="false">IF(T110="B",U110," ")</f>
        <v> </v>
      </c>
      <c r="AB110" s="6" t="str">
        <f aca="false">IF(T110="J",U110," ")</f>
        <v> </v>
      </c>
      <c r="AC110" s="6" t="str">
        <f aca="false">IF(T110="LDR",U110," ")</f>
        <v> </v>
      </c>
      <c r="AD110" s="6" t="str">
        <f aca="false">IF(T110="LCR",U110," ")</f>
        <v> </v>
      </c>
      <c r="AE110" s="6" t="str">
        <f aca="false">IF(T110="RP",U110," ")</f>
        <v> </v>
      </c>
      <c r="AF110" s="6" t="str">
        <f aca="false">IF(T110="RV",U110," ")</f>
        <v> </v>
      </c>
      <c r="AG110" s="6" t="str">
        <f aca="false">IF(T110="RC",U110," ")</f>
        <v> </v>
      </c>
      <c r="AH110" s="6" t="str">
        <f aca="false">IF(T110="RT",U110," ")</f>
        <v> </v>
      </c>
      <c r="AI110" s="6" t="str">
        <f aca="false">IF(T110="DV",U110," ")</f>
        <v> </v>
      </c>
      <c r="AJ110" s="6" t="str">
        <f aca="false">IF(T110="DL",U110,"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IF(E111="BD",F111,"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IF(E111="DL",F111," ")</f>
        <v> </v>
      </c>
      <c r="O111" s="38"/>
      <c r="T111" s="37" t="str">
        <f aca="false">IF(U111&lt;&gt;0,"Enter Code"," ")</f>
        <v> </v>
      </c>
      <c r="V111" s="6" t="str">
        <f aca="false">IF(T111="BB",U111," ")</f>
        <v> </v>
      </c>
      <c r="W111" s="6" t="str">
        <f aca="false">IF(T111="BS",U111," ")</f>
        <v> </v>
      </c>
      <c r="X111" s="6" t="str">
        <f aca="false">IF(T111="BD",U111," ")</f>
        <v> </v>
      </c>
      <c r="Y111" s="6" t="str">
        <f aca="false">IF(T111="CR",U111," ")</f>
        <v> </v>
      </c>
      <c r="Z111" s="6" t="str">
        <f aca="false">IF(T111="W",U111," ")</f>
        <v> </v>
      </c>
      <c r="AA111" s="6" t="str">
        <f aca="false">IF(T111="B",U111," ")</f>
        <v> </v>
      </c>
      <c r="AB111" s="6" t="str">
        <f aca="false">IF(T111="J",U111," ")</f>
        <v> </v>
      </c>
      <c r="AC111" s="6" t="str">
        <f aca="false">IF(T111="LDR",U111," ")</f>
        <v> </v>
      </c>
      <c r="AD111" s="6" t="str">
        <f aca="false">IF(T111="LCR",U111," ")</f>
        <v> </v>
      </c>
      <c r="AE111" s="6" t="str">
        <f aca="false">IF(T111="RP",U111," ")</f>
        <v> </v>
      </c>
      <c r="AF111" s="6" t="str">
        <f aca="false">IF(T111="RV",U111," ")</f>
        <v> </v>
      </c>
      <c r="AG111" s="6" t="str">
        <f aca="false">IF(T111="RC",U111," ")</f>
        <v> </v>
      </c>
      <c r="AH111" s="6" t="str">
        <f aca="false">IF(T111="RT",U111," ")</f>
        <v> </v>
      </c>
      <c r="AI111" s="6" t="str">
        <f aca="false">IF(T111="DV",U111," ")</f>
        <v> </v>
      </c>
      <c r="AJ111" s="6" t="str">
        <f aca="false">IF(T111="DL",U111,"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IF(E112="BD",F112,"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IF(E112="DL",F112," ")</f>
        <v> </v>
      </c>
      <c r="O112" s="38"/>
      <c r="T112" s="37" t="str">
        <f aca="false">IF(U112&lt;&gt;0,"Enter Code"," ")</f>
        <v> </v>
      </c>
      <c r="V112" s="6" t="str">
        <f aca="false">IF(T112="BB",U112," ")</f>
        <v> </v>
      </c>
      <c r="W112" s="6" t="str">
        <f aca="false">IF(T112="BS",U112," ")</f>
        <v> </v>
      </c>
      <c r="X112" s="6" t="str">
        <f aca="false">IF(T112="BD",U112," ")</f>
        <v> </v>
      </c>
      <c r="Y112" s="6" t="str">
        <f aca="false">IF(T112="CR",U112," ")</f>
        <v> </v>
      </c>
      <c r="Z112" s="6" t="str">
        <f aca="false">IF(T112="W",U112," ")</f>
        <v> </v>
      </c>
      <c r="AA112" s="6" t="str">
        <f aca="false">IF(T112="B",U112," ")</f>
        <v> </v>
      </c>
      <c r="AB112" s="6" t="str">
        <f aca="false">IF(T112="J",U112," ")</f>
        <v> </v>
      </c>
      <c r="AC112" s="6" t="str">
        <f aca="false">IF(T112="LDR",U112," ")</f>
        <v> </v>
      </c>
      <c r="AD112" s="6" t="str">
        <f aca="false">IF(T112="LCR",U112," ")</f>
        <v> </v>
      </c>
      <c r="AE112" s="6" t="str">
        <f aca="false">IF(T112="RP",U112," ")</f>
        <v> </v>
      </c>
      <c r="AF112" s="6" t="str">
        <f aca="false">IF(T112="RV",U112," ")</f>
        <v> </v>
      </c>
      <c r="AG112" s="6" t="str">
        <f aca="false">IF(T112="RC",U112," ")</f>
        <v> </v>
      </c>
      <c r="AH112" s="6" t="str">
        <f aca="false">IF(T112="RT",U112," ")</f>
        <v> </v>
      </c>
      <c r="AI112" s="6" t="str">
        <f aca="false">IF(T112="DV",U112," ")</f>
        <v> </v>
      </c>
      <c r="AJ112" s="6" t="str">
        <f aca="false">IF(T112="DL",U112,"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IF(E113="BD",F113,"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IF(E113="DL",F113," ")</f>
        <v> </v>
      </c>
      <c r="O113" s="38"/>
      <c r="T113" s="37" t="str">
        <f aca="false">IF(U113&lt;&gt;0,"Enter Code"," ")</f>
        <v> </v>
      </c>
      <c r="V113" s="6" t="str">
        <f aca="false">IF(T113="BB",U113," ")</f>
        <v> </v>
      </c>
      <c r="W113" s="6" t="str">
        <f aca="false">IF(T113="BS",U113," ")</f>
        <v> </v>
      </c>
      <c r="X113" s="6" t="str">
        <f aca="false">IF(T113="BD",U113," ")</f>
        <v> </v>
      </c>
      <c r="Y113" s="6" t="str">
        <f aca="false">IF(T113="CR",U113," ")</f>
        <v> </v>
      </c>
      <c r="Z113" s="6" t="str">
        <f aca="false">IF(T113="W",U113," ")</f>
        <v> </v>
      </c>
      <c r="AA113" s="6" t="str">
        <f aca="false">IF(T113="B",U113," ")</f>
        <v> </v>
      </c>
      <c r="AB113" s="6" t="str">
        <f aca="false">IF(T113="J",U113," ")</f>
        <v> </v>
      </c>
      <c r="AC113" s="6" t="str">
        <f aca="false">IF(T113="LDR",U113," ")</f>
        <v> </v>
      </c>
      <c r="AD113" s="6" t="str">
        <f aca="false">IF(T113="LCR",U113," ")</f>
        <v> </v>
      </c>
      <c r="AE113" s="6" t="str">
        <f aca="false">IF(T113="RP",U113," ")</f>
        <v> </v>
      </c>
      <c r="AF113" s="6" t="str">
        <f aca="false">IF(T113="RV",U113," ")</f>
        <v> </v>
      </c>
      <c r="AG113" s="6" t="str">
        <f aca="false">IF(T113="RC",U113," ")</f>
        <v> </v>
      </c>
      <c r="AH113" s="6" t="str">
        <f aca="false">IF(T113="RT",U113," ")</f>
        <v> </v>
      </c>
      <c r="AI113" s="6" t="str">
        <f aca="false">IF(T113="DV",U113," ")</f>
        <v> </v>
      </c>
      <c r="AJ113" s="6" t="str">
        <f aca="false">IF(T113="DL",U113,"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IF(E114="BD",F114,"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IF(E114="DL",F114," ")</f>
        <v> </v>
      </c>
      <c r="O114" s="38"/>
      <c r="T114" s="37" t="str">
        <f aca="false">IF(U114&lt;&gt;0,"Enter Code"," ")</f>
        <v> </v>
      </c>
      <c r="V114" s="6" t="str">
        <f aca="false">IF(T114="BB",U114," ")</f>
        <v> </v>
      </c>
      <c r="W114" s="6" t="str">
        <f aca="false">IF(T114="BS",U114," ")</f>
        <v> </v>
      </c>
      <c r="X114" s="6" t="str">
        <f aca="false">IF(T114="BD",U114," ")</f>
        <v> </v>
      </c>
      <c r="Y114" s="6" t="str">
        <f aca="false">IF(T114="CR",U114," ")</f>
        <v> </v>
      </c>
      <c r="Z114" s="6" t="str">
        <f aca="false">IF(T114="W",U114," ")</f>
        <v> </v>
      </c>
      <c r="AA114" s="6" t="str">
        <f aca="false">IF(T114="B",U114," ")</f>
        <v> </v>
      </c>
      <c r="AB114" s="6" t="str">
        <f aca="false">IF(T114="J",U114," ")</f>
        <v> </v>
      </c>
      <c r="AC114" s="6" t="str">
        <f aca="false">IF(T114="LDR",U114," ")</f>
        <v> </v>
      </c>
      <c r="AD114" s="6" t="str">
        <f aca="false">IF(T114="LCR",U114," ")</f>
        <v> </v>
      </c>
      <c r="AE114" s="6" t="str">
        <f aca="false">IF(T114="RP",U114," ")</f>
        <v> </v>
      </c>
      <c r="AF114" s="6" t="str">
        <f aca="false">IF(T114="RV",U114," ")</f>
        <v> </v>
      </c>
      <c r="AG114" s="6" t="str">
        <f aca="false">IF(T114="RC",U114," ")</f>
        <v> </v>
      </c>
      <c r="AH114" s="6" t="str">
        <f aca="false">IF(T114="RT",U114," ")</f>
        <v> </v>
      </c>
      <c r="AI114" s="6" t="str">
        <f aca="false">IF(T114="DV",U114," ")</f>
        <v> </v>
      </c>
      <c r="AJ114" s="6" t="str">
        <f aca="false">IF(T114="DL",U114,"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IF(E115="BD",F115,"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IF(E115="DL",F115," ")</f>
        <v> </v>
      </c>
      <c r="O115" s="38"/>
      <c r="T115" s="37" t="str">
        <f aca="false">IF(U115&lt;&gt;0,"Enter Code"," ")</f>
        <v> </v>
      </c>
      <c r="V115" s="6" t="str">
        <f aca="false">IF(T115="BB",U115," ")</f>
        <v> </v>
      </c>
      <c r="W115" s="6" t="str">
        <f aca="false">IF(T115="BS",U115," ")</f>
        <v> </v>
      </c>
      <c r="X115" s="6" t="str">
        <f aca="false">IF(T115="BD",U115," ")</f>
        <v> </v>
      </c>
      <c r="Y115" s="6" t="str">
        <f aca="false">IF(T115="CR",U115," ")</f>
        <v> </v>
      </c>
      <c r="Z115" s="6" t="str">
        <f aca="false">IF(T115="W",U115," ")</f>
        <v> </v>
      </c>
      <c r="AA115" s="6" t="str">
        <f aca="false">IF(T115="B",U115," ")</f>
        <v> </v>
      </c>
      <c r="AB115" s="6" t="str">
        <f aca="false">IF(T115="J",U115," ")</f>
        <v> </v>
      </c>
      <c r="AC115" s="6" t="str">
        <f aca="false">IF(T115="LDR",U115," ")</f>
        <v> </v>
      </c>
      <c r="AD115" s="6" t="str">
        <f aca="false">IF(T115="LCR",U115," ")</f>
        <v> </v>
      </c>
      <c r="AE115" s="6" t="str">
        <f aca="false">IF(T115="RP",U115," ")</f>
        <v> </v>
      </c>
      <c r="AF115" s="6" t="str">
        <f aca="false">IF(T115="RV",U115," ")</f>
        <v> </v>
      </c>
      <c r="AG115" s="6" t="str">
        <f aca="false">IF(T115="RC",U115," ")</f>
        <v> </v>
      </c>
      <c r="AH115" s="6" t="str">
        <f aca="false">IF(T115="RT",U115," ")</f>
        <v> </v>
      </c>
      <c r="AI115" s="6" t="str">
        <f aca="false">IF(T115="DV",U115," ")</f>
        <v> </v>
      </c>
      <c r="AJ115" s="6" t="str">
        <f aca="false">IF(T115="DL",U115,"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IF(E116="BD",F116,"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IF(E116="DL",F116," ")</f>
        <v> </v>
      </c>
      <c r="O116" s="38"/>
      <c r="T116" s="37" t="str">
        <f aca="false">IF(U116&lt;&gt;0,"Enter Code"," ")</f>
        <v> </v>
      </c>
      <c r="V116" s="6" t="str">
        <f aca="false">IF(T116="BB",U116," ")</f>
        <v> </v>
      </c>
      <c r="W116" s="6" t="str">
        <f aca="false">IF(T116="BS",U116," ")</f>
        <v> </v>
      </c>
      <c r="X116" s="6" t="str">
        <f aca="false">IF(T116="BD",U116," ")</f>
        <v> </v>
      </c>
      <c r="Y116" s="6" t="str">
        <f aca="false">IF(T116="CR",U116," ")</f>
        <v> </v>
      </c>
      <c r="Z116" s="6" t="str">
        <f aca="false">IF(T116="W",U116," ")</f>
        <v> </v>
      </c>
      <c r="AA116" s="6" t="str">
        <f aca="false">IF(T116="B",U116," ")</f>
        <v> </v>
      </c>
      <c r="AB116" s="6" t="str">
        <f aca="false">IF(T116="J",U116," ")</f>
        <v> </v>
      </c>
      <c r="AC116" s="6" t="str">
        <f aca="false">IF(T116="LDR",U116," ")</f>
        <v> </v>
      </c>
      <c r="AD116" s="6" t="str">
        <f aca="false">IF(T116="LCR",U116," ")</f>
        <v> </v>
      </c>
      <c r="AE116" s="6" t="str">
        <f aca="false">IF(T116="RP",U116," ")</f>
        <v> </v>
      </c>
      <c r="AF116" s="6" t="str">
        <f aca="false">IF(T116="RV",U116," ")</f>
        <v> </v>
      </c>
      <c r="AG116" s="6" t="str">
        <f aca="false">IF(T116="RC",U116," ")</f>
        <v> </v>
      </c>
      <c r="AH116" s="6" t="str">
        <f aca="false">IF(T116="RT",U116," ")</f>
        <v> </v>
      </c>
      <c r="AI116" s="6" t="str">
        <f aca="false">IF(T116="DV",U116," ")</f>
        <v> </v>
      </c>
      <c r="AJ116" s="6" t="str">
        <f aca="false">IF(T116="DL",U116,"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IF(E117="BD",F117,"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IF(E117="DL",F117," ")</f>
        <v> </v>
      </c>
      <c r="O117" s="38"/>
      <c r="T117" s="37" t="str">
        <f aca="false">IF(U117&lt;&gt;0,"Enter Code"," ")</f>
        <v> </v>
      </c>
      <c r="V117" s="6" t="str">
        <f aca="false">IF(T117="BB",U117," ")</f>
        <v> </v>
      </c>
      <c r="W117" s="6" t="str">
        <f aca="false">IF(T117="BS",U117," ")</f>
        <v> </v>
      </c>
      <c r="X117" s="6" t="str">
        <f aca="false">IF(T117="BD",U117," ")</f>
        <v> </v>
      </c>
      <c r="Y117" s="6" t="str">
        <f aca="false">IF(T117="CR",U117," ")</f>
        <v> </v>
      </c>
      <c r="Z117" s="6" t="str">
        <f aca="false">IF(T117="W",U117," ")</f>
        <v> </v>
      </c>
      <c r="AA117" s="6" t="str">
        <f aca="false">IF(T117="B",U117," ")</f>
        <v> </v>
      </c>
      <c r="AB117" s="6" t="str">
        <f aca="false">IF(T117="J",U117," ")</f>
        <v> </v>
      </c>
      <c r="AC117" s="6" t="str">
        <f aca="false">IF(T117="LDR",U117," ")</f>
        <v> </v>
      </c>
      <c r="AD117" s="6" t="str">
        <f aca="false">IF(T117="LCR",U117," ")</f>
        <v> </v>
      </c>
      <c r="AE117" s="6" t="str">
        <f aca="false">IF(T117="RP",U117," ")</f>
        <v> </v>
      </c>
      <c r="AF117" s="6" t="str">
        <f aca="false">IF(T117="RV",U117," ")</f>
        <v> </v>
      </c>
      <c r="AG117" s="6" t="str">
        <f aca="false">IF(T117="RC",U117," ")</f>
        <v> </v>
      </c>
      <c r="AH117" s="6" t="str">
        <f aca="false">IF(T117="RT",U117," ")</f>
        <v> </v>
      </c>
      <c r="AI117" s="6" t="str">
        <f aca="false">IF(T117="DV",U117," ")</f>
        <v> </v>
      </c>
      <c r="AJ117" s="6" t="str">
        <f aca="false">IF(T117="DL",U117,"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IF(E118="BD",F118,"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IF(E118="DL",F118," ")</f>
        <v> </v>
      </c>
      <c r="O118" s="38"/>
      <c r="T118" s="37" t="str">
        <f aca="false">IF(U118&lt;&gt;0,"Enter Code"," ")</f>
        <v> </v>
      </c>
      <c r="V118" s="6" t="str">
        <f aca="false">IF(T118="BB",U118," ")</f>
        <v> </v>
      </c>
      <c r="W118" s="6" t="str">
        <f aca="false">IF(T118="BS",U118," ")</f>
        <v> </v>
      </c>
      <c r="X118" s="6" t="str">
        <f aca="false">IF(T118="BD",U118," ")</f>
        <v> </v>
      </c>
      <c r="Y118" s="6" t="str">
        <f aca="false">IF(T118="CR",U118," ")</f>
        <v> </v>
      </c>
      <c r="Z118" s="6" t="str">
        <f aca="false">IF(T118="W",U118," ")</f>
        <v> </v>
      </c>
      <c r="AA118" s="6" t="str">
        <f aca="false">IF(T118="B",U118," ")</f>
        <v> </v>
      </c>
      <c r="AB118" s="6" t="str">
        <f aca="false">IF(T118="J",U118," ")</f>
        <v> </v>
      </c>
      <c r="AC118" s="6" t="str">
        <f aca="false">IF(T118="LDR",U118," ")</f>
        <v> </v>
      </c>
      <c r="AD118" s="6" t="str">
        <f aca="false">IF(T118="LCR",U118," ")</f>
        <v> </v>
      </c>
      <c r="AE118" s="6" t="str">
        <f aca="false">IF(T118="RP",U118," ")</f>
        <v> </v>
      </c>
      <c r="AF118" s="6" t="str">
        <f aca="false">IF(T118="RV",U118," ")</f>
        <v> </v>
      </c>
      <c r="AG118" s="6" t="str">
        <f aca="false">IF(T118="RC",U118," ")</f>
        <v> </v>
      </c>
      <c r="AH118" s="6" t="str">
        <f aca="false">IF(T118="RT",U118," ")</f>
        <v> </v>
      </c>
      <c r="AI118" s="6" t="str">
        <f aca="false">IF(T118="DV",U118," ")</f>
        <v> </v>
      </c>
      <c r="AJ118" s="6" t="str">
        <f aca="false">IF(T118="DL",U118,"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IF(E119="BD",F119,"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IF(E119="DL",F119," ")</f>
        <v> </v>
      </c>
      <c r="O119" s="38"/>
      <c r="T119" s="37" t="str">
        <f aca="false">IF(U119&lt;&gt;0,"Enter Code"," ")</f>
        <v> </v>
      </c>
      <c r="V119" s="6" t="str">
        <f aca="false">IF(T119="BB",U119," ")</f>
        <v> </v>
      </c>
      <c r="W119" s="6" t="str">
        <f aca="false">IF(T119="BS",U119," ")</f>
        <v> </v>
      </c>
      <c r="X119" s="6" t="str">
        <f aca="false">IF(T119="BD",U119," ")</f>
        <v> </v>
      </c>
      <c r="Y119" s="6" t="str">
        <f aca="false">IF(T119="CR",U119," ")</f>
        <v> </v>
      </c>
      <c r="Z119" s="6" t="str">
        <f aca="false">IF(T119="W",U119," ")</f>
        <v> </v>
      </c>
      <c r="AA119" s="6" t="str">
        <f aca="false">IF(T119="B",U119," ")</f>
        <v> </v>
      </c>
      <c r="AB119" s="6" t="str">
        <f aca="false">IF(T119="J",U119," ")</f>
        <v> </v>
      </c>
      <c r="AC119" s="6" t="str">
        <f aca="false">IF(T119="LDR",U119," ")</f>
        <v> </v>
      </c>
      <c r="AD119" s="6" t="str">
        <f aca="false">IF(T119="LCR",U119," ")</f>
        <v> </v>
      </c>
      <c r="AE119" s="6" t="str">
        <f aca="false">IF(T119="RP",U119," ")</f>
        <v> </v>
      </c>
      <c r="AF119" s="6" t="str">
        <f aca="false">IF(T119="RV",U119," ")</f>
        <v> </v>
      </c>
      <c r="AG119" s="6" t="str">
        <f aca="false">IF(T119="RC",U119," ")</f>
        <v> </v>
      </c>
      <c r="AH119" s="6" t="str">
        <f aca="false">IF(T119="RT",U119," ")</f>
        <v> </v>
      </c>
      <c r="AI119" s="6" t="str">
        <f aca="false">IF(T119="DV",U119," ")</f>
        <v> </v>
      </c>
      <c r="AJ119" s="6" t="str">
        <f aca="false">IF(T119="DL",U119,"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IF(E120="BD",F120,"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IF(E120="DL",F120," ")</f>
        <v> </v>
      </c>
      <c r="O120" s="38"/>
      <c r="T120" s="37" t="str">
        <f aca="false">IF(U120&lt;&gt;0,"Enter Code"," ")</f>
        <v> </v>
      </c>
      <c r="V120" s="6" t="str">
        <f aca="false">IF(T120="BB",U120," ")</f>
        <v> </v>
      </c>
      <c r="W120" s="6" t="str">
        <f aca="false">IF(T120="BS",U120," ")</f>
        <v> </v>
      </c>
      <c r="X120" s="6" t="str">
        <f aca="false">IF(T120="BD",U120," ")</f>
        <v> </v>
      </c>
      <c r="Y120" s="6" t="str">
        <f aca="false">IF(T120="CR",U120," ")</f>
        <v> </v>
      </c>
      <c r="Z120" s="6" t="str">
        <f aca="false">IF(T120="W",U120," ")</f>
        <v> </v>
      </c>
      <c r="AA120" s="6" t="str">
        <f aca="false">IF(T120="B",U120," ")</f>
        <v> </v>
      </c>
      <c r="AB120" s="6" t="str">
        <f aca="false">IF(T120="J",U120," ")</f>
        <v> </v>
      </c>
      <c r="AC120" s="6" t="str">
        <f aca="false">IF(T120="LDR",U120," ")</f>
        <v> </v>
      </c>
      <c r="AD120" s="6" t="str">
        <f aca="false">IF(T120="LCR",U120," ")</f>
        <v> </v>
      </c>
      <c r="AE120" s="6" t="str">
        <f aca="false">IF(T120="RP",U120," ")</f>
        <v> </v>
      </c>
      <c r="AF120" s="6" t="str">
        <f aca="false">IF(T120="RV",U120," ")</f>
        <v> </v>
      </c>
      <c r="AG120" s="6" t="str">
        <f aca="false">IF(T120="RC",U120," ")</f>
        <v> </v>
      </c>
      <c r="AH120" s="6" t="str">
        <f aca="false">IF(T120="RT",U120," ")</f>
        <v> </v>
      </c>
      <c r="AI120" s="6" t="str">
        <f aca="false">IF(T120="DV",U120," ")</f>
        <v> </v>
      </c>
      <c r="AJ120" s="6" t="str">
        <f aca="false">IF(T120="DL",U120,"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IF(E121="BD",F121,"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IF(E121="DL",F121," ")</f>
        <v> </v>
      </c>
      <c r="O121" s="38"/>
      <c r="T121" s="37" t="str">
        <f aca="false">IF(U121&lt;&gt;0,"Enter Code"," ")</f>
        <v> </v>
      </c>
      <c r="V121" s="6" t="str">
        <f aca="false">IF(T121="BB",U121," ")</f>
        <v> </v>
      </c>
      <c r="W121" s="6" t="str">
        <f aca="false">IF(T121="BS",U121," ")</f>
        <v> </v>
      </c>
      <c r="X121" s="6" t="str">
        <f aca="false">IF(T121="BD",U121," ")</f>
        <v> </v>
      </c>
      <c r="Y121" s="6" t="str">
        <f aca="false">IF(T121="CR",U121," ")</f>
        <v> </v>
      </c>
      <c r="Z121" s="6" t="str">
        <f aca="false">IF(T121="W",U121," ")</f>
        <v> </v>
      </c>
      <c r="AA121" s="6" t="str">
        <f aca="false">IF(T121="B",U121," ")</f>
        <v> </v>
      </c>
      <c r="AB121" s="6" t="str">
        <f aca="false">IF(T121="J",U121," ")</f>
        <v> </v>
      </c>
      <c r="AC121" s="6" t="str">
        <f aca="false">IF(T121="LDR",U121," ")</f>
        <v> </v>
      </c>
      <c r="AD121" s="6" t="str">
        <f aca="false">IF(T121="LCR",U121," ")</f>
        <v> </v>
      </c>
      <c r="AE121" s="6" t="str">
        <f aca="false">IF(T121="RP",U121," ")</f>
        <v> </v>
      </c>
      <c r="AF121" s="6" t="str">
        <f aca="false">IF(T121="RV",U121," ")</f>
        <v> </v>
      </c>
      <c r="AG121" s="6" t="str">
        <f aca="false">IF(T121="RC",U121," ")</f>
        <v> </v>
      </c>
      <c r="AH121" s="6" t="str">
        <f aca="false">IF(T121="RT",U121," ")</f>
        <v> </v>
      </c>
      <c r="AI121" s="6" t="str">
        <f aca="false">IF(T121="DV",U121," ")</f>
        <v> </v>
      </c>
      <c r="AJ121" s="6" t="str">
        <f aca="false">IF(T121="DL",U121,"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IF(E122="BD",F122,"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IF(E122="DL",F122," ")</f>
        <v> </v>
      </c>
      <c r="O122" s="38"/>
      <c r="T122" s="37" t="str">
        <f aca="false">IF(U122&lt;&gt;0,"Enter Code"," ")</f>
        <v> </v>
      </c>
      <c r="V122" s="6" t="str">
        <f aca="false">IF(T122="BB",U122," ")</f>
        <v> </v>
      </c>
      <c r="W122" s="6" t="str">
        <f aca="false">IF(T122="BS",U122," ")</f>
        <v> </v>
      </c>
      <c r="X122" s="6" t="str">
        <f aca="false">IF(T122="BD",U122," ")</f>
        <v> </v>
      </c>
      <c r="Y122" s="6" t="str">
        <f aca="false">IF(T122="CR",U122," ")</f>
        <v> </v>
      </c>
      <c r="Z122" s="6" t="str">
        <f aca="false">IF(T122="W",U122," ")</f>
        <v> </v>
      </c>
      <c r="AA122" s="6" t="str">
        <f aca="false">IF(T122="B",U122," ")</f>
        <v> </v>
      </c>
      <c r="AB122" s="6" t="str">
        <f aca="false">IF(T122="J",U122," ")</f>
        <v> </v>
      </c>
      <c r="AC122" s="6" t="str">
        <f aca="false">IF(T122="LDR",U122," ")</f>
        <v> </v>
      </c>
      <c r="AD122" s="6" t="str">
        <f aca="false">IF(T122="LCR",U122," ")</f>
        <v> </v>
      </c>
      <c r="AE122" s="6" t="str">
        <f aca="false">IF(T122="RP",U122," ")</f>
        <v> </v>
      </c>
      <c r="AF122" s="6" t="str">
        <f aca="false">IF(T122="RV",U122," ")</f>
        <v> </v>
      </c>
      <c r="AG122" s="6" t="str">
        <f aca="false">IF(T122="RC",U122," ")</f>
        <v> </v>
      </c>
      <c r="AH122" s="6" t="str">
        <f aca="false">IF(T122="RT",U122," ")</f>
        <v> </v>
      </c>
      <c r="AI122" s="6" t="str">
        <f aca="false">IF(T122="DV",U122," ")</f>
        <v> </v>
      </c>
      <c r="AJ122" s="6" t="str">
        <f aca="false">IF(T122="DL",U122,"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IF(E123="BD",F123,"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IF(E123="DL",F123," ")</f>
        <v> </v>
      </c>
      <c r="O123" s="38"/>
      <c r="T123" s="37" t="str">
        <f aca="false">IF(U123&lt;&gt;0,"Enter Code"," ")</f>
        <v> </v>
      </c>
      <c r="V123" s="6" t="str">
        <f aca="false">IF(T123="BB",U123," ")</f>
        <v> </v>
      </c>
      <c r="W123" s="6" t="str">
        <f aca="false">IF(T123="BS",U123," ")</f>
        <v> </v>
      </c>
      <c r="X123" s="6" t="str">
        <f aca="false">IF(T123="BD",U123," ")</f>
        <v> </v>
      </c>
      <c r="Y123" s="6" t="str">
        <f aca="false">IF(T123="CR",U123," ")</f>
        <v> </v>
      </c>
      <c r="Z123" s="6" t="str">
        <f aca="false">IF(T123="W",U123," ")</f>
        <v> </v>
      </c>
      <c r="AA123" s="6" t="str">
        <f aca="false">IF(T123="B",U123," ")</f>
        <v> </v>
      </c>
      <c r="AB123" s="6" t="str">
        <f aca="false">IF(T123="J",U123," ")</f>
        <v> </v>
      </c>
      <c r="AC123" s="6" t="str">
        <f aca="false">IF(T123="LDR",U123," ")</f>
        <v> </v>
      </c>
      <c r="AD123" s="6" t="str">
        <f aca="false">IF(T123="LCR",U123," ")</f>
        <v> </v>
      </c>
      <c r="AE123" s="6" t="str">
        <f aca="false">IF(T123="RP",U123," ")</f>
        <v> </v>
      </c>
      <c r="AF123" s="6" t="str">
        <f aca="false">IF(T123="RV",U123," ")</f>
        <v> </v>
      </c>
      <c r="AG123" s="6" t="str">
        <f aca="false">IF(T123="RC",U123," ")</f>
        <v> </v>
      </c>
      <c r="AH123" s="6" t="str">
        <f aca="false">IF(T123="RT",U123," ")</f>
        <v> </v>
      </c>
      <c r="AI123" s="6" t="str">
        <f aca="false">IF(T123="DV",U123," ")</f>
        <v> </v>
      </c>
      <c r="AJ123" s="6" t="str">
        <f aca="false">IF(T123="DL",U123,"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IF(E124="BD",F124,"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IF(E124="DL",F124," ")</f>
        <v> </v>
      </c>
      <c r="O124" s="38"/>
      <c r="T124" s="37" t="str">
        <f aca="false">IF(U124&lt;&gt;0,"Enter Code"," ")</f>
        <v> </v>
      </c>
      <c r="V124" s="6" t="str">
        <f aca="false">IF(T124="BB",U124," ")</f>
        <v> </v>
      </c>
      <c r="W124" s="6" t="str">
        <f aca="false">IF(T124="BS",U124," ")</f>
        <v> </v>
      </c>
      <c r="X124" s="6" t="str">
        <f aca="false">IF(T124="BD",U124," ")</f>
        <v> </v>
      </c>
      <c r="Y124" s="6" t="str">
        <f aca="false">IF(T124="CR",U124," ")</f>
        <v> </v>
      </c>
      <c r="Z124" s="6" t="str">
        <f aca="false">IF(T124="W",U124," ")</f>
        <v> </v>
      </c>
      <c r="AA124" s="6" t="str">
        <f aca="false">IF(T124="B",U124," ")</f>
        <v> </v>
      </c>
      <c r="AB124" s="6" t="str">
        <f aca="false">IF(T124="J",U124," ")</f>
        <v> </v>
      </c>
      <c r="AC124" s="6" t="str">
        <f aca="false">IF(T124="LDR",U124," ")</f>
        <v> </v>
      </c>
      <c r="AD124" s="6" t="str">
        <f aca="false">IF(T124="LCR",U124," ")</f>
        <v> </v>
      </c>
      <c r="AE124" s="6" t="str">
        <f aca="false">IF(T124="RP",U124," ")</f>
        <v> </v>
      </c>
      <c r="AF124" s="6" t="str">
        <f aca="false">IF(T124="RV",U124," ")</f>
        <v> </v>
      </c>
      <c r="AG124" s="6" t="str">
        <f aca="false">IF(T124="RC",U124," ")</f>
        <v> </v>
      </c>
      <c r="AH124" s="6" t="str">
        <f aca="false">IF(T124="RT",U124," ")</f>
        <v> </v>
      </c>
      <c r="AI124" s="6" t="str">
        <f aca="false">IF(T124="DV",U124," ")</f>
        <v> </v>
      </c>
      <c r="AJ124" s="6" t="str">
        <f aca="false">IF(T124="DL",U124,"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IF(E125="BD",F125,"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IF(E125="DL",F125," ")</f>
        <v> </v>
      </c>
      <c r="O125" s="38"/>
      <c r="T125" s="37" t="str">
        <f aca="false">IF(U125&lt;&gt;0,"Enter Code"," ")</f>
        <v> </v>
      </c>
      <c r="V125" s="6" t="str">
        <f aca="false">IF(T125="BB",U125," ")</f>
        <v> </v>
      </c>
      <c r="W125" s="6" t="str">
        <f aca="false">IF(T125="BS",U125," ")</f>
        <v> </v>
      </c>
      <c r="X125" s="6" t="str">
        <f aca="false">IF(T125="BD",U125," ")</f>
        <v> </v>
      </c>
      <c r="Y125" s="6" t="str">
        <f aca="false">IF(T125="CR",U125," ")</f>
        <v> </v>
      </c>
      <c r="Z125" s="6" t="str">
        <f aca="false">IF(T125="W",U125," ")</f>
        <v> </v>
      </c>
      <c r="AA125" s="6" t="str">
        <f aca="false">IF(T125="B",U125," ")</f>
        <v> </v>
      </c>
      <c r="AB125" s="6" t="str">
        <f aca="false">IF(T125="J",U125," ")</f>
        <v> </v>
      </c>
      <c r="AC125" s="6" t="str">
        <f aca="false">IF(T125="LDR",U125," ")</f>
        <v> </v>
      </c>
      <c r="AD125" s="6" t="str">
        <f aca="false">IF(T125="LCR",U125," ")</f>
        <v> </v>
      </c>
      <c r="AE125" s="6" t="str">
        <f aca="false">IF(T125="RP",U125," ")</f>
        <v> </v>
      </c>
      <c r="AF125" s="6" t="str">
        <f aca="false">IF(T125="RV",U125," ")</f>
        <v> </v>
      </c>
      <c r="AG125" s="6" t="str">
        <f aca="false">IF(T125="RC",U125," ")</f>
        <v> </v>
      </c>
      <c r="AH125" s="6" t="str">
        <f aca="false">IF(T125="RT",U125," ")</f>
        <v> </v>
      </c>
      <c r="AI125" s="6" t="str">
        <f aca="false">IF(T125="DV",U125," ")</f>
        <v> </v>
      </c>
      <c r="AJ125" s="6" t="str">
        <f aca="false">IF(T125="DL",U125,"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IF(E126="BD",F126,"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IF(E126="DL",F126," ")</f>
        <v> </v>
      </c>
      <c r="O126" s="38"/>
      <c r="T126" s="37" t="str">
        <f aca="false">IF(U126&lt;&gt;0,"Enter Code"," ")</f>
        <v> </v>
      </c>
      <c r="V126" s="6" t="str">
        <f aca="false">IF(T126="BB",U126," ")</f>
        <v> </v>
      </c>
      <c r="W126" s="6" t="str">
        <f aca="false">IF(T126="BS",U126," ")</f>
        <v> </v>
      </c>
      <c r="X126" s="6" t="str">
        <f aca="false">IF(T126="BD",U126," ")</f>
        <v> </v>
      </c>
      <c r="Y126" s="6" t="str">
        <f aca="false">IF(T126="CR",U126," ")</f>
        <v> </v>
      </c>
      <c r="Z126" s="6" t="str">
        <f aca="false">IF(T126="W",U126," ")</f>
        <v> </v>
      </c>
      <c r="AA126" s="6" t="str">
        <f aca="false">IF(T126="B",U126," ")</f>
        <v> </v>
      </c>
      <c r="AB126" s="6" t="str">
        <f aca="false">IF(T126="J",U126," ")</f>
        <v> </v>
      </c>
      <c r="AC126" s="6" t="str">
        <f aca="false">IF(T126="LDR",U126," ")</f>
        <v> </v>
      </c>
      <c r="AD126" s="6" t="str">
        <f aca="false">IF(T126="LCR",U126," ")</f>
        <v> </v>
      </c>
      <c r="AE126" s="6" t="str">
        <f aca="false">IF(T126="RP",U126," ")</f>
        <v> </v>
      </c>
      <c r="AF126" s="6" t="str">
        <f aca="false">IF(T126="RV",U126," ")</f>
        <v> </v>
      </c>
      <c r="AG126" s="6" t="str">
        <f aca="false">IF(T126="RC",U126," ")</f>
        <v> </v>
      </c>
      <c r="AH126" s="6" t="str">
        <f aca="false">IF(T126="RT",U126," ")</f>
        <v> </v>
      </c>
      <c r="AI126" s="6" t="str">
        <f aca="false">IF(T126="DV",U126," ")</f>
        <v> </v>
      </c>
      <c r="AJ126" s="6" t="str">
        <f aca="false">IF(T126="DL",U126,"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IF(E127="BD",F127,"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IF(E127="DL",F127," ")</f>
        <v> </v>
      </c>
      <c r="O127" s="38"/>
      <c r="T127" s="37" t="str">
        <f aca="false">IF(U127&lt;&gt;0,"Enter Code"," ")</f>
        <v> </v>
      </c>
      <c r="V127" s="6" t="str">
        <f aca="false">IF(T127="BB",U127," ")</f>
        <v> </v>
      </c>
      <c r="W127" s="6" t="str">
        <f aca="false">IF(T127="BS",U127," ")</f>
        <v> </v>
      </c>
      <c r="X127" s="6" t="str">
        <f aca="false">IF(T127="BD",U127," ")</f>
        <v> </v>
      </c>
      <c r="Y127" s="6" t="str">
        <f aca="false">IF(T127="CR",U127," ")</f>
        <v> </v>
      </c>
      <c r="Z127" s="6" t="str">
        <f aca="false">IF(T127="W",U127," ")</f>
        <v> </v>
      </c>
      <c r="AA127" s="6" t="str">
        <f aca="false">IF(T127="B",U127," ")</f>
        <v> </v>
      </c>
      <c r="AB127" s="6" t="str">
        <f aca="false">IF(T127="J",U127," ")</f>
        <v> </v>
      </c>
      <c r="AC127" s="6" t="str">
        <f aca="false">IF(T127="LDR",U127," ")</f>
        <v> </v>
      </c>
      <c r="AD127" s="6" t="str">
        <f aca="false">IF(T127="LCR",U127," ")</f>
        <v> </v>
      </c>
      <c r="AE127" s="6" t="str">
        <f aca="false">IF(T127="RP",U127," ")</f>
        <v> </v>
      </c>
      <c r="AF127" s="6" t="str">
        <f aca="false">IF(T127="RV",U127," ")</f>
        <v> </v>
      </c>
      <c r="AG127" s="6" t="str">
        <f aca="false">IF(T127="RC",U127," ")</f>
        <v> </v>
      </c>
      <c r="AH127" s="6" t="str">
        <f aca="false">IF(T127="RT",U127," ")</f>
        <v> </v>
      </c>
      <c r="AI127" s="6" t="str">
        <f aca="false">IF(T127="DV",U127," ")</f>
        <v> </v>
      </c>
      <c r="AJ127" s="6" t="str">
        <f aca="false">IF(T127="DL",U127,"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IF(E128="BD",F128,"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IF(E128="DL",F128," ")</f>
        <v> </v>
      </c>
      <c r="O128" s="38"/>
      <c r="T128" s="37" t="str">
        <f aca="false">IF(U128&lt;&gt;0,"Enter Code"," ")</f>
        <v> </v>
      </c>
      <c r="V128" s="6" t="str">
        <f aca="false">IF(T128="BB",U128," ")</f>
        <v> </v>
      </c>
      <c r="W128" s="6" t="str">
        <f aca="false">IF(T128="BS",U128," ")</f>
        <v> </v>
      </c>
      <c r="X128" s="6" t="str">
        <f aca="false">IF(T128="BD",U128," ")</f>
        <v> </v>
      </c>
      <c r="Y128" s="6" t="str">
        <f aca="false">IF(T128="CR",U128," ")</f>
        <v> </v>
      </c>
      <c r="Z128" s="6" t="str">
        <f aca="false">IF(T128="W",U128," ")</f>
        <v> </v>
      </c>
      <c r="AA128" s="6" t="str">
        <f aca="false">IF(T128="B",U128," ")</f>
        <v> </v>
      </c>
      <c r="AB128" s="6" t="str">
        <f aca="false">IF(T128="J",U128," ")</f>
        <v> </v>
      </c>
      <c r="AC128" s="6" t="str">
        <f aca="false">IF(T128="LDR",U128," ")</f>
        <v> </v>
      </c>
      <c r="AD128" s="6" t="str">
        <f aca="false">IF(T128="LCR",U128," ")</f>
        <v> </v>
      </c>
      <c r="AE128" s="6" t="str">
        <f aca="false">IF(T128="RP",U128," ")</f>
        <v> </v>
      </c>
      <c r="AF128" s="6" t="str">
        <f aca="false">IF(T128="RV",U128," ")</f>
        <v> </v>
      </c>
      <c r="AG128" s="6" t="str">
        <f aca="false">IF(T128="RC",U128," ")</f>
        <v> </v>
      </c>
      <c r="AH128" s="6" t="str">
        <f aca="false">IF(T128="RT",U128," ")</f>
        <v> </v>
      </c>
      <c r="AI128" s="6" t="str">
        <f aca="false">IF(T128="DV",U128," ")</f>
        <v> </v>
      </c>
      <c r="AJ128" s="6" t="str">
        <f aca="false">IF(T128="DL",U128,"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IF(E129="BD",F129,"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IF(E129="DL",F129," ")</f>
        <v> </v>
      </c>
      <c r="O129" s="38"/>
      <c r="T129" s="37" t="str">
        <f aca="false">IF(U129&lt;&gt;0,"Enter Code"," ")</f>
        <v> </v>
      </c>
      <c r="V129" s="6" t="str">
        <f aca="false">IF(T129="BB",U129," ")</f>
        <v> </v>
      </c>
      <c r="W129" s="6" t="str">
        <f aca="false">IF(T129="BS",U129," ")</f>
        <v> </v>
      </c>
      <c r="X129" s="6" t="str">
        <f aca="false">IF(T129="BD",U129," ")</f>
        <v> </v>
      </c>
      <c r="Y129" s="6" t="str">
        <f aca="false">IF(T129="CR",U129," ")</f>
        <v> </v>
      </c>
      <c r="Z129" s="6" t="str">
        <f aca="false">IF(T129="W",U129," ")</f>
        <v> </v>
      </c>
      <c r="AA129" s="6" t="str">
        <f aca="false">IF(T129="B",U129," ")</f>
        <v> </v>
      </c>
      <c r="AB129" s="6" t="str">
        <f aca="false">IF(T129="J",U129," ")</f>
        <v> </v>
      </c>
      <c r="AC129" s="6" t="str">
        <f aca="false">IF(T129="LDR",U129," ")</f>
        <v> </v>
      </c>
      <c r="AD129" s="6" t="str">
        <f aca="false">IF(T129="LCR",U129," ")</f>
        <v> </v>
      </c>
      <c r="AE129" s="6" t="str">
        <f aca="false">IF(T129="RP",U129," ")</f>
        <v> </v>
      </c>
      <c r="AF129" s="6" t="str">
        <f aca="false">IF(T129="RV",U129," ")</f>
        <v> </v>
      </c>
      <c r="AG129" s="6" t="str">
        <f aca="false">IF(T129="RC",U129," ")</f>
        <v> </v>
      </c>
      <c r="AH129" s="6" t="str">
        <f aca="false">IF(T129="RT",U129," ")</f>
        <v> </v>
      </c>
      <c r="AI129" s="6" t="str">
        <f aca="false">IF(T129="DV",U129," ")</f>
        <v> </v>
      </c>
      <c r="AJ129" s="6" t="str">
        <f aca="false">IF(T129="DL",U129,"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IF(E130="BD",F130,"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IF(E130="DL",F130," ")</f>
        <v> </v>
      </c>
      <c r="O130" s="38"/>
      <c r="T130" s="37" t="str">
        <f aca="false">IF(U130&lt;&gt;0,"Enter Code"," ")</f>
        <v> </v>
      </c>
      <c r="V130" s="6" t="str">
        <f aca="false">IF(T130="BB",U130," ")</f>
        <v> </v>
      </c>
      <c r="W130" s="6" t="str">
        <f aca="false">IF(T130="BS",U130," ")</f>
        <v> </v>
      </c>
      <c r="X130" s="6" t="str">
        <f aca="false">IF(T130="BD",U130," ")</f>
        <v> </v>
      </c>
      <c r="Y130" s="6" t="str">
        <f aca="false">IF(T130="CR",U130," ")</f>
        <v> </v>
      </c>
      <c r="Z130" s="6" t="str">
        <f aca="false">IF(T130="W",U130," ")</f>
        <v> </v>
      </c>
      <c r="AA130" s="6" t="str">
        <f aca="false">IF(T130="B",U130," ")</f>
        <v> </v>
      </c>
      <c r="AB130" s="6" t="str">
        <f aca="false">IF(T130="J",U130," ")</f>
        <v> </v>
      </c>
      <c r="AC130" s="6" t="str">
        <f aca="false">IF(T130="LDR",U130," ")</f>
        <v> </v>
      </c>
      <c r="AD130" s="6" t="str">
        <f aca="false">IF(T130="LCR",U130," ")</f>
        <v> </v>
      </c>
      <c r="AE130" s="6" t="str">
        <f aca="false">IF(T130="RP",U130," ")</f>
        <v> </v>
      </c>
      <c r="AF130" s="6" t="str">
        <f aca="false">IF(T130="RV",U130," ")</f>
        <v> </v>
      </c>
      <c r="AG130" s="6" t="str">
        <f aca="false">IF(T130="RC",U130," ")</f>
        <v> </v>
      </c>
      <c r="AH130" s="6" t="str">
        <f aca="false">IF(T130="RT",U130," ")</f>
        <v> </v>
      </c>
      <c r="AI130" s="6" t="str">
        <f aca="false">IF(T130="DV",U130," ")</f>
        <v> </v>
      </c>
      <c r="AJ130" s="6" t="str">
        <f aca="false">IF(T130="DL",U130,"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IF(E131="BD",F131,"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IF(E131="DL",F131," ")</f>
        <v> </v>
      </c>
      <c r="O131" s="38"/>
      <c r="T131" s="37" t="str">
        <f aca="false">IF(U131&lt;&gt;0,"Enter Code"," ")</f>
        <v> </v>
      </c>
      <c r="V131" s="6" t="str">
        <f aca="false">IF(T131="BB",U131," ")</f>
        <v> </v>
      </c>
      <c r="W131" s="6" t="str">
        <f aca="false">IF(T131="BS",U131," ")</f>
        <v> </v>
      </c>
      <c r="X131" s="6" t="str">
        <f aca="false">IF(T131="BD",U131," ")</f>
        <v> </v>
      </c>
      <c r="Y131" s="6" t="str">
        <f aca="false">IF(T131="CR",U131," ")</f>
        <v> </v>
      </c>
      <c r="Z131" s="6" t="str">
        <f aca="false">IF(T131="W",U131," ")</f>
        <v> </v>
      </c>
      <c r="AA131" s="6" t="str">
        <f aca="false">IF(T131="B",U131," ")</f>
        <v> </v>
      </c>
      <c r="AB131" s="6" t="str">
        <f aca="false">IF(T131="J",U131," ")</f>
        <v> </v>
      </c>
      <c r="AC131" s="6" t="str">
        <f aca="false">IF(T131="LDR",U131," ")</f>
        <v> </v>
      </c>
      <c r="AD131" s="6" t="str">
        <f aca="false">IF(T131="LCR",U131," ")</f>
        <v> </v>
      </c>
      <c r="AE131" s="6" t="str">
        <f aca="false">IF(T131="RP",U131," ")</f>
        <v> </v>
      </c>
      <c r="AF131" s="6" t="str">
        <f aca="false">IF(T131="RV",U131," ")</f>
        <v> </v>
      </c>
      <c r="AG131" s="6" t="str">
        <f aca="false">IF(T131="RC",U131," ")</f>
        <v> </v>
      </c>
      <c r="AH131" s="6" t="str">
        <f aca="false">IF(T131="RT",U131," ")</f>
        <v> </v>
      </c>
      <c r="AI131" s="6" t="str">
        <f aca="false">IF(T131="DV",U131," ")</f>
        <v> </v>
      </c>
      <c r="AJ131" s="6" t="str">
        <f aca="false">IF(T131="DL",U131,"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IF(E132="BD",F132,"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IF(E132="DL",F132," ")</f>
        <v> </v>
      </c>
      <c r="O132" s="38"/>
      <c r="T132" s="37" t="str">
        <f aca="false">IF(U132&lt;&gt;0,"Enter Code"," ")</f>
        <v> </v>
      </c>
      <c r="V132" s="6" t="str">
        <f aca="false">IF(T132="BB",U132," ")</f>
        <v> </v>
      </c>
      <c r="W132" s="6" t="str">
        <f aca="false">IF(T132="BS",U132," ")</f>
        <v> </v>
      </c>
      <c r="X132" s="6" t="str">
        <f aca="false">IF(T132="BD",U132," ")</f>
        <v> </v>
      </c>
      <c r="Y132" s="6" t="str">
        <f aca="false">IF(T132="CR",U132," ")</f>
        <v> </v>
      </c>
      <c r="Z132" s="6" t="str">
        <f aca="false">IF(T132="W",U132," ")</f>
        <v> </v>
      </c>
      <c r="AA132" s="6" t="str">
        <f aca="false">IF(T132="B",U132," ")</f>
        <v> </v>
      </c>
      <c r="AB132" s="6" t="str">
        <f aca="false">IF(T132="J",U132," ")</f>
        <v> </v>
      </c>
      <c r="AC132" s="6" t="str">
        <f aca="false">IF(T132="LDR",U132," ")</f>
        <v> </v>
      </c>
      <c r="AD132" s="6" t="str">
        <f aca="false">IF(T132="LCR",U132," ")</f>
        <v> </v>
      </c>
      <c r="AE132" s="6" t="str">
        <f aca="false">IF(T132="RP",U132," ")</f>
        <v> </v>
      </c>
      <c r="AF132" s="6" t="str">
        <f aca="false">IF(T132="RV",U132," ")</f>
        <v> </v>
      </c>
      <c r="AG132" s="6" t="str">
        <f aca="false">IF(T132="RC",U132," ")</f>
        <v> </v>
      </c>
      <c r="AH132" s="6" t="str">
        <f aca="false">IF(T132="RT",U132," ")</f>
        <v> </v>
      </c>
      <c r="AI132" s="6" t="str">
        <f aca="false">IF(T132="DV",U132," ")</f>
        <v> </v>
      </c>
      <c r="AJ132" s="6" t="str">
        <f aca="false">IF(T132="DL",U132,"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IF(E133="BD",F133,"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IF(E133="DL",F133," ")</f>
        <v> </v>
      </c>
      <c r="O133" s="38"/>
      <c r="T133" s="37" t="str">
        <f aca="false">IF(U133&lt;&gt;0,"Enter Code"," ")</f>
        <v> </v>
      </c>
      <c r="V133" s="6" t="str">
        <f aca="false">IF(T133="BB",U133," ")</f>
        <v> </v>
      </c>
      <c r="W133" s="6" t="str">
        <f aca="false">IF(T133="BS",U133," ")</f>
        <v> </v>
      </c>
      <c r="X133" s="6" t="str">
        <f aca="false">IF(T133="BD",U133," ")</f>
        <v> </v>
      </c>
      <c r="Y133" s="6" t="str">
        <f aca="false">IF(T133="CR",U133," ")</f>
        <v> </v>
      </c>
      <c r="Z133" s="6" t="str">
        <f aca="false">IF(T133="W",U133," ")</f>
        <v> </v>
      </c>
      <c r="AA133" s="6" t="str">
        <f aca="false">IF(T133="B",U133," ")</f>
        <v> </v>
      </c>
      <c r="AB133" s="6" t="str">
        <f aca="false">IF(T133="J",U133," ")</f>
        <v> </v>
      </c>
      <c r="AC133" s="6" t="str">
        <f aca="false">IF(T133="LDR",U133," ")</f>
        <v> </v>
      </c>
      <c r="AD133" s="6" t="str">
        <f aca="false">IF(T133="LCR",U133," ")</f>
        <v> </v>
      </c>
      <c r="AE133" s="6" t="str">
        <f aca="false">IF(T133="RP",U133," ")</f>
        <v> </v>
      </c>
      <c r="AF133" s="6" t="str">
        <f aca="false">IF(T133="RV",U133," ")</f>
        <v> </v>
      </c>
      <c r="AG133" s="6" t="str">
        <f aca="false">IF(T133="RC",U133," ")</f>
        <v> </v>
      </c>
      <c r="AH133" s="6" t="str">
        <f aca="false">IF(T133="RT",U133," ")</f>
        <v> </v>
      </c>
      <c r="AI133" s="6" t="str">
        <f aca="false">IF(T133="DV",U133," ")</f>
        <v> </v>
      </c>
      <c r="AJ133" s="6" t="str">
        <f aca="false">IF(T133="DL",U133,"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IF(E134="BD",F134,"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IF(E134="DL",F134," ")</f>
        <v> </v>
      </c>
      <c r="O134" s="38"/>
      <c r="T134" s="37" t="str">
        <f aca="false">IF(U134&lt;&gt;0,"Enter Code"," ")</f>
        <v> </v>
      </c>
      <c r="V134" s="6" t="str">
        <f aca="false">IF(T134="BB",U134," ")</f>
        <v> </v>
      </c>
      <c r="W134" s="6" t="str">
        <f aca="false">IF(T134="BS",U134," ")</f>
        <v> </v>
      </c>
      <c r="X134" s="6" t="str">
        <f aca="false">IF(T134="BD",U134," ")</f>
        <v> </v>
      </c>
      <c r="Y134" s="6" t="str">
        <f aca="false">IF(T134="CR",U134," ")</f>
        <v> </v>
      </c>
      <c r="Z134" s="6" t="str">
        <f aca="false">IF(T134="W",U134," ")</f>
        <v> </v>
      </c>
      <c r="AA134" s="6" t="str">
        <f aca="false">IF(T134="B",U134," ")</f>
        <v> </v>
      </c>
      <c r="AB134" s="6" t="str">
        <f aca="false">IF(T134="J",U134," ")</f>
        <v> </v>
      </c>
      <c r="AC134" s="6" t="str">
        <f aca="false">IF(T134="LDR",U134," ")</f>
        <v> </v>
      </c>
      <c r="AD134" s="6" t="str">
        <f aca="false">IF(T134="LCR",U134," ")</f>
        <v> </v>
      </c>
      <c r="AE134" s="6" t="str">
        <f aca="false">IF(T134="RP",U134," ")</f>
        <v> </v>
      </c>
      <c r="AF134" s="6" t="str">
        <f aca="false">IF(T134="RV",U134," ")</f>
        <v> </v>
      </c>
      <c r="AG134" s="6" t="str">
        <f aca="false">IF(T134="RC",U134," ")</f>
        <v> </v>
      </c>
      <c r="AH134" s="6" t="str">
        <f aca="false">IF(T134="RT",U134," ")</f>
        <v> </v>
      </c>
      <c r="AI134" s="6" t="str">
        <f aca="false">IF(T134="DV",U134," ")</f>
        <v> </v>
      </c>
      <c r="AJ134" s="6" t="str">
        <f aca="false">IF(T134="DL",U134,"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IF(E135="BD",F135,"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IF(E135="DL",F135," ")</f>
        <v> </v>
      </c>
      <c r="O135" s="38"/>
      <c r="T135" s="37" t="str">
        <f aca="false">IF(U135&lt;&gt;0,"Enter Code"," ")</f>
        <v> </v>
      </c>
      <c r="V135" s="6" t="str">
        <f aca="false">IF(T135="BB",U135," ")</f>
        <v> </v>
      </c>
      <c r="W135" s="6" t="str">
        <f aca="false">IF(T135="BS",U135," ")</f>
        <v> </v>
      </c>
      <c r="X135" s="6" t="str">
        <f aca="false">IF(T135="BD",U135," ")</f>
        <v> </v>
      </c>
      <c r="Y135" s="6" t="str">
        <f aca="false">IF(T135="CR",U135," ")</f>
        <v> </v>
      </c>
      <c r="Z135" s="6" t="str">
        <f aca="false">IF(T135="W",U135," ")</f>
        <v> </v>
      </c>
      <c r="AA135" s="6" t="str">
        <f aca="false">IF(T135="B",U135," ")</f>
        <v> </v>
      </c>
      <c r="AB135" s="6" t="str">
        <f aca="false">IF(T135="J",U135," ")</f>
        <v> </v>
      </c>
      <c r="AC135" s="6" t="str">
        <f aca="false">IF(T135="LDR",U135," ")</f>
        <v> </v>
      </c>
      <c r="AD135" s="6" t="str">
        <f aca="false">IF(T135="LCR",U135," ")</f>
        <v> </v>
      </c>
      <c r="AE135" s="6" t="str">
        <f aca="false">IF(T135="RP",U135," ")</f>
        <v> </v>
      </c>
      <c r="AF135" s="6" t="str">
        <f aca="false">IF(T135="RV",U135," ")</f>
        <v> </v>
      </c>
      <c r="AG135" s="6" t="str">
        <f aca="false">IF(T135="RC",U135," ")</f>
        <v> </v>
      </c>
      <c r="AH135" s="6" t="str">
        <f aca="false">IF(T135="RT",U135," ")</f>
        <v> </v>
      </c>
      <c r="AI135" s="6" t="str">
        <f aca="false">IF(T135="DV",U135," ")</f>
        <v> </v>
      </c>
      <c r="AJ135" s="6" t="str">
        <f aca="false">IF(T135="DL",U135,"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IF(E136="BD",F136,"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IF(E136="DL",F136," ")</f>
        <v> </v>
      </c>
      <c r="O136" s="38"/>
      <c r="T136" s="37" t="str">
        <f aca="false">IF(U136&lt;&gt;0,"Enter Code"," ")</f>
        <v> </v>
      </c>
      <c r="V136" s="6" t="str">
        <f aca="false">IF(T136="BB",U136," ")</f>
        <v> </v>
      </c>
      <c r="W136" s="6" t="str">
        <f aca="false">IF(T136="BS",U136," ")</f>
        <v> </v>
      </c>
      <c r="X136" s="6" t="str">
        <f aca="false">IF(T136="BD",U136," ")</f>
        <v> </v>
      </c>
      <c r="Y136" s="6" t="str">
        <f aca="false">IF(T136="CR",U136," ")</f>
        <v> </v>
      </c>
      <c r="Z136" s="6" t="str">
        <f aca="false">IF(T136="W",U136," ")</f>
        <v> </v>
      </c>
      <c r="AA136" s="6" t="str">
        <f aca="false">IF(T136="B",U136," ")</f>
        <v> </v>
      </c>
      <c r="AB136" s="6" t="str">
        <f aca="false">IF(T136="J",U136," ")</f>
        <v> </v>
      </c>
      <c r="AC136" s="6" t="str">
        <f aca="false">IF(T136="LDR",U136," ")</f>
        <v> </v>
      </c>
      <c r="AD136" s="6" t="str">
        <f aca="false">IF(T136="LCR",U136," ")</f>
        <v> </v>
      </c>
      <c r="AE136" s="6" t="str">
        <f aca="false">IF(T136="RP",U136," ")</f>
        <v> </v>
      </c>
      <c r="AF136" s="6" t="str">
        <f aca="false">IF(T136="RV",U136," ")</f>
        <v> </v>
      </c>
      <c r="AG136" s="6" t="str">
        <f aca="false">IF(T136="RC",U136," ")</f>
        <v> </v>
      </c>
      <c r="AH136" s="6" t="str">
        <f aca="false">IF(T136="RT",U136," ")</f>
        <v> </v>
      </c>
      <c r="AI136" s="6" t="str">
        <f aca="false">IF(T136="DV",U136," ")</f>
        <v> </v>
      </c>
      <c r="AJ136" s="6" t="str">
        <f aca="false">IF(T136="DL",U136,"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IF(E137="BD",F137,"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IF(E137="DL",F137," ")</f>
        <v> </v>
      </c>
      <c r="O137" s="38"/>
      <c r="T137" s="37" t="str">
        <f aca="false">IF(U137&lt;&gt;0,"Enter Code"," ")</f>
        <v> </v>
      </c>
      <c r="V137" s="6" t="str">
        <f aca="false">IF(T137="BB",U137," ")</f>
        <v> </v>
      </c>
      <c r="W137" s="6" t="str">
        <f aca="false">IF(T137="BS",U137," ")</f>
        <v> </v>
      </c>
      <c r="X137" s="6" t="str">
        <f aca="false">IF(T137="BD",U137," ")</f>
        <v> </v>
      </c>
      <c r="Y137" s="6" t="str">
        <f aca="false">IF(T137="CR",U137," ")</f>
        <v> </v>
      </c>
      <c r="Z137" s="6" t="str">
        <f aca="false">IF(T137="W",U137," ")</f>
        <v> </v>
      </c>
      <c r="AA137" s="6" t="str">
        <f aca="false">IF(T137="B",U137," ")</f>
        <v> </v>
      </c>
      <c r="AB137" s="6" t="str">
        <f aca="false">IF(T137="J",U137," ")</f>
        <v> </v>
      </c>
      <c r="AC137" s="6" t="str">
        <f aca="false">IF(T137="LDR",U137," ")</f>
        <v> </v>
      </c>
      <c r="AD137" s="6" t="str">
        <f aca="false">IF(T137="LCR",U137," ")</f>
        <v> </v>
      </c>
      <c r="AE137" s="6" t="str">
        <f aca="false">IF(T137="RP",U137," ")</f>
        <v> </v>
      </c>
      <c r="AF137" s="6" t="str">
        <f aca="false">IF(T137="RV",U137," ")</f>
        <v> </v>
      </c>
      <c r="AG137" s="6" t="str">
        <f aca="false">IF(T137="RC",U137," ")</f>
        <v> </v>
      </c>
      <c r="AH137" s="6" t="str">
        <f aca="false">IF(T137="RT",U137," ")</f>
        <v> </v>
      </c>
      <c r="AI137" s="6" t="str">
        <f aca="false">IF(T137="DV",U137," ")</f>
        <v> </v>
      </c>
      <c r="AJ137" s="6" t="str">
        <f aca="false">IF(T137="DL",U137,"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IF(E138="BD",F138,"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IF(E138="DL",F138," ")</f>
        <v> </v>
      </c>
      <c r="O138" s="38"/>
      <c r="T138" s="37" t="str">
        <f aca="false">IF(U138&lt;&gt;0,"Enter Code"," ")</f>
        <v> </v>
      </c>
      <c r="V138" s="6" t="str">
        <f aca="false">IF(T138="BB",U138," ")</f>
        <v> </v>
      </c>
      <c r="W138" s="6" t="str">
        <f aca="false">IF(T138="BS",U138," ")</f>
        <v> </v>
      </c>
      <c r="X138" s="6" t="str">
        <f aca="false">IF(T138="BD",U138," ")</f>
        <v> </v>
      </c>
      <c r="Y138" s="6" t="str">
        <f aca="false">IF(T138="CR",U138," ")</f>
        <v> </v>
      </c>
      <c r="Z138" s="6" t="str">
        <f aca="false">IF(T138="W",U138," ")</f>
        <v> </v>
      </c>
      <c r="AA138" s="6" t="str">
        <f aca="false">IF(T138="B",U138," ")</f>
        <v> </v>
      </c>
      <c r="AB138" s="6" t="str">
        <f aca="false">IF(T138="J",U138," ")</f>
        <v> </v>
      </c>
      <c r="AC138" s="6" t="str">
        <f aca="false">IF(T138="LDR",U138," ")</f>
        <v> </v>
      </c>
      <c r="AD138" s="6" t="str">
        <f aca="false">IF(T138="LCR",U138," ")</f>
        <v> </v>
      </c>
      <c r="AE138" s="6" t="str">
        <f aca="false">IF(T138="RP",U138," ")</f>
        <v> </v>
      </c>
      <c r="AF138" s="6" t="str">
        <f aca="false">IF(T138="RV",U138," ")</f>
        <v> </v>
      </c>
      <c r="AG138" s="6" t="str">
        <f aca="false">IF(T138="RC",U138," ")</f>
        <v> </v>
      </c>
      <c r="AH138" s="6" t="str">
        <f aca="false">IF(T138="RT",U138," ")</f>
        <v> </v>
      </c>
      <c r="AI138" s="6" t="str">
        <f aca="false">IF(T138="DV",U138," ")</f>
        <v> </v>
      </c>
      <c r="AJ138" s="6" t="str">
        <f aca="false">IF(T138="DL",U138,"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IF(E139="BD",F139,"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IF(E139="DL",F139," ")</f>
        <v> </v>
      </c>
      <c r="O139" s="38"/>
      <c r="T139" s="37" t="str">
        <f aca="false">IF(U139&lt;&gt;0,"Enter Code"," ")</f>
        <v> </v>
      </c>
      <c r="V139" s="6" t="str">
        <f aca="false">IF(T139="BB",U139," ")</f>
        <v> </v>
      </c>
      <c r="W139" s="6" t="str">
        <f aca="false">IF(T139="BS",U139," ")</f>
        <v> </v>
      </c>
      <c r="X139" s="6" t="str">
        <f aca="false">IF(T139="BD",U139," ")</f>
        <v> </v>
      </c>
      <c r="Y139" s="6" t="str">
        <f aca="false">IF(T139="CR",U139," ")</f>
        <v> </v>
      </c>
      <c r="Z139" s="6" t="str">
        <f aca="false">IF(T139="W",U139," ")</f>
        <v> </v>
      </c>
      <c r="AA139" s="6" t="str">
        <f aca="false">IF(T139="B",U139," ")</f>
        <v> </v>
      </c>
      <c r="AB139" s="6" t="str">
        <f aca="false">IF(T139="J",U139," ")</f>
        <v> </v>
      </c>
      <c r="AC139" s="6" t="str">
        <f aca="false">IF(T139="LDR",U139," ")</f>
        <v> </v>
      </c>
      <c r="AD139" s="6" t="str">
        <f aca="false">IF(T139="LCR",U139," ")</f>
        <v> </v>
      </c>
      <c r="AE139" s="6" t="str">
        <f aca="false">IF(T139="RP",U139," ")</f>
        <v> </v>
      </c>
      <c r="AF139" s="6" t="str">
        <f aca="false">IF(T139="RV",U139," ")</f>
        <v> </v>
      </c>
      <c r="AG139" s="6" t="str">
        <f aca="false">IF(T139="RC",U139," ")</f>
        <v> </v>
      </c>
      <c r="AH139" s="6" t="str">
        <f aca="false">IF(T139="RT",U139," ")</f>
        <v> </v>
      </c>
      <c r="AI139" s="6" t="str">
        <f aca="false">IF(T139="DV",U139," ")</f>
        <v> </v>
      </c>
      <c r="AJ139" s="6" t="str">
        <f aca="false">IF(T139="DL",U139,"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IF(E140="BD",F140,"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IF(E140="DL",F140," ")</f>
        <v> </v>
      </c>
      <c r="O140" s="38"/>
      <c r="T140" s="37" t="str">
        <f aca="false">IF(U140&lt;&gt;0,"Enter Code"," ")</f>
        <v> </v>
      </c>
      <c r="V140" s="6" t="str">
        <f aca="false">IF(T140="BB",U140," ")</f>
        <v> </v>
      </c>
      <c r="W140" s="6" t="str">
        <f aca="false">IF(T140="BS",U140," ")</f>
        <v> </v>
      </c>
      <c r="X140" s="6" t="str">
        <f aca="false">IF(T140="BD",U140," ")</f>
        <v> </v>
      </c>
      <c r="Y140" s="6" t="str">
        <f aca="false">IF(T140="CR",U140," ")</f>
        <v> </v>
      </c>
      <c r="Z140" s="6" t="str">
        <f aca="false">IF(T140="W",U140," ")</f>
        <v> </v>
      </c>
      <c r="AA140" s="6" t="str">
        <f aca="false">IF(T140="B",U140," ")</f>
        <v> </v>
      </c>
      <c r="AB140" s="6" t="str">
        <f aca="false">IF(T140="J",U140," ")</f>
        <v> </v>
      </c>
      <c r="AC140" s="6" t="str">
        <f aca="false">IF(T140="LDR",U140," ")</f>
        <v> </v>
      </c>
      <c r="AD140" s="6" t="str">
        <f aca="false">IF(T140="LCR",U140," ")</f>
        <v> </v>
      </c>
      <c r="AE140" s="6" t="str">
        <f aca="false">IF(T140="RP",U140," ")</f>
        <v> </v>
      </c>
      <c r="AF140" s="6" t="str">
        <f aca="false">IF(T140="RV",U140," ")</f>
        <v> </v>
      </c>
      <c r="AG140" s="6" t="str">
        <f aca="false">IF(T140="RC",U140," ")</f>
        <v> </v>
      </c>
      <c r="AH140" s="6" t="str">
        <f aca="false">IF(T140="RT",U140," ")</f>
        <v> </v>
      </c>
      <c r="AI140" s="6" t="str">
        <f aca="false">IF(T140="DV",U140," ")</f>
        <v> </v>
      </c>
      <c r="AJ140" s="6" t="str">
        <f aca="false">IF(T140="DL",U140,"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IF(E141="BD",F141,"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IF(E141="DL",F141," ")</f>
        <v> </v>
      </c>
      <c r="O141" s="38"/>
      <c r="T141" s="37" t="str">
        <f aca="false">IF(U141&lt;&gt;0,"Enter Code"," ")</f>
        <v> </v>
      </c>
      <c r="V141" s="6" t="str">
        <f aca="false">IF(T141="BB",U141," ")</f>
        <v> </v>
      </c>
      <c r="W141" s="6" t="str">
        <f aca="false">IF(T141="BS",U141," ")</f>
        <v> </v>
      </c>
      <c r="X141" s="6" t="str">
        <f aca="false">IF(T141="BD",U141," ")</f>
        <v> </v>
      </c>
      <c r="Y141" s="6" t="str">
        <f aca="false">IF(T141="CR",U141," ")</f>
        <v> </v>
      </c>
      <c r="Z141" s="6" t="str">
        <f aca="false">IF(T141="W",U141," ")</f>
        <v> </v>
      </c>
      <c r="AA141" s="6" t="str">
        <f aca="false">IF(T141="B",U141," ")</f>
        <v> </v>
      </c>
      <c r="AB141" s="6" t="str">
        <f aca="false">IF(T141="J",U141," ")</f>
        <v> </v>
      </c>
      <c r="AC141" s="6" t="str">
        <f aca="false">IF(T141="LDR",U141," ")</f>
        <v> </v>
      </c>
      <c r="AD141" s="6" t="str">
        <f aca="false">IF(T141="LCR",U141," ")</f>
        <v> </v>
      </c>
      <c r="AE141" s="6" t="str">
        <f aca="false">IF(T141="RP",U141," ")</f>
        <v> </v>
      </c>
      <c r="AF141" s="6" t="str">
        <f aca="false">IF(T141="RV",U141," ")</f>
        <v> </v>
      </c>
      <c r="AG141" s="6" t="str">
        <f aca="false">IF(T141="RC",U141," ")</f>
        <v> </v>
      </c>
      <c r="AH141" s="6" t="str">
        <f aca="false">IF(T141="RT",U141," ")</f>
        <v> </v>
      </c>
      <c r="AI141" s="6" t="str">
        <f aca="false">IF(T141="DV",U141," ")</f>
        <v> </v>
      </c>
      <c r="AJ141" s="6" t="str">
        <f aca="false">IF(T141="DL",U141,"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IF(E142="BD",F142,"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IF(E142="DL",F142," ")</f>
        <v> </v>
      </c>
      <c r="O142" s="38"/>
      <c r="T142" s="37" t="str">
        <f aca="false">IF(U142&lt;&gt;0,"Enter Code"," ")</f>
        <v> </v>
      </c>
      <c r="V142" s="6" t="str">
        <f aca="false">IF(T142="BB",U142," ")</f>
        <v> </v>
      </c>
      <c r="W142" s="6" t="str">
        <f aca="false">IF(T142="BS",U142," ")</f>
        <v> </v>
      </c>
      <c r="X142" s="6" t="str">
        <f aca="false">IF(T142="BD",U142," ")</f>
        <v> </v>
      </c>
      <c r="Y142" s="6" t="str">
        <f aca="false">IF(T142="CR",U142," ")</f>
        <v> </v>
      </c>
      <c r="Z142" s="6" t="str">
        <f aca="false">IF(T142="W",U142," ")</f>
        <v> </v>
      </c>
      <c r="AA142" s="6" t="str">
        <f aca="false">IF(T142="B",U142," ")</f>
        <v> </v>
      </c>
      <c r="AB142" s="6" t="str">
        <f aca="false">IF(T142="J",U142," ")</f>
        <v> </v>
      </c>
      <c r="AC142" s="6" t="str">
        <f aca="false">IF(T142="LDR",U142," ")</f>
        <v> </v>
      </c>
      <c r="AD142" s="6" t="str">
        <f aca="false">IF(T142="LCR",U142," ")</f>
        <v> </v>
      </c>
      <c r="AE142" s="6" t="str">
        <f aca="false">IF(T142="RP",U142," ")</f>
        <v> </v>
      </c>
      <c r="AF142" s="6" t="str">
        <f aca="false">IF(T142="RV",U142," ")</f>
        <v> </v>
      </c>
      <c r="AG142" s="6" t="str">
        <f aca="false">IF(T142="RC",U142," ")</f>
        <v> </v>
      </c>
      <c r="AH142" s="6" t="str">
        <f aca="false">IF(T142="RT",U142," ")</f>
        <v> </v>
      </c>
      <c r="AI142" s="6" t="str">
        <f aca="false">IF(T142="DV",U142," ")</f>
        <v> </v>
      </c>
      <c r="AJ142" s="6" t="str">
        <f aca="false">IF(T142="DL",U142,"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IF(E143="BD",F143,"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IF(E143="DL",F143," ")</f>
        <v> </v>
      </c>
      <c r="O143" s="38"/>
      <c r="T143" s="37" t="str">
        <f aca="false">IF(U143&lt;&gt;0,"Enter Code"," ")</f>
        <v> </v>
      </c>
      <c r="V143" s="6" t="str">
        <f aca="false">IF(T143="BB",U143," ")</f>
        <v> </v>
      </c>
      <c r="W143" s="6" t="str">
        <f aca="false">IF(T143="BS",U143," ")</f>
        <v> </v>
      </c>
      <c r="X143" s="6" t="str">
        <f aca="false">IF(T143="BD",U143," ")</f>
        <v> </v>
      </c>
      <c r="Y143" s="6" t="str">
        <f aca="false">IF(T143="CR",U143," ")</f>
        <v> </v>
      </c>
      <c r="Z143" s="6" t="str">
        <f aca="false">IF(T143="W",U143," ")</f>
        <v> </v>
      </c>
      <c r="AA143" s="6" t="str">
        <f aca="false">IF(T143="B",U143," ")</f>
        <v> </v>
      </c>
      <c r="AB143" s="6" t="str">
        <f aca="false">IF(T143="J",U143," ")</f>
        <v> </v>
      </c>
      <c r="AC143" s="6" t="str">
        <f aca="false">IF(T143="LDR",U143," ")</f>
        <v> </v>
      </c>
      <c r="AD143" s="6" t="str">
        <f aca="false">IF(T143="LCR",U143," ")</f>
        <v> </v>
      </c>
      <c r="AE143" s="6" t="str">
        <f aca="false">IF(T143="RP",U143," ")</f>
        <v> </v>
      </c>
      <c r="AF143" s="6" t="str">
        <f aca="false">IF(T143="RV",U143," ")</f>
        <v> </v>
      </c>
      <c r="AG143" s="6" t="str">
        <f aca="false">IF(T143="RC",U143," ")</f>
        <v> </v>
      </c>
      <c r="AH143" s="6" t="str">
        <f aca="false">IF(T143="RT",U143," ")</f>
        <v> </v>
      </c>
      <c r="AI143" s="6" t="str">
        <f aca="false">IF(T143="DV",U143," ")</f>
        <v> </v>
      </c>
      <c r="AJ143" s="6" t="str">
        <f aca="false">IF(T143="DL",U143,"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IF(E144="BD",F144,"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IF(E144="DL",F144," ")</f>
        <v> </v>
      </c>
      <c r="O144" s="38"/>
      <c r="T144" s="37" t="str">
        <f aca="false">IF(U144&lt;&gt;0,"Enter Code"," ")</f>
        <v> </v>
      </c>
      <c r="V144" s="6" t="str">
        <f aca="false">IF(T144="BB",U144," ")</f>
        <v> </v>
      </c>
      <c r="W144" s="6" t="str">
        <f aca="false">IF(T144="BS",U144," ")</f>
        <v> </v>
      </c>
      <c r="X144" s="6" t="str">
        <f aca="false">IF(T144="BD",U144," ")</f>
        <v> </v>
      </c>
      <c r="Y144" s="6" t="str">
        <f aca="false">IF(T144="CR",U144," ")</f>
        <v> </v>
      </c>
      <c r="Z144" s="6" t="str">
        <f aca="false">IF(T144="W",U144," ")</f>
        <v> </v>
      </c>
      <c r="AA144" s="6" t="str">
        <f aca="false">IF(T144="B",U144," ")</f>
        <v> </v>
      </c>
      <c r="AB144" s="6" t="str">
        <f aca="false">IF(T144="J",U144," ")</f>
        <v> </v>
      </c>
      <c r="AC144" s="6" t="str">
        <f aca="false">IF(T144="LDR",U144," ")</f>
        <v> </v>
      </c>
      <c r="AD144" s="6" t="str">
        <f aca="false">IF(T144="LCR",U144," ")</f>
        <v> </v>
      </c>
      <c r="AE144" s="6" t="str">
        <f aca="false">IF(T144="RP",U144," ")</f>
        <v> </v>
      </c>
      <c r="AF144" s="6" t="str">
        <f aca="false">IF(T144="RV",U144," ")</f>
        <v> </v>
      </c>
      <c r="AG144" s="6" t="str">
        <f aca="false">IF(T144="RC",U144," ")</f>
        <v> </v>
      </c>
      <c r="AH144" s="6" t="str">
        <f aca="false">IF(T144="RT",U144," ")</f>
        <v> </v>
      </c>
      <c r="AI144" s="6" t="str">
        <f aca="false">IF(T144="DV",U144," ")</f>
        <v> </v>
      </c>
      <c r="AJ144" s="6" t="str">
        <f aca="false">IF(T144="DL",U144,"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IF(E145="BD",F145,"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IF(E145="DL",F145," ")</f>
        <v> </v>
      </c>
      <c r="O145" s="38"/>
      <c r="T145" s="37" t="str">
        <f aca="false">IF(U145&lt;&gt;0,"Enter Code"," ")</f>
        <v> </v>
      </c>
      <c r="V145" s="6" t="str">
        <f aca="false">IF(T145="BB",U145," ")</f>
        <v> </v>
      </c>
      <c r="W145" s="6" t="str">
        <f aca="false">IF(T145="BS",U145," ")</f>
        <v> </v>
      </c>
      <c r="X145" s="6" t="str">
        <f aca="false">IF(T145="BD",U145," ")</f>
        <v> </v>
      </c>
      <c r="Y145" s="6" t="str">
        <f aca="false">IF(T145="CR",U145," ")</f>
        <v> </v>
      </c>
      <c r="Z145" s="6" t="str">
        <f aca="false">IF(T145="W",U145," ")</f>
        <v> </v>
      </c>
      <c r="AA145" s="6" t="str">
        <f aca="false">IF(T145="B",U145," ")</f>
        <v> </v>
      </c>
      <c r="AB145" s="6" t="str">
        <f aca="false">IF(T145="J",U145," ")</f>
        <v> </v>
      </c>
      <c r="AC145" s="6" t="str">
        <f aca="false">IF(T145="LDR",U145," ")</f>
        <v> </v>
      </c>
      <c r="AD145" s="6" t="str">
        <f aca="false">IF(T145="LCR",U145," ")</f>
        <v> </v>
      </c>
      <c r="AE145" s="6" t="str">
        <f aca="false">IF(T145="RP",U145," ")</f>
        <v> </v>
      </c>
      <c r="AF145" s="6" t="str">
        <f aca="false">IF(T145="RV",U145," ")</f>
        <v> </v>
      </c>
      <c r="AG145" s="6" t="str">
        <f aca="false">IF(T145="RC",U145," ")</f>
        <v> </v>
      </c>
      <c r="AH145" s="6" t="str">
        <f aca="false">IF(T145="RT",U145," ")</f>
        <v> </v>
      </c>
      <c r="AI145" s="6" t="str">
        <f aca="false">IF(T145="DV",U145," ")</f>
        <v> </v>
      </c>
      <c r="AJ145" s="6" t="str">
        <f aca="false">IF(T145="DL",U145,"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IF(E146="BD",F146,"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IF(E146="DL",F146," ")</f>
        <v> </v>
      </c>
      <c r="O146" s="38"/>
      <c r="T146" s="37" t="str">
        <f aca="false">IF(U146&lt;&gt;0,"Enter Code"," ")</f>
        <v> </v>
      </c>
      <c r="V146" s="6" t="str">
        <f aca="false">IF(T146="BB",U146," ")</f>
        <v> </v>
      </c>
      <c r="W146" s="6" t="str">
        <f aca="false">IF(T146="BS",U146," ")</f>
        <v> </v>
      </c>
      <c r="X146" s="6" t="str">
        <f aca="false">IF(T146="BD",U146," ")</f>
        <v> </v>
      </c>
      <c r="Y146" s="6" t="str">
        <f aca="false">IF(T146="CR",U146," ")</f>
        <v> </v>
      </c>
      <c r="Z146" s="6" t="str">
        <f aca="false">IF(T146="W",U146," ")</f>
        <v> </v>
      </c>
      <c r="AA146" s="6" t="str">
        <f aca="false">IF(T146="B",U146," ")</f>
        <v> </v>
      </c>
      <c r="AB146" s="6" t="str">
        <f aca="false">IF(T146="J",U146," ")</f>
        <v> </v>
      </c>
      <c r="AC146" s="6" t="str">
        <f aca="false">IF(T146="LDR",U146," ")</f>
        <v> </v>
      </c>
      <c r="AD146" s="6" t="str">
        <f aca="false">IF(T146="LCR",U146," ")</f>
        <v> </v>
      </c>
      <c r="AE146" s="6" t="str">
        <f aca="false">IF(T146="RP",U146," ")</f>
        <v> </v>
      </c>
      <c r="AF146" s="6" t="str">
        <f aca="false">IF(T146="RV",U146," ")</f>
        <v> </v>
      </c>
      <c r="AG146" s="6" t="str">
        <f aca="false">IF(T146="RC",U146," ")</f>
        <v> </v>
      </c>
      <c r="AH146" s="6" t="str">
        <f aca="false">IF(T146="RT",U146," ")</f>
        <v> </v>
      </c>
      <c r="AI146" s="6" t="str">
        <f aca="false">IF(T146="DV",U146," ")</f>
        <v> </v>
      </c>
      <c r="AJ146" s="6" t="str">
        <f aca="false">IF(T146="DL",U146,"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IF(E147="BD",F147,"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IF(E147="DL",F147," ")</f>
        <v> </v>
      </c>
      <c r="O147" s="38"/>
      <c r="T147" s="37" t="str">
        <f aca="false">IF(U147&lt;&gt;0,"Enter Code"," ")</f>
        <v> </v>
      </c>
      <c r="V147" s="6" t="str">
        <f aca="false">IF(T147="BB",U147," ")</f>
        <v> </v>
      </c>
      <c r="W147" s="6" t="str">
        <f aca="false">IF(T147="BS",U147," ")</f>
        <v> </v>
      </c>
      <c r="X147" s="6" t="str">
        <f aca="false">IF(T147="BD",U147," ")</f>
        <v> </v>
      </c>
      <c r="Y147" s="6" t="str">
        <f aca="false">IF(T147="CR",U147," ")</f>
        <v> </v>
      </c>
      <c r="Z147" s="6" t="str">
        <f aca="false">IF(T147="W",U147," ")</f>
        <v> </v>
      </c>
      <c r="AA147" s="6" t="str">
        <f aca="false">IF(T147="B",U147," ")</f>
        <v> </v>
      </c>
      <c r="AB147" s="6" t="str">
        <f aca="false">IF(T147="J",U147," ")</f>
        <v> </v>
      </c>
      <c r="AC147" s="6" t="str">
        <f aca="false">IF(T147="LDR",U147," ")</f>
        <v> </v>
      </c>
      <c r="AD147" s="6" t="str">
        <f aca="false">IF(T147="LCR",U147," ")</f>
        <v> </v>
      </c>
      <c r="AE147" s="6" t="str">
        <f aca="false">IF(T147="RP",U147," ")</f>
        <v> </v>
      </c>
      <c r="AF147" s="6" t="str">
        <f aca="false">IF(T147="RV",U147," ")</f>
        <v> </v>
      </c>
      <c r="AG147" s="6" t="str">
        <f aca="false">IF(T147="RC",U147," ")</f>
        <v> </v>
      </c>
      <c r="AH147" s="6" t="str">
        <f aca="false">IF(T147="RT",U147," ")</f>
        <v> </v>
      </c>
      <c r="AI147" s="6" t="str">
        <f aca="false">IF(T147="DV",U147," ")</f>
        <v> </v>
      </c>
      <c r="AJ147" s="6" t="str">
        <f aca="false">IF(T147="DL",U147,"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IF(E148="BD",F148,"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IF(E148="DL",F148," ")</f>
        <v> </v>
      </c>
      <c r="O148" s="38"/>
      <c r="T148" s="37" t="str">
        <f aca="false">IF(U148&lt;&gt;0,"Enter Code"," ")</f>
        <v> </v>
      </c>
      <c r="V148" s="6" t="str">
        <f aca="false">IF(T148="BB",U148," ")</f>
        <v> </v>
      </c>
      <c r="W148" s="6" t="str">
        <f aca="false">IF(T148="BS",U148," ")</f>
        <v> </v>
      </c>
      <c r="X148" s="6" t="str">
        <f aca="false">IF(T148="BD",U148," ")</f>
        <v> </v>
      </c>
      <c r="Y148" s="6" t="str">
        <f aca="false">IF(T148="CR",U148," ")</f>
        <v> </v>
      </c>
      <c r="Z148" s="6" t="str">
        <f aca="false">IF(T148="W",U148," ")</f>
        <v> </v>
      </c>
      <c r="AA148" s="6" t="str">
        <f aca="false">IF(T148="B",U148," ")</f>
        <v> </v>
      </c>
      <c r="AB148" s="6" t="str">
        <f aca="false">IF(T148="J",U148," ")</f>
        <v> </v>
      </c>
      <c r="AC148" s="6" t="str">
        <f aca="false">IF(T148="LDR",U148," ")</f>
        <v> </v>
      </c>
      <c r="AD148" s="6" t="str">
        <f aca="false">IF(T148="LCR",U148," ")</f>
        <v> </v>
      </c>
      <c r="AE148" s="6" t="str">
        <f aca="false">IF(T148="RP",U148," ")</f>
        <v> </v>
      </c>
      <c r="AF148" s="6" t="str">
        <f aca="false">IF(T148="RV",U148," ")</f>
        <v> </v>
      </c>
      <c r="AG148" s="6" t="str">
        <f aca="false">IF(T148="RC",U148," ")</f>
        <v> </v>
      </c>
      <c r="AH148" s="6" t="str">
        <f aca="false">IF(T148="RT",U148," ")</f>
        <v> </v>
      </c>
      <c r="AI148" s="6" t="str">
        <f aca="false">IF(T148="DV",U148," ")</f>
        <v> </v>
      </c>
      <c r="AJ148" s="6" t="str">
        <f aca="false">IF(T148="DL",U148,"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IF(E149="BD",F149,"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IF(E149="DL",F149," ")</f>
        <v> </v>
      </c>
      <c r="O149" s="38"/>
      <c r="T149" s="37" t="str">
        <f aca="false">IF(U149&lt;&gt;0,"Enter Code"," ")</f>
        <v> </v>
      </c>
      <c r="V149" s="6" t="str">
        <f aca="false">IF(T149="BB",U149," ")</f>
        <v> </v>
      </c>
      <c r="W149" s="6" t="str">
        <f aca="false">IF(T149="BS",U149," ")</f>
        <v> </v>
      </c>
      <c r="X149" s="6" t="str">
        <f aca="false">IF(T149="BD",U149," ")</f>
        <v> </v>
      </c>
      <c r="Y149" s="6" t="str">
        <f aca="false">IF(T149="CR",U149," ")</f>
        <v> </v>
      </c>
      <c r="Z149" s="6" t="str">
        <f aca="false">IF(T149="W",U149," ")</f>
        <v> </v>
      </c>
      <c r="AA149" s="6" t="str">
        <f aca="false">IF(T149="B",U149," ")</f>
        <v> </v>
      </c>
      <c r="AB149" s="6" t="str">
        <f aca="false">IF(T149="J",U149," ")</f>
        <v> </v>
      </c>
      <c r="AC149" s="6" t="str">
        <f aca="false">IF(T149="LDR",U149," ")</f>
        <v> </v>
      </c>
      <c r="AD149" s="6" t="str">
        <f aca="false">IF(T149="LCR",U149," ")</f>
        <v> </v>
      </c>
      <c r="AE149" s="6" t="str">
        <f aca="false">IF(T149="RP",U149," ")</f>
        <v> </v>
      </c>
      <c r="AF149" s="6" t="str">
        <f aca="false">IF(T149="RV",U149," ")</f>
        <v> </v>
      </c>
      <c r="AG149" s="6" t="str">
        <f aca="false">IF(T149="RC",U149," ")</f>
        <v> </v>
      </c>
      <c r="AH149" s="6" t="str">
        <f aca="false">IF(T149="RT",U149," ")</f>
        <v> </v>
      </c>
      <c r="AI149" s="6" t="str">
        <f aca="false">IF(T149="DV",U149," ")</f>
        <v> </v>
      </c>
      <c r="AJ149" s="6" t="str">
        <f aca="false">IF(T149="DL",U149,"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IF(E150="BD",F150,"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IF(E150="DL",F150," ")</f>
        <v> </v>
      </c>
      <c r="O150" s="38"/>
      <c r="T150" s="37" t="str">
        <f aca="false">IF(U150&lt;&gt;0,"Enter Code"," ")</f>
        <v> </v>
      </c>
      <c r="V150" s="6" t="str">
        <f aca="false">IF(T150="BB",U150," ")</f>
        <v> </v>
      </c>
      <c r="W150" s="6" t="str">
        <f aca="false">IF(T150="BS",U150," ")</f>
        <v> </v>
      </c>
      <c r="X150" s="6" t="str">
        <f aca="false">IF(T150="BD",U150," ")</f>
        <v> </v>
      </c>
      <c r="Y150" s="6" t="str">
        <f aca="false">IF(T150="CR",U150," ")</f>
        <v> </v>
      </c>
      <c r="Z150" s="6" t="str">
        <f aca="false">IF(T150="W",U150," ")</f>
        <v> </v>
      </c>
      <c r="AA150" s="6" t="str">
        <f aca="false">IF(T150="B",U150," ")</f>
        <v> </v>
      </c>
      <c r="AB150" s="6" t="str">
        <f aca="false">IF(T150="J",U150," ")</f>
        <v> </v>
      </c>
      <c r="AC150" s="6" t="str">
        <f aca="false">IF(T150="LDR",U150," ")</f>
        <v> </v>
      </c>
      <c r="AD150" s="6" t="str">
        <f aca="false">IF(T150="LCR",U150," ")</f>
        <v> </v>
      </c>
      <c r="AE150" s="6" t="str">
        <f aca="false">IF(T150="RP",U150," ")</f>
        <v> </v>
      </c>
      <c r="AF150" s="6" t="str">
        <f aca="false">IF(T150="RV",U150," ")</f>
        <v> </v>
      </c>
      <c r="AG150" s="6" t="str">
        <f aca="false">IF(T150="RC",U150," ")</f>
        <v> </v>
      </c>
      <c r="AH150" s="6" t="str">
        <f aca="false">IF(T150="RT",U150," ")</f>
        <v> </v>
      </c>
      <c r="AI150" s="6" t="str">
        <f aca="false">IF(T150="DV",U150," ")</f>
        <v> </v>
      </c>
      <c r="AJ150" s="6" t="str">
        <f aca="false">IF(T150="DL",U150,"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IF(E151="BD",F151,"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IF(E151="DL",F151," ")</f>
        <v> </v>
      </c>
      <c r="O151" s="38"/>
      <c r="T151" s="37" t="str">
        <f aca="false">IF(U151&lt;&gt;0,"Enter Code"," ")</f>
        <v> </v>
      </c>
      <c r="V151" s="6" t="str">
        <f aca="false">IF(T151="BB",U151," ")</f>
        <v> </v>
      </c>
      <c r="W151" s="6" t="str">
        <f aca="false">IF(T151="BS",U151," ")</f>
        <v> </v>
      </c>
      <c r="X151" s="6" t="str">
        <f aca="false">IF(T151="BD",U151," ")</f>
        <v> </v>
      </c>
      <c r="Y151" s="6" t="str">
        <f aca="false">IF(T151="CR",U151," ")</f>
        <v> </v>
      </c>
      <c r="Z151" s="6" t="str">
        <f aca="false">IF(T151="W",U151," ")</f>
        <v> </v>
      </c>
      <c r="AA151" s="6" t="str">
        <f aca="false">IF(T151="B",U151," ")</f>
        <v> </v>
      </c>
      <c r="AB151" s="6" t="str">
        <f aca="false">IF(T151="J",U151," ")</f>
        <v> </v>
      </c>
      <c r="AC151" s="6" t="str">
        <f aca="false">IF(T151="LDR",U151," ")</f>
        <v> </v>
      </c>
      <c r="AD151" s="6" t="str">
        <f aca="false">IF(T151="LCR",U151," ")</f>
        <v> </v>
      </c>
      <c r="AE151" s="6" t="str">
        <f aca="false">IF(T151="RP",U151," ")</f>
        <v> </v>
      </c>
      <c r="AF151" s="6" t="str">
        <f aca="false">IF(T151="RV",U151," ")</f>
        <v> </v>
      </c>
      <c r="AG151" s="6" t="str">
        <f aca="false">IF(T151="RC",U151," ")</f>
        <v> </v>
      </c>
      <c r="AH151" s="6" t="str">
        <f aca="false">IF(T151="RT",U151," ")</f>
        <v> </v>
      </c>
      <c r="AI151" s="6" t="str">
        <f aca="false">IF(T151="DV",U151," ")</f>
        <v> </v>
      </c>
      <c r="AJ151" s="6" t="str">
        <f aca="false">IF(T151="DL",U151,"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IF(E152="BD",F152,"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IF(E152="DL",F152," ")</f>
        <v> </v>
      </c>
      <c r="O152" s="38"/>
      <c r="T152" s="37" t="str">
        <f aca="false">IF(U152&lt;&gt;0,"Enter Code"," ")</f>
        <v> </v>
      </c>
      <c r="V152" s="6" t="str">
        <f aca="false">IF(T152="BB",U152," ")</f>
        <v> </v>
      </c>
      <c r="W152" s="6" t="str">
        <f aca="false">IF(T152="BS",U152," ")</f>
        <v> </v>
      </c>
      <c r="X152" s="6" t="str">
        <f aca="false">IF(T152="BD",U152," ")</f>
        <v> </v>
      </c>
      <c r="Y152" s="6" t="str">
        <f aca="false">IF(T152="CR",U152," ")</f>
        <v> </v>
      </c>
      <c r="Z152" s="6" t="str">
        <f aca="false">IF(T152="W",U152," ")</f>
        <v> </v>
      </c>
      <c r="AA152" s="6" t="str">
        <f aca="false">IF(T152="B",U152," ")</f>
        <v> </v>
      </c>
      <c r="AB152" s="6" t="str">
        <f aca="false">IF(T152="J",U152," ")</f>
        <v> </v>
      </c>
      <c r="AC152" s="6" t="str">
        <f aca="false">IF(T152="LDR",U152," ")</f>
        <v> </v>
      </c>
      <c r="AD152" s="6" t="str">
        <f aca="false">IF(T152="LCR",U152," ")</f>
        <v> </v>
      </c>
      <c r="AE152" s="6" t="str">
        <f aca="false">IF(T152="RP",U152," ")</f>
        <v> </v>
      </c>
      <c r="AF152" s="6" t="str">
        <f aca="false">IF(T152="RV",U152," ")</f>
        <v> </v>
      </c>
      <c r="AG152" s="6" t="str">
        <f aca="false">IF(T152="RC",U152," ")</f>
        <v> </v>
      </c>
      <c r="AH152" s="6" t="str">
        <f aca="false">IF(T152="RT",U152," ")</f>
        <v> </v>
      </c>
      <c r="AI152" s="6" t="str">
        <f aca="false">IF(T152="DV",U152," ")</f>
        <v> </v>
      </c>
      <c r="AJ152" s="6" t="str">
        <f aca="false">IF(T152="DL",U152,"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IF(E153="BD",F153,"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IF(E153="DL",F153," ")</f>
        <v> </v>
      </c>
      <c r="O153" s="38"/>
      <c r="T153" s="37" t="str">
        <f aca="false">IF(U153&lt;&gt;0,"Enter Code"," ")</f>
        <v> </v>
      </c>
      <c r="V153" s="6" t="str">
        <f aca="false">IF(T153="BB",U153," ")</f>
        <v> </v>
      </c>
      <c r="W153" s="6" t="str">
        <f aca="false">IF(T153="BS",U153," ")</f>
        <v> </v>
      </c>
      <c r="X153" s="6" t="str">
        <f aca="false">IF(T153="BD",U153," ")</f>
        <v> </v>
      </c>
      <c r="Y153" s="6" t="str">
        <f aca="false">IF(T153="CR",U153," ")</f>
        <v> </v>
      </c>
      <c r="Z153" s="6" t="str">
        <f aca="false">IF(T153="W",U153," ")</f>
        <v> </v>
      </c>
      <c r="AA153" s="6" t="str">
        <f aca="false">IF(T153="B",U153," ")</f>
        <v> </v>
      </c>
      <c r="AB153" s="6" t="str">
        <f aca="false">IF(T153="J",U153," ")</f>
        <v> </v>
      </c>
      <c r="AC153" s="6" t="str">
        <f aca="false">IF(T153="LDR",U153," ")</f>
        <v> </v>
      </c>
      <c r="AD153" s="6" t="str">
        <f aca="false">IF(T153="LCR",U153," ")</f>
        <v> </v>
      </c>
      <c r="AE153" s="6" t="str">
        <f aca="false">IF(T153="RP",U153," ")</f>
        <v> </v>
      </c>
      <c r="AF153" s="6" t="str">
        <f aca="false">IF(T153="RV",U153," ")</f>
        <v> </v>
      </c>
      <c r="AG153" s="6" t="str">
        <f aca="false">IF(T153="RC",U153," ")</f>
        <v> </v>
      </c>
      <c r="AH153" s="6" t="str">
        <f aca="false">IF(T153="RT",U153," ")</f>
        <v> </v>
      </c>
      <c r="AI153" s="6" t="str">
        <f aca="false">IF(T153="DV",U153," ")</f>
        <v> </v>
      </c>
      <c r="AJ153" s="6" t="str">
        <f aca="false">IF(T153="DL",U153,"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IF(E154="BD",F154,"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IF(E154="DL",F154," ")</f>
        <v> </v>
      </c>
      <c r="O154" s="38"/>
      <c r="T154" s="37" t="str">
        <f aca="false">IF(U154&lt;&gt;0,"Enter Code"," ")</f>
        <v> </v>
      </c>
      <c r="V154" s="6" t="str">
        <f aca="false">IF(T154="BB",U154," ")</f>
        <v> </v>
      </c>
      <c r="W154" s="6" t="str">
        <f aca="false">IF(T154="BS",U154," ")</f>
        <v> </v>
      </c>
      <c r="X154" s="6" t="str">
        <f aca="false">IF(T154="BD",U154," ")</f>
        <v> </v>
      </c>
      <c r="Y154" s="6" t="str">
        <f aca="false">IF(T154="CR",U154," ")</f>
        <v> </v>
      </c>
      <c r="Z154" s="6" t="str">
        <f aca="false">IF(T154="W",U154," ")</f>
        <v> </v>
      </c>
      <c r="AA154" s="6" t="str">
        <f aca="false">IF(T154="B",U154," ")</f>
        <v> </v>
      </c>
      <c r="AB154" s="6" t="str">
        <f aca="false">IF(T154="J",U154," ")</f>
        <v> </v>
      </c>
      <c r="AC154" s="6" t="str">
        <f aca="false">IF(T154="LDR",U154," ")</f>
        <v> </v>
      </c>
      <c r="AD154" s="6" t="str">
        <f aca="false">IF(T154="LCR",U154," ")</f>
        <v> </v>
      </c>
      <c r="AE154" s="6" t="str">
        <f aca="false">IF(T154="RP",U154," ")</f>
        <v> </v>
      </c>
      <c r="AF154" s="6" t="str">
        <f aca="false">IF(T154="RV",U154," ")</f>
        <v> </v>
      </c>
      <c r="AG154" s="6" t="str">
        <f aca="false">IF(T154="RC",U154," ")</f>
        <v> </v>
      </c>
      <c r="AH154" s="6" t="str">
        <f aca="false">IF(T154="RT",U154," ")</f>
        <v> </v>
      </c>
      <c r="AI154" s="6" t="str">
        <f aca="false">IF(T154="DV",U154," ")</f>
        <v> </v>
      </c>
      <c r="AJ154" s="6" t="str">
        <f aca="false">IF(T154="DL",U154,"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IF(E155="BD",F155,"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IF(E155="DL",F155," ")</f>
        <v> </v>
      </c>
      <c r="O155" s="38"/>
      <c r="T155" s="37" t="str">
        <f aca="false">IF(U155&lt;&gt;0,"Enter Code"," ")</f>
        <v> </v>
      </c>
      <c r="V155" s="6" t="str">
        <f aca="false">IF(T155="BB",U155," ")</f>
        <v> </v>
      </c>
      <c r="W155" s="6" t="str">
        <f aca="false">IF(T155="BS",U155," ")</f>
        <v> </v>
      </c>
      <c r="X155" s="6" t="str">
        <f aca="false">IF(T155="BD",U155," ")</f>
        <v> </v>
      </c>
      <c r="Y155" s="6" t="str">
        <f aca="false">IF(T155="CR",U155," ")</f>
        <v> </v>
      </c>
      <c r="Z155" s="6" t="str">
        <f aca="false">IF(T155="W",U155," ")</f>
        <v> </v>
      </c>
      <c r="AA155" s="6" t="str">
        <f aca="false">IF(T155="B",U155," ")</f>
        <v> </v>
      </c>
      <c r="AB155" s="6" t="str">
        <f aca="false">IF(T155="J",U155," ")</f>
        <v> </v>
      </c>
      <c r="AC155" s="6" t="str">
        <f aca="false">IF(T155="LDR",U155," ")</f>
        <v> </v>
      </c>
      <c r="AD155" s="6" t="str">
        <f aca="false">IF(T155="LCR",U155," ")</f>
        <v> </v>
      </c>
      <c r="AE155" s="6" t="str">
        <f aca="false">IF(T155="RP",U155," ")</f>
        <v> </v>
      </c>
      <c r="AF155" s="6" t="str">
        <f aca="false">IF(T155="RV",U155," ")</f>
        <v> </v>
      </c>
      <c r="AG155" s="6" t="str">
        <f aca="false">IF(T155="RC",U155," ")</f>
        <v> </v>
      </c>
      <c r="AH155" s="6" t="str">
        <f aca="false">IF(T155="RT",U155," ")</f>
        <v> </v>
      </c>
      <c r="AI155" s="6" t="str">
        <f aca="false">IF(T155="DV",U155," ")</f>
        <v> </v>
      </c>
      <c r="AJ155" s="6" t="str">
        <f aca="false">IF(T155="DL",U155,"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IF(E156="BD",F156,"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IF(E156="DL",F156," ")</f>
        <v> </v>
      </c>
      <c r="O156" s="38"/>
      <c r="T156" s="37" t="str">
        <f aca="false">IF(U156&lt;&gt;0,"Enter Code"," ")</f>
        <v> </v>
      </c>
      <c r="V156" s="6" t="str">
        <f aca="false">IF(T156="BB",U156," ")</f>
        <v> </v>
      </c>
      <c r="W156" s="6" t="str">
        <f aca="false">IF(T156="BS",U156," ")</f>
        <v> </v>
      </c>
      <c r="X156" s="6" t="str">
        <f aca="false">IF(T156="BD",U156," ")</f>
        <v> </v>
      </c>
      <c r="Y156" s="6" t="str">
        <f aca="false">IF(T156="CR",U156," ")</f>
        <v> </v>
      </c>
      <c r="Z156" s="6" t="str">
        <f aca="false">IF(T156="W",U156," ")</f>
        <v> </v>
      </c>
      <c r="AA156" s="6" t="str">
        <f aca="false">IF(T156="B",U156," ")</f>
        <v> </v>
      </c>
      <c r="AB156" s="6" t="str">
        <f aca="false">IF(T156="J",U156," ")</f>
        <v> </v>
      </c>
      <c r="AC156" s="6" t="str">
        <f aca="false">IF(T156="LDR",U156," ")</f>
        <v> </v>
      </c>
      <c r="AD156" s="6" t="str">
        <f aca="false">IF(T156="LCR",U156," ")</f>
        <v> </v>
      </c>
      <c r="AE156" s="6" t="str">
        <f aca="false">IF(T156="RP",U156," ")</f>
        <v> </v>
      </c>
      <c r="AF156" s="6" t="str">
        <f aca="false">IF(T156="RV",U156," ")</f>
        <v> </v>
      </c>
      <c r="AG156" s="6" t="str">
        <f aca="false">IF(T156="RC",U156," ")</f>
        <v> </v>
      </c>
      <c r="AH156" s="6" t="str">
        <f aca="false">IF(T156="RT",U156," ")</f>
        <v> </v>
      </c>
      <c r="AI156" s="6" t="str">
        <f aca="false">IF(T156="DV",U156," ")</f>
        <v> </v>
      </c>
      <c r="AJ156" s="6" t="str">
        <f aca="false">IF(T156="DL",U156,"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IF(E157="BD",F157,"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IF(E157="DL",F157," ")</f>
        <v> </v>
      </c>
      <c r="O157" s="38"/>
      <c r="T157" s="37" t="str">
        <f aca="false">IF(U157&lt;&gt;0,"Enter Code"," ")</f>
        <v> </v>
      </c>
      <c r="V157" s="6" t="str">
        <f aca="false">IF(T157="BB",U157," ")</f>
        <v> </v>
      </c>
      <c r="W157" s="6" t="str">
        <f aca="false">IF(T157="BS",U157," ")</f>
        <v> </v>
      </c>
      <c r="X157" s="6" t="str">
        <f aca="false">IF(T157="BD",U157," ")</f>
        <v> </v>
      </c>
      <c r="Y157" s="6" t="str">
        <f aca="false">IF(T157="CR",U157," ")</f>
        <v> </v>
      </c>
      <c r="Z157" s="6" t="str">
        <f aca="false">IF(T157="W",U157," ")</f>
        <v> </v>
      </c>
      <c r="AA157" s="6" t="str">
        <f aca="false">IF(T157="B",U157," ")</f>
        <v> </v>
      </c>
      <c r="AB157" s="6" t="str">
        <f aca="false">IF(T157="J",U157," ")</f>
        <v> </v>
      </c>
      <c r="AC157" s="6" t="str">
        <f aca="false">IF(T157="LDR",U157," ")</f>
        <v> </v>
      </c>
      <c r="AD157" s="6" t="str">
        <f aca="false">IF(T157="LCR",U157," ")</f>
        <v> </v>
      </c>
      <c r="AE157" s="6" t="str">
        <f aca="false">IF(T157="RP",U157," ")</f>
        <v> </v>
      </c>
      <c r="AF157" s="6" t="str">
        <f aca="false">IF(T157="RV",U157," ")</f>
        <v> </v>
      </c>
      <c r="AG157" s="6" t="str">
        <f aca="false">IF(T157="RC",U157," ")</f>
        <v> </v>
      </c>
      <c r="AH157" s="6" t="str">
        <f aca="false">IF(T157="RT",U157," ")</f>
        <v> </v>
      </c>
      <c r="AI157" s="6" t="str">
        <f aca="false">IF(T157="DV",U157," ")</f>
        <v> </v>
      </c>
      <c r="AJ157" s="6" t="str">
        <f aca="false">IF(T157="DL",U157,"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IF(E158="BD",F158,"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IF(E158="DL",F158," ")</f>
        <v> </v>
      </c>
      <c r="O158" s="38"/>
      <c r="T158" s="37" t="str">
        <f aca="false">IF(U158&lt;&gt;0,"Enter Code"," ")</f>
        <v> </v>
      </c>
      <c r="V158" s="6" t="str">
        <f aca="false">IF(T158="BB",U158," ")</f>
        <v> </v>
      </c>
      <c r="W158" s="6" t="str">
        <f aca="false">IF(T158="BS",U158," ")</f>
        <v> </v>
      </c>
      <c r="X158" s="6" t="str">
        <f aca="false">IF(T158="BD",U158," ")</f>
        <v> </v>
      </c>
      <c r="Y158" s="6" t="str">
        <f aca="false">IF(T158="CR",U158," ")</f>
        <v> </v>
      </c>
      <c r="Z158" s="6" t="str">
        <f aca="false">IF(T158="W",U158," ")</f>
        <v> </v>
      </c>
      <c r="AA158" s="6" t="str">
        <f aca="false">IF(T158="B",U158," ")</f>
        <v> </v>
      </c>
      <c r="AB158" s="6" t="str">
        <f aca="false">IF(T158="J",U158," ")</f>
        <v> </v>
      </c>
      <c r="AC158" s="6" t="str">
        <f aca="false">IF(T158="LDR",U158," ")</f>
        <v> </v>
      </c>
      <c r="AD158" s="6" t="str">
        <f aca="false">IF(T158="LCR",U158," ")</f>
        <v> </v>
      </c>
      <c r="AE158" s="6" t="str">
        <f aca="false">IF(T158="RP",U158," ")</f>
        <v> </v>
      </c>
      <c r="AF158" s="6" t="str">
        <f aca="false">IF(T158="RV",U158," ")</f>
        <v> </v>
      </c>
      <c r="AG158" s="6" t="str">
        <f aca="false">IF(T158="RC",U158," ")</f>
        <v> </v>
      </c>
      <c r="AH158" s="6" t="str">
        <f aca="false">IF(T158="RT",U158," ")</f>
        <v> </v>
      </c>
      <c r="AI158" s="6" t="str">
        <f aca="false">IF(T158="DV",U158," ")</f>
        <v> </v>
      </c>
      <c r="AJ158" s="6" t="str">
        <f aca="false">IF(T158="DL",U158,"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IF(E159="BD",F159,"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IF(E159="DL",F159," ")</f>
        <v> </v>
      </c>
      <c r="O159" s="38"/>
      <c r="T159" s="37" t="str">
        <f aca="false">IF(U159&lt;&gt;0,"Enter Code"," ")</f>
        <v> </v>
      </c>
      <c r="V159" s="6" t="str">
        <f aca="false">IF(T159="BB",U159," ")</f>
        <v> </v>
      </c>
      <c r="W159" s="6" t="str">
        <f aca="false">IF(T159="BS",U159," ")</f>
        <v> </v>
      </c>
      <c r="X159" s="6" t="str">
        <f aca="false">IF(T159="BD",U159," ")</f>
        <v> </v>
      </c>
      <c r="Y159" s="6" t="str">
        <f aca="false">IF(T159="CR",U159," ")</f>
        <v> </v>
      </c>
      <c r="Z159" s="6" t="str">
        <f aca="false">IF(T159="W",U159," ")</f>
        <v> </v>
      </c>
      <c r="AA159" s="6" t="str">
        <f aca="false">IF(T159="B",U159," ")</f>
        <v> </v>
      </c>
      <c r="AB159" s="6" t="str">
        <f aca="false">IF(T159="J",U159," ")</f>
        <v> </v>
      </c>
      <c r="AC159" s="6" t="str">
        <f aca="false">IF(T159="LDR",U159," ")</f>
        <v> </v>
      </c>
      <c r="AD159" s="6" t="str">
        <f aca="false">IF(T159="LCR",U159," ")</f>
        <v> </v>
      </c>
      <c r="AE159" s="6" t="str">
        <f aca="false">IF(T159="RP",U159," ")</f>
        <v> </v>
      </c>
      <c r="AF159" s="6" t="str">
        <f aca="false">IF(T159="RV",U159," ")</f>
        <v> </v>
      </c>
      <c r="AG159" s="6" t="str">
        <f aca="false">IF(T159="RC",U159," ")</f>
        <v> </v>
      </c>
      <c r="AH159" s="6" t="str">
        <f aca="false">IF(T159="RT",U159," ")</f>
        <v> </v>
      </c>
      <c r="AI159" s="6" t="str">
        <f aca="false">IF(T159="DV",U159," ")</f>
        <v> </v>
      </c>
      <c r="AJ159" s="6" t="str">
        <f aca="false">IF(T159="DL",U159,"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IF(E160="BD",F160,"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IF(E160="DL",F160," ")</f>
        <v> </v>
      </c>
      <c r="O160" s="38"/>
      <c r="T160" s="37" t="str">
        <f aca="false">IF(U160&lt;&gt;0,"Enter Code"," ")</f>
        <v> </v>
      </c>
      <c r="V160" s="6" t="str">
        <f aca="false">IF(T160="BB",U160," ")</f>
        <v> </v>
      </c>
      <c r="W160" s="6" t="str">
        <f aca="false">IF(T160="BS",U160," ")</f>
        <v> </v>
      </c>
      <c r="X160" s="6" t="str">
        <f aca="false">IF(T160="BD",U160," ")</f>
        <v> </v>
      </c>
      <c r="Y160" s="6" t="str">
        <f aca="false">IF(T160="CR",U160," ")</f>
        <v> </v>
      </c>
      <c r="Z160" s="6" t="str">
        <f aca="false">IF(T160="W",U160," ")</f>
        <v> </v>
      </c>
      <c r="AA160" s="6" t="str">
        <f aca="false">IF(T160="B",U160," ")</f>
        <v> </v>
      </c>
      <c r="AB160" s="6" t="str">
        <f aca="false">IF(T160="J",U160," ")</f>
        <v> </v>
      </c>
      <c r="AC160" s="6" t="str">
        <f aca="false">IF(T160="LDR",U160," ")</f>
        <v> </v>
      </c>
      <c r="AD160" s="6" t="str">
        <f aca="false">IF(T160="LCR",U160," ")</f>
        <v> </v>
      </c>
      <c r="AE160" s="6" t="str">
        <f aca="false">IF(T160="RP",U160," ")</f>
        <v> </v>
      </c>
      <c r="AF160" s="6" t="str">
        <f aca="false">IF(T160="RV",U160," ")</f>
        <v> </v>
      </c>
      <c r="AG160" s="6" t="str">
        <f aca="false">IF(T160="RC",U160," ")</f>
        <v> </v>
      </c>
      <c r="AH160" s="6" t="str">
        <f aca="false">IF(T160="RT",U160," ")</f>
        <v> </v>
      </c>
      <c r="AI160" s="6" t="str">
        <f aca="false">IF(T160="DV",U160," ")</f>
        <v> </v>
      </c>
      <c r="AJ160" s="6" t="str">
        <f aca="false">IF(T160="DL",U160,"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IF(E161="BD",F161,"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IF(E161="DL",F161," ")</f>
        <v> </v>
      </c>
      <c r="O161" s="38"/>
      <c r="T161" s="37" t="str">
        <f aca="false">IF(U161&lt;&gt;0,"Enter Code"," ")</f>
        <v> </v>
      </c>
      <c r="V161" s="6" t="str">
        <f aca="false">IF(T161="BB",U161," ")</f>
        <v> </v>
      </c>
      <c r="W161" s="6" t="str">
        <f aca="false">IF(T161="BS",U161," ")</f>
        <v> </v>
      </c>
      <c r="X161" s="6" t="str">
        <f aca="false">IF(T161="BD",U161," ")</f>
        <v> </v>
      </c>
      <c r="Y161" s="6" t="str">
        <f aca="false">IF(T161="CR",U161," ")</f>
        <v> </v>
      </c>
      <c r="Z161" s="6" t="str">
        <f aca="false">IF(T161="W",U161," ")</f>
        <v> </v>
      </c>
      <c r="AA161" s="6" t="str">
        <f aca="false">IF(T161="B",U161," ")</f>
        <v> </v>
      </c>
      <c r="AB161" s="6" t="str">
        <f aca="false">IF(T161="J",U161," ")</f>
        <v> </v>
      </c>
      <c r="AC161" s="6" t="str">
        <f aca="false">IF(T161="LDR",U161," ")</f>
        <v> </v>
      </c>
      <c r="AD161" s="6" t="str">
        <f aca="false">IF(T161="LCR",U161," ")</f>
        <v> </v>
      </c>
      <c r="AE161" s="6" t="str">
        <f aca="false">IF(T161="RP",U161," ")</f>
        <v> </v>
      </c>
      <c r="AF161" s="6" t="str">
        <f aca="false">IF(T161="RV",U161," ")</f>
        <v> </v>
      </c>
      <c r="AG161" s="6" t="str">
        <f aca="false">IF(T161="RC",U161," ")</f>
        <v> </v>
      </c>
      <c r="AH161" s="6" t="str">
        <f aca="false">IF(T161="RT",U161," ")</f>
        <v> </v>
      </c>
      <c r="AI161" s="6" t="str">
        <f aca="false">IF(T161="DV",U161," ")</f>
        <v> </v>
      </c>
      <c r="AJ161" s="6" t="str">
        <f aca="false">IF(T161="DL",U161,"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IF(E162="BD",F162,"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IF(E162="DL",F162," ")</f>
        <v> </v>
      </c>
      <c r="O162" s="38"/>
      <c r="T162" s="37" t="str">
        <f aca="false">IF(U162&lt;&gt;0,"Enter Code"," ")</f>
        <v> </v>
      </c>
      <c r="V162" s="6" t="str">
        <f aca="false">IF(T162="BB",U162," ")</f>
        <v> </v>
      </c>
      <c r="W162" s="6" t="str">
        <f aca="false">IF(T162="BS",U162," ")</f>
        <v> </v>
      </c>
      <c r="X162" s="6" t="str">
        <f aca="false">IF(T162="BD",U162," ")</f>
        <v> </v>
      </c>
      <c r="Y162" s="6" t="str">
        <f aca="false">IF(T162="CR",U162," ")</f>
        <v> </v>
      </c>
      <c r="Z162" s="6" t="str">
        <f aca="false">IF(T162="W",U162," ")</f>
        <v> </v>
      </c>
      <c r="AA162" s="6" t="str">
        <f aca="false">IF(T162="B",U162," ")</f>
        <v> </v>
      </c>
      <c r="AB162" s="6" t="str">
        <f aca="false">IF(T162="J",U162," ")</f>
        <v> </v>
      </c>
      <c r="AC162" s="6" t="str">
        <f aca="false">IF(T162="LDR",U162," ")</f>
        <v> </v>
      </c>
      <c r="AD162" s="6" t="str">
        <f aca="false">IF(T162="LCR",U162," ")</f>
        <v> </v>
      </c>
      <c r="AE162" s="6" t="str">
        <f aca="false">IF(T162="RP",U162," ")</f>
        <v> </v>
      </c>
      <c r="AF162" s="6" t="str">
        <f aca="false">IF(T162="RV",U162," ")</f>
        <v> </v>
      </c>
      <c r="AG162" s="6" t="str">
        <f aca="false">IF(T162="RC",U162," ")</f>
        <v> </v>
      </c>
      <c r="AH162" s="6" t="str">
        <f aca="false">IF(T162="RT",U162," ")</f>
        <v> </v>
      </c>
      <c r="AI162" s="6" t="str">
        <f aca="false">IF(T162="DV",U162," ")</f>
        <v> </v>
      </c>
      <c r="AJ162" s="6" t="str">
        <f aca="false">IF(T162="DL",U162,"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IF(E163="BD",F163,"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IF(E163="DL",F163," ")</f>
        <v> </v>
      </c>
      <c r="O163" s="38"/>
      <c r="T163" s="37" t="str">
        <f aca="false">IF(U163&lt;&gt;0,"Enter Code"," ")</f>
        <v> </v>
      </c>
      <c r="V163" s="6" t="str">
        <f aca="false">IF(T163="BB",U163," ")</f>
        <v> </v>
      </c>
      <c r="W163" s="6" t="str">
        <f aca="false">IF(T163="BS",U163," ")</f>
        <v> </v>
      </c>
      <c r="X163" s="6" t="str">
        <f aca="false">IF(T163="BD",U163," ")</f>
        <v> </v>
      </c>
      <c r="Y163" s="6" t="str">
        <f aca="false">IF(T163="CR",U163," ")</f>
        <v> </v>
      </c>
      <c r="Z163" s="6" t="str">
        <f aca="false">IF(T163="W",U163," ")</f>
        <v> </v>
      </c>
      <c r="AA163" s="6" t="str">
        <f aca="false">IF(T163="B",U163," ")</f>
        <v> </v>
      </c>
      <c r="AB163" s="6" t="str">
        <f aca="false">IF(T163="J",U163," ")</f>
        <v> </v>
      </c>
      <c r="AC163" s="6" t="str">
        <f aca="false">IF(T163="LDR",U163," ")</f>
        <v> </v>
      </c>
      <c r="AD163" s="6" t="str">
        <f aca="false">IF(T163="LCR",U163," ")</f>
        <v> </v>
      </c>
      <c r="AE163" s="6" t="str">
        <f aca="false">IF(T163="RP",U163," ")</f>
        <v> </v>
      </c>
      <c r="AF163" s="6" t="str">
        <f aca="false">IF(T163="RV",U163," ")</f>
        <v> </v>
      </c>
      <c r="AG163" s="6" t="str">
        <f aca="false">IF(T163="RC",U163," ")</f>
        <v> </v>
      </c>
      <c r="AH163" s="6" t="str">
        <f aca="false">IF(T163="RT",U163," ")</f>
        <v> </v>
      </c>
      <c r="AI163" s="6" t="str">
        <f aca="false">IF(T163="DV",U163," ")</f>
        <v> </v>
      </c>
      <c r="AJ163" s="6" t="str">
        <f aca="false">IF(T163="DL",U163,"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IF(E164="BD",F164,"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IF(E164="DL",F164," ")</f>
        <v> </v>
      </c>
      <c r="O164" s="38"/>
      <c r="T164" s="37" t="str">
        <f aca="false">IF(U164&lt;&gt;0,"Enter Code"," ")</f>
        <v> </v>
      </c>
      <c r="V164" s="6" t="str">
        <f aca="false">IF(T164="BB",U164," ")</f>
        <v> </v>
      </c>
      <c r="W164" s="6" t="str">
        <f aca="false">IF(T164="BS",U164," ")</f>
        <v> </v>
      </c>
      <c r="X164" s="6" t="str">
        <f aca="false">IF(T164="BD",U164," ")</f>
        <v> </v>
      </c>
      <c r="Y164" s="6" t="str">
        <f aca="false">IF(T164="CR",U164," ")</f>
        <v> </v>
      </c>
      <c r="Z164" s="6" t="str">
        <f aca="false">IF(T164="W",U164," ")</f>
        <v> </v>
      </c>
      <c r="AA164" s="6" t="str">
        <f aca="false">IF(T164="B",U164," ")</f>
        <v> </v>
      </c>
      <c r="AB164" s="6" t="str">
        <f aca="false">IF(T164="J",U164," ")</f>
        <v> </v>
      </c>
      <c r="AC164" s="6" t="str">
        <f aca="false">IF(T164="LDR",U164," ")</f>
        <v> </v>
      </c>
      <c r="AD164" s="6" t="str">
        <f aca="false">IF(T164="LCR",U164," ")</f>
        <v> </v>
      </c>
      <c r="AE164" s="6" t="str">
        <f aca="false">IF(T164="RP",U164," ")</f>
        <v> </v>
      </c>
      <c r="AF164" s="6" t="str">
        <f aca="false">IF(T164="RV",U164," ")</f>
        <v> </v>
      </c>
      <c r="AG164" s="6" t="str">
        <f aca="false">IF(T164="RC",U164," ")</f>
        <v> </v>
      </c>
      <c r="AH164" s="6" t="str">
        <f aca="false">IF(T164="RT",U164," ")</f>
        <v> </v>
      </c>
      <c r="AI164" s="6" t="str">
        <f aca="false">IF(T164="DV",U164," ")</f>
        <v> </v>
      </c>
      <c r="AJ164" s="6" t="str">
        <f aca="false">IF(T164="DL",U164,"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IF(E165="BD",F165,"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IF(E165="DL",F165," ")</f>
        <v> </v>
      </c>
      <c r="O165" s="38"/>
      <c r="T165" s="37" t="str">
        <f aca="false">IF(U165&lt;&gt;0,"Enter Code"," ")</f>
        <v> </v>
      </c>
      <c r="V165" s="6" t="str">
        <f aca="false">IF(T165="BB",U165," ")</f>
        <v> </v>
      </c>
      <c r="W165" s="6" t="str">
        <f aca="false">IF(T165="BS",U165," ")</f>
        <v> </v>
      </c>
      <c r="X165" s="6" t="str">
        <f aca="false">IF(T165="BD",U165," ")</f>
        <v> </v>
      </c>
      <c r="Y165" s="6" t="str">
        <f aca="false">IF(T165="CR",U165," ")</f>
        <v> </v>
      </c>
      <c r="Z165" s="6" t="str">
        <f aca="false">IF(T165="W",U165," ")</f>
        <v> </v>
      </c>
      <c r="AA165" s="6" t="str">
        <f aca="false">IF(T165="B",U165," ")</f>
        <v> </v>
      </c>
      <c r="AB165" s="6" t="str">
        <f aca="false">IF(T165="J",U165," ")</f>
        <v> </v>
      </c>
      <c r="AC165" s="6" t="str">
        <f aca="false">IF(T165="LDR",U165," ")</f>
        <v> </v>
      </c>
      <c r="AD165" s="6" t="str">
        <f aca="false">IF(T165="LCR",U165," ")</f>
        <v> </v>
      </c>
      <c r="AE165" s="6" t="str">
        <f aca="false">IF(T165="RP",U165," ")</f>
        <v> </v>
      </c>
      <c r="AF165" s="6" t="str">
        <f aca="false">IF(T165="RV",U165," ")</f>
        <v> </v>
      </c>
      <c r="AG165" s="6" t="str">
        <f aca="false">IF(T165="RC",U165," ")</f>
        <v> </v>
      </c>
      <c r="AH165" s="6" t="str">
        <f aca="false">IF(T165="RT",U165," ")</f>
        <v> </v>
      </c>
      <c r="AI165" s="6" t="str">
        <f aca="false">IF(T165="DV",U165," ")</f>
        <v> </v>
      </c>
      <c r="AJ165" s="6" t="str">
        <f aca="false">IF(T165="DL",U165,"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IF(E166="BD",F166,"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IF(E166="DL",F166," ")</f>
        <v> </v>
      </c>
      <c r="O166" s="38"/>
      <c r="T166" s="37" t="str">
        <f aca="false">IF(U166&lt;&gt;0,"Enter Code"," ")</f>
        <v> </v>
      </c>
      <c r="V166" s="6" t="str">
        <f aca="false">IF(T166="BB",U166," ")</f>
        <v> </v>
      </c>
      <c r="W166" s="6" t="str">
        <f aca="false">IF(T166="BS",U166," ")</f>
        <v> </v>
      </c>
      <c r="X166" s="6" t="str">
        <f aca="false">IF(T166="BD",U166," ")</f>
        <v> </v>
      </c>
      <c r="Y166" s="6" t="str">
        <f aca="false">IF(T166="CR",U166," ")</f>
        <v> </v>
      </c>
      <c r="Z166" s="6" t="str">
        <f aca="false">IF(T166="W",U166," ")</f>
        <v> </v>
      </c>
      <c r="AA166" s="6" t="str">
        <f aca="false">IF(T166="B",U166," ")</f>
        <v> </v>
      </c>
      <c r="AB166" s="6" t="str">
        <f aca="false">IF(T166="J",U166," ")</f>
        <v> </v>
      </c>
      <c r="AC166" s="6" t="str">
        <f aca="false">IF(T166="LDR",U166," ")</f>
        <v> </v>
      </c>
      <c r="AD166" s="6" t="str">
        <f aca="false">IF(T166="LCR",U166," ")</f>
        <v> </v>
      </c>
      <c r="AE166" s="6" t="str">
        <f aca="false">IF(T166="RP",U166," ")</f>
        <v> </v>
      </c>
      <c r="AF166" s="6" t="str">
        <f aca="false">IF(T166="RV",U166," ")</f>
        <v> </v>
      </c>
      <c r="AG166" s="6" t="str">
        <f aca="false">IF(T166="RC",U166," ")</f>
        <v> </v>
      </c>
      <c r="AH166" s="6" t="str">
        <f aca="false">IF(T166="RT",U166," ")</f>
        <v> </v>
      </c>
      <c r="AI166" s="6" t="str">
        <f aca="false">IF(T166="DV",U166," ")</f>
        <v> </v>
      </c>
      <c r="AJ166" s="6" t="str">
        <f aca="false">IF(T166="DL",U166,"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IF(E167="BD",F167,"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IF(E167="DL",F167," ")</f>
        <v> </v>
      </c>
      <c r="O167" s="38"/>
      <c r="T167" s="37" t="str">
        <f aca="false">IF(U167&lt;&gt;0,"Enter Code"," ")</f>
        <v> </v>
      </c>
      <c r="V167" s="6" t="str">
        <f aca="false">IF(T167="BB",U167," ")</f>
        <v> </v>
      </c>
      <c r="W167" s="6" t="str">
        <f aca="false">IF(T167="BS",U167," ")</f>
        <v> </v>
      </c>
      <c r="X167" s="6" t="str">
        <f aca="false">IF(T167="BD",U167," ")</f>
        <v> </v>
      </c>
      <c r="Y167" s="6" t="str">
        <f aca="false">IF(T167="CR",U167," ")</f>
        <v> </v>
      </c>
      <c r="Z167" s="6" t="str">
        <f aca="false">IF(T167="W",U167," ")</f>
        <v> </v>
      </c>
      <c r="AA167" s="6" t="str">
        <f aca="false">IF(T167="B",U167," ")</f>
        <v> </v>
      </c>
      <c r="AB167" s="6" t="str">
        <f aca="false">IF(T167="J",U167," ")</f>
        <v> </v>
      </c>
      <c r="AC167" s="6" t="str">
        <f aca="false">IF(T167="LDR",U167," ")</f>
        <v> </v>
      </c>
      <c r="AD167" s="6" t="str">
        <f aca="false">IF(T167="LCR",U167," ")</f>
        <v> </v>
      </c>
      <c r="AE167" s="6" t="str">
        <f aca="false">IF(T167="RP",U167," ")</f>
        <v> </v>
      </c>
      <c r="AF167" s="6" t="str">
        <f aca="false">IF(T167="RV",U167," ")</f>
        <v> </v>
      </c>
      <c r="AG167" s="6" t="str">
        <f aca="false">IF(T167="RC",U167," ")</f>
        <v> </v>
      </c>
      <c r="AH167" s="6" t="str">
        <f aca="false">IF(T167="RT",U167," ")</f>
        <v> </v>
      </c>
      <c r="AI167" s="6" t="str">
        <f aca="false">IF(T167="DV",U167," ")</f>
        <v> </v>
      </c>
      <c r="AJ167" s="6" t="str">
        <f aca="false">IF(T167="DL",U167,"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IF(E168="BD",F168,"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IF(E168="DL",F168," ")</f>
        <v> </v>
      </c>
      <c r="O168" s="38"/>
      <c r="T168" s="37" t="str">
        <f aca="false">IF(U168&lt;&gt;0,"Enter Code"," ")</f>
        <v> </v>
      </c>
      <c r="V168" s="6" t="str">
        <f aca="false">IF(T168="BB",U168," ")</f>
        <v> </v>
      </c>
      <c r="W168" s="6" t="str">
        <f aca="false">IF(T168="BS",U168," ")</f>
        <v> </v>
      </c>
      <c r="X168" s="6" t="str">
        <f aca="false">IF(T168="BD",U168," ")</f>
        <v> </v>
      </c>
      <c r="Y168" s="6" t="str">
        <f aca="false">IF(T168="CR",U168," ")</f>
        <v> </v>
      </c>
      <c r="Z168" s="6" t="str">
        <f aca="false">IF(T168="W",U168," ")</f>
        <v> </v>
      </c>
      <c r="AA168" s="6" t="str">
        <f aca="false">IF(T168="B",U168," ")</f>
        <v> </v>
      </c>
      <c r="AB168" s="6" t="str">
        <f aca="false">IF(T168="J",U168," ")</f>
        <v> </v>
      </c>
      <c r="AC168" s="6" t="str">
        <f aca="false">IF(T168="LDR",U168," ")</f>
        <v> </v>
      </c>
      <c r="AD168" s="6" t="str">
        <f aca="false">IF(T168="LCR",U168," ")</f>
        <v> </v>
      </c>
      <c r="AE168" s="6" t="str">
        <f aca="false">IF(T168="RP",U168," ")</f>
        <v> </v>
      </c>
      <c r="AF168" s="6" t="str">
        <f aca="false">IF(T168="RV",U168," ")</f>
        <v> </v>
      </c>
      <c r="AG168" s="6" t="str">
        <f aca="false">IF(T168="RC",U168," ")</f>
        <v> </v>
      </c>
      <c r="AH168" s="6" t="str">
        <f aca="false">IF(T168="RT",U168," ")</f>
        <v> </v>
      </c>
      <c r="AI168" s="6" t="str">
        <f aca="false">IF(T168="DV",U168," ")</f>
        <v> </v>
      </c>
      <c r="AJ168" s="6" t="str">
        <f aca="false">IF(T168="DL",U168,"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IF(E169="BD",F169,"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IF(E169="DL",F169," ")</f>
        <v> </v>
      </c>
      <c r="O169" s="38"/>
      <c r="T169" s="37" t="str">
        <f aca="false">IF(U169&lt;&gt;0,"Enter Code"," ")</f>
        <v> </v>
      </c>
      <c r="V169" s="6" t="str">
        <f aca="false">IF(T169="BB",U169," ")</f>
        <v> </v>
      </c>
      <c r="W169" s="6" t="str">
        <f aca="false">IF(T169="BS",U169," ")</f>
        <v> </v>
      </c>
      <c r="X169" s="6" t="str">
        <f aca="false">IF(T169="BD",U169," ")</f>
        <v> </v>
      </c>
      <c r="Y169" s="6" t="str">
        <f aca="false">IF(T169="CR",U169," ")</f>
        <v> </v>
      </c>
      <c r="Z169" s="6" t="str">
        <f aca="false">IF(T169="W",U169," ")</f>
        <v> </v>
      </c>
      <c r="AA169" s="6" t="str">
        <f aca="false">IF(T169="B",U169," ")</f>
        <v> </v>
      </c>
      <c r="AB169" s="6" t="str">
        <f aca="false">IF(T169="J",U169," ")</f>
        <v> </v>
      </c>
      <c r="AC169" s="6" t="str">
        <f aca="false">IF(T169="LDR",U169," ")</f>
        <v> </v>
      </c>
      <c r="AD169" s="6" t="str">
        <f aca="false">IF(T169="LCR",U169," ")</f>
        <v> </v>
      </c>
      <c r="AE169" s="6" t="str">
        <f aca="false">IF(T169="RP",U169," ")</f>
        <v> </v>
      </c>
      <c r="AF169" s="6" t="str">
        <f aca="false">IF(T169="RV",U169," ")</f>
        <v> </v>
      </c>
      <c r="AG169" s="6" t="str">
        <f aca="false">IF(T169="RC",U169," ")</f>
        <v> </v>
      </c>
      <c r="AH169" s="6" t="str">
        <f aca="false">IF(T169="RT",U169," ")</f>
        <v> </v>
      </c>
      <c r="AI169" s="6" t="str">
        <f aca="false">IF(T169="DV",U169," ")</f>
        <v> </v>
      </c>
      <c r="AJ169" s="6" t="str">
        <f aca="false">IF(T169="DL",U169,"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IF(E170="BD",F170,"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IF(E170="DL",F170," ")</f>
        <v> </v>
      </c>
      <c r="O170" s="38"/>
      <c r="T170" s="37" t="str">
        <f aca="false">IF(U170&lt;&gt;0,"Enter Code"," ")</f>
        <v> </v>
      </c>
      <c r="V170" s="6" t="str">
        <f aca="false">IF(T170="BB",U170," ")</f>
        <v> </v>
      </c>
      <c r="W170" s="6" t="str">
        <f aca="false">IF(T170="BS",U170," ")</f>
        <v> </v>
      </c>
      <c r="X170" s="6" t="str">
        <f aca="false">IF(T170="BD",U170," ")</f>
        <v> </v>
      </c>
      <c r="Y170" s="6" t="str">
        <f aca="false">IF(T170="CR",U170," ")</f>
        <v> </v>
      </c>
      <c r="Z170" s="6" t="str">
        <f aca="false">IF(T170="W",U170," ")</f>
        <v> </v>
      </c>
      <c r="AA170" s="6" t="str">
        <f aca="false">IF(T170="B",U170," ")</f>
        <v> </v>
      </c>
      <c r="AB170" s="6" t="str">
        <f aca="false">IF(T170="J",U170," ")</f>
        <v> </v>
      </c>
      <c r="AC170" s="6" t="str">
        <f aca="false">IF(T170="LDR",U170," ")</f>
        <v> </v>
      </c>
      <c r="AD170" s="6" t="str">
        <f aca="false">IF(T170="LCR",U170," ")</f>
        <v> </v>
      </c>
      <c r="AE170" s="6" t="str">
        <f aca="false">IF(T170="RP",U170," ")</f>
        <v> </v>
      </c>
      <c r="AF170" s="6" t="str">
        <f aca="false">IF(T170="RV",U170," ")</f>
        <v> </v>
      </c>
      <c r="AG170" s="6" t="str">
        <f aca="false">IF(T170="RC",U170," ")</f>
        <v> </v>
      </c>
      <c r="AH170" s="6" t="str">
        <f aca="false">IF(T170="RT",U170," ")</f>
        <v> </v>
      </c>
      <c r="AI170" s="6" t="str">
        <f aca="false">IF(T170="DV",U170," ")</f>
        <v> </v>
      </c>
      <c r="AJ170" s="6" t="str">
        <f aca="false">IF(T170="DL",U170,"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IF(E171="BD",F171,"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IF(E171="DL",F171," ")</f>
        <v> </v>
      </c>
      <c r="O171" s="38"/>
      <c r="T171" s="37" t="str">
        <f aca="false">IF(U171&lt;&gt;0,"Enter Code"," ")</f>
        <v> </v>
      </c>
      <c r="V171" s="6" t="str">
        <f aca="false">IF(T171="BB",U171," ")</f>
        <v> </v>
      </c>
      <c r="W171" s="6" t="str">
        <f aca="false">IF(T171="BS",U171," ")</f>
        <v> </v>
      </c>
      <c r="X171" s="6" t="str">
        <f aca="false">IF(T171="BD",U171," ")</f>
        <v> </v>
      </c>
      <c r="Y171" s="6" t="str">
        <f aca="false">IF(T171="CR",U171," ")</f>
        <v> </v>
      </c>
      <c r="Z171" s="6" t="str">
        <f aca="false">IF(T171="W",U171," ")</f>
        <v> </v>
      </c>
      <c r="AA171" s="6" t="str">
        <f aca="false">IF(T171="B",U171," ")</f>
        <v> </v>
      </c>
      <c r="AB171" s="6" t="str">
        <f aca="false">IF(T171="J",U171," ")</f>
        <v> </v>
      </c>
      <c r="AC171" s="6" t="str">
        <f aca="false">IF(T171="LDR",U171," ")</f>
        <v> </v>
      </c>
      <c r="AD171" s="6" t="str">
        <f aca="false">IF(T171="LCR",U171," ")</f>
        <v> </v>
      </c>
      <c r="AE171" s="6" t="str">
        <f aca="false">IF(T171="RP",U171," ")</f>
        <v> </v>
      </c>
      <c r="AF171" s="6" t="str">
        <f aca="false">IF(T171="RV",U171," ")</f>
        <v> </v>
      </c>
      <c r="AG171" s="6" t="str">
        <f aca="false">IF(T171="RC",U171," ")</f>
        <v> </v>
      </c>
      <c r="AH171" s="6" t="str">
        <f aca="false">IF(T171="RT",U171," ")</f>
        <v> </v>
      </c>
      <c r="AI171" s="6" t="str">
        <f aca="false">IF(T171="DV",U171," ")</f>
        <v> </v>
      </c>
      <c r="AJ171" s="6" t="str">
        <f aca="false">IF(T171="DL",U171,"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IF(E172="BD",F172,"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IF(E172="DL",F172," ")</f>
        <v> </v>
      </c>
      <c r="O172" s="38"/>
      <c r="T172" s="37" t="str">
        <f aca="false">IF(U172&lt;&gt;0,"Enter Code"," ")</f>
        <v> </v>
      </c>
      <c r="V172" s="6" t="str">
        <f aca="false">IF(T172="BB",U172," ")</f>
        <v> </v>
      </c>
      <c r="W172" s="6" t="str">
        <f aca="false">IF(T172="BS",U172," ")</f>
        <v> </v>
      </c>
      <c r="X172" s="6" t="str">
        <f aca="false">IF(T172="BD",U172," ")</f>
        <v> </v>
      </c>
      <c r="Y172" s="6" t="str">
        <f aca="false">IF(T172="CR",U172," ")</f>
        <v> </v>
      </c>
      <c r="Z172" s="6" t="str">
        <f aca="false">IF(T172="W",U172," ")</f>
        <v> </v>
      </c>
      <c r="AA172" s="6" t="str">
        <f aca="false">IF(T172="B",U172," ")</f>
        <v> </v>
      </c>
      <c r="AB172" s="6" t="str">
        <f aca="false">IF(T172="J",U172," ")</f>
        <v> </v>
      </c>
      <c r="AC172" s="6" t="str">
        <f aca="false">IF(T172="LDR",U172," ")</f>
        <v> </v>
      </c>
      <c r="AD172" s="6" t="str">
        <f aca="false">IF(T172="LCR",U172," ")</f>
        <v> </v>
      </c>
      <c r="AE172" s="6" t="str">
        <f aca="false">IF(T172="RP",U172," ")</f>
        <v> </v>
      </c>
      <c r="AF172" s="6" t="str">
        <f aca="false">IF(T172="RV",U172," ")</f>
        <v> </v>
      </c>
      <c r="AG172" s="6" t="str">
        <f aca="false">IF(T172="RC",U172," ")</f>
        <v> </v>
      </c>
      <c r="AH172" s="6" t="str">
        <f aca="false">IF(T172="RT",U172," ")</f>
        <v> </v>
      </c>
      <c r="AI172" s="6" t="str">
        <f aca="false">IF(T172="DV",U172," ")</f>
        <v> </v>
      </c>
      <c r="AJ172" s="6" t="str">
        <f aca="false">IF(T172="DL",U172,"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IF(E173="BD",F173,"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IF(E173="DL",F173," ")</f>
        <v> </v>
      </c>
      <c r="O173" s="38"/>
      <c r="T173" s="37" t="str">
        <f aca="false">IF(U173&lt;&gt;0,"Enter Code"," ")</f>
        <v> </v>
      </c>
      <c r="V173" s="6" t="str">
        <f aca="false">IF(T173="BB",U173," ")</f>
        <v> </v>
      </c>
      <c r="W173" s="6" t="str">
        <f aca="false">IF(T173="BS",U173," ")</f>
        <v> </v>
      </c>
      <c r="X173" s="6" t="str">
        <f aca="false">IF(T173="BD",U173," ")</f>
        <v> </v>
      </c>
      <c r="Y173" s="6" t="str">
        <f aca="false">IF(T173="CR",U173," ")</f>
        <v> </v>
      </c>
      <c r="Z173" s="6" t="str">
        <f aca="false">IF(T173="W",U173," ")</f>
        <v> </v>
      </c>
      <c r="AA173" s="6" t="str">
        <f aca="false">IF(T173="B",U173," ")</f>
        <v> </v>
      </c>
      <c r="AB173" s="6" t="str">
        <f aca="false">IF(T173="J",U173," ")</f>
        <v> </v>
      </c>
      <c r="AC173" s="6" t="str">
        <f aca="false">IF(T173="LDR",U173," ")</f>
        <v> </v>
      </c>
      <c r="AD173" s="6" t="str">
        <f aca="false">IF(T173="LCR",U173," ")</f>
        <v> </v>
      </c>
      <c r="AE173" s="6" t="str">
        <f aca="false">IF(T173="RP",U173," ")</f>
        <v> </v>
      </c>
      <c r="AF173" s="6" t="str">
        <f aca="false">IF(T173="RV",U173," ")</f>
        <v> </v>
      </c>
      <c r="AG173" s="6" t="str">
        <f aca="false">IF(T173="RC",U173," ")</f>
        <v> </v>
      </c>
      <c r="AH173" s="6" t="str">
        <f aca="false">IF(T173="RT",U173," ")</f>
        <v> </v>
      </c>
      <c r="AI173" s="6" t="str">
        <f aca="false">IF(T173="DV",U173," ")</f>
        <v> </v>
      </c>
      <c r="AJ173" s="6" t="str">
        <f aca="false">IF(T173="DL",U173,"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IF(E174="BD",F174,"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IF(E174="DL",F174," ")</f>
        <v> </v>
      </c>
      <c r="O174" s="36"/>
      <c r="T174" s="37" t="str">
        <f aca="false">IF(U174&lt;&gt;0,"Enter Code"," ")</f>
        <v> </v>
      </c>
      <c r="V174" s="6" t="str">
        <f aca="false">IF(T174="BB",U174," ")</f>
        <v> </v>
      </c>
      <c r="W174" s="6" t="str">
        <f aca="false">IF(T174="BS",U174," ")</f>
        <v> </v>
      </c>
      <c r="X174" s="6" t="str">
        <f aca="false">IF(T174="BD",U174," ")</f>
        <v> </v>
      </c>
      <c r="Y174" s="6" t="str">
        <f aca="false">IF(T174="CR",U174," ")</f>
        <v> </v>
      </c>
      <c r="Z174" s="6" t="str">
        <f aca="false">IF(T174="W",U174," ")</f>
        <v> </v>
      </c>
      <c r="AA174" s="6" t="str">
        <f aca="false">IF(T174="B",U174," ")</f>
        <v> </v>
      </c>
      <c r="AB174" s="6" t="str">
        <f aca="false">IF(T174="J",U174," ")</f>
        <v> </v>
      </c>
      <c r="AC174" s="6" t="str">
        <f aca="false">IF(T174="LDR",U174," ")</f>
        <v> </v>
      </c>
      <c r="AD174" s="6" t="str">
        <f aca="false">IF(T174="LCR",U174," ")</f>
        <v> </v>
      </c>
      <c r="AE174" s="6" t="str">
        <f aca="false">IF(T174="RP",U174," ")</f>
        <v> </v>
      </c>
      <c r="AF174" s="6" t="str">
        <f aca="false">IF(T174="RV",U174," ")</f>
        <v> </v>
      </c>
      <c r="AG174" s="6" t="str">
        <f aca="false">IF(T174="RC",U174," ")</f>
        <v> </v>
      </c>
      <c r="AH174" s="6" t="str">
        <f aca="false">IF(T174="RT",U174," ")</f>
        <v> </v>
      </c>
      <c r="AI174" s="6" t="str">
        <f aca="false">IF(T174="DV",U174," ")</f>
        <v> </v>
      </c>
      <c r="AJ174" s="6" t="str">
        <f aca="false">IF(T174="DL",U174,"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IF(E175="BD",F175,"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IF(E175="DL",F175," ")</f>
        <v> </v>
      </c>
      <c r="O175" s="39"/>
      <c r="T175" s="37" t="str">
        <f aca="false">IF(U175&lt;&gt;0,"Enter Code"," ")</f>
        <v> </v>
      </c>
      <c r="V175" s="6" t="str">
        <f aca="false">IF(T175="BB",U175," ")</f>
        <v> </v>
      </c>
      <c r="W175" s="6" t="str">
        <f aca="false">IF(T175="BS",U175," ")</f>
        <v> </v>
      </c>
      <c r="X175" s="6" t="str">
        <f aca="false">IF(T175="BD",U175," ")</f>
        <v> </v>
      </c>
      <c r="Y175" s="6" t="str">
        <f aca="false">IF(T175="CR",U175," ")</f>
        <v> </v>
      </c>
      <c r="Z175" s="6" t="str">
        <f aca="false">IF(T175="W",U175," ")</f>
        <v> </v>
      </c>
      <c r="AA175" s="6" t="str">
        <f aca="false">IF(T175="B",U175," ")</f>
        <v> </v>
      </c>
      <c r="AB175" s="6" t="str">
        <f aca="false">IF(T175="J",U175," ")</f>
        <v> </v>
      </c>
      <c r="AC175" s="6" t="str">
        <f aca="false">IF(T175="LDR",U175," ")</f>
        <v> </v>
      </c>
      <c r="AD175" s="6" t="str">
        <f aca="false">IF(T175="LCR",U175," ")</f>
        <v> </v>
      </c>
      <c r="AE175" s="6" t="str">
        <f aca="false">IF(T175="RP",U175," ")</f>
        <v> </v>
      </c>
      <c r="AF175" s="6" t="str">
        <f aca="false">IF(T175="RV",U175," ")</f>
        <v> </v>
      </c>
      <c r="AG175" s="6" t="str">
        <f aca="false">IF(T175="RC",U175," ")</f>
        <v> </v>
      </c>
      <c r="AH175" s="6" t="str">
        <f aca="false">IF(T175="RT",U175," ")</f>
        <v> </v>
      </c>
      <c r="AI175" s="6" t="str">
        <f aca="false">IF(T175="DV",U175," ")</f>
        <v> </v>
      </c>
      <c r="AJ175" s="6" t="str">
        <f aca="false">IF(T175="DL",U175,"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IF(E176="BD",F176,"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IF(E176="DL",F176," ")</f>
        <v> </v>
      </c>
      <c r="O176" s="38"/>
      <c r="T176" s="37" t="str">
        <f aca="false">IF(U176&lt;&gt;0,"Enter Code"," ")</f>
        <v> </v>
      </c>
      <c r="V176" s="6" t="str">
        <f aca="false">IF(T176="BB",U176," ")</f>
        <v> </v>
      </c>
      <c r="W176" s="6" t="str">
        <f aca="false">IF(T176="BS",U176," ")</f>
        <v> </v>
      </c>
      <c r="X176" s="6" t="str">
        <f aca="false">IF(T176="BD",U176," ")</f>
        <v> </v>
      </c>
      <c r="Y176" s="6" t="str">
        <f aca="false">IF(T176="CR",U176," ")</f>
        <v> </v>
      </c>
      <c r="Z176" s="6" t="str">
        <f aca="false">IF(T176="W",U176," ")</f>
        <v> </v>
      </c>
      <c r="AA176" s="6" t="str">
        <f aca="false">IF(T176="B",U176," ")</f>
        <v> </v>
      </c>
      <c r="AB176" s="6" t="str">
        <f aca="false">IF(T176="J",U176," ")</f>
        <v> </v>
      </c>
      <c r="AC176" s="6" t="str">
        <f aca="false">IF(T176="LDR",U176," ")</f>
        <v> </v>
      </c>
      <c r="AD176" s="6" t="str">
        <f aca="false">IF(T176="LCR",U176," ")</f>
        <v> </v>
      </c>
      <c r="AE176" s="6" t="str">
        <f aca="false">IF(T176="RP",U176," ")</f>
        <v> </v>
      </c>
      <c r="AF176" s="6" t="str">
        <f aca="false">IF(T176="RV",U176," ")</f>
        <v> </v>
      </c>
      <c r="AG176" s="6" t="str">
        <f aca="false">IF(T176="RC",U176," ")</f>
        <v> </v>
      </c>
      <c r="AH176" s="6" t="str">
        <f aca="false">IF(T176="RT",U176," ")</f>
        <v> </v>
      </c>
      <c r="AI176" s="6" t="str">
        <f aca="false">IF(T176="DV",U176," ")</f>
        <v> </v>
      </c>
      <c r="AJ176" s="6" t="str">
        <f aca="false">IF(T176="DL",U176,"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IF(E177="BD",F177,"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IF(E177="DL",F177," ")</f>
        <v> </v>
      </c>
      <c r="O177" s="38"/>
      <c r="T177" s="37" t="str">
        <f aca="false">IF(U177&lt;&gt;0,"Enter Code"," ")</f>
        <v> </v>
      </c>
      <c r="V177" s="6" t="str">
        <f aca="false">IF(T177="BB",U177," ")</f>
        <v> </v>
      </c>
      <c r="W177" s="6" t="str">
        <f aca="false">IF(T177="BS",U177," ")</f>
        <v> </v>
      </c>
      <c r="X177" s="6" t="str">
        <f aca="false">IF(T177="BD",U177," ")</f>
        <v> </v>
      </c>
      <c r="Y177" s="6" t="str">
        <f aca="false">IF(T177="CR",U177," ")</f>
        <v> </v>
      </c>
      <c r="Z177" s="6" t="str">
        <f aca="false">IF(T177="W",U177," ")</f>
        <v> </v>
      </c>
      <c r="AA177" s="6" t="str">
        <f aca="false">IF(T177="B",U177," ")</f>
        <v> </v>
      </c>
      <c r="AB177" s="6" t="str">
        <f aca="false">IF(T177="J",U177," ")</f>
        <v> </v>
      </c>
      <c r="AC177" s="6" t="str">
        <f aca="false">IF(T177="LDR",U177," ")</f>
        <v> </v>
      </c>
      <c r="AD177" s="6" t="str">
        <f aca="false">IF(T177="LCR",U177," ")</f>
        <v> </v>
      </c>
      <c r="AE177" s="6" t="str">
        <f aca="false">IF(T177="RP",U177," ")</f>
        <v> </v>
      </c>
      <c r="AF177" s="6" t="str">
        <f aca="false">IF(T177="RV",U177," ")</f>
        <v> </v>
      </c>
      <c r="AG177" s="6" t="str">
        <f aca="false">IF(T177="RC",U177," ")</f>
        <v> </v>
      </c>
      <c r="AH177" s="6" t="str">
        <f aca="false">IF(T177="RT",U177," ")</f>
        <v> </v>
      </c>
      <c r="AI177" s="6" t="str">
        <f aca="false">IF(T177="DV",U177," ")</f>
        <v> </v>
      </c>
      <c r="AJ177" s="6" t="str">
        <f aca="false">IF(T177="DL",U177,"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IF(E178="BD",F178,"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IF(E178="DL",F178," ")</f>
        <v> </v>
      </c>
      <c r="O178" s="38"/>
      <c r="T178" s="37" t="str">
        <f aca="false">IF(U178&lt;&gt;0,"Enter Code"," ")</f>
        <v> </v>
      </c>
      <c r="V178" s="6" t="str">
        <f aca="false">IF(T178="BB",U178," ")</f>
        <v> </v>
      </c>
      <c r="W178" s="6" t="str">
        <f aca="false">IF(T178="BS",U178," ")</f>
        <v> </v>
      </c>
      <c r="X178" s="6" t="str">
        <f aca="false">IF(T178="BD",U178," ")</f>
        <v> </v>
      </c>
      <c r="Y178" s="6" t="str">
        <f aca="false">IF(T178="CR",U178," ")</f>
        <v> </v>
      </c>
      <c r="Z178" s="6" t="str">
        <f aca="false">IF(T178="W",U178," ")</f>
        <v> </v>
      </c>
      <c r="AA178" s="6" t="str">
        <f aca="false">IF(T178="B",U178," ")</f>
        <v> </v>
      </c>
      <c r="AB178" s="6" t="str">
        <f aca="false">IF(T178="J",U178," ")</f>
        <v> </v>
      </c>
      <c r="AC178" s="6" t="str">
        <f aca="false">IF(T178="LDR",U178," ")</f>
        <v> </v>
      </c>
      <c r="AD178" s="6" t="str">
        <f aca="false">IF(T178="LCR",U178," ")</f>
        <v> </v>
      </c>
      <c r="AE178" s="6" t="str">
        <f aca="false">IF(T178="RP",U178," ")</f>
        <v> </v>
      </c>
      <c r="AF178" s="6" t="str">
        <f aca="false">IF(T178="RV",U178," ")</f>
        <v> </v>
      </c>
      <c r="AG178" s="6" t="str">
        <f aca="false">IF(T178="RC",U178," ")</f>
        <v> </v>
      </c>
      <c r="AH178" s="6" t="str">
        <f aca="false">IF(T178="RT",U178," ")</f>
        <v> </v>
      </c>
      <c r="AI178" s="6" t="str">
        <f aca="false">IF(T178="DV",U178," ")</f>
        <v> </v>
      </c>
      <c r="AJ178" s="6" t="str">
        <f aca="false">IF(T178="DL",U178,"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IF(E179="BD",F179,"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IF(E179="DL",F179," ")</f>
        <v> </v>
      </c>
      <c r="O179" s="38"/>
      <c r="T179" s="37" t="str">
        <f aca="false">IF(U179&lt;&gt;0,"Enter Code"," ")</f>
        <v> </v>
      </c>
      <c r="V179" s="6" t="str">
        <f aca="false">IF(T179="BB",U179," ")</f>
        <v> </v>
      </c>
      <c r="W179" s="6" t="str">
        <f aca="false">IF(T179="BS",U179," ")</f>
        <v> </v>
      </c>
      <c r="X179" s="6" t="str">
        <f aca="false">IF(T179="BD",U179," ")</f>
        <v> </v>
      </c>
      <c r="Y179" s="6" t="str">
        <f aca="false">IF(T179="CR",U179," ")</f>
        <v> </v>
      </c>
      <c r="Z179" s="6" t="str">
        <f aca="false">IF(T179="W",U179," ")</f>
        <v> </v>
      </c>
      <c r="AA179" s="6" t="str">
        <f aca="false">IF(T179="B",U179," ")</f>
        <v> </v>
      </c>
      <c r="AB179" s="6" t="str">
        <f aca="false">IF(T179="J",U179," ")</f>
        <v> </v>
      </c>
      <c r="AC179" s="6" t="str">
        <f aca="false">IF(T179="LDR",U179," ")</f>
        <v> </v>
      </c>
      <c r="AD179" s="6" t="str">
        <f aca="false">IF(T179="LCR",U179," ")</f>
        <v> </v>
      </c>
      <c r="AE179" s="6" t="str">
        <f aca="false">IF(T179="RP",U179," ")</f>
        <v> </v>
      </c>
      <c r="AF179" s="6" t="str">
        <f aca="false">IF(T179="RV",U179," ")</f>
        <v> </v>
      </c>
      <c r="AG179" s="6" t="str">
        <f aca="false">IF(T179="RC",U179," ")</f>
        <v> </v>
      </c>
      <c r="AH179" s="6" t="str">
        <f aca="false">IF(T179="RT",U179," ")</f>
        <v> </v>
      </c>
      <c r="AI179" s="6" t="str">
        <f aca="false">IF(T179="DV",U179," ")</f>
        <v> </v>
      </c>
      <c r="AJ179" s="6" t="str">
        <f aca="false">IF(T179="DL",U179,"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IF(E180="BD",F180,"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IF(E180="DL",F180," ")</f>
        <v> </v>
      </c>
      <c r="O180" s="38"/>
      <c r="T180" s="37" t="str">
        <f aca="false">IF(U180&lt;&gt;0,"Enter Code"," ")</f>
        <v> </v>
      </c>
      <c r="V180" s="6" t="str">
        <f aca="false">IF(T180="BB",U180," ")</f>
        <v> </v>
      </c>
      <c r="W180" s="6" t="str">
        <f aca="false">IF(T180="BS",U180," ")</f>
        <v> </v>
      </c>
      <c r="X180" s="6" t="str">
        <f aca="false">IF(T180="BD",U180," ")</f>
        <v> </v>
      </c>
      <c r="Y180" s="6" t="str">
        <f aca="false">IF(T180="CR",U180," ")</f>
        <v> </v>
      </c>
      <c r="Z180" s="6" t="str">
        <f aca="false">IF(T180="W",U180," ")</f>
        <v> </v>
      </c>
      <c r="AA180" s="6" t="str">
        <f aca="false">IF(T180="B",U180," ")</f>
        <v> </v>
      </c>
      <c r="AB180" s="6" t="str">
        <f aca="false">IF(T180="J",U180," ")</f>
        <v> </v>
      </c>
      <c r="AC180" s="6" t="str">
        <f aca="false">IF(T180="LDR",U180," ")</f>
        <v> </v>
      </c>
      <c r="AD180" s="6" t="str">
        <f aca="false">IF(T180="LCR",U180," ")</f>
        <v> </v>
      </c>
      <c r="AE180" s="6" t="str">
        <f aca="false">IF(T180="RP",U180," ")</f>
        <v> </v>
      </c>
      <c r="AF180" s="6" t="str">
        <f aca="false">IF(T180="RV",U180," ")</f>
        <v> </v>
      </c>
      <c r="AG180" s="6" t="str">
        <f aca="false">IF(T180="RC",U180," ")</f>
        <v> </v>
      </c>
      <c r="AH180" s="6" t="str">
        <f aca="false">IF(T180="RT",U180," ")</f>
        <v> </v>
      </c>
      <c r="AI180" s="6" t="str">
        <f aca="false">IF(T180="DV",U180," ")</f>
        <v> </v>
      </c>
      <c r="AJ180" s="6" t="str">
        <f aca="false">IF(T180="DL",U180,"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IF(E181="BD",F181,"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IF(E181="DL",F181," ")</f>
        <v> </v>
      </c>
      <c r="O181" s="38"/>
      <c r="T181" s="37" t="str">
        <f aca="false">IF(U181&lt;&gt;0,"Enter Code"," ")</f>
        <v> </v>
      </c>
      <c r="V181" s="6" t="str">
        <f aca="false">IF(T181="BB",U181," ")</f>
        <v> </v>
      </c>
      <c r="W181" s="6" t="str">
        <f aca="false">IF(T181="BS",U181," ")</f>
        <v> </v>
      </c>
      <c r="X181" s="6" t="str">
        <f aca="false">IF(T181="BD",U181," ")</f>
        <v> </v>
      </c>
      <c r="Y181" s="6" t="str">
        <f aca="false">IF(T181="CR",U181," ")</f>
        <v> </v>
      </c>
      <c r="Z181" s="6" t="str">
        <f aca="false">IF(T181="W",U181," ")</f>
        <v> </v>
      </c>
      <c r="AA181" s="6" t="str">
        <f aca="false">IF(T181="B",U181," ")</f>
        <v> </v>
      </c>
      <c r="AB181" s="6" t="str">
        <f aca="false">IF(T181="J",U181," ")</f>
        <v> </v>
      </c>
      <c r="AC181" s="6" t="str">
        <f aca="false">IF(T181="LDR",U181," ")</f>
        <v> </v>
      </c>
      <c r="AD181" s="6" t="str">
        <f aca="false">IF(T181="LCR",U181," ")</f>
        <v> </v>
      </c>
      <c r="AE181" s="6" t="str">
        <f aca="false">IF(T181="RP",U181," ")</f>
        <v> </v>
      </c>
      <c r="AF181" s="6" t="str">
        <f aca="false">IF(T181="RV",U181," ")</f>
        <v> </v>
      </c>
      <c r="AG181" s="6" t="str">
        <f aca="false">IF(T181="RC",U181," ")</f>
        <v> </v>
      </c>
      <c r="AH181" s="6" t="str">
        <f aca="false">IF(T181="RT",U181," ")</f>
        <v> </v>
      </c>
      <c r="AI181" s="6" t="str">
        <f aca="false">IF(T181="DV",U181," ")</f>
        <v> </v>
      </c>
      <c r="AJ181" s="6" t="str">
        <f aca="false">IF(T181="DL",U181,"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IF(E182="BD",F182,"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IF(E182="DL",F182," ")</f>
        <v> </v>
      </c>
      <c r="O182" s="38"/>
      <c r="T182" s="37" t="str">
        <f aca="false">IF(U182&lt;&gt;0,"Enter Code"," ")</f>
        <v> </v>
      </c>
      <c r="V182" s="6" t="str">
        <f aca="false">IF(T182="BB",U182," ")</f>
        <v> </v>
      </c>
      <c r="W182" s="6" t="str">
        <f aca="false">IF(T182="BS",U182," ")</f>
        <v> </v>
      </c>
      <c r="X182" s="6" t="str">
        <f aca="false">IF(T182="BD",U182," ")</f>
        <v> </v>
      </c>
      <c r="Y182" s="6" t="str">
        <f aca="false">IF(T182="CR",U182," ")</f>
        <v> </v>
      </c>
      <c r="Z182" s="6" t="str">
        <f aca="false">IF(T182="W",U182," ")</f>
        <v> </v>
      </c>
      <c r="AA182" s="6" t="str">
        <f aca="false">IF(T182="B",U182," ")</f>
        <v> </v>
      </c>
      <c r="AB182" s="6" t="str">
        <f aca="false">IF(T182="J",U182," ")</f>
        <v> </v>
      </c>
      <c r="AC182" s="6" t="str">
        <f aca="false">IF(T182="LDR",U182," ")</f>
        <v> </v>
      </c>
      <c r="AD182" s="6" t="str">
        <f aca="false">IF(T182="LCR",U182," ")</f>
        <v> </v>
      </c>
      <c r="AE182" s="6" t="str">
        <f aca="false">IF(T182="RP",U182," ")</f>
        <v> </v>
      </c>
      <c r="AF182" s="6" t="str">
        <f aca="false">IF(T182="RV",U182," ")</f>
        <v> </v>
      </c>
      <c r="AG182" s="6" t="str">
        <f aca="false">IF(T182="RC",U182," ")</f>
        <v> </v>
      </c>
      <c r="AH182" s="6" t="str">
        <f aca="false">IF(T182="RT",U182," ")</f>
        <v> </v>
      </c>
      <c r="AI182" s="6" t="str">
        <f aca="false">IF(T182="DV",U182," ")</f>
        <v> </v>
      </c>
      <c r="AJ182" s="6" t="str">
        <f aca="false">IF(T182="DL",U182,"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IF(E183="BD",F183,"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IF(E183="DL",F183," ")</f>
        <v> </v>
      </c>
      <c r="O183" s="38"/>
      <c r="T183" s="37" t="str">
        <f aca="false">IF(U183&lt;&gt;0,"Enter Code"," ")</f>
        <v> </v>
      </c>
      <c r="V183" s="6" t="str">
        <f aca="false">IF(T183="BB",U183," ")</f>
        <v> </v>
      </c>
      <c r="W183" s="6" t="str">
        <f aca="false">IF(T183="BS",U183," ")</f>
        <v> </v>
      </c>
      <c r="X183" s="6" t="str">
        <f aca="false">IF(T183="BD",U183," ")</f>
        <v> </v>
      </c>
      <c r="Y183" s="6" t="str">
        <f aca="false">IF(T183="CR",U183," ")</f>
        <v> </v>
      </c>
      <c r="Z183" s="6" t="str">
        <f aca="false">IF(T183="W",U183," ")</f>
        <v> </v>
      </c>
      <c r="AA183" s="6" t="str">
        <f aca="false">IF(T183="B",U183," ")</f>
        <v> </v>
      </c>
      <c r="AB183" s="6" t="str">
        <f aca="false">IF(T183="J",U183," ")</f>
        <v> </v>
      </c>
      <c r="AC183" s="6" t="str">
        <f aca="false">IF(T183="LDR",U183," ")</f>
        <v> </v>
      </c>
      <c r="AD183" s="6" t="str">
        <f aca="false">IF(T183="LCR",U183," ")</f>
        <v> </v>
      </c>
      <c r="AE183" s="6" t="str">
        <f aca="false">IF(T183="RP",U183," ")</f>
        <v> </v>
      </c>
      <c r="AF183" s="6" t="str">
        <f aca="false">IF(T183="RV",U183," ")</f>
        <v> </v>
      </c>
      <c r="AG183" s="6" t="str">
        <f aca="false">IF(T183="RC",U183," ")</f>
        <v> </v>
      </c>
      <c r="AH183" s="6" t="str">
        <f aca="false">IF(T183="RT",U183," ")</f>
        <v> </v>
      </c>
      <c r="AI183" s="6" t="str">
        <f aca="false">IF(T183="DV",U183," ")</f>
        <v> </v>
      </c>
      <c r="AJ183" s="6" t="str">
        <f aca="false">IF(T183="DL",U183,"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IF(E184="BD",F184,"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IF(E184="DL",F184," ")</f>
        <v> </v>
      </c>
      <c r="O184" s="38"/>
      <c r="T184" s="37" t="str">
        <f aca="false">IF(U184&lt;&gt;0,"Enter Code"," ")</f>
        <v> </v>
      </c>
      <c r="V184" s="6" t="str">
        <f aca="false">IF(T184="BB",U184," ")</f>
        <v> </v>
      </c>
      <c r="W184" s="6" t="str">
        <f aca="false">IF(T184="BS",U184," ")</f>
        <v> </v>
      </c>
      <c r="X184" s="6" t="str">
        <f aca="false">IF(T184="BD",U184," ")</f>
        <v> </v>
      </c>
      <c r="Y184" s="6" t="str">
        <f aca="false">IF(T184="CR",U184," ")</f>
        <v> </v>
      </c>
      <c r="Z184" s="6" t="str">
        <f aca="false">IF(T184="W",U184," ")</f>
        <v> </v>
      </c>
      <c r="AA184" s="6" t="str">
        <f aca="false">IF(T184="B",U184," ")</f>
        <v> </v>
      </c>
      <c r="AB184" s="6" t="str">
        <f aca="false">IF(T184="J",U184," ")</f>
        <v> </v>
      </c>
      <c r="AC184" s="6" t="str">
        <f aca="false">IF(T184="LDR",U184," ")</f>
        <v> </v>
      </c>
      <c r="AD184" s="6" t="str">
        <f aca="false">IF(T184="LCR",U184," ")</f>
        <v> </v>
      </c>
      <c r="AE184" s="6" t="str">
        <f aca="false">IF(T184="RP",U184," ")</f>
        <v> </v>
      </c>
      <c r="AF184" s="6" t="str">
        <f aca="false">IF(T184="RV",U184," ")</f>
        <v> </v>
      </c>
      <c r="AG184" s="6" t="str">
        <f aca="false">IF(T184="RC",U184," ")</f>
        <v> </v>
      </c>
      <c r="AH184" s="6" t="str">
        <f aca="false">IF(T184="RT",U184," ")</f>
        <v> </v>
      </c>
      <c r="AI184" s="6" t="str">
        <f aca="false">IF(T184="DV",U184," ")</f>
        <v> </v>
      </c>
      <c r="AJ184" s="6" t="str">
        <f aca="false">IF(T184="DL",U184,"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IF(E185="BD",F185,"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IF(E185="DL",F185," ")</f>
        <v> </v>
      </c>
      <c r="O185" s="38"/>
      <c r="T185" s="37" t="str">
        <f aca="false">IF(U185&lt;&gt;0,"Enter Code"," ")</f>
        <v> </v>
      </c>
      <c r="V185" s="6" t="str">
        <f aca="false">IF(T185="BB",U185," ")</f>
        <v> </v>
      </c>
      <c r="W185" s="6" t="str">
        <f aca="false">IF(T185="BS",U185," ")</f>
        <v> </v>
      </c>
      <c r="X185" s="6" t="str">
        <f aca="false">IF(T185="BD",U185," ")</f>
        <v> </v>
      </c>
      <c r="Y185" s="6" t="str">
        <f aca="false">IF(T185="CR",U185," ")</f>
        <v> </v>
      </c>
      <c r="Z185" s="6" t="str">
        <f aca="false">IF(T185="W",U185," ")</f>
        <v> </v>
      </c>
      <c r="AA185" s="6" t="str">
        <f aca="false">IF(T185="B",U185," ")</f>
        <v> </v>
      </c>
      <c r="AB185" s="6" t="str">
        <f aca="false">IF(T185="J",U185," ")</f>
        <v> </v>
      </c>
      <c r="AC185" s="6" t="str">
        <f aca="false">IF(T185="LDR",U185," ")</f>
        <v> </v>
      </c>
      <c r="AD185" s="6" t="str">
        <f aca="false">IF(T185="LCR",U185," ")</f>
        <v> </v>
      </c>
      <c r="AE185" s="6" t="str">
        <f aca="false">IF(T185="RP",U185," ")</f>
        <v> </v>
      </c>
      <c r="AF185" s="6" t="str">
        <f aca="false">IF(T185="RV",U185," ")</f>
        <v> </v>
      </c>
      <c r="AG185" s="6" t="str">
        <f aca="false">IF(T185="RC",U185," ")</f>
        <v> </v>
      </c>
      <c r="AH185" s="6" t="str">
        <f aca="false">IF(T185="RT",U185," ")</f>
        <v> </v>
      </c>
      <c r="AI185" s="6" t="str">
        <f aca="false">IF(T185="DV",U185," ")</f>
        <v> </v>
      </c>
      <c r="AJ185" s="6" t="str">
        <f aca="false">IF(T185="DL",U185,"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IF(E186="BD",F186,"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IF(E186="DL",F186," ")</f>
        <v> </v>
      </c>
      <c r="O186" s="38"/>
      <c r="T186" s="37" t="str">
        <f aca="false">IF(U186&lt;&gt;0,"Enter Code"," ")</f>
        <v> </v>
      </c>
      <c r="V186" s="6" t="str">
        <f aca="false">IF(T186="BB",U186," ")</f>
        <v> </v>
      </c>
      <c r="W186" s="6" t="str">
        <f aca="false">IF(T186="BS",U186," ")</f>
        <v> </v>
      </c>
      <c r="X186" s="6" t="str">
        <f aca="false">IF(T186="BD",U186," ")</f>
        <v> </v>
      </c>
      <c r="Y186" s="6" t="str">
        <f aca="false">IF(T186="CR",U186," ")</f>
        <v> </v>
      </c>
      <c r="Z186" s="6" t="str">
        <f aca="false">IF(T186="W",U186," ")</f>
        <v> </v>
      </c>
      <c r="AA186" s="6" t="str">
        <f aca="false">IF(T186="B",U186," ")</f>
        <v> </v>
      </c>
      <c r="AB186" s="6" t="str">
        <f aca="false">IF(T186="J",U186," ")</f>
        <v> </v>
      </c>
      <c r="AC186" s="6" t="str">
        <f aca="false">IF(T186="LDR",U186," ")</f>
        <v> </v>
      </c>
      <c r="AD186" s="6" t="str">
        <f aca="false">IF(T186="LCR",U186," ")</f>
        <v> </v>
      </c>
      <c r="AE186" s="6" t="str">
        <f aca="false">IF(T186="RP",U186," ")</f>
        <v> </v>
      </c>
      <c r="AF186" s="6" t="str">
        <f aca="false">IF(T186="RV",U186," ")</f>
        <v> </v>
      </c>
      <c r="AG186" s="6" t="str">
        <f aca="false">IF(T186="RC",U186," ")</f>
        <v> </v>
      </c>
      <c r="AH186" s="6" t="str">
        <f aca="false">IF(T186="RT",U186," ")</f>
        <v> </v>
      </c>
      <c r="AI186" s="6" t="str">
        <f aca="false">IF(T186="DV",U186," ")</f>
        <v> </v>
      </c>
      <c r="AJ186" s="6" t="str">
        <f aca="false">IF(T186="DL",U186,"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IF(E187="BD",F187,"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IF(E187="DL",F187," ")</f>
        <v> </v>
      </c>
      <c r="O187" s="38"/>
      <c r="T187" s="37" t="str">
        <f aca="false">IF(U187&lt;&gt;0,"Enter Code"," ")</f>
        <v> </v>
      </c>
      <c r="V187" s="6" t="str">
        <f aca="false">IF(T187="BB",U187," ")</f>
        <v> </v>
      </c>
      <c r="W187" s="6" t="str">
        <f aca="false">IF(T187="BS",U187," ")</f>
        <v> </v>
      </c>
      <c r="X187" s="6" t="str">
        <f aca="false">IF(T187="BD",U187," ")</f>
        <v> </v>
      </c>
      <c r="Y187" s="6" t="str">
        <f aca="false">IF(T187="CR",U187," ")</f>
        <v> </v>
      </c>
      <c r="Z187" s="6" t="str">
        <f aca="false">IF(T187="W",U187," ")</f>
        <v> </v>
      </c>
      <c r="AA187" s="6" t="str">
        <f aca="false">IF(T187="B",U187," ")</f>
        <v> </v>
      </c>
      <c r="AB187" s="6" t="str">
        <f aca="false">IF(T187="J",U187," ")</f>
        <v> </v>
      </c>
      <c r="AC187" s="6" t="str">
        <f aca="false">IF(T187="LDR",U187," ")</f>
        <v> </v>
      </c>
      <c r="AD187" s="6" t="str">
        <f aca="false">IF(T187="LCR",U187," ")</f>
        <v> </v>
      </c>
      <c r="AE187" s="6" t="str">
        <f aca="false">IF(T187="RP",U187," ")</f>
        <v> </v>
      </c>
      <c r="AF187" s="6" t="str">
        <f aca="false">IF(T187="RV",U187," ")</f>
        <v> </v>
      </c>
      <c r="AG187" s="6" t="str">
        <f aca="false">IF(T187="RC",U187," ")</f>
        <v> </v>
      </c>
      <c r="AH187" s="6" t="str">
        <f aca="false">IF(T187="RT",U187," ")</f>
        <v> </v>
      </c>
      <c r="AI187" s="6" t="str">
        <f aca="false">IF(T187="DV",U187," ")</f>
        <v> </v>
      </c>
      <c r="AJ187" s="6" t="str">
        <f aca="false">IF(T187="DL",U187,"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IF(E188="BD",F188,"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IF(E188="DL",F188," ")</f>
        <v> </v>
      </c>
      <c r="O188" s="38"/>
      <c r="T188" s="37" t="str">
        <f aca="false">IF(U188&lt;&gt;0,"Enter Code"," ")</f>
        <v> </v>
      </c>
      <c r="V188" s="6" t="str">
        <f aca="false">IF(T188="BB",U188," ")</f>
        <v> </v>
      </c>
      <c r="W188" s="6" t="str">
        <f aca="false">IF(T188="BS",U188," ")</f>
        <v> </v>
      </c>
      <c r="X188" s="6" t="str">
        <f aca="false">IF(T188="BD",U188," ")</f>
        <v> </v>
      </c>
      <c r="Y188" s="6" t="str">
        <f aca="false">IF(T188="CR",U188," ")</f>
        <v> </v>
      </c>
      <c r="Z188" s="6" t="str">
        <f aca="false">IF(T188="W",U188," ")</f>
        <v> </v>
      </c>
      <c r="AA188" s="6" t="str">
        <f aca="false">IF(T188="B",U188," ")</f>
        <v> </v>
      </c>
      <c r="AB188" s="6" t="str">
        <f aca="false">IF(T188="J",U188," ")</f>
        <v> </v>
      </c>
      <c r="AC188" s="6" t="str">
        <f aca="false">IF(T188="LDR",U188," ")</f>
        <v> </v>
      </c>
      <c r="AD188" s="6" t="str">
        <f aca="false">IF(T188="LCR",U188," ")</f>
        <v> </v>
      </c>
      <c r="AE188" s="6" t="str">
        <f aca="false">IF(T188="RP",U188," ")</f>
        <v> </v>
      </c>
      <c r="AF188" s="6" t="str">
        <f aca="false">IF(T188="RV",U188," ")</f>
        <v> </v>
      </c>
      <c r="AG188" s="6" t="str">
        <f aca="false">IF(T188="RC",U188," ")</f>
        <v> </v>
      </c>
      <c r="AH188" s="6" t="str">
        <f aca="false">IF(T188="RT",U188," ")</f>
        <v> </v>
      </c>
      <c r="AI188" s="6" t="str">
        <f aca="false">IF(T188="DV",U188," ")</f>
        <v> </v>
      </c>
      <c r="AJ188" s="6" t="str">
        <f aca="false">IF(T188="DL",U188,"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IF(E189="BD",F189,"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IF(E189="DL",F189," ")</f>
        <v> </v>
      </c>
      <c r="O189" s="38"/>
      <c r="T189" s="37" t="str">
        <f aca="false">IF(U189&lt;&gt;0,"Enter Code"," ")</f>
        <v> </v>
      </c>
      <c r="V189" s="6" t="str">
        <f aca="false">IF(T189="BB",U189," ")</f>
        <v> </v>
      </c>
      <c r="W189" s="6" t="str">
        <f aca="false">IF(T189="BS",U189," ")</f>
        <v> </v>
      </c>
      <c r="X189" s="6" t="str">
        <f aca="false">IF(T189="BD",U189," ")</f>
        <v> </v>
      </c>
      <c r="Y189" s="6" t="str">
        <f aca="false">IF(T189="CR",U189," ")</f>
        <v> </v>
      </c>
      <c r="Z189" s="6" t="str">
        <f aca="false">IF(T189="W",U189," ")</f>
        <v> </v>
      </c>
      <c r="AA189" s="6" t="str">
        <f aca="false">IF(T189="B",U189," ")</f>
        <v> </v>
      </c>
      <c r="AB189" s="6" t="str">
        <f aca="false">IF(T189="J",U189," ")</f>
        <v> </v>
      </c>
      <c r="AC189" s="6" t="str">
        <f aca="false">IF(T189="LDR",U189," ")</f>
        <v> </v>
      </c>
      <c r="AD189" s="6" t="str">
        <f aca="false">IF(T189="LCR",U189," ")</f>
        <v> </v>
      </c>
      <c r="AE189" s="6" t="str">
        <f aca="false">IF(T189="RP",U189," ")</f>
        <v> </v>
      </c>
      <c r="AF189" s="6" t="str">
        <f aca="false">IF(T189="RV",U189," ")</f>
        <v> </v>
      </c>
      <c r="AG189" s="6" t="str">
        <f aca="false">IF(T189="RC",U189," ")</f>
        <v> </v>
      </c>
      <c r="AH189" s="6" t="str">
        <f aca="false">IF(T189="RT",U189," ")</f>
        <v> </v>
      </c>
      <c r="AI189" s="6" t="str">
        <f aca="false">IF(T189="DV",U189," ")</f>
        <v> </v>
      </c>
      <c r="AJ189" s="6" t="str">
        <f aca="false">IF(T189="DL",U189,"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IF(E190="BD",F190,"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IF(E190="DL",F190," ")</f>
        <v> </v>
      </c>
      <c r="O190" s="38"/>
      <c r="T190" s="37" t="str">
        <f aca="false">IF(U190&lt;&gt;0,"Enter Code"," ")</f>
        <v> </v>
      </c>
      <c r="V190" s="6" t="str">
        <f aca="false">IF(T190="BB",U190," ")</f>
        <v> </v>
      </c>
      <c r="W190" s="6" t="str">
        <f aca="false">IF(T190="BS",U190," ")</f>
        <v> </v>
      </c>
      <c r="X190" s="6" t="str">
        <f aca="false">IF(T190="BD",U190," ")</f>
        <v> </v>
      </c>
      <c r="Y190" s="6" t="str">
        <f aca="false">IF(T190="CR",U190," ")</f>
        <v> </v>
      </c>
      <c r="Z190" s="6" t="str">
        <f aca="false">IF(T190="W",U190," ")</f>
        <v> </v>
      </c>
      <c r="AA190" s="6" t="str">
        <f aca="false">IF(T190="B",U190," ")</f>
        <v> </v>
      </c>
      <c r="AB190" s="6" t="str">
        <f aca="false">IF(T190="J",U190," ")</f>
        <v> </v>
      </c>
      <c r="AC190" s="6" t="str">
        <f aca="false">IF(T190="LDR",U190," ")</f>
        <v> </v>
      </c>
      <c r="AD190" s="6" t="str">
        <f aca="false">IF(T190="LCR",U190," ")</f>
        <v> </v>
      </c>
      <c r="AE190" s="6" t="str">
        <f aca="false">IF(T190="RP",U190," ")</f>
        <v> </v>
      </c>
      <c r="AF190" s="6" t="str">
        <f aca="false">IF(T190="RV",U190," ")</f>
        <v> </v>
      </c>
      <c r="AG190" s="6" t="str">
        <f aca="false">IF(T190="RC",U190," ")</f>
        <v> </v>
      </c>
      <c r="AH190" s="6" t="str">
        <f aca="false">IF(T190="RT",U190," ")</f>
        <v> </v>
      </c>
      <c r="AI190" s="6" t="str">
        <f aca="false">IF(T190="DV",U190," ")</f>
        <v> </v>
      </c>
      <c r="AJ190" s="6" t="str">
        <f aca="false">IF(T190="DL",U190,"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IF(E191="BD",F191,"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IF(E191="DL",F191," ")</f>
        <v> </v>
      </c>
      <c r="O191" s="38"/>
      <c r="T191" s="37" t="str">
        <f aca="false">IF(U191&lt;&gt;0,"Enter Code"," ")</f>
        <v> </v>
      </c>
      <c r="V191" s="6" t="str">
        <f aca="false">IF(T191="BB",U191," ")</f>
        <v> </v>
      </c>
      <c r="W191" s="6" t="str">
        <f aca="false">IF(T191="BS",U191," ")</f>
        <v> </v>
      </c>
      <c r="X191" s="6" t="str">
        <f aca="false">IF(T191="BD",U191," ")</f>
        <v> </v>
      </c>
      <c r="Y191" s="6" t="str">
        <f aca="false">IF(T191="CR",U191," ")</f>
        <v> </v>
      </c>
      <c r="Z191" s="6" t="str">
        <f aca="false">IF(T191="W",U191," ")</f>
        <v> </v>
      </c>
      <c r="AA191" s="6" t="str">
        <f aca="false">IF(T191="B",U191," ")</f>
        <v> </v>
      </c>
      <c r="AB191" s="6" t="str">
        <f aca="false">IF(T191="J",U191," ")</f>
        <v> </v>
      </c>
      <c r="AC191" s="6" t="str">
        <f aca="false">IF(T191="LDR",U191," ")</f>
        <v> </v>
      </c>
      <c r="AD191" s="6" t="str">
        <f aca="false">IF(T191="LCR",U191," ")</f>
        <v> </v>
      </c>
      <c r="AE191" s="6" t="str">
        <f aca="false">IF(T191="RP",U191," ")</f>
        <v> </v>
      </c>
      <c r="AF191" s="6" t="str">
        <f aca="false">IF(T191="RV",U191," ")</f>
        <v> </v>
      </c>
      <c r="AG191" s="6" t="str">
        <f aca="false">IF(T191="RC",U191," ")</f>
        <v> </v>
      </c>
      <c r="AH191" s="6" t="str">
        <f aca="false">IF(T191="RT",U191," ")</f>
        <v> </v>
      </c>
      <c r="AI191" s="6" t="str">
        <f aca="false">IF(T191="DV",U191," ")</f>
        <v> </v>
      </c>
      <c r="AJ191" s="6" t="str">
        <f aca="false">IF(T191="DL",U191,"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IF(E192="BD",F192,"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IF(E192="DL",F192," ")</f>
        <v> </v>
      </c>
      <c r="O192" s="38"/>
      <c r="T192" s="37" t="str">
        <f aca="false">IF(U192&lt;&gt;0,"Enter Code"," ")</f>
        <v> </v>
      </c>
      <c r="V192" s="6" t="str">
        <f aca="false">IF(T192="BB",U192," ")</f>
        <v> </v>
      </c>
      <c r="W192" s="6" t="str">
        <f aca="false">IF(T192="BS",U192," ")</f>
        <v> </v>
      </c>
      <c r="X192" s="6" t="str">
        <f aca="false">IF(T192="BD",U192," ")</f>
        <v> </v>
      </c>
      <c r="Y192" s="6" t="str">
        <f aca="false">IF(T192="CR",U192," ")</f>
        <v> </v>
      </c>
      <c r="Z192" s="6" t="str">
        <f aca="false">IF(T192="W",U192," ")</f>
        <v> </v>
      </c>
      <c r="AA192" s="6" t="str">
        <f aca="false">IF(T192="B",U192," ")</f>
        <v> </v>
      </c>
      <c r="AB192" s="6" t="str">
        <f aca="false">IF(T192="J",U192," ")</f>
        <v> </v>
      </c>
      <c r="AC192" s="6" t="str">
        <f aca="false">IF(T192="LDR",U192," ")</f>
        <v> </v>
      </c>
      <c r="AD192" s="6" t="str">
        <f aca="false">IF(T192="LCR",U192," ")</f>
        <v> </v>
      </c>
      <c r="AE192" s="6" t="str">
        <f aca="false">IF(T192="RP",U192," ")</f>
        <v> </v>
      </c>
      <c r="AF192" s="6" t="str">
        <f aca="false">IF(T192="RV",U192," ")</f>
        <v> </v>
      </c>
      <c r="AG192" s="6" t="str">
        <f aca="false">IF(T192="RC",U192," ")</f>
        <v> </v>
      </c>
      <c r="AH192" s="6" t="str">
        <f aca="false">IF(T192="RT",U192," ")</f>
        <v> </v>
      </c>
      <c r="AI192" s="6" t="str">
        <f aca="false">IF(T192="DV",U192," ")</f>
        <v> </v>
      </c>
      <c r="AJ192" s="6" t="str">
        <f aca="false">IF(T192="DL",U192,"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IF(E193="BD",F193,"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IF(E193="DL",F193," ")</f>
        <v> </v>
      </c>
      <c r="O193" s="38"/>
      <c r="T193" s="37" t="str">
        <f aca="false">IF(U193&lt;&gt;0,"Enter Code"," ")</f>
        <v> </v>
      </c>
      <c r="V193" s="6" t="str">
        <f aca="false">IF(T193="BB",U193," ")</f>
        <v> </v>
      </c>
      <c r="W193" s="6" t="str">
        <f aca="false">IF(T193="BS",U193," ")</f>
        <v> </v>
      </c>
      <c r="X193" s="6" t="str">
        <f aca="false">IF(T193="BD",U193," ")</f>
        <v> </v>
      </c>
      <c r="Y193" s="6" t="str">
        <f aca="false">IF(T193="CR",U193," ")</f>
        <v> </v>
      </c>
      <c r="Z193" s="6" t="str">
        <f aca="false">IF(T193="W",U193," ")</f>
        <v> </v>
      </c>
      <c r="AA193" s="6" t="str">
        <f aca="false">IF(T193="B",U193," ")</f>
        <v> </v>
      </c>
      <c r="AB193" s="6" t="str">
        <f aca="false">IF(T193="J",U193," ")</f>
        <v> </v>
      </c>
      <c r="AC193" s="6" t="str">
        <f aca="false">IF(T193="LDR",U193," ")</f>
        <v> </v>
      </c>
      <c r="AD193" s="6" t="str">
        <f aca="false">IF(T193="LCR",U193," ")</f>
        <v> </v>
      </c>
      <c r="AE193" s="6" t="str">
        <f aca="false">IF(T193="RP",U193," ")</f>
        <v> </v>
      </c>
      <c r="AF193" s="6" t="str">
        <f aca="false">IF(T193="RV",U193," ")</f>
        <v> </v>
      </c>
      <c r="AG193" s="6" t="str">
        <f aca="false">IF(T193="RC",U193," ")</f>
        <v> </v>
      </c>
      <c r="AH193" s="6" t="str">
        <f aca="false">IF(T193="RT",U193," ")</f>
        <v> </v>
      </c>
      <c r="AI193" s="6" t="str">
        <f aca="false">IF(T193="DV",U193," ")</f>
        <v> </v>
      </c>
      <c r="AJ193" s="6" t="str">
        <f aca="false">IF(T193="DL",U193,"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IF(E194="BD",F194,"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IF(E194="DL",F194," ")</f>
        <v> </v>
      </c>
      <c r="O194" s="38"/>
      <c r="T194" s="37" t="str">
        <f aca="false">IF(U194&lt;&gt;0,"Enter Code"," ")</f>
        <v> </v>
      </c>
      <c r="V194" s="6" t="str">
        <f aca="false">IF(T194="BB",U194," ")</f>
        <v> </v>
      </c>
      <c r="W194" s="6" t="str">
        <f aca="false">IF(T194="BS",U194," ")</f>
        <v> </v>
      </c>
      <c r="X194" s="6" t="str">
        <f aca="false">IF(T194="BD",U194," ")</f>
        <v> </v>
      </c>
      <c r="Y194" s="6" t="str">
        <f aca="false">IF(T194="CR",U194," ")</f>
        <v> </v>
      </c>
      <c r="Z194" s="6" t="str">
        <f aca="false">IF(T194="W",U194," ")</f>
        <v> </v>
      </c>
      <c r="AA194" s="6" t="str">
        <f aca="false">IF(T194="B",U194," ")</f>
        <v> </v>
      </c>
      <c r="AB194" s="6" t="str">
        <f aca="false">IF(T194="J",U194," ")</f>
        <v> </v>
      </c>
      <c r="AC194" s="6" t="str">
        <f aca="false">IF(T194="LDR",U194," ")</f>
        <v> </v>
      </c>
      <c r="AD194" s="6" t="str">
        <f aca="false">IF(T194="LCR",U194," ")</f>
        <v> </v>
      </c>
      <c r="AE194" s="6" t="str">
        <f aca="false">IF(T194="RP",U194," ")</f>
        <v> </v>
      </c>
      <c r="AF194" s="6" t="str">
        <f aca="false">IF(T194="RV",U194," ")</f>
        <v> </v>
      </c>
      <c r="AG194" s="6" t="str">
        <f aca="false">IF(T194="RC",U194," ")</f>
        <v> </v>
      </c>
      <c r="AH194" s="6" t="str">
        <f aca="false">IF(T194="RT",U194," ")</f>
        <v> </v>
      </c>
      <c r="AI194" s="6" t="str">
        <f aca="false">IF(T194="DV",U194," ")</f>
        <v> </v>
      </c>
      <c r="AJ194" s="6" t="str">
        <f aca="false">IF(T194="DL",U194,"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IF(E195="BD",F195,"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IF(E195="DL",F195," ")</f>
        <v> </v>
      </c>
      <c r="O195" s="38"/>
      <c r="T195" s="37" t="str">
        <f aca="false">IF(U195&lt;&gt;0,"Enter Code"," ")</f>
        <v> </v>
      </c>
      <c r="V195" s="6" t="str">
        <f aca="false">IF(T195="BB",U195," ")</f>
        <v> </v>
      </c>
      <c r="W195" s="6" t="str">
        <f aca="false">IF(T195="BS",U195," ")</f>
        <v> </v>
      </c>
      <c r="X195" s="6" t="str">
        <f aca="false">IF(T195="BD",U195," ")</f>
        <v> </v>
      </c>
      <c r="Y195" s="6" t="str">
        <f aca="false">IF(T195="CR",U195," ")</f>
        <v> </v>
      </c>
      <c r="Z195" s="6" t="str">
        <f aca="false">IF(T195="W",U195," ")</f>
        <v> </v>
      </c>
      <c r="AA195" s="6" t="str">
        <f aca="false">IF(T195="B",U195," ")</f>
        <v> </v>
      </c>
      <c r="AB195" s="6" t="str">
        <f aca="false">IF(T195="J",U195," ")</f>
        <v> </v>
      </c>
      <c r="AC195" s="6" t="str">
        <f aca="false">IF(T195="LDR",U195," ")</f>
        <v> </v>
      </c>
      <c r="AD195" s="6" t="str">
        <f aca="false">IF(T195="LCR",U195," ")</f>
        <v> </v>
      </c>
      <c r="AE195" s="6" t="str">
        <f aca="false">IF(T195="RP",U195," ")</f>
        <v> </v>
      </c>
      <c r="AF195" s="6" t="str">
        <f aca="false">IF(T195="RV",U195," ")</f>
        <v> </v>
      </c>
      <c r="AG195" s="6" t="str">
        <f aca="false">IF(T195="RC",U195," ")</f>
        <v> </v>
      </c>
      <c r="AH195" s="6" t="str">
        <f aca="false">IF(T195="RT",U195," ")</f>
        <v> </v>
      </c>
      <c r="AI195" s="6" t="str">
        <f aca="false">IF(T195="DV",U195," ")</f>
        <v> </v>
      </c>
      <c r="AJ195" s="6" t="str">
        <f aca="false">IF(T195="DL",U195,"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IF(E196="BD",F196,"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IF(E196="DL",F196," ")</f>
        <v> </v>
      </c>
      <c r="O196" s="38"/>
      <c r="T196" s="37" t="str">
        <f aca="false">IF(U196&lt;&gt;0,"Enter Code"," ")</f>
        <v> </v>
      </c>
      <c r="V196" s="6" t="str">
        <f aca="false">IF(T196="BB",U196," ")</f>
        <v> </v>
      </c>
      <c r="W196" s="6" t="str">
        <f aca="false">IF(T196="BS",U196," ")</f>
        <v> </v>
      </c>
      <c r="X196" s="6" t="str">
        <f aca="false">IF(T196="BD",U196," ")</f>
        <v> </v>
      </c>
      <c r="Y196" s="6" t="str">
        <f aca="false">IF(T196="CR",U196," ")</f>
        <v> </v>
      </c>
      <c r="Z196" s="6" t="str">
        <f aca="false">IF(T196="W",U196," ")</f>
        <v> </v>
      </c>
      <c r="AA196" s="6" t="str">
        <f aca="false">IF(T196="B",U196," ")</f>
        <v> </v>
      </c>
      <c r="AB196" s="6" t="str">
        <f aca="false">IF(T196="J",U196," ")</f>
        <v> </v>
      </c>
      <c r="AC196" s="6" t="str">
        <f aca="false">IF(T196="LDR",U196," ")</f>
        <v> </v>
      </c>
      <c r="AD196" s="6" t="str">
        <f aca="false">IF(T196="LCR",U196," ")</f>
        <v> </v>
      </c>
      <c r="AE196" s="6" t="str">
        <f aca="false">IF(T196="RP",U196," ")</f>
        <v> </v>
      </c>
      <c r="AF196" s="6" t="str">
        <f aca="false">IF(T196="RV",U196," ")</f>
        <v> </v>
      </c>
      <c r="AG196" s="6" t="str">
        <f aca="false">IF(T196="RC",U196," ")</f>
        <v> </v>
      </c>
      <c r="AH196" s="6" t="str">
        <f aca="false">IF(T196="RT",U196," ")</f>
        <v> </v>
      </c>
      <c r="AI196" s="6" t="str">
        <f aca="false">IF(T196="DV",U196," ")</f>
        <v> </v>
      </c>
      <c r="AJ196" s="6" t="str">
        <f aca="false">IF(T196="DL",U196,"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IF(E197="BD",F197,"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IF(E197="DL",F197," ")</f>
        <v> </v>
      </c>
      <c r="O197" s="38"/>
      <c r="T197" s="37" t="str">
        <f aca="false">IF(U197&lt;&gt;0,"Enter Code"," ")</f>
        <v> </v>
      </c>
      <c r="V197" s="6" t="str">
        <f aca="false">IF(T197="BB",U197," ")</f>
        <v> </v>
      </c>
      <c r="W197" s="6" t="str">
        <f aca="false">IF(T197="BS",U197," ")</f>
        <v> </v>
      </c>
      <c r="X197" s="6" t="str">
        <f aca="false">IF(T197="BD",U197," ")</f>
        <v> </v>
      </c>
      <c r="Y197" s="6" t="str">
        <f aca="false">IF(T197="CR",U197," ")</f>
        <v> </v>
      </c>
      <c r="Z197" s="6" t="str">
        <f aca="false">IF(T197="W",U197," ")</f>
        <v> </v>
      </c>
      <c r="AA197" s="6" t="str">
        <f aca="false">IF(T197="B",U197," ")</f>
        <v> </v>
      </c>
      <c r="AB197" s="6" t="str">
        <f aca="false">IF(T197="J",U197," ")</f>
        <v> </v>
      </c>
      <c r="AC197" s="6" t="str">
        <f aca="false">IF(T197="LDR",U197," ")</f>
        <v> </v>
      </c>
      <c r="AD197" s="6" t="str">
        <f aca="false">IF(T197="LCR",U197," ")</f>
        <v> </v>
      </c>
      <c r="AE197" s="6" t="str">
        <f aca="false">IF(T197="RP",U197," ")</f>
        <v> </v>
      </c>
      <c r="AF197" s="6" t="str">
        <f aca="false">IF(T197="RV",U197," ")</f>
        <v> </v>
      </c>
      <c r="AG197" s="6" t="str">
        <f aca="false">IF(T197="RC",U197," ")</f>
        <v> </v>
      </c>
      <c r="AH197" s="6" t="str">
        <f aca="false">IF(T197="RT",U197," ")</f>
        <v> </v>
      </c>
      <c r="AI197" s="6" t="str">
        <f aca="false">IF(T197="DV",U197," ")</f>
        <v> </v>
      </c>
      <c r="AJ197" s="6" t="str">
        <f aca="false">IF(T197="DL",U197,"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IF(E198="BD",F198,"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IF(E198="DL",F198," ")</f>
        <v> </v>
      </c>
      <c r="O198" s="38"/>
      <c r="T198" s="37" t="str">
        <f aca="false">IF(U198&lt;&gt;0,"Enter Code"," ")</f>
        <v> </v>
      </c>
      <c r="V198" s="6" t="str">
        <f aca="false">IF(T198="BB",U198," ")</f>
        <v> </v>
      </c>
      <c r="W198" s="6" t="str">
        <f aca="false">IF(T198="BS",U198," ")</f>
        <v> </v>
      </c>
      <c r="X198" s="6" t="str">
        <f aca="false">IF(T198="BD",U198," ")</f>
        <v> </v>
      </c>
      <c r="Y198" s="6" t="str">
        <f aca="false">IF(T198="CR",U198," ")</f>
        <v> </v>
      </c>
      <c r="Z198" s="6" t="str">
        <f aca="false">IF(T198="W",U198," ")</f>
        <v> </v>
      </c>
      <c r="AA198" s="6" t="str">
        <f aca="false">IF(T198="B",U198," ")</f>
        <v> </v>
      </c>
      <c r="AB198" s="6" t="str">
        <f aca="false">IF(T198="J",U198," ")</f>
        <v> </v>
      </c>
      <c r="AC198" s="6" t="str">
        <f aca="false">IF(T198="LDR",U198," ")</f>
        <v> </v>
      </c>
      <c r="AD198" s="6" t="str">
        <f aca="false">IF(T198="LCR",U198," ")</f>
        <v> </v>
      </c>
      <c r="AE198" s="6" t="str">
        <f aca="false">IF(T198="RP",U198," ")</f>
        <v> </v>
      </c>
      <c r="AF198" s="6" t="str">
        <f aca="false">IF(T198="RV",U198," ")</f>
        <v> </v>
      </c>
      <c r="AG198" s="6" t="str">
        <f aca="false">IF(T198="RC",U198," ")</f>
        <v> </v>
      </c>
      <c r="AH198" s="6" t="str">
        <f aca="false">IF(T198="RT",U198," ")</f>
        <v> </v>
      </c>
      <c r="AI198" s="6" t="str">
        <f aca="false">IF(T198="DV",U198," ")</f>
        <v> </v>
      </c>
      <c r="AJ198" s="6" t="str">
        <f aca="false">IF(T198="DL",U198,"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IF(E199="BD",F199,"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IF(E199="DL",F199," ")</f>
        <v> </v>
      </c>
      <c r="O199" s="38"/>
      <c r="T199" s="37" t="str">
        <f aca="false">IF(U199&lt;&gt;0,"Enter Code"," ")</f>
        <v> </v>
      </c>
      <c r="V199" s="6" t="str">
        <f aca="false">IF(T199="BB",U199," ")</f>
        <v> </v>
      </c>
      <c r="W199" s="6" t="str">
        <f aca="false">IF(T199="BS",U199," ")</f>
        <v> </v>
      </c>
      <c r="X199" s="6" t="str">
        <f aca="false">IF(T199="BD",U199," ")</f>
        <v> </v>
      </c>
      <c r="Y199" s="6" t="str">
        <f aca="false">IF(T199="CR",U199," ")</f>
        <v> </v>
      </c>
      <c r="Z199" s="6" t="str">
        <f aca="false">IF(T199="W",U199," ")</f>
        <v> </v>
      </c>
      <c r="AA199" s="6" t="str">
        <f aca="false">IF(T199="B",U199," ")</f>
        <v> </v>
      </c>
      <c r="AB199" s="6" t="str">
        <f aca="false">IF(T199="J",U199," ")</f>
        <v> </v>
      </c>
      <c r="AC199" s="6" t="str">
        <f aca="false">IF(T199="LDR",U199," ")</f>
        <v> </v>
      </c>
      <c r="AD199" s="6" t="str">
        <f aca="false">IF(T199="LCR",U199," ")</f>
        <v> </v>
      </c>
      <c r="AE199" s="6" t="str">
        <f aca="false">IF(T199="RP",U199," ")</f>
        <v> </v>
      </c>
      <c r="AF199" s="6" t="str">
        <f aca="false">IF(T199="RV",U199," ")</f>
        <v> </v>
      </c>
      <c r="AG199" s="6" t="str">
        <f aca="false">IF(T199="RC",U199," ")</f>
        <v> </v>
      </c>
      <c r="AH199" s="6" t="str">
        <f aca="false">IF(T199="RT",U199," ")</f>
        <v> </v>
      </c>
      <c r="AI199" s="6" t="str">
        <f aca="false">IF(T199="DV",U199," ")</f>
        <v> </v>
      </c>
      <c r="AJ199" s="6" t="str">
        <f aca="false">IF(T199="DL",U199," ")</f>
        <v> </v>
      </c>
    </row>
    <row r="200" customFormat="false" ht="12.65" hidden="false" customHeight="false" outlineLevel="0" collapsed="false">
      <c r="A200" s="51"/>
      <c r="B200" s="41"/>
      <c r="C200" s="52"/>
      <c r="D200" s="43"/>
      <c r="E200" s="44" t="str">
        <f aca="false">IF(F200&lt;&gt;0,"Enter Code"," ")</f>
        <v> </v>
      </c>
      <c r="F200" s="45"/>
      <c r="G200" s="45" t="str">
        <f aca="false">IF(E200="BB",F200," ")</f>
        <v> </v>
      </c>
      <c r="H200" s="45" t="str">
        <f aca="false">IF(E200="BS",F200," ")</f>
        <v> </v>
      </c>
      <c r="I200" s="45" t="str">
        <f aca="false">IF(E200="BD",F200," ")</f>
        <v> </v>
      </c>
      <c r="J200" s="45" t="str">
        <f aca="false">IF(E200="DR",F200," ")</f>
        <v> </v>
      </c>
      <c r="K200" s="45" t="str">
        <f aca="false">IF(E200="K",F200," ")</f>
        <v> </v>
      </c>
      <c r="L200" s="45" t="str">
        <f aca="false">IF(E200="LDR",F200," ")</f>
        <v> </v>
      </c>
      <c r="M200" s="45" t="str">
        <f aca="false">IF(E200="LCR",F200," ")</f>
        <v> </v>
      </c>
      <c r="N200" s="45" t="str">
        <f aca="false">IF(E200="DL",F200," ")</f>
        <v> </v>
      </c>
      <c r="O200" s="39"/>
      <c r="P200" s="40"/>
      <c r="Q200" s="43"/>
      <c r="R200" s="42"/>
      <c r="S200" s="42"/>
      <c r="T200" s="46" t="str">
        <f aca="false">IF(U200&lt;&gt;0,"Enter Code"," ")</f>
        <v> </v>
      </c>
      <c r="U200" s="45"/>
      <c r="V200" s="45" t="str">
        <f aca="false">IF(T200="BB",U200," ")</f>
        <v> </v>
      </c>
      <c r="W200" s="45" t="str">
        <f aca="false">IF(T200="BS",U200," ")</f>
        <v> </v>
      </c>
      <c r="X200" s="45" t="str">
        <f aca="false">IF(T200="BD",U200," ")</f>
        <v> </v>
      </c>
      <c r="Y200" s="45" t="str">
        <f aca="false">IF(T200="CR",U200," ")</f>
        <v> </v>
      </c>
      <c r="Z200" s="45" t="str">
        <f aca="false">IF(T200="W",U200," ")</f>
        <v> </v>
      </c>
      <c r="AA200" s="45" t="str">
        <f aca="false">IF(T200="B",U200," ")</f>
        <v> </v>
      </c>
      <c r="AB200" s="45" t="str">
        <f aca="false">IF(T200="J",U200," ")</f>
        <v> </v>
      </c>
      <c r="AC200" s="45" t="str">
        <f aca="false">IF(T200="LDR",U200," ")</f>
        <v> </v>
      </c>
      <c r="AD200" s="45" t="str">
        <f aca="false">IF(T200="LCR",U200," ")</f>
        <v> </v>
      </c>
      <c r="AE200" s="45" t="str">
        <f aca="false">IF(T200="RP",U200," ")</f>
        <v> </v>
      </c>
      <c r="AF200" s="45" t="str">
        <f aca="false">IF(T200="RV",U200," ")</f>
        <v> </v>
      </c>
      <c r="AG200" s="45" t="str">
        <f aca="false">IF(T200="RC",U200," ")</f>
        <v> </v>
      </c>
      <c r="AH200" s="45" t="str">
        <f aca="false">IF(T200="RT",U200," ")</f>
        <v> </v>
      </c>
      <c r="AI200" s="45" t="str">
        <f aca="false">IF(T200="DV",U200," ")</f>
        <v> </v>
      </c>
      <c r="AJ200" s="45" t="str">
        <f aca="false">IF(T200="DL",U200," ")</f>
        <v> </v>
      </c>
    </row>
  </sheetData>
  <mergeCells count="38">
    <mergeCell ref="O1:O5"/>
    <mergeCell ref="P1:Q1"/>
    <mergeCell ref="D2:D5"/>
    <mergeCell ref="E2:E5"/>
    <mergeCell ref="F2:N2"/>
    <mergeCell ref="P2:Q2"/>
    <mergeCell ref="R2:R5"/>
    <mergeCell ref="S2:S5"/>
    <mergeCell ref="T2:T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U3:U5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B4:C4"/>
    <mergeCell ref="P4:P5"/>
    <mergeCell ref="Q4:Q5"/>
  </mergeCells>
  <dataValidations count="5">
    <dataValidation allowBlank="true" errorStyle="stop" operator="between" prompt="This amount indicates the receipts and payments entered do not agree with the CASH BALANCE&#10;&#10;CHECK THE AMOUNTS ENTERED AGAINST THE CASH  RECORDS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N&#10;&#10;CHECK ENTRY CODE LETTERS or ANY MANUAL ENTRIES IN COL G to N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U does not agree with the analysis of that total in columns V to AJ&#10;&#10;CHECK ENTRY CODE LETTERS or ANY MANUAL ENTRIES IN COL V to AJ&#10;" promptTitle="ERROR ALERT" showDropDown="false" showErrorMessage="true" showInputMessage="true" sqref="T1" type="none">
      <formula1>0</formula1>
      <formula2>0</formula2>
    </dataValidation>
    <dataValidation allowBlank="true" errorStyle="stop" operator="between" showDropDown="false" showErrorMessage="true" showInputMessage="false" sqref="T6:T200" type="list">
      <formula1>$V$5:$AJ$5</formula1>
      <formula2>0</formula2>
    </dataValidation>
    <dataValidation allowBlank="true" errorStyle="stop" operator="between" showDropDown="false" showErrorMessage="true" showInputMessage="false" sqref="E6:E200" type="list">
      <formula1>$G$5:$N$5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4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2006-07-04T12:07:29Z</dcterms:created>
  <dc:creator>DIY Accounting Limited</dc:creator>
  <dc:description>Copyright (C) 2006-2026 DIY Accounting Limited. Licensed under the PolyForm Internal Use License 1.0.0 with an additional grant for accountants.</dc:description>
  <dc:language>en-GB</dc:language>
  <cp:lastModifiedBy>DIY Accounting Limited</cp:lastModifiedBy>
  <cp:lastPrinted>2007-03-02T15:36:23Z</cp:lastPrinted>
  <dcterms:modified xsi:type="dcterms:W3CDTF">2025-04-03T23:05:05Z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