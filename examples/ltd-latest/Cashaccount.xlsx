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<sst xmlns="http://schemas.openxmlformats.org/spreadsheetml/2006/main" count="804" uniqueCount="71">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</sst>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77048af5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customFormat="fals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46336</v>
      </c>
      <c r="Q6" s="4" t="s">
        <v>54</v>
      </c>
      <c r="R6" s="3" t="s">
        <v>55</v>
      </c>
      <c r="S6" s="3" t="s">
        <v>56</v>
      </c>
      <c r="T6" s="37" t="s">
        <v>45</v>
      </c>
      <c r="U6" s="6" t="n">
        <v>15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Nov!A2</f>
        <v>485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485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485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Dec!A2</f>
        <v>485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F1-SUM(G1:N1)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25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A6" s="47" t="n">
        <v>46397</v>
      </c>
      <c r="B6" s="2" t="s">
        <v>57</v>
      </c>
      <c r="C6" s="48" t="s">
        <v>58</v>
      </c>
      <c r="D6" s="4" t="s">
        <v>59</v>
      </c>
      <c r="E6" s="5" t="s">
        <v>37</v>
      </c>
      <c r="F6" s="6" t="n">
        <v>100</v>
      </c>
      <c r="G6" s="6" t="n">
        <f aca="false">IF(E6="BB",F6," ")</f>
        <v>100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46397</v>
      </c>
      <c r="Q6" s="4" t="s">
        <v>60</v>
      </c>
      <c r="R6" s="3" t="s">
        <v>61</v>
      </c>
      <c r="S6" s="3" t="s">
        <v>62</v>
      </c>
      <c r="T6" s="37" t="s">
        <v>45</v>
      </c>
      <c r="U6" s="6" t="n">
        <v>25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25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Jan!A2</f>
        <v>560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Feb!A2</f>
        <v>560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560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560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Mar!A2</f>
        <v>560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18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18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46482</v>
      </c>
      <c r="Q6" s="4" t="s">
        <v>54</v>
      </c>
      <c r="R6" s="3" t="s">
        <v>63</v>
      </c>
      <c r="S6" s="3" t="s">
        <v>64</v>
      </c>
      <c r="T6" s="37" t="s">
        <v>45</v>
      </c>
      <c r="U6" s="6" t="n">
        <v>18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18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Apr!A2</f>
        <v>542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May!A2</f>
        <v>542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542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542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Jun!A2</f>
        <v>542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50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50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46578</v>
      </c>
      <c r="Q6" s="4" t="s">
        <v>65</v>
      </c>
      <c r="R6" s="3" t="s">
        <v>66</v>
      </c>
      <c r="S6" s="3" t="s">
        <v>67</v>
      </c>
      <c r="T6" s="37" t="s">
        <v>45</v>
      </c>
      <c r="U6" s="6" t="n">
        <v>50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50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Jul!A2</f>
        <v>492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Aug!A2</f>
        <v>492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492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492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customFormat="false" ht="15" hidden="false" customHeight="true" outlineLevel="0" collapsed="false">
      <c r="A1" s="50" t="n">
        <f aca="false">Sep!A2</f>
        <v>492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12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12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A1+F1-U1</f>
        <v>480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8" t="n">
        <f aca="false">A2-A3</f>
        <v>480</v>
      </c>
      <c r="B4" s="29" t="str">
        <f aca="false">IF(A4=0,"&lt;  Cash Balanced","  Reconcile Cash")</f>
        <v>  Reconcile Cash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P6" s="1" t="n">
        <v>46680</v>
      </c>
      <c r="Q6" s="4" t="s">
        <v>68</v>
      </c>
      <c r="R6" s="3" t="s">
        <v>69</v>
      </c>
      <c r="S6" s="3" t="s">
        <v>70</v>
      </c>
      <c r="T6" s="37" t="s">
        <v>45</v>
      </c>
      <c r="U6" s="6" t="n">
        <v>12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n">
        <f aca="false">IF(T6="CR",U6," ")</f>
        <v>12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