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edule" sheetId="1" state="visible" r:id="rId3"/>
    <sheet name="FAreconciliation" sheetId="2" state="visible" r:id="rId4"/>
    <sheet name="HPfinance" sheetId="3" state="visible" r:id="rId5"/>
  </sheets>
  <externalReferences>
    <externalReference r:id="rId6"/>
    <externalReference r:id="rId7"/>
    <externalReference r:id="rId8"/>
  </externalReferences>
  <definedNames>
    <definedName function="false" hidden="false" localSheetId="0" name="_xlnm.Print_Titles" vbProcedure="false">Schedule!$A:$G,Schedule!$1:$4</definedName>
    <definedName function="false" hidden="false" localSheetId="0" name="Excel_BuiltIn_Print_Titles" vbProcedure="false">(Schedule!$A:$G,Schedule!$1:$4)</definedName>
    <definedName function="false" hidden="false" localSheetId="0" name="_xlnm_Print_Titles" vbProcedure="false">(Schedule!$A:$G,Schedule!$1:$4)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<sst xmlns="http://schemas.openxmlformats.org/spreadsheetml/2006/main" count="109" uniqueCount="77">
  <si>
    <t xml:space="preserve">Date Asset Purchased</t>
  </si>
  <si>
    <t xml:space="preserve">FIXED ASSETS</t>
  </si>
  <si>
    <t xml:space="preserve">Deprn Rate %</t>
  </si>
  <si>
    <t xml:space="preserve">Enter % Personal use of vehicles</t>
  </si>
  <si>
    <t xml:space="preserve">Annual Invest Allow</t>
  </si>
  <si>
    <t xml:space="preserve">Date          Asset Sold</t>
  </si>
  <si>
    <t xml:space="preserve">Asset Description</t>
  </si>
  <si>
    <t xml:space="preserve">Purchase Reference</t>
  </si>
  <si>
    <t xml:space="preserve">Original Cost</t>
  </si>
  <si>
    <t xml:space="preserve">Accumulated Depreciation</t>
  </si>
  <si>
    <r>
      <rPr>
        <sz val="9"/>
        <rFont val="Times New Roman"/>
        <family val="1"/>
        <charset val="1"/>
      </rPr>
      <t xml:space="preserve">Written Down </t>
    </r>
    <r>
      <rPr>
        <b val="true"/>
        <sz val="9"/>
        <rFont val="Times New Roman"/>
        <family val="1"/>
        <charset val="1"/>
      </rPr>
      <t xml:space="preserve">BOOK</t>
    </r>
    <r>
      <rPr>
        <sz val="9"/>
        <rFont val="Times New Roman"/>
        <family val="1"/>
        <charset val="1"/>
      </rPr>
      <t xml:space="preserve"> Value</t>
    </r>
  </si>
  <si>
    <t xml:space="preserve">Depreciation Charge current year</t>
  </si>
  <si>
    <r>
      <rPr>
        <sz val="9"/>
        <rFont val="Times New Roman"/>
        <family val="1"/>
        <charset val="1"/>
      </rPr>
      <t xml:space="preserve">Written Down </t>
    </r>
    <r>
      <rPr>
        <b val="true"/>
        <sz val="9"/>
        <rFont val="Times New Roman"/>
        <family val="1"/>
        <charset val="1"/>
      </rPr>
      <t xml:space="preserve">TAX</t>
    </r>
    <r>
      <rPr>
        <sz val="9"/>
        <rFont val="Times New Roman"/>
        <family val="1"/>
        <charset val="1"/>
      </rPr>
      <t xml:space="preserve"> Value</t>
    </r>
  </si>
  <si>
    <t xml:space="preserve">Annual Investment Allowance</t>
  </si>
  <si>
    <t xml:space="preserve">W Down Allowance</t>
  </si>
  <si>
    <r>
      <rPr>
        <b val="true"/>
        <sz val="9"/>
        <rFont val="Times New Roman"/>
        <family val="1"/>
        <charset val="1"/>
      </rPr>
      <t xml:space="preserve">Sales Value</t>
    </r>
    <r>
      <rPr>
        <sz val="9"/>
        <rFont val="Times New Roman"/>
        <family val="1"/>
        <charset val="1"/>
      </rPr>
      <t xml:space="preserve"> Assets Sold</t>
    </r>
  </si>
  <si>
    <r>
      <rPr>
        <b val="true"/>
        <sz val="9"/>
        <rFont val="Times New Roman"/>
        <family val="1"/>
        <charset val="1"/>
      </rPr>
      <t xml:space="preserve">Original Cost</t>
    </r>
    <r>
      <rPr>
        <sz val="9"/>
        <rFont val="Times New Roman"/>
        <family val="1"/>
        <charset val="1"/>
      </rPr>
      <t xml:space="preserve">      Assets Sold</t>
    </r>
  </si>
  <si>
    <r>
      <rPr>
        <b val="true"/>
        <sz val="9"/>
        <rFont val="Times New Roman"/>
        <family val="1"/>
        <charset val="1"/>
      </rPr>
      <t xml:space="preserve">Accumulated Depreciation</t>
    </r>
    <r>
      <rPr>
        <sz val="9"/>
        <rFont val="Times New Roman"/>
        <family val="1"/>
        <charset val="1"/>
      </rPr>
      <t xml:space="preserve"> Assets Sold</t>
    </r>
  </si>
  <si>
    <t xml:space="preserve">Capital Allowance</t>
  </si>
  <si>
    <t xml:space="preserve">Balancing Charge</t>
  </si>
  <si>
    <t xml:space="preserve">EXISTING FIXED ASSETS AT </t>
  </si>
  <si>
    <t xml:space="preserve">Land &amp; Property</t>
  </si>
  <si>
    <t xml:space="preserve">Office premises</t>
  </si>
  <si>
    <t xml:space="preserve">Plant &amp; Machinery</t>
  </si>
  <si>
    <t xml:space="preserve">Fixtures &amp; Fittings</t>
  </si>
  <si>
    <t xml:space="preserve">Computers</t>
  </si>
  <si>
    <t xml:space="preserve">Laptop (0.5 years old)</t>
  </si>
  <si>
    <t xml:space="preserve">Motor Vehicles - Cars</t>
  </si>
  <si>
    <t xml:space="preserve">Motor Vehicles - Vans &amp; Lorries</t>
  </si>
  <si>
    <t xml:space="preserve">Van (2.5 years old)</t>
  </si>
  <si>
    <t xml:space="preserve">NEW FIXED ASSETS Bought This Year</t>
  </si>
  <si>
    <t xml:space="preserve">to</t>
  </si>
  <si>
    <t xml:space="preserve">New Land &amp; Property</t>
  </si>
  <si>
    <t xml:space="preserve">Dell</t>
  </si>
  <si>
    <t xml:space="preserve">Precision Tooling Supplies</t>
  </si>
  <si>
    <t xml:space="preserve">IKEA</t>
  </si>
  <si>
    <t xml:space="preserve">Ford</t>
  </si>
  <si>
    <t xml:space="preserve">New Plant &amp; Machinery</t>
  </si>
  <si>
    <t xml:space="preserve">New Fixtures &amp; Fittings</t>
  </si>
  <si>
    <t xml:space="preserve">New Computers</t>
  </si>
  <si>
    <t xml:space="preserve">New Motor Vehicles</t>
  </si>
  <si>
    <t xml:space="preserve">NEW FIXED ASSETS Bought This Year To</t>
  </si>
  <si>
    <t xml:space="preserve">FIXED ASSET RECONCILIATION</t>
  </si>
  <si>
    <t xml:space="preserve">FIXED ASSET PURCHASES</t>
  </si>
  <si>
    <t xml:space="preserve">FIXED ASSET SALES</t>
  </si>
  <si>
    <t xml:space="preserve">Sales Value</t>
  </si>
  <si>
    <t xml:space="preserve">Reconciliation totals on Row 15 should be zero.                               If Row 15 not zero check all Fixed Assets entered on       Purchases and Sales Spreadsheets           have been recorded on the                       Fixed Asset Schedule.</t>
  </si>
  <si>
    <t xml:space="preserve">Fixed Asset Schedule New Additions</t>
  </si>
  <si>
    <t xml:space="preserve">Fixed Asset Schedule Assets Sold</t>
  </si>
  <si>
    <t xml:space="preserve">Land &amp; Property Sold</t>
  </si>
  <si>
    <t xml:space="preserve">Plant &amp; Machinery Sold</t>
  </si>
  <si>
    <t xml:space="preserve">Fixtures &amp; Fittings Sold</t>
  </si>
  <si>
    <t xml:space="preserve">Computers Sold</t>
  </si>
  <si>
    <t xml:space="preserve">Motor Vehicles Sold</t>
  </si>
  <si>
    <t xml:space="preserve">  FIXED ASSETS SCHEDULE</t>
  </si>
  <si>
    <t xml:space="preserve">  PURCHASE SHEET FIXED ASSETS PURCHASES</t>
  </si>
  <si>
    <t xml:space="preserve">  SALES SHEET FIXED ASSETS SALES</t>
  </si>
  <si>
    <t xml:space="preserve">YEAR END LONG TERM CREDITORS</t>
  </si>
  <si>
    <t xml:space="preserve">Enter Finance Agreements due to end more than 12 months after the financial year end or leave blank</t>
  </si>
  <si>
    <t xml:space="preserve">New Hire Purchase Agreements</t>
  </si>
  <si>
    <t xml:space="preserve">Agreement Date</t>
  </si>
  <si>
    <t xml:space="preserve">Finance Company</t>
  </si>
  <si>
    <t xml:space="preserve">Agreement Reference</t>
  </si>
  <si>
    <t xml:space="preserve">Total Amount Financed excluding Admin &amp; Interest</t>
  </si>
  <si>
    <t xml:space="preserve">Admin Charges</t>
  </si>
  <si>
    <t xml:space="preserve">Total Interest Charged</t>
  </si>
  <si>
    <t xml:space="preserve">Number of Months</t>
  </si>
  <si>
    <t xml:space="preserve">BANK ANALYSIS PURPOSES</t>
  </si>
  <si>
    <t xml:space="preserve">Enter Supplier Name as entered on Purchase Spreadsheet</t>
  </si>
  <si>
    <t xml:space="preserve">Monthly Payment</t>
  </si>
  <si>
    <t xml:space="preserve">Net Capital Repayment</t>
  </si>
  <si>
    <t xml:space="preserve">Monthly Interest</t>
  </si>
  <si>
    <t xml:space="preserve">Close Brothers Asset Finance</t>
  </si>
  <si>
    <t xml:space="preserve">HP-2025-01</t>
  </si>
  <si>
    <t xml:space="preserve">HP-2025-02</t>
  </si>
  <si>
    <t xml:space="preserve">Hire Purchase Agreements existing at start of financial year</t>
  </si>
  <si>
    <t xml:space="preserve">Required to calculate monthly interest liability</t>
  </si>
</sst>
</file>

<file path=xl/styles.xml><?xml version="1.0" encoding="utf-8"?>
<styleSheet xmlns="http://schemas.openxmlformats.org/spreadsheetml/2006/main">
  <numFmts count="8">
    <numFmt numFmtId="164" formatCode="General"/>
    <numFmt numFmtId="165" formatCode="dd\-mmm\-yy"/>
    <numFmt numFmtId="166" formatCode="0"/>
    <numFmt numFmtId="167" formatCode="#,##0.00_ ;[RED]\-#,##0.00\ "/>
    <numFmt numFmtId="168" formatCode="0%"/>
    <numFmt numFmtId="169" formatCode="dd/mm/yyyy"/>
    <numFmt numFmtId="170" formatCode="[$-F800]dddd&quot;, &quot;mmmm\ dd&quot;, &quot;yyyy"/>
    <numFmt numFmtId="171" formatCode="#,##0.00"/>
  </numFmts>
  <fonts count="16">
    <font>
      <sz val="10"/>
      <name val="Arial"/>
      <family val="0"/>
      <charset val="1"/>
    </font>
    <font>
      <sz val="10"/>
      <name val="Arial"/>
      <family val="0"/>
    </font>
    <font>
      <sz val="10"/>
      <name val="Arial"/>
      <family val="0"/>
    </font>
    <font>
      <sz val="10"/>
      <name val="Arial"/>
      <family val="0"/>
    </font>
    <font>
      <sz val="9"/>
      <name val="Times New Roman"/>
      <family val="1"/>
      <charset val="1"/>
    </font>
    <font>
      <sz val="8"/>
      <name val="Times New Roman"/>
      <family val="1"/>
      <charset val="1"/>
    </font>
    <font>
      <b val="true"/>
      <sz val="9"/>
      <name val="Times New Roman"/>
      <family val="1"/>
      <charset val="1"/>
    </font>
    <font>
      <b val="true"/>
      <i val="true"/>
      <sz val="8"/>
      <name val="Times New Roman"/>
      <family val="1"/>
      <charset val="1"/>
    </font>
    <font>
      <b val="true"/>
      <sz val="9"/>
      <color rgb="FF000000"/>
      <name val="Times New Roman"/>
      <family val="1"/>
      <charset val="1"/>
    </font>
    <font>
      <sz val="10"/>
      <color rgb="FFFF0000"/>
      <name val="Arial"/>
      <family val="2"/>
      <charset val="1"/>
    </font>
    <font>
      <sz val="9"/>
      <name val="Arial"/>
      <family val="2"/>
      <charset val="1"/>
    </font>
    <font>
      <sz val="10"/>
      <color rgb="FF000080"/>
      <name val="Times New Roman"/>
      <family val="1"/>
      <charset val="1"/>
    </font>
    <font>
      <b val="true"/>
      <sz val="10"/>
      <name val="Arial"/>
      <family val="2"/>
      <charset val="1"/>
    </font>
    <font>
      <b val="true"/>
      <sz val="11"/>
      <name val="Times New Roman"/>
      <family val="1"/>
      <charset val="1"/>
    </font>
    <font>
      <sz val="10"/>
      <name val="Times New Roman"/>
      <family val="1"/>
      <charset val="1"/>
    </font>
    <font>
      <b val="true"/>
      <sz val="8"/>
      <name val="Times New Roman"/>
      <family val="1"/>
      <charset val="1"/>
    </font>
  </fonts>
  <fills count="4">
    <fill>
      <patternFill patternType="none"/>
    </fill>
    <fill>
      <patternFill patternType="gray125"/>
    </fill>
    <fill>
      <patternFill patternType="solid">
        <fgColor rgb="FFFFFFCC"/>
        <bgColor rgb="FFFFFFFF"/>
      </patternFill>
    </fill>
    <fill>
      <patternFill patternType="solid">
        <fgColor rgb="FFCCFFCC"/>
        <bgColor rgb="FFCCFFFF"/>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bottom/>
      <diagonal/>
    </border>
    <border diagonalUp="false" diagonalDown="false">
      <left style="thin"/>
      <right style="thin"/>
      <top/>
      <bottom style="thin"/>
      <diagonal/>
    </border>
    <border diagonalUp="false" diagonalDown="false">
      <left style="medium"/>
      <right style="medium"/>
      <top style="medium"/>
      <bottom style="medium"/>
      <diagonal/>
    </border>
    <border diagonalUp="false" diagonalDown="false">
      <left/>
      <right/>
      <top style="medium"/>
      <bottom style="mediu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style="medium"/>
      <right/>
      <top/>
      <bottom/>
      <diagonal/>
    </border>
    <border diagonalUp="false" diagonalDown="false">
      <left style="thin"/>
      <right/>
      <top style="thin"/>
      <bottom style="thin"/>
      <diagonal/>
    </border>
    <border diagonalUp="false" diagonalDown="false">
      <left style="double"/>
      <right style="medium"/>
      <top style="double"/>
      <bottom style="double"/>
      <diagonal/>
    </border>
    <border diagonalUp="false" diagonalDown="false">
      <left style="medium"/>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xf numFmtId="167" fontId="4" fillId="0" borderId="0" xfId="0" applyFont="true" applyBorder="false" applyAlignment="true" applyProtection="false">
      <alignment horizontal="center"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7" fontId="6" fillId="2" borderId="1" xfId="0" applyFont="true" applyBorder="true" applyAlignment="true" applyProtection="false">
      <alignment horizontal="center" vertical="bottom" textRotation="0" wrapText="false" indent="0" shrinkToFit="false"/>
      <protection locked="true" hidden="false"/>
    </xf>
    <xf numFmtId="167" fontId="6" fillId="2" borderId="2" xfId="0" applyFont="true" applyBorder="true" applyAlignment="true" applyProtection="false">
      <alignment horizontal="center" vertical="bottom" textRotation="0" wrapText="false" indent="0" shrinkToFit="false"/>
      <protection locked="true" hidden="false"/>
    </xf>
    <xf numFmtId="168" fontId="4" fillId="2" borderId="2" xfId="0" applyFont="true" applyBorder="true" applyAlignment="true" applyProtection="false">
      <alignment horizontal="center" vertical="center" textRotation="0" wrapText="true" indent="0" shrinkToFit="false"/>
      <protection locked="true" hidden="false"/>
    </xf>
    <xf numFmtId="166" fontId="4" fillId="2" borderId="3" xfId="0" applyFont="true" applyBorder="true" applyAlignment="true" applyProtection="false">
      <alignment horizontal="center" vertical="center" textRotation="0" wrapText="true" indent="0" shrinkToFit="false"/>
      <protection locked="true" hidden="false"/>
    </xf>
    <xf numFmtId="167" fontId="6" fillId="2" borderId="3" xfId="0" applyFont="true" applyBorder="true" applyAlignment="true" applyProtection="false">
      <alignment horizontal="center" vertical="bottom" textRotation="0" wrapText="false" indent="0" shrinkToFit="false"/>
      <protection locked="true" hidden="false"/>
    </xf>
    <xf numFmtId="165" fontId="4" fillId="2" borderId="2" xfId="0" applyFont="true" applyBorder="true" applyAlignment="true" applyProtection="false">
      <alignment horizontal="center" vertical="center" textRotation="0" wrapText="true" indent="0" shrinkToFit="false"/>
      <protection locked="true" hidden="false"/>
    </xf>
    <xf numFmtId="164" fontId="6" fillId="2" borderId="4"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9" fontId="4" fillId="2" borderId="1" xfId="0" applyFont="true" applyBorder="true" applyAlignment="true" applyProtection="false">
      <alignment horizontal="center" vertical="center" textRotation="0" wrapText="true" indent="0" shrinkToFit="false"/>
      <protection locked="true" hidden="false"/>
    </xf>
    <xf numFmtId="166" fontId="4" fillId="2" borderId="1" xfId="0" applyFont="true" applyBorder="true" applyAlignment="true" applyProtection="false">
      <alignment horizontal="center" vertical="center" textRotation="0" wrapText="true" indent="0" shrinkToFit="false"/>
      <protection locked="true" hidden="false"/>
    </xf>
    <xf numFmtId="167" fontId="4" fillId="2" borderId="1" xfId="0" applyFont="true" applyBorder="true" applyAlignment="true" applyProtection="false">
      <alignment horizontal="center" vertical="center" textRotation="0" wrapText="true" indent="0" shrinkToFit="false"/>
      <protection locked="true" hidden="false"/>
    </xf>
    <xf numFmtId="167" fontId="5" fillId="2" borderId="1" xfId="0" applyFont="true" applyBorder="true" applyAlignment="true" applyProtection="false">
      <alignment horizontal="center" vertical="center" textRotation="0" wrapText="true" indent="0" shrinkToFit="false"/>
      <protection locked="true" hidden="false"/>
    </xf>
    <xf numFmtId="167" fontId="6" fillId="2" borderId="1" xfId="0" applyFont="true" applyBorder="true" applyAlignment="true" applyProtection="false">
      <alignment horizontal="center" vertical="center" textRotation="0" wrapText="tru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center" vertical="center" textRotation="0" wrapText="true" indent="0" shrinkToFit="false"/>
      <protection locked="true" hidden="false"/>
    </xf>
    <xf numFmtId="166" fontId="6" fillId="2" borderId="1" xfId="0" applyFont="true" applyBorder="true" applyAlignment="true" applyProtection="false">
      <alignment horizontal="center" vertical="bottom" textRotation="0" wrapText="tru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9" fontId="4" fillId="2" borderId="5"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9" fontId="4" fillId="2" borderId="6" xfId="0" applyFont="true" applyBorder="true" applyAlignment="fals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6" fontId="4" fillId="2" borderId="0" xfId="0" applyFont="true" applyBorder="false" applyAlignment="true" applyProtection="false">
      <alignment horizontal="center" vertical="center" textRotation="0" wrapText="true" indent="0" shrinkToFit="false"/>
      <protection locked="true" hidden="false"/>
    </xf>
    <xf numFmtId="167" fontId="4" fillId="2" borderId="0" xfId="0" applyFont="true" applyBorder="false" applyAlignment="true" applyProtection="false">
      <alignment horizontal="center" vertical="center" textRotation="0" wrapText="true" indent="0" shrinkToFit="false"/>
      <protection locked="true" hidden="false"/>
    </xf>
    <xf numFmtId="167" fontId="5" fillId="2" borderId="0" xfId="0" applyFont="true" applyBorder="false" applyAlignment="true" applyProtection="false">
      <alignment horizontal="center" vertical="center" textRotation="0" wrapText="true" indent="0" shrinkToFit="false"/>
      <protection locked="true" hidden="false"/>
    </xf>
    <xf numFmtId="168" fontId="0" fillId="2" borderId="0" xfId="0" applyFont="false" applyBorder="false" applyAlignment="true" applyProtection="false">
      <alignment horizontal="center" vertical="bottom" textRotation="0" wrapText="tru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8" fontId="4" fillId="2" borderId="0" xfId="0" applyFont="true" applyBorder="false" applyAlignment="true" applyProtection="false">
      <alignment horizontal="center" vertical="center" textRotation="0" wrapText="true" indent="0" shrinkToFit="false"/>
      <protection locked="true" hidden="false"/>
    </xf>
    <xf numFmtId="167" fontId="4" fillId="2" borderId="0" xfId="0" applyFont="true" applyBorder="false" applyAlignment="true" applyProtection="false">
      <alignment horizontal="center" vertical="center" textRotation="0" wrapText="false" indent="0" shrinkToFit="false"/>
      <protection locked="true" hidden="false"/>
    </xf>
    <xf numFmtId="168" fontId="6" fillId="2" borderId="0" xfId="0" applyFont="true" applyBorder="false" applyAlignment="true" applyProtection="false">
      <alignment horizontal="center" vertical="bottom" textRotation="0" wrapText="false" indent="0" shrinkToFit="false"/>
      <protection locked="true" hidden="false"/>
    </xf>
    <xf numFmtId="164" fontId="4" fillId="2" borderId="6" xfId="0" applyFont="true" applyBorder="true" applyAlignment="false" applyProtection="false">
      <alignment horizontal="general" vertical="bottom" textRotation="0" wrapText="false" indent="0" shrinkToFit="false"/>
      <protection locked="true" hidden="false"/>
    </xf>
    <xf numFmtId="164" fontId="6" fillId="2" borderId="7" xfId="0" applyFont="true" applyBorder="true" applyAlignment="true" applyProtection="false">
      <alignment horizontal="center" vertical="center" textRotation="0" wrapText="false" indent="0" shrinkToFit="false"/>
      <protection locked="true" hidden="false"/>
    </xf>
    <xf numFmtId="170" fontId="6" fillId="2" borderId="8" xfId="0" applyFont="true" applyBorder="true" applyAlignment="true" applyProtection="false">
      <alignment horizontal="left" vertical="center" textRotation="0" wrapText="false" indent="0" shrinkToFit="false"/>
      <protection locked="true" hidden="false"/>
    </xf>
    <xf numFmtId="167" fontId="4" fillId="2" borderId="0" xfId="0" applyFont="true" applyBorder="false" applyAlignment="true" applyProtection="false">
      <alignment horizontal="left" vertical="center" textRotation="0" wrapText="false" indent="2" shrinkToFit="false"/>
      <protection locked="true" hidden="false"/>
    </xf>
    <xf numFmtId="168" fontId="4" fillId="2" borderId="0" xfId="0" applyFont="true" applyBorder="false" applyAlignment="true" applyProtection="false">
      <alignment horizontal="center" vertical="center" textRotation="0" wrapText="false" indent="0" shrinkToFit="false"/>
      <protection locked="true" hidden="false"/>
    </xf>
    <xf numFmtId="167" fontId="4" fillId="2" borderId="0" xfId="0" applyFont="true" applyBorder="false" applyAlignment="true" applyProtection="false">
      <alignment horizontal="center" vertical="bottom" textRotation="0" wrapText="false" indent="0" shrinkToFit="false"/>
      <protection locked="true" hidden="false"/>
    </xf>
    <xf numFmtId="166" fontId="4" fillId="2" borderId="0" xfId="0" applyFont="true" applyBorder="false" applyAlignment="true" applyProtection="false">
      <alignment horizontal="center" vertical="bottom" textRotation="0" wrapText="false" indent="0" shrinkToFit="false"/>
      <protection locked="true" hidden="false"/>
    </xf>
    <xf numFmtId="165" fontId="4" fillId="2" borderId="0" xfId="0" applyFont="true" applyBorder="false" applyAlignment="false" applyProtection="false">
      <alignment horizontal="general" vertical="bottom" textRotation="0" wrapText="false" indent="0" shrinkToFit="false"/>
      <protection locked="true" hidden="false"/>
    </xf>
    <xf numFmtId="167" fontId="4"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true" indent="0" shrinkToFit="false"/>
      <protection locked="true" hidden="false"/>
    </xf>
    <xf numFmtId="166" fontId="4" fillId="2" borderId="0" xfId="0" applyFont="true" applyBorder="false" applyAlignment="true" applyProtection="false">
      <alignment horizontal="general" vertical="center" textRotation="0" wrapText="false" indent="0" shrinkToFit="false"/>
      <protection locked="true" hidden="false"/>
    </xf>
    <xf numFmtId="168" fontId="4" fillId="0" borderId="1" xfId="0" applyFont="true" applyBorder="true" applyAlignment="true" applyProtection="false">
      <alignment horizontal="center" vertical="center"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8" fontId="4" fillId="2" borderId="0" xfId="0" applyFont="true" applyBorder="false" applyAlignment="true" applyProtection="false">
      <alignment horizontal="center" vertical="bottom" textRotation="0" wrapText="false" indent="0" shrinkToFit="false"/>
      <protection locked="true" hidden="false"/>
    </xf>
    <xf numFmtId="165" fontId="4" fillId="2" borderId="9" xfId="0" applyFont="true" applyBorder="true" applyAlignment="true" applyProtection="false">
      <alignment horizontal="left" vertical="bottom" textRotation="0" wrapText="true" indent="7" shrinkToFit="false"/>
      <protection locked="true" hidden="false"/>
    </xf>
    <xf numFmtId="167" fontId="4" fillId="2" borderId="10" xfId="0" applyFont="true" applyBorder="true" applyAlignment="false" applyProtection="false">
      <alignment horizontal="general" vertical="bottom" textRotation="0" wrapText="false" indent="0" shrinkToFit="false"/>
      <protection locked="true" hidden="false"/>
    </xf>
    <xf numFmtId="167" fontId="4" fillId="2" borderId="1" xfId="0" applyFont="true" applyBorder="true" applyAlignment="false" applyProtection="false">
      <alignment horizontal="general" vertical="bottom" textRotation="0" wrapText="false" indent="0" shrinkToFit="false"/>
      <protection locked="true" hidden="false"/>
    </xf>
    <xf numFmtId="166" fontId="4" fillId="2" borderId="0" xfId="0" applyFont="true" applyBorder="false" applyAlignment="fals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left" vertical="bottom" textRotation="0" wrapText="true" indent="7" shrinkToFit="false"/>
      <protection locked="true" hidden="false"/>
    </xf>
    <xf numFmtId="164" fontId="5" fillId="2" borderId="0" xfId="0" applyFont="true" applyBorder="false" applyAlignment="true" applyProtection="false">
      <alignment horizontal="left" vertical="bottom" textRotation="0" wrapText="true" indent="7" shrinkToFit="false"/>
      <protection locked="true" hidden="false"/>
    </xf>
    <xf numFmtId="164" fontId="4" fillId="2" borderId="0" xfId="0" applyFont="true" applyBorder="false" applyAlignment="true" applyProtection="false">
      <alignment horizontal="left" vertical="bottom" textRotation="0" wrapText="true" indent="7" shrinkToFit="false"/>
      <protection locked="true" hidden="false"/>
    </xf>
    <xf numFmtId="168" fontId="4" fillId="0" borderId="1" xfId="0" applyFont="true" applyBorder="true" applyAlignment="true" applyProtection="false">
      <alignment horizontal="center" vertical="bottom" textRotation="0" wrapText="false" indent="0" shrinkToFit="false"/>
      <protection locked="true" hidden="false"/>
    </xf>
    <xf numFmtId="167" fontId="4" fillId="0" borderId="1" xfId="0" applyFont="true" applyBorder="true" applyAlignment="true" applyProtection="false">
      <alignment horizontal="center" vertical="bottom" textRotation="0" wrapText="false" indent="0" shrinkToFit="false"/>
      <protection locked="true" hidden="false"/>
    </xf>
    <xf numFmtId="166" fontId="6" fillId="2" borderId="0" xfId="0" applyFont="true" applyBorder="false" applyAlignment="false" applyProtection="false">
      <alignment horizontal="general" vertical="bottom" textRotation="0" wrapText="false" indent="0" shrinkToFit="false"/>
      <protection locked="true" hidden="false"/>
    </xf>
    <xf numFmtId="168"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6" fillId="2" borderId="8" xfId="0" applyFont="true" applyBorder="true" applyAlignment="true" applyProtection="false">
      <alignment horizontal="center" vertical="center" textRotation="0" wrapText="false" indent="0" shrinkToFit="false"/>
      <protection locked="true" hidden="false"/>
    </xf>
    <xf numFmtId="167" fontId="4" fillId="2" borderId="11" xfId="0" applyFont="true" applyBorder="true" applyAlignment="fals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6" fontId="6" fillId="2" borderId="0" xfId="0" applyFont="true" applyBorder="false" applyAlignment="true" applyProtection="false">
      <alignment horizontal="general" vertical="bottom" textRotation="0" wrapText="true" indent="0" shrinkToFit="false"/>
      <protection locked="true" hidden="false"/>
    </xf>
    <xf numFmtId="164" fontId="6" fillId="2" borderId="7" xfId="0" applyFont="true" applyBorder="true" applyAlignment="true" applyProtection="false">
      <alignment horizontal="general" vertical="center" textRotation="0" wrapText="false" indent="0" shrinkToFit="false"/>
      <protection locked="true" hidden="false"/>
    </xf>
    <xf numFmtId="165" fontId="6" fillId="2" borderId="12" xfId="0" applyFont="true" applyBorder="true" applyAlignment="true" applyProtection="false">
      <alignment horizontal="center" vertical="center" textRotation="0" wrapText="false" indent="0" shrinkToFit="false"/>
      <protection locked="true" hidden="false"/>
    </xf>
    <xf numFmtId="167" fontId="6" fillId="2" borderId="12" xfId="0" applyFont="true" applyBorder="true" applyAlignment="true" applyProtection="false">
      <alignment horizontal="center" vertical="bottom" textRotation="0" wrapText="false" indent="0" shrinkToFit="false"/>
      <protection locked="true" hidden="false"/>
    </xf>
    <xf numFmtId="165" fontId="8" fillId="2" borderId="8"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1" shrinkToFit="false"/>
      <protection locked="true" hidden="false"/>
    </xf>
    <xf numFmtId="168" fontId="4" fillId="2"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4" fillId="2" borderId="1" xfId="0" applyFont="true" applyBorder="true" applyAlignment="false" applyProtection="false">
      <alignment horizontal="general" vertical="bottom" textRotation="0" wrapText="false" indent="0" shrinkToFit="false"/>
      <protection locked="true" hidden="false"/>
    </xf>
    <xf numFmtId="168" fontId="4" fillId="2" borderId="1" xfId="0" applyFont="true" applyBorder="true" applyAlignment="true" applyProtection="false">
      <alignment horizontal="center" vertical="bottom" textRotation="0" wrapText="false" indent="0" shrinkToFit="false"/>
      <protection locked="true" hidden="false"/>
    </xf>
    <xf numFmtId="165" fontId="6" fillId="2" borderId="8" xfId="0" applyFont="true" applyBorder="true" applyAlignment="true" applyProtection="false">
      <alignment horizontal="left" vertical="center" textRotation="0" wrapText="false" indent="0" shrinkToFit="false"/>
      <protection locked="true" hidden="false"/>
    </xf>
    <xf numFmtId="164" fontId="4" fillId="2" borderId="13" xfId="0" applyFont="true" applyBorder="true" applyAlignment="false" applyProtection="false">
      <alignment horizontal="general" vertical="bottom" textRotation="0" wrapText="false" indent="0" shrinkToFit="false"/>
      <protection locked="true" hidden="false"/>
    </xf>
    <xf numFmtId="165" fontId="4" fillId="2" borderId="14" xfId="0" applyFont="true" applyBorder="true" applyAlignment="false" applyProtection="false">
      <alignment horizontal="general" vertical="bottom" textRotation="0" wrapText="false" indent="0" shrinkToFit="false"/>
      <protection locked="true" hidden="false"/>
    </xf>
    <xf numFmtId="164" fontId="5" fillId="2" borderId="14" xfId="0" applyFont="true" applyBorder="true" applyAlignment="false" applyProtection="false">
      <alignment horizontal="general" vertical="bottom" textRotation="0" wrapText="false" indent="0" shrinkToFit="false"/>
      <protection locked="true" hidden="false"/>
    </xf>
    <xf numFmtId="166" fontId="4" fillId="2" borderId="14" xfId="0" applyFont="true" applyBorder="true" applyAlignment="false" applyProtection="false">
      <alignment horizontal="general" vertical="bottom" textRotation="0" wrapText="false" indent="0" shrinkToFit="false"/>
      <protection locked="true" hidden="false"/>
    </xf>
    <xf numFmtId="167" fontId="4" fillId="2" borderId="14" xfId="0" applyFont="true" applyBorder="true" applyAlignment="false" applyProtection="false">
      <alignment horizontal="general" vertical="bottom" textRotation="0" wrapText="false" indent="0" shrinkToFit="false"/>
      <protection locked="true" hidden="false"/>
    </xf>
    <xf numFmtId="168" fontId="4" fillId="2" borderId="14" xfId="0" applyFont="true" applyBorder="true" applyAlignment="true" applyProtection="false">
      <alignment horizontal="center" vertical="bottom" textRotation="0" wrapText="false" indent="0" shrinkToFit="false"/>
      <protection locked="true" hidden="false"/>
    </xf>
    <xf numFmtId="167" fontId="4" fillId="2" borderId="14" xfId="0" applyFont="true" applyBorder="true" applyAlignment="true" applyProtection="false">
      <alignment horizontal="center" vertical="bottom" textRotation="0" wrapText="false" indent="0" shrinkToFit="false"/>
      <protection locked="true" hidden="false"/>
    </xf>
    <xf numFmtId="166" fontId="4" fillId="2" borderId="14" xfId="0" applyFont="true" applyBorder="true" applyAlignment="true" applyProtection="false">
      <alignment horizontal="center" vertical="bottom" textRotation="0" wrapText="false" indent="0" shrinkToFit="false"/>
      <protection locked="true" hidden="false"/>
    </xf>
    <xf numFmtId="164" fontId="4" fillId="2" borderId="15"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3" borderId="16" xfId="0" applyFont="true" applyBorder="true" applyAlignment="false" applyProtection="false">
      <alignment horizontal="general" vertical="bottom" textRotation="0" wrapText="false" indent="0" shrinkToFit="false"/>
      <protection locked="true" hidden="false"/>
    </xf>
    <xf numFmtId="167" fontId="4" fillId="3" borderId="4" xfId="0" applyFont="true" applyBorder="true" applyAlignment="true" applyProtection="false">
      <alignment horizontal="center" vertical="bottom" textRotation="0" wrapText="false" indent="0" shrinkToFit="false"/>
      <protection locked="true" hidden="false"/>
    </xf>
    <xf numFmtId="164" fontId="4" fillId="3" borderId="17" xfId="0" applyFont="true" applyBorder="true" applyAlignment="false" applyProtection="false">
      <alignment horizontal="general" vertical="bottom" textRotation="0" wrapText="false" indent="0" shrinkToFit="false"/>
      <protection locked="true" hidden="false"/>
    </xf>
    <xf numFmtId="165" fontId="4"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6" fontId="4" fillId="3"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7" fontId="4" fillId="3" borderId="0" xfId="0" applyFont="true" applyBorder="false" applyAlignment="false" applyProtection="false">
      <alignment horizontal="general" vertical="bottom" textRotation="0" wrapText="false" indent="0" shrinkToFit="false"/>
      <protection locked="true" hidden="false"/>
    </xf>
    <xf numFmtId="168" fontId="4" fillId="3" borderId="0" xfId="0" applyFont="true" applyBorder="false" applyAlignment="true" applyProtection="false">
      <alignment horizontal="center" vertical="bottom" textRotation="0" wrapText="false" indent="0" shrinkToFit="false"/>
      <protection locked="true" hidden="false"/>
    </xf>
    <xf numFmtId="167" fontId="4" fillId="3" borderId="5"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5" fontId="6" fillId="3" borderId="1" xfId="0" applyFont="true" applyBorder="true" applyAlignment="true" applyProtection="false">
      <alignment horizontal="left" vertical="center" textRotation="0" wrapText="false" indent="1" shrinkToFit="false"/>
      <protection locked="true" hidden="false"/>
    </xf>
    <xf numFmtId="167" fontId="4" fillId="3" borderId="0" xfId="0" applyFont="true" applyBorder="false" applyAlignment="true" applyProtection="false">
      <alignment horizontal="center" vertical="bottom" textRotation="0" wrapText="false" indent="0" shrinkToFit="false"/>
      <protection locked="true" hidden="false"/>
    </xf>
    <xf numFmtId="167" fontId="6" fillId="3" borderId="1" xfId="0" applyFont="true" applyBorder="true" applyAlignment="true" applyProtection="false">
      <alignment horizontal="left" vertical="center" textRotation="0" wrapText="true" indent="1" shrinkToFit="false"/>
      <protection locked="true" hidden="false"/>
    </xf>
    <xf numFmtId="168" fontId="11" fillId="3" borderId="1" xfId="0" applyFont="true" applyBorder="true" applyAlignment="true" applyProtection="false">
      <alignment horizontal="left" vertical="center" textRotation="0" wrapText="true" indent="1" shrinkToFit="false"/>
      <protection locked="true" hidden="false"/>
    </xf>
    <xf numFmtId="165" fontId="4" fillId="3" borderId="9" xfId="0" applyFont="true" applyBorder="true" applyAlignment="true" applyProtection="false">
      <alignment horizontal="left" vertical="bottom" textRotation="0" wrapText="true" indent="7" shrinkToFit="false"/>
      <protection locked="true" hidden="false"/>
    </xf>
    <xf numFmtId="167" fontId="4" fillId="3" borderId="1" xfId="0" applyFont="true" applyBorder="true" applyAlignment="false" applyProtection="false">
      <alignment horizontal="general" vertical="bottom" textRotation="0" wrapText="false" indent="0" shrinkToFit="false"/>
      <protection locked="true" hidden="false"/>
    </xf>
    <xf numFmtId="164" fontId="4" fillId="3" borderId="18" xfId="0" applyFont="true" applyBorder="true" applyAlignment="true" applyProtection="false">
      <alignment horizontal="general" vertical="center" textRotation="0" wrapText="false" indent="0" shrinkToFit="false"/>
      <protection locked="true" hidden="false"/>
    </xf>
    <xf numFmtId="167" fontId="4" fillId="3" borderId="11" xfId="0" applyFont="true" applyBorder="true" applyAlignment="false" applyProtection="false">
      <alignment horizontal="general" vertical="bottom" textRotation="0" wrapText="false" indent="0" shrinkToFit="false"/>
      <protection locked="true" hidden="false"/>
    </xf>
    <xf numFmtId="164" fontId="4" fillId="3" borderId="18" xfId="0" applyFont="true" applyBorder="true" applyAlignment="true" applyProtection="false">
      <alignment horizontal="general" vertical="center" textRotation="0" wrapText="true" indent="0" shrinkToFit="false"/>
      <protection locked="true" hidden="false"/>
    </xf>
    <xf numFmtId="164" fontId="12" fillId="3" borderId="19" xfId="0" applyFont="true" applyBorder="true" applyAlignment="true" applyProtection="false">
      <alignment horizontal="left" vertical="center" textRotation="0" wrapText="true" indent="1" shrinkToFit="false"/>
      <protection locked="true" hidden="false"/>
    </xf>
    <xf numFmtId="167" fontId="6" fillId="3" borderId="11" xfId="0" applyFont="true" applyBorder="true" applyAlignment="true" applyProtection="false">
      <alignment horizontal="general" vertical="center" textRotation="0" wrapText="false" indent="0" shrinkToFit="false"/>
      <protection locked="true" hidden="false"/>
    </xf>
    <xf numFmtId="164" fontId="4" fillId="3" borderId="20" xfId="0" applyFont="true" applyBorder="true" applyAlignment="false" applyProtection="false">
      <alignment horizontal="general" vertical="bottom" textRotation="0" wrapText="false" indent="0" shrinkToFit="false"/>
      <protection locked="true" hidden="false"/>
    </xf>
    <xf numFmtId="165" fontId="4" fillId="3" borderId="14" xfId="0" applyFont="true" applyBorder="true" applyAlignment="false" applyProtection="false">
      <alignment horizontal="general" vertical="bottom" textRotation="0" wrapText="false" indent="0" shrinkToFit="false"/>
      <protection locked="true" hidden="false"/>
    </xf>
    <xf numFmtId="164" fontId="4" fillId="3" borderId="14" xfId="0" applyFont="true" applyBorder="true" applyAlignment="false" applyProtection="false">
      <alignment horizontal="general" vertical="bottom" textRotation="0" wrapText="false" indent="0" shrinkToFit="false"/>
      <protection locked="true" hidden="false"/>
    </xf>
    <xf numFmtId="166" fontId="4" fillId="3" borderId="14" xfId="0" applyFont="true" applyBorder="true" applyAlignment="false" applyProtection="false">
      <alignment horizontal="general" vertical="bottom" textRotation="0" wrapText="false" indent="0" shrinkToFit="false"/>
      <protection locked="true" hidden="false"/>
    </xf>
    <xf numFmtId="167" fontId="4" fillId="3" borderId="14" xfId="0" applyFont="true" applyBorder="true" applyAlignment="false" applyProtection="false">
      <alignment horizontal="general" vertical="bottom" textRotation="0" wrapText="false" indent="0" shrinkToFit="false"/>
      <protection locked="true" hidden="false"/>
    </xf>
    <xf numFmtId="168" fontId="4" fillId="3" borderId="14" xfId="0" applyFont="true" applyBorder="true" applyAlignment="true" applyProtection="false">
      <alignment horizontal="center" vertical="bottom" textRotation="0" wrapText="false" indent="0" shrinkToFit="false"/>
      <protection locked="true" hidden="false"/>
    </xf>
    <xf numFmtId="167" fontId="4" fillId="3" borderId="15" xfId="0" applyFont="true" applyBorder="true" applyAlignment="true" applyProtection="false">
      <alignment horizontal="center" vertical="bottom" textRotation="0" wrapText="false" indent="0" shrinkToFit="false"/>
      <protection locked="true" hidden="false"/>
    </xf>
    <xf numFmtId="171" fontId="4" fillId="0"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true" applyProtection="false">
      <alignment horizontal="center" vertical="bottom" textRotation="0" wrapText="false" indent="0" shrinkToFit="false"/>
      <protection locked="true" hidden="false"/>
    </xf>
    <xf numFmtId="171" fontId="4" fillId="3" borderId="0" xfId="0" applyFont="true" applyBorder="false" applyAlignment="false" applyProtection="false">
      <alignment horizontal="general" vertical="bottom" textRotation="0" wrapText="false" indent="0" shrinkToFit="false"/>
      <protection locked="true" hidden="false"/>
    </xf>
    <xf numFmtId="166" fontId="4" fillId="3" borderId="0" xfId="0" applyFont="true" applyBorder="false" applyAlignment="true" applyProtection="false">
      <alignment horizontal="center" vertical="bottom" textRotation="0" wrapText="false" indent="0" shrinkToFit="false"/>
      <protection locked="true" hidden="false"/>
    </xf>
    <xf numFmtId="171" fontId="4" fillId="3" borderId="0" xfId="0" applyFont="true" applyBorder="false" applyAlignment="true" applyProtection="false">
      <alignment horizontal="center" vertical="bottom" textRotation="0" wrapText="false" indent="0" shrinkToFit="false"/>
      <protection locked="true" hidden="false"/>
    </xf>
    <xf numFmtId="171" fontId="4" fillId="2" borderId="0" xfId="0" applyFont="true" applyBorder="false" applyAlignment="false" applyProtection="false">
      <alignment horizontal="general" vertical="bottom" textRotation="0" wrapText="false" indent="0" shrinkToFit="false"/>
      <protection locked="true" hidden="false"/>
    </xf>
    <xf numFmtId="166" fontId="4" fillId="2" borderId="1" xfId="0" applyFont="true" applyBorder="true" applyAlignment="true" applyProtection="false">
      <alignment horizontal="center" vertical="bottom" textRotation="0" wrapText="true" indent="0" shrinkToFit="false"/>
      <protection locked="true" hidden="false"/>
    </xf>
    <xf numFmtId="171" fontId="4" fillId="0" borderId="1" xfId="0" applyFont="true" applyBorder="true" applyAlignment="false" applyProtection="false">
      <alignment horizontal="general" vertical="bottom" textRotation="0" wrapText="false" indent="0" shrinkToFit="false"/>
      <protection locked="true" hidden="false"/>
    </xf>
    <xf numFmtId="171" fontId="4" fillId="2" borderId="0" xfId="0" applyFont="true" applyBorder="false" applyAlignment="true" applyProtection="false">
      <alignment horizontal="center" vertical="bottom" textRotation="0" wrapText="false" indent="0" shrinkToFit="false"/>
      <protection locked="true" hidden="false"/>
    </xf>
    <xf numFmtId="171" fontId="4" fillId="2" borderId="1" xfId="0" applyFont="true" applyBorder="true" applyAlignment="true" applyProtection="false">
      <alignment horizontal="left" vertical="center" textRotation="0" wrapText="true" indent="2" shrinkToFit="false"/>
      <protection locked="true" hidden="false"/>
    </xf>
    <xf numFmtId="166" fontId="13" fillId="2" borderId="0" xfId="0" applyFont="true" applyBorder="false" applyAlignment="false" applyProtection="false">
      <alignment horizontal="general" vertical="bottom" textRotation="0" wrapText="false" indent="0" shrinkToFit="false"/>
      <protection locked="true" hidden="false"/>
    </xf>
    <xf numFmtId="166" fontId="14" fillId="2" borderId="0" xfId="0" applyFont="true" applyBorder="false" applyAlignment="false" applyProtection="false">
      <alignment horizontal="general" vertical="bottom" textRotation="0" wrapText="false" indent="0" shrinkToFit="false"/>
      <protection locked="true" hidden="false"/>
    </xf>
    <xf numFmtId="171" fontId="15" fillId="2" borderId="0" xfId="0" applyFont="true" applyBorder="false" applyAlignment="true" applyProtection="false">
      <alignment horizontal="general" vertical="bottom" textRotation="0" wrapText="true" indent="0" shrinkToFit="false"/>
      <protection locked="true" hidden="false"/>
    </xf>
    <xf numFmtId="171" fontId="4" fillId="3" borderId="0" xfId="0" applyFont="true" applyBorder="false" applyAlignment="true" applyProtection="false">
      <alignment horizontal="center" vertical="center" textRotation="0" wrapText="false" indent="0" shrinkToFit="false"/>
      <protection locked="true" hidden="false"/>
    </xf>
    <xf numFmtId="171" fontId="4" fillId="2" borderId="1" xfId="0" applyFont="true" applyBorder="true" applyAlignment="true" applyProtection="false">
      <alignment horizontal="center" vertical="center" textRotation="0" wrapText="true" indent="0" shrinkToFit="false"/>
      <protection locked="true" hidden="false"/>
    </xf>
    <xf numFmtId="171" fontId="4" fillId="0" borderId="0" xfId="0" applyFont="true" applyBorder="false" applyAlignment="true" applyProtection="false">
      <alignment horizontal="center" vertical="center" textRotation="0" wrapText="false" indent="0" shrinkToFit="false"/>
      <protection locked="true" hidden="false"/>
    </xf>
    <xf numFmtId="166" fontId="4" fillId="0" borderId="1" xfId="0" applyFont="true" applyBorder="tru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center" vertical="center" textRotation="0" wrapText="true" indent="0" shrinkToFit="false"/>
      <protection locked="true" hidden="false"/>
    </xf>
    <xf numFmtId="171" fontId="4" fillId="2"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 Id="rId9"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var/folders/y4/k996sqmj6hz03g4bgbq_yql80000gn/T/spreadsheet-multi-3fef4072/Financialaccounts.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var/folders/y4/k996sqmj6hz03g4bgbq_yql80000gn/T/spreadsheet-multi-3fef4072/Purchases.xlsx"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var/folders/y4/k996sqmj6hz03g4bgbq_yql80000gn/T/spreadsheet-multi-3fef4072/Sales.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row r="13">
          <cell r="G13">
            <v>200000</v>
          </cell>
        </row>
        <row r="13">
          <cell r="J13">
            <v>3000</v>
          </cell>
          <cell r="K13">
            <v>30000</v>
          </cell>
        </row>
        <row r="13">
          <cell r="M13">
            <v>40000</v>
          </cell>
        </row>
        <row r="13">
          <cell r="P13">
            <v>270</v>
          </cell>
          <cell r="Q13">
            <v>9828</v>
          </cell>
        </row>
      </sheetData>
      <sheetData sheetId="1"/>
      <sheetData sheetId="2"/>
      <sheetData sheetId="3"/>
      <sheetData sheetId="4"/>
      <sheetData sheetId="5"/>
      <sheetData sheetId="6"/>
      <sheetData sheetId="7"/>
      <sheetData sheetId="8"/>
      <sheetData sheetId="9"/>
      <sheetData sheetId="10"/>
      <sheetData sheetId="11">
        <row r="5">
          <cell r="G5">
            <v>100</v>
          </cell>
        </row>
        <row r="6">
          <cell r="G6">
            <v>14</v>
          </cell>
        </row>
        <row r="6">
          <cell r="L6">
            <v>46327</v>
          </cell>
        </row>
        <row r="7">
          <cell r="G7">
            <v>100</v>
          </cell>
        </row>
        <row r="7">
          <cell r="N7">
            <v>46691</v>
          </cell>
        </row>
        <row r="11">
          <cell r="N11">
            <v>46691</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peningCreditors"/>
      <sheetName val="Nov"/>
      <sheetName val="Dec"/>
      <sheetName val="Jan"/>
      <sheetName val="Feb"/>
      <sheetName val="Mar"/>
      <sheetName val="Apr"/>
      <sheetName val="May"/>
      <sheetName val="Jun"/>
      <sheetName val="Jul"/>
      <sheetName val="Aug"/>
      <sheetName val="Sep"/>
      <sheetName val="Oct"/>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52500</v>
          </cell>
        </row>
      </sheetData>
      <sheetData sheetId="1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OpeningDebtors"/>
      <sheetName val="Nov"/>
      <sheetName val="Dec"/>
      <sheetName val="Jan"/>
      <sheetName val="Feb"/>
      <sheetName val="Mar"/>
      <sheetName val="Apr"/>
      <sheetName val="May"/>
      <sheetName val="Jun"/>
      <sheetName val="Jul"/>
      <sheetName val="Aug"/>
      <sheetName val="Sep"/>
      <sheetName val="Oct"/>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12500</v>
          </cell>
        </row>
      </sheetData>
      <sheetData sheetId="1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1" width="1.66"/>
    <col collapsed="false" customWidth="true" hidden="false" outlineLevel="0" max="2" min="2" style="2" width="10.99"/>
    <col collapsed="false" customWidth="true" hidden="false" outlineLevel="0" max="3" min="3" style="3" width="23.49"/>
    <col collapsed="false" customWidth="true" hidden="false" outlineLevel="0" max="4" min="4" style="4" width="10.66"/>
    <col collapsed="false" customWidth="true" hidden="false" outlineLevel="0" max="5" min="5" style="5" width="10.66"/>
    <col collapsed="false" customWidth="true" hidden="false" outlineLevel="0" max="6" min="6" style="5" width="10.15"/>
    <col collapsed="false" customWidth="true" hidden="false" outlineLevel="0" max="7" min="7" style="5" width="11.5"/>
    <col collapsed="false" customWidth="true" hidden="false" outlineLevel="0" max="8" min="8" style="6" width="6.66"/>
    <col collapsed="false" customWidth="true" hidden="false" outlineLevel="0" max="9" min="9" style="5" width="9.66"/>
    <col collapsed="false" customWidth="true" hidden="false" outlineLevel="0" max="10" min="10" style="5" width="9.49"/>
    <col collapsed="false" customWidth="true" hidden="false" outlineLevel="0" max="11" min="11" style="5" width="10.99"/>
    <col collapsed="false" customWidth="true" hidden="false" outlineLevel="0" max="12" min="12" style="5" width="0.82"/>
    <col collapsed="false" customWidth="true" hidden="false" outlineLevel="0" max="13" min="13" style="6" width="6.66"/>
    <col collapsed="false" customWidth="true" hidden="false" outlineLevel="0" max="14" min="14" style="5" width="0.82"/>
    <col collapsed="false" customWidth="true" hidden="false" outlineLevel="0" max="15" min="15" style="7" width="10.99"/>
    <col collapsed="false" customWidth="true" hidden="false" outlineLevel="0" max="16" min="16" style="8" width="5.66"/>
    <col collapsed="false" customWidth="true" hidden="false" outlineLevel="0" max="18" min="17" style="7" width="8.66"/>
    <col collapsed="false" customWidth="true" hidden="false" outlineLevel="0" max="19" min="19" style="7" width="11.5"/>
    <col collapsed="false" customWidth="true" hidden="false" outlineLevel="0" max="20" min="20" style="7" width="0.82"/>
    <col collapsed="false" customWidth="false" hidden="false" outlineLevel="0" max="21" min="21" style="2" width="9.15"/>
    <col collapsed="false" customWidth="true" hidden="false" outlineLevel="0" max="22" min="22" style="5" width="10.66"/>
    <col collapsed="false" customWidth="true" hidden="false" outlineLevel="0" max="23" min="23" style="5" width="10.82"/>
    <col collapsed="false" customWidth="true" hidden="false" outlineLevel="0" max="24" min="24" style="5" width="11.32"/>
    <col collapsed="false" customWidth="false" hidden="false" outlineLevel="0" max="26" min="25" style="7" width="9.15"/>
    <col collapsed="false" customWidth="true" hidden="false" outlineLevel="0" max="27" min="27" style="1" width="1.66"/>
    <col collapsed="false" customWidth="false" hidden="false" outlineLevel="0" max="257" min="28" style="1" width="9.15"/>
  </cols>
  <sheetData>
    <row r="1" customFormat="false" ht="13.5" hidden="false" customHeight="true" outlineLevel="0" collapsed="false">
      <c r="A1" s="9"/>
      <c r="B1" s="10" t="s">
        <v>0</v>
      </c>
      <c r="C1" s="11" t="s">
        <v>1</v>
      </c>
      <c r="D1" s="11"/>
      <c r="E1" s="12" t="n">
        <f aca="false">E57+E110</f>
        <v>285500</v>
      </c>
      <c r="F1" s="13" t="n">
        <f aca="false">F57+F110</f>
        <v>50098</v>
      </c>
      <c r="G1" s="13" t="n">
        <f aca="false">G57+G110</f>
        <v>182902</v>
      </c>
      <c r="H1" s="14" t="s">
        <v>2</v>
      </c>
      <c r="I1" s="13" t="n">
        <f aca="false">I57+I110</f>
        <v>13740</v>
      </c>
      <c r="J1" s="13" t="n">
        <f aca="false">J57+J110</f>
        <v>63838</v>
      </c>
      <c r="K1" s="13" t="n">
        <f aca="false">K57+K110</f>
        <v>208990</v>
      </c>
      <c r="L1" s="13"/>
      <c r="M1" s="14" t="s">
        <v>3</v>
      </c>
      <c r="N1" s="13"/>
      <c r="O1" s="13" t="n">
        <f aca="false">O57+O110</f>
        <v>24000</v>
      </c>
      <c r="P1" s="15" t="s">
        <v>4</v>
      </c>
      <c r="Q1" s="13" t="n">
        <f aca="false">Q57+Q110</f>
        <v>52500</v>
      </c>
      <c r="R1" s="13" t="n">
        <f aca="false">R57+R110</f>
        <v>3360</v>
      </c>
      <c r="S1" s="13" t="n">
        <f aca="false">S57+S110</f>
        <v>20640</v>
      </c>
      <c r="T1" s="16"/>
      <c r="U1" s="17" t="s">
        <v>5</v>
      </c>
      <c r="V1" s="13" t="n">
        <f aca="false">V57+V110</f>
        <v>12500</v>
      </c>
      <c r="W1" s="13" t="n">
        <f aca="false">W57+W110</f>
        <v>30000</v>
      </c>
      <c r="X1" s="13" t="n">
        <f aca="false">X57+X110</f>
        <v>17328</v>
      </c>
      <c r="Y1" s="13" t="n">
        <f aca="false">Y57+Y110</f>
        <v>8140</v>
      </c>
      <c r="Z1" s="13" t="n">
        <f aca="false">Z57+Z110</f>
        <v>0</v>
      </c>
      <c r="AA1" s="18"/>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c r="HO1" s="19"/>
      <c r="HP1" s="19"/>
      <c r="HQ1" s="19"/>
      <c r="HR1" s="19"/>
      <c r="HS1" s="19"/>
      <c r="HT1" s="19"/>
      <c r="HU1" s="19"/>
      <c r="HV1" s="19"/>
      <c r="HW1" s="19"/>
      <c r="HX1" s="19"/>
      <c r="HY1" s="19"/>
      <c r="HZ1" s="19"/>
      <c r="IA1" s="19"/>
      <c r="IB1" s="19"/>
      <c r="IC1" s="19"/>
      <c r="ID1" s="19"/>
      <c r="IE1" s="19"/>
      <c r="IF1" s="19"/>
      <c r="IG1" s="19"/>
      <c r="IH1" s="19"/>
      <c r="II1" s="19"/>
      <c r="IJ1" s="19"/>
      <c r="IK1" s="19"/>
      <c r="IL1" s="19"/>
      <c r="IM1" s="19"/>
      <c r="IN1" s="19"/>
      <c r="IO1" s="19"/>
      <c r="IP1" s="19"/>
      <c r="IQ1" s="19"/>
      <c r="IR1" s="19"/>
      <c r="IS1" s="19"/>
      <c r="IT1" s="19"/>
      <c r="IU1" s="19"/>
      <c r="IV1" s="19"/>
      <c r="IW1" s="19"/>
    </row>
    <row r="2" customFormat="false" ht="12" hidden="false" customHeight="true" outlineLevel="0" collapsed="false">
      <c r="A2" s="9"/>
      <c r="B2" s="10"/>
      <c r="C2" s="20" t="s">
        <v>6</v>
      </c>
      <c r="D2" s="21" t="s">
        <v>7</v>
      </c>
      <c r="E2" s="22" t="s">
        <v>8</v>
      </c>
      <c r="F2" s="23" t="s">
        <v>9</v>
      </c>
      <c r="G2" s="22" t="s">
        <v>10</v>
      </c>
      <c r="H2" s="14"/>
      <c r="I2" s="23" t="s">
        <v>11</v>
      </c>
      <c r="J2" s="23" t="s">
        <v>9</v>
      </c>
      <c r="K2" s="22" t="s">
        <v>10</v>
      </c>
      <c r="L2" s="13"/>
      <c r="M2" s="14"/>
      <c r="N2" s="13"/>
      <c r="O2" s="22" t="s">
        <v>12</v>
      </c>
      <c r="P2" s="15"/>
      <c r="Q2" s="22" t="s">
        <v>13</v>
      </c>
      <c r="R2" s="22" t="s">
        <v>14</v>
      </c>
      <c r="S2" s="22" t="s">
        <v>12</v>
      </c>
      <c r="T2" s="16"/>
      <c r="U2" s="17"/>
      <c r="V2" s="24" t="s">
        <v>15</v>
      </c>
      <c r="W2" s="24" t="s">
        <v>16</v>
      </c>
      <c r="X2" s="24" t="s">
        <v>17</v>
      </c>
      <c r="Y2" s="22" t="s">
        <v>18</v>
      </c>
      <c r="Z2" s="22" t="s">
        <v>19</v>
      </c>
      <c r="AA2" s="25"/>
    </row>
    <row r="3" customFormat="false" ht="12" hidden="false" customHeight="true" outlineLevel="0" collapsed="false">
      <c r="A3" s="9"/>
      <c r="B3" s="10"/>
      <c r="C3" s="20"/>
      <c r="D3" s="21"/>
      <c r="E3" s="22"/>
      <c r="F3" s="23"/>
      <c r="G3" s="22"/>
      <c r="H3" s="14"/>
      <c r="I3" s="23"/>
      <c r="J3" s="23"/>
      <c r="K3" s="22"/>
      <c r="L3" s="13"/>
      <c r="M3" s="14"/>
      <c r="N3" s="13"/>
      <c r="O3" s="22"/>
      <c r="P3" s="15"/>
      <c r="Q3" s="22"/>
      <c r="R3" s="22"/>
      <c r="S3" s="22"/>
      <c r="T3" s="16"/>
      <c r="U3" s="17"/>
      <c r="V3" s="24"/>
      <c r="W3" s="24"/>
      <c r="X3" s="24"/>
      <c r="Y3" s="24"/>
      <c r="Z3" s="24"/>
      <c r="AA3" s="25"/>
    </row>
    <row r="4" customFormat="false" ht="12.75" hidden="false" customHeight="true" outlineLevel="0" collapsed="false">
      <c r="A4" s="9"/>
      <c r="B4" s="10"/>
      <c r="C4" s="20"/>
      <c r="D4" s="21"/>
      <c r="E4" s="22"/>
      <c r="F4" s="26" t="n">
        <f aca="false">D6</f>
        <v>46327</v>
      </c>
      <c r="G4" s="26" t="n">
        <f aca="false">D6</f>
        <v>46327</v>
      </c>
      <c r="H4" s="14"/>
      <c r="I4" s="23"/>
      <c r="J4" s="26" t="n">
        <f aca="false">[1]Admin!$N$7</f>
        <v>46691</v>
      </c>
      <c r="K4" s="26" t="n">
        <f aca="false">J4</f>
        <v>46691</v>
      </c>
      <c r="L4" s="13"/>
      <c r="M4" s="14"/>
      <c r="N4" s="13"/>
      <c r="O4" s="10" t="n">
        <f aca="false">D6</f>
        <v>46327</v>
      </c>
      <c r="P4" s="27" t="n">
        <v>100</v>
      </c>
      <c r="Q4" s="22"/>
      <c r="R4" s="28" t="n">
        <f aca="false">[1]Admin!$G$6</f>
        <v>14</v>
      </c>
      <c r="S4" s="10" t="n">
        <f aca="false">J4</f>
        <v>46691</v>
      </c>
      <c r="T4" s="16"/>
      <c r="U4" s="17"/>
      <c r="V4" s="24"/>
      <c r="W4" s="24"/>
      <c r="X4" s="24"/>
      <c r="Y4" s="24"/>
      <c r="Z4" s="24"/>
      <c r="AA4" s="29"/>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c r="EA4" s="30"/>
      <c r="EB4" s="30"/>
      <c r="EC4" s="30"/>
      <c r="ED4" s="30"/>
      <c r="EE4" s="30"/>
      <c r="EF4" s="30"/>
      <c r="EG4" s="30"/>
      <c r="EH4" s="30"/>
      <c r="EI4" s="30"/>
      <c r="EJ4" s="30"/>
      <c r="EK4" s="30"/>
      <c r="EL4" s="30"/>
      <c r="EM4" s="30"/>
      <c r="EN4" s="30"/>
      <c r="EO4" s="30"/>
      <c r="EP4" s="30"/>
      <c r="EQ4" s="30"/>
      <c r="ER4" s="30"/>
      <c r="ES4" s="30"/>
      <c r="ET4" s="30"/>
      <c r="EU4" s="30"/>
      <c r="EV4" s="30"/>
      <c r="EW4" s="30"/>
      <c r="EX4" s="30"/>
      <c r="EY4" s="30"/>
      <c r="EZ4" s="30"/>
      <c r="FA4" s="30"/>
      <c r="FB4" s="30"/>
      <c r="FC4" s="30"/>
      <c r="FD4" s="30"/>
      <c r="FE4" s="30"/>
      <c r="FF4" s="30"/>
      <c r="FG4" s="30"/>
      <c r="FH4" s="30"/>
      <c r="FI4" s="30"/>
      <c r="FJ4" s="30"/>
      <c r="FK4" s="30"/>
      <c r="FL4" s="30"/>
      <c r="FM4" s="30"/>
      <c r="FN4" s="30"/>
      <c r="FO4" s="30"/>
      <c r="FP4" s="30"/>
      <c r="FQ4" s="30"/>
      <c r="FR4" s="30"/>
      <c r="FS4" s="30"/>
      <c r="FT4" s="30"/>
      <c r="FU4" s="30"/>
      <c r="FV4" s="30"/>
      <c r="FW4" s="30"/>
      <c r="FX4" s="30"/>
      <c r="FY4" s="30"/>
      <c r="FZ4" s="30"/>
      <c r="GA4" s="30"/>
      <c r="GB4" s="30"/>
      <c r="GC4" s="30"/>
      <c r="GD4" s="30"/>
      <c r="GE4" s="30"/>
      <c r="GF4" s="30"/>
      <c r="GG4" s="30"/>
      <c r="GH4" s="30"/>
      <c r="GI4" s="30"/>
      <c r="GJ4" s="30"/>
      <c r="GK4" s="30"/>
      <c r="GL4" s="30"/>
      <c r="GM4" s="30"/>
      <c r="GN4" s="30"/>
      <c r="GO4" s="30"/>
      <c r="GP4" s="30"/>
      <c r="GQ4" s="30"/>
      <c r="GR4" s="30"/>
      <c r="GS4" s="30"/>
      <c r="GT4" s="30"/>
      <c r="GU4" s="30"/>
      <c r="GV4" s="30"/>
      <c r="GW4" s="30"/>
      <c r="GX4" s="30"/>
      <c r="GY4" s="30"/>
      <c r="GZ4" s="30"/>
      <c r="HA4" s="30"/>
      <c r="HB4" s="30"/>
      <c r="HC4" s="30"/>
      <c r="HD4" s="30"/>
      <c r="HE4" s="30"/>
      <c r="HF4" s="30"/>
      <c r="HG4" s="30"/>
      <c r="HH4" s="30"/>
      <c r="HI4" s="30"/>
      <c r="HJ4" s="30"/>
      <c r="HK4" s="30"/>
      <c r="HL4" s="30"/>
      <c r="HM4" s="30"/>
      <c r="HN4" s="30"/>
      <c r="HO4" s="30"/>
      <c r="HP4" s="30"/>
      <c r="HQ4" s="30"/>
      <c r="HR4" s="30"/>
      <c r="HS4" s="30"/>
      <c r="HT4" s="30"/>
      <c r="HU4" s="30"/>
      <c r="HV4" s="30"/>
      <c r="HW4" s="30"/>
      <c r="HX4" s="30"/>
      <c r="HY4" s="30"/>
      <c r="HZ4" s="30"/>
      <c r="IA4" s="30"/>
      <c r="IB4" s="30"/>
      <c r="IC4" s="30"/>
      <c r="ID4" s="30"/>
      <c r="IE4" s="30"/>
      <c r="IF4" s="30"/>
      <c r="IG4" s="30"/>
      <c r="IH4" s="30"/>
      <c r="II4" s="30"/>
      <c r="IJ4" s="30"/>
      <c r="IK4" s="30"/>
      <c r="IL4" s="30"/>
      <c r="IM4" s="30"/>
      <c r="IN4" s="30"/>
      <c r="IO4" s="30"/>
      <c r="IP4" s="30"/>
      <c r="IQ4" s="30"/>
      <c r="IR4" s="30"/>
      <c r="IS4" s="30"/>
      <c r="IT4" s="30"/>
      <c r="IU4" s="30"/>
      <c r="IV4" s="30"/>
      <c r="IW4" s="30"/>
    </row>
    <row r="5" customFormat="false" ht="6" hidden="false" customHeight="true" outlineLevel="0" collapsed="false">
      <c r="A5" s="31"/>
      <c r="B5" s="32"/>
      <c r="C5" s="33"/>
      <c r="D5" s="34"/>
      <c r="E5" s="35"/>
      <c r="F5" s="36"/>
      <c r="G5" s="35"/>
      <c r="H5" s="37"/>
      <c r="I5" s="36"/>
      <c r="J5" s="36"/>
      <c r="K5" s="35"/>
      <c r="L5" s="38"/>
      <c r="M5" s="39"/>
      <c r="N5" s="38"/>
      <c r="O5" s="35"/>
      <c r="P5" s="34"/>
      <c r="Q5" s="40"/>
      <c r="R5" s="41"/>
      <c r="S5" s="35"/>
      <c r="T5" s="38"/>
      <c r="U5" s="32"/>
      <c r="V5" s="35"/>
      <c r="W5" s="35"/>
      <c r="X5" s="35"/>
      <c r="Y5" s="35"/>
      <c r="Z5" s="35"/>
      <c r="AA5" s="29"/>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c r="EY5" s="30"/>
      <c r="EZ5" s="30"/>
      <c r="FA5" s="30"/>
      <c r="FB5" s="30"/>
      <c r="FC5" s="30"/>
      <c r="FD5" s="30"/>
      <c r="FE5" s="30"/>
      <c r="FF5" s="30"/>
      <c r="FG5" s="30"/>
      <c r="FH5" s="30"/>
      <c r="FI5" s="30"/>
      <c r="FJ5" s="30"/>
      <c r="FK5" s="30"/>
      <c r="FL5" s="30"/>
      <c r="FM5" s="30"/>
      <c r="FN5" s="30"/>
      <c r="FO5" s="30"/>
      <c r="FP5" s="30"/>
      <c r="FQ5" s="30"/>
      <c r="FR5" s="30"/>
      <c r="FS5" s="30"/>
      <c r="FT5" s="30"/>
      <c r="FU5" s="30"/>
      <c r="FV5" s="30"/>
      <c r="FW5" s="30"/>
      <c r="FX5" s="30"/>
      <c r="FY5" s="30"/>
      <c r="FZ5" s="30"/>
      <c r="GA5" s="30"/>
      <c r="GB5" s="30"/>
      <c r="GC5" s="30"/>
      <c r="GD5" s="30"/>
      <c r="GE5" s="30"/>
      <c r="GF5" s="30"/>
      <c r="GG5" s="30"/>
      <c r="GH5" s="30"/>
      <c r="GI5" s="30"/>
      <c r="GJ5" s="30"/>
      <c r="GK5" s="30"/>
      <c r="GL5" s="30"/>
      <c r="GM5" s="30"/>
      <c r="GN5" s="30"/>
      <c r="GO5" s="30"/>
      <c r="GP5" s="30"/>
      <c r="GQ5" s="30"/>
      <c r="GR5" s="30"/>
      <c r="GS5" s="30"/>
      <c r="GT5" s="30"/>
      <c r="GU5" s="30"/>
      <c r="GV5" s="30"/>
      <c r="GW5" s="30"/>
      <c r="GX5" s="30"/>
      <c r="GY5" s="30"/>
      <c r="GZ5" s="30"/>
      <c r="HA5" s="30"/>
      <c r="HB5" s="30"/>
      <c r="HC5" s="30"/>
      <c r="HD5" s="30"/>
      <c r="HE5" s="30"/>
      <c r="HF5" s="30"/>
      <c r="HG5" s="30"/>
      <c r="HH5" s="30"/>
      <c r="HI5" s="30"/>
      <c r="HJ5" s="30"/>
      <c r="HK5" s="30"/>
      <c r="HL5" s="30"/>
      <c r="HM5" s="30"/>
      <c r="HN5" s="30"/>
      <c r="HO5" s="30"/>
      <c r="HP5" s="30"/>
      <c r="HQ5" s="30"/>
      <c r="HR5" s="30"/>
      <c r="HS5" s="30"/>
      <c r="HT5" s="30"/>
      <c r="HU5" s="30"/>
      <c r="HV5" s="30"/>
      <c r="HW5" s="30"/>
      <c r="HX5" s="30"/>
      <c r="HY5" s="30"/>
      <c r="HZ5" s="30"/>
      <c r="IA5" s="30"/>
      <c r="IB5" s="30"/>
      <c r="IC5" s="30"/>
      <c r="ID5" s="30"/>
      <c r="IE5" s="30"/>
      <c r="IF5" s="30"/>
      <c r="IG5" s="30"/>
      <c r="IH5" s="30"/>
      <c r="II5" s="30"/>
      <c r="IJ5" s="30"/>
      <c r="IK5" s="30"/>
      <c r="IL5" s="30"/>
      <c r="IM5" s="30"/>
      <c r="IN5" s="30"/>
      <c r="IO5" s="30"/>
      <c r="IP5" s="30"/>
      <c r="IQ5" s="30"/>
      <c r="IR5" s="30"/>
      <c r="IS5" s="30"/>
      <c r="IT5" s="30"/>
      <c r="IU5" s="30"/>
      <c r="IV5" s="30"/>
      <c r="IW5" s="30"/>
    </row>
    <row r="6" customFormat="false" ht="13.5" hidden="false" customHeight="true" outlineLevel="0" collapsed="false">
      <c r="A6" s="42"/>
      <c r="B6" s="43" t="s">
        <v>20</v>
      </c>
      <c r="C6" s="43"/>
      <c r="D6" s="44" t="n">
        <f aca="false">[1]Admin!$L$6</f>
        <v>46327</v>
      </c>
      <c r="E6" s="44"/>
      <c r="F6" s="45"/>
      <c r="G6" s="45"/>
      <c r="H6" s="46"/>
      <c r="I6" s="45"/>
      <c r="J6" s="45"/>
      <c r="K6" s="45"/>
      <c r="L6" s="45"/>
      <c r="M6" s="46"/>
      <c r="N6" s="45"/>
      <c r="O6" s="47"/>
      <c r="P6" s="48"/>
      <c r="Q6" s="47"/>
      <c r="R6" s="47"/>
      <c r="S6" s="47"/>
      <c r="T6" s="47"/>
      <c r="U6" s="49"/>
      <c r="V6" s="50"/>
      <c r="W6" s="50"/>
      <c r="X6" s="50"/>
      <c r="Y6" s="47"/>
      <c r="Z6" s="47"/>
      <c r="AA6" s="25"/>
    </row>
    <row r="7" customFormat="false" ht="13.5" hidden="false" customHeight="true" outlineLevel="0" collapsed="false">
      <c r="A7" s="42"/>
      <c r="B7" s="51" t="s">
        <v>21</v>
      </c>
      <c r="C7" s="51"/>
      <c r="D7" s="52"/>
      <c r="E7" s="45"/>
      <c r="F7" s="45"/>
      <c r="G7" s="45"/>
      <c r="H7" s="53" t="n">
        <v>0</v>
      </c>
      <c r="I7" s="45"/>
      <c r="J7" s="45"/>
      <c r="K7" s="45"/>
      <c r="L7" s="45"/>
      <c r="M7" s="46"/>
      <c r="N7" s="45"/>
      <c r="O7" s="47"/>
      <c r="P7" s="48"/>
      <c r="Q7" s="47"/>
      <c r="R7" s="47"/>
      <c r="S7" s="47"/>
      <c r="T7" s="47"/>
      <c r="U7" s="49"/>
      <c r="V7" s="50"/>
      <c r="W7" s="50"/>
      <c r="X7" s="50"/>
      <c r="Y7" s="47"/>
      <c r="Z7" s="47"/>
      <c r="AA7" s="25"/>
    </row>
    <row r="8" customFormat="false" ht="12" hidden="false" customHeight="false" outlineLevel="0" collapsed="false">
      <c r="A8" s="42"/>
      <c r="B8" s="54"/>
      <c r="C8" s="55" t="s">
        <v>22</v>
      </c>
      <c r="D8" s="56"/>
      <c r="E8" s="57" t="n">
        <v>200000</v>
      </c>
      <c r="F8" s="57" t="n">
        <v>40000</v>
      </c>
      <c r="G8" s="50" t="n">
        <f aca="false">IF(E8&gt;0,E8-F8," ")</f>
        <v>160000</v>
      </c>
      <c r="H8" s="58" t="n">
        <f aca="false">H$7</f>
        <v>0</v>
      </c>
      <c r="I8" s="50" t="n">
        <f aca="false">IF(E8&gt;0,MIN(E8*H8,G8)," ")</f>
        <v>0</v>
      </c>
      <c r="J8" s="50" t="n">
        <f aca="false">IF(E8&gt;0,F8+I8," ")</f>
        <v>40000</v>
      </c>
      <c r="K8" s="50" t="n">
        <f aca="false">IF(E8&gt;0,IF(V8&gt;0,0,E8-J8)," ")</f>
        <v>160000</v>
      </c>
      <c r="L8" s="50"/>
      <c r="M8" s="58"/>
      <c r="N8" s="50"/>
      <c r="O8" s="47"/>
      <c r="P8" s="48"/>
      <c r="Q8" s="47"/>
      <c r="R8" s="47"/>
      <c r="S8" s="47"/>
      <c r="T8" s="47"/>
      <c r="U8" s="54"/>
      <c r="V8" s="57"/>
      <c r="W8" s="50" t="str">
        <f aca="false">IF(V8&gt;0,E8," ")</f>
        <v> </v>
      </c>
      <c r="X8" s="50" t="str">
        <f aca="false">IF(V8&gt;0,J8," ")</f>
        <v> </v>
      </c>
      <c r="Y8" s="47"/>
      <c r="Z8" s="47"/>
      <c r="AA8" s="25"/>
    </row>
    <row r="9" customFormat="false" ht="12" hidden="false" customHeight="false" outlineLevel="0" collapsed="false">
      <c r="A9" s="42"/>
      <c r="B9" s="54"/>
      <c r="C9" s="55"/>
      <c r="D9" s="56"/>
      <c r="E9" s="57"/>
      <c r="F9" s="57"/>
      <c r="G9" s="50" t="str">
        <f aca="false">IF(E9&gt;0,E9-F9," ")</f>
        <v> </v>
      </c>
      <c r="H9" s="58" t="n">
        <f aca="false">H$7</f>
        <v>0</v>
      </c>
      <c r="I9" s="50" t="str">
        <f aca="false">IF(E9&gt;0,MIN(E9*H9,G9)," ")</f>
        <v> </v>
      </c>
      <c r="J9" s="50" t="str">
        <f aca="false">IF(E9&gt;0,F9+I9," ")</f>
        <v> </v>
      </c>
      <c r="K9" s="50" t="str">
        <f aca="false">IF(E9&gt;0,IF(V9&gt;0,0,E9-J9)," ")</f>
        <v> </v>
      </c>
      <c r="L9" s="50"/>
      <c r="M9" s="58"/>
      <c r="N9" s="50"/>
      <c r="O9" s="47"/>
      <c r="P9" s="48"/>
      <c r="Q9" s="47"/>
      <c r="R9" s="47"/>
      <c r="S9" s="47"/>
      <c r="T9" s="47"/>
      <c r="U9" s="54"/>
      <c r="V9" s="57"/>
      <c r="W9" s="50" t="str">
        <f aca="false">IF(V9&gt;0,E9," ")</f>
        <v> </v>
      </c>
      <c r="X9" s="50" t="str">
        <f aca="false">IF(V9&gt;0,J9," ")</f>
        <v> </v>
      </c>
      <c r="Y9" s="47"/>
      <c r="Z9" s="47"/>
      <c r="AA9" s="25"/>
    </row>
    <row r="10" customFormat="false" ht="12" hidden="false" customHeight="false" outlineLevel="0" collapsed="false">
      <c r="A10" s="42"/>
      <c r="B10" s="54"/>
      <c r="C10" s="55"/>
      <c r="D10" s="56"/>
      <c r="E10" s="57"/>
      <c r="F10" s="57"/>
      <c r="G10" s="50" t="str">
        <f aca="false">IF(E10&gt;0,E10-F10," ")</f>
        <v> </v>
      </c>
      <c r="H10" s="58" t="n">
        <f aca="false">H$7</f>
        <v>0</v>
      </c>
      <c r="I10" s="50" t="str">
        <f aca="false">IF(E10&gt;0,MIN(E10*H10,G10)," ")</f>
        <v> </v>
      </c>
      <c r="J10" s="50" t="str">
        <f aca="false">IF(E10&gt;0,F10+I10," ")</f>
        <v> </v>
      </c>
      <c r="K10" s="50" t="str">
        <f aca="false">IF(E10&gt;0,IF(V10&gt;0,0,E10-J10)," ")</f>
        <v> </v>
      </c>
      <c r="L10" s="50"/>
      <c r="M10" s="58"/>
      <c r="N10" s="50"/>
      <c r="O10" s="47"/>
      <c r="P10" s="48"/>
      <c r="Q10" s="47"/>
      <c r="R10" s="47"/>
      <c r="S10" s="47"/>
      <c r="T10" s="47"/>
      <c r="U10" s="54"/>
      <c r="V10" s="57"/>
      <c r="W10" s="50" t="str">
        <f aca="false">IF(V10&gt;0,E10," ")</f>
        <v> </v>
      </c>
      <c r="X10" s="50" t="str">
        <f aca="false">IF(V10&gt;0,J10," ")</f>
        <v> </v>
      </c>
      <c r="Y10" s="47"/>
      <c r="Z10" s="47"/>
      <c r="AA10" s="25"/>
    </row>
    <row r="11" customFormat="false" ht="12" hidden="false" customHeight="true" outlineLevel="0" collapsed="false">
      <c r="A11" s="42"/>
      <c r="B11" s="59" t="str">
        <f aca="false">IF((E11-F11)=([1]OpenAccounts!$G$13-[1]OpenAccounts!$M$13),"Existing Land &amp; Property","Check Opening Balance Sheet figures agree")</f>
        <v>Existing Land &amp; Property</v>
      </c>
      <c r="C11" s="59"/>
      <c r="D11" s="59"/>
      <c r="E11" s="60" t="n">
        <f aca="false">SUM(E8:E10)</f>
        <v>200000</v>
      </c>
      <c r="F11" s="60" t="n">
        <f aca="false">SUM(F8:F10)</f>
        <v>40000</v>
      </c>
      <c r="G11" s="61" t="n">
        <f aca="false">SUM(G8:G10)</f>
        <v>160000</v>
      </c>
      <c r="H11" s="58"/>
      <c r="I11" s="61" t="n">
        <f aca="false">SUM(I8:I10)</f>
        <v>0</v>
      </c>
      <c r="J11" s="61" t="n">
        <f aca="false">SUM(J8:J10)</f>
        <v>40000</v>
      </c>
      <c r="K11" s="61" t="n">
        <f aca="false">SUM(K8:K10)</f>
        <v>160000</v>
      </c>
      <c r="L11" s="50"/>
      <c r="M11" s="58"/>
      <c r="N11" s="50"/>
      <c r="O11" s="61" t="n">
        <f aca="false">SUM(O8:O10)</f>
        <v>0</v>
      </c>
      <c r="P11" s="62"/>
      <c r="Q11" s="61" t="n">
        <f aca="false">SUM(Q8:Q10)</f>
        <v>0</v>
      </c>
      <c r="R11" s="61" t="n">
        <f aca="false">SUM(R8:R10)</f>
        <v>0</v>
      </c>
      <c r="S11" s="61" t="n">
        <f aca="false">SUM(S8:S10)</f>
        <v>0</v>
      </c>
      <c r="T11" s="47"/>
      <c r="U11" s="49"/>
      <c r="V11" s="60" t="n">
        <f aca="false">SUM(V8:V10)</f>
        <v>0</v>
      </c>
      <c r="W11" s="61" t="n">
        <f aca="false">SUM(W8:W10)</f>
        <v>0</v>
      </c>
      <c r="X11" s="61" t="n">
        <f aca="false">SUM(X8:X10)</f>
        <v>0</v>
      </c>
      <c r="Y11" s="61" t="n">
        <f aca="false">SUM(Y8:Y10)</f>
        <v>0</v>
      </c>
      <c r="Z11" s="61" t="n">
        <f aca="false">SUM(Z8:Z10)</f>
        <v>0</v>
      </c>
      <c r="AA11" s="25"/>
    </row>
    <row r="12" customFormat="false" ht="6" hidden="false" customHeight="true" outlineLevel="0" collapsed="false">
      <c r="A12" s="42"/>
      <c r="B12" s="63"/>
      <c r="C12" s="64"/>
      <c r="D12" s="65"/>
      <c r="E12" s="50"/>
      <c r="F12" s="50"/>
      <c r="G12" s="50"/>
      <c r="H12" s="58"/>
      <c r="I12" s="50"/>
      <c r="J12" s="50"/>
      <c r="K12" s="50"/>
      <c r="L12" s="50"/>
      <c r="M12" s="58"/>
      <c r="N12" s="50"/>
      <c r="O12" s="50"/>
      <c r="P12" s="62"/>
      <c r="Q12" s="50"/>
      <c r="R12" s="50"/>
      <c r="S12" s="50"/>
      <c r="T12" s="47"/>
      <c r="U12" s="49"/>
      <c r="V12" s="50"/>
      <c r="W12" s="50"/>
      <c r="X12" s="50"/>
      <c r="Y12" s="50"/>
      <c r="Z12" s="50"/>
      <c r="AA12" s="25"/>
    </row>
    <row r="13" customFormat="false" ht="12" hidden="false" customHeight="true" outlineLevel="0" collapsed="false">
      <c r="A13" s="42"/>
      <c r="B13" s="51" t="s">
        <v>23</v>
      </c>
      <c r="C13" s="51"/>
      <c r="D13" s="62"/>
      <c r="E13" s="50"/>
      <c r="F13" s="50"/>
      <c r="G13" s="50"/>
      <c r="H13" s="66" t="n">
        <v>0.1</v>
      </c>
      <c r="I13" s="50"/>
      <c r="J13" s="50"/>
      <c r="K13" s="50"/>
      <c r="L13" s="50"/>
      <c r="M13" s="58"/>
      <c r="N13" s="50"/>
      <c r="O13" s="47"/>
      <c r="P13" s="48"/>
      <c r="Q13" s="47"/>
      <c r="R13" s="47"/>
      <c r="S13" s="47"/>
      <c r="T13" s="47"/>
      <c r="U13" s="49"/>
      <c r="V13" s="50"/>
      <c r="W13" s="50"/>
      <c r="X13" s="50"/>
      <c r="Y13" s="47"/>
      <c r="Z13" s="47"/>
      <c r="AA13" s="25"/>
    </row>
    <row r="14" customFormat="false" ht="12" hidden="false" customHeight="false" outlineLevel="0" collapsed="false">
      <c r="A14" s="42"/>
      <c r="B14" s="54"/>
      <c r="C14" s="55"/>
      <c r="D14" s="56"/>
      <c r="E14" s="57"/>
      <c r="F14" s="57"/>
      <c r="G14" s="50" t="str">
        <f aca="false">IF(E14&gt;0,E14-F14," ")</f>
        <v> </v>
      </c>
      <c r="H14" s="58" t="n">
        <f aca="false">H$13</f>
        <v>0.1</v>
      </c>
      <c r="I14" s="50" t="str">
        <f aca="false">IF(E14&gt;0,MIN(E14*H14,G14)," ")</f>
        <v> </v>
      </c>
      <c r="J14" s="50" t="str">
        <f aca="false">IF(E14&gt;0,F14+I14," ")</f>
        <v> </v>
      </c>
      <c r="K14" s="50" t="str">
        <f aca="false">IF(E14&gt;0,IF(V14&gt;0,0,E14-J14)," ")</f>
        <v> </v>
      </c>
      <c r="L14" s="50"/>
      <c r="M14" s="58"/>
      <c r="N14" s="50"/>
      <c r="O14" s="67"/>
      <c r="P14" s="48"/>
      <c r="Q14" s="47"/>
      <c r="R14" s="47" t="str">
        <f aca="false">IF(O14&gt;0,O14*R$4/100," ")</f>
        <v> </v>
      </c>
      <c r="S14" s="47" t="str">
        <f aca="false">IF(O14&gt;0,O14-R14," ")</f>
        <v> </v>
      </c>
      <c r="T14" s="47"/>
      <c r="U14" s="54"/>
      <c r="V14" s="57"/>
      <c r="W14" s="50" t="str">
        <f aca="false">IF(V14&gt;0,E14," ")</f>
        <v> </v>
      </c>
      <c r="X14" s="50" t="str">
        <f aca="false">IF(V14&gt;0,J14," ")</f>
        <v> </v>
      </c>
      <c r="Y14" s="47" t="str">
        <f aca="false">IF((U14+V14)&gt;0,IF(V14&lt;S14,S14-V14," ")," ")</f>
        <v> </v>
      </c>
      <c r="Z14" s="47" t="str">
        <f aca="false">IF((U14+V14)&gt;0,IF(V14&gt;S14,V14-S14," ")," ")</f>
        <v> </v>
      </c>
      <c r="AA14" s="25"/>
    </row>
    <row r="15" customFormat="false" ht="12" hidden="false" customHeight="false" outlineLevel="0" collapsed="false">
      <c r="A15" s="42"/>
      <c r="B15" s="54"/>
      <c r="C15" s="55"/>
      <c r="D15" s="56"/>
      <c r="E15" s="57"/>
      <c r="F15" s="57"/>
      <c r="G15" s="50" t="str">
        <f aca="false">IF(E15&gt;0,E15-F15," ")</f>
        <v> </v>
      </c>
      <c r="H15" s="58" t="n">
        <f aca="false">H$13</f>
        <v>0.1</v>
      </c>
      <c r="I15" s="50" t="str">
        <f aca="false">IF(E15&gt;0,MIN(E15*H15,G15)," ")</f>
        <v> </v>
      </c>
      <c r="J15" s="50" t="str">
        <f aca="false">IF(E15&gt;0,F15+I15," ")</f>
        <v> </v>
      </c>
      <c r="K15" s="50" t="str">
        <f aca="false">IF(E15&gt;0,IF(V15&gt;0,0,E15-J15)," ")</f>
        <v> </v>
      </c>
      <c r="L15" s="50"/>
      <c r="M15" s="58"/>
      <c r="N15" s="50"/>
      <c r="O15" s="67"/>
      <c r="P15" s="48"/>
      <c r="Q15" s="47"/>
      <c r="R15" s="47" t="str">
        <f aca="false">IF(O15&gt;0,O15*R$4/100," ")</f>
        <v> </v>
      </c>
      <c r="S15" s="47" t="str">
        <f aca="false">IF(O15&gt;0,O15-R15," ")</f>
        <v> </v>
      </c>
      <c r="T15" s="47"/>
      <c r="U15" s="54"/>
      <c r="V15" s="57"/>
      <c r="W15" s="50" t="str">
        <f aca="false">IF(V15&gt;0,E15," ")</f>
        <v> </v>
      </c>
      <c r="X15" s="50" t="str">
        <f aca="false">IF(V15&gt;0,J15," ")</f>
        <v> </v>
      </c>
      <c r="Y15" s="47" t="str">
        <f aca="false">IF((U15+V15)&gt;0,IF(V15&lt;S15,S15-V15," ")," ")</f>
        <v> </v>
      </c>
      <c r="Z15" s="47" t="str">
        <f aca="false">IF((U15+V15)&gt;0,IF(V15&gt;S15,V15-S15," ")," ")</f>
        <v> </v>
      </c>
      <c r="AA15" s="25"/>
    </row>
    <row r="16" customFormat="false" ht="12" hidden="false" customHeight="false" outlineLevel="0" collapsed="false">
      <c r="A16" s="42"/>
      <c r="B16" s="54"/>
      <c r="C16" s="55"/>
      <c r="D16" s="56"/>
      <c r="E16" s="57"/>
      <c r="F16" s="57"/>
      <c r="G16" s="50" t="str">
        <f aca="false">IF(E16&gt;0,E16-F16," ")</f>
        <v> </v>
      </c>
      <c r="H16" s="58" t="n">
        <f aca="false">H$13</f>
        <v>0.1</v>
      </c>
      <c r="I16" s="50" t="str">
        <f aca="false">IF(E16&gt;0,MIN(E16*H16,G16)," ")</f>
        <v> </v>
      </c>
      <c r="J16" s="50" t="str">
        <f aca="false">IF(E16&gt;0,F16+I16," ")</f>
        <v> </v>
      </c>
      <c r="K16" s="50" t="str">
        <f aca="false">IF(E16&gt;0,IF(V16&gt;0,0,E16-J16)," ")</f>
        <v> </v>
      </c>
      <c r="L16" s="50"/>
      <c r="M16" s="58"/>
      <c r="N16" s="50"/>
      <c r="O16" s="67"/>
      <c r="P16" s="48"/>
      <c r="Q16" s="47"/>
      <c r="R16" s="47" t="str">
        <f aca="false">IF(O16&gt;0,O16*R$4/100," ")</f>
        <v> </v>
      </c>
      <c r="S16" s="47" t="str">
        <f aca="false">IF(O16&gt;0,O16-R16," ")</f>
        <v> </v>
      </c>
      <c r="T16" s="47"/>
      <c r="U16" s="54"/>
      <c r="V16" s="57"/>
      <c r="W16" s="50" t="str">
        <f aca="false">IF(V16&gt;0,E16," ")</f>
        <v> </v>
      </c>
      <c r="X16" s="50" t="str">
        <f aca="false">IF(V16&gt;0,J16," ")</f>
        <v> </v>
      </c>
      <c r="Y16" s="47" t="str">
        <f aca="false">IF((U16+V16)&gt;0,IF(V16&lt;S16,S16-V16," ")," ")</f>
        <v> </v>
      </c>
      <c r="Z16" s="47" t="str">
        <f aca="false">IF((U16+V16)&gt;0,IF(V16&gt;S16,V16-S16," ")," ")</f>
        <v> </v>
      </c>
      <c r="AA16" s="25"/>
    </row>
    <row r="17" customFormat="false" ht="12" hidden="false" customHeight="false" outlineLevel="0" collapsed="false">
      <c r="A17" s="42"/>
      <c r="B17" s="54"/>
      <c r="C17" s="55"/>
      <c r="D17" s="56"/>
      <c r="E17" s="57"/>
      <c r="F17" s="57"/>
      <c r="G17" s="50" t="str">
        <f aca="false">IF(E17&gt;0,E17-F17," ")</f>
        <v> </v>
      </c>
      <c r="H17" s="58" t="n">
        <f aca="false">H$13</f>
        <v>0.1</v>
      </c>
      <c r="I17" s="50" t="str">
        <f aca="false">IF(E17&gt;0,MIN(E17*H17,G17)," ")</f>
        <v> </v>
      </c>
      <c r="J17" s="50" t="str">
        <f aca="false">IF(E17&gt;0,F17+I17," ")</f>
        <v> </v>
      </c>
      <c r="K17" s="50" t="str">
        <f aca="false">IF(E17&gt;0,IF(V17&gt;0,0,E17-J17)," ")</f>
        <v> </v>
      </c>
      <c r="L17" s="50"/>
      <c r="M17" s="58"/>
      <c r="N17" s="50"/>
      <c r="O17" s="67"/>
      <c r="P17" s="48"/>
      <c r="Q17" s="47"/>
      <c r="R17" s="47" t="str">
        <f aca="false">IF(O17&gt;0,O17*R$4/100," ")</f>
        <v> </v>
      </c>
      <c r="S17" s="47" t="str">
        <f aca="false">IF(O17&gt;0,O17-R17," ")</f>
        <v> </v>
      </c>
      <c r="T17" s="47"/>
      <c r="U17" s="54"/>
      <c r="V17" s="57"/>
      <c r="W17" s="50" t="str">
        <f aca="false">IF(V17&gt;0,E17," ")</f>
        <v> </v>
      </c>
      <c r="X17" s="50" t="str">
        <f aca="false">IF(V17&gt;0,J17," ")</f>
        <v> </v>
      </c>
      <c r="Y17" s="47" t="str">
        <f aca="false">IF((U17+V17)&gt;0,IF(V17&lt;S17,S17-V17," ")," ")</f>
        <v> </v>
      </c>
      <c r="Z17" s="47" t="str">
        <f aca="false">IF((U17+V17)&gt;0,IF(V17&gt;S17,V17-S17," ")," ")</f>
        <v> </v>
      </c>
      <c r="AA17" s="25"/>
    </row>
    <row r="18" customFormat="false" ht="12" hidden="false" customHeight="false" outlineLevel="0" collapsed="false">
      <c r="A18" s="42"/>
      <c r="B18" s="54"/>
      <c r="C18" s="55"/>
      <c r="D18" s="56"/>
      <c r="E18" s="57"/>
      <c r="F18" s="57"/>
      <c r="G18" s="50" t="str">
        <f aca="false">IF(E18&gt;0,E18-F18," ")</f>
        <v> </v>
      </c>
      <c r="H18" s="58" t="n">
        <f aca="false">H$13</f>
        <v>0.1</v>
      </c>
      <c r="I18" s="50" t="str">
        <f aca="false">IF(E18&gt;0,MIN(E18*H18,G18)," ")</f>
        <v> </v>
      </c>
      <c r="J18" s="50" t="str">
        <f aca="false">IF(E18&gt;0,F18+I18," ")</f>
        <v> </v>
      </c>
      <c r="K18" s="50" t="str">
        <f aca="false">IF(E18&gt;0,IF(V18&gt;0,0,E18-J18)," ")</f>
        <v> </v>
      </c>
      <c r="L18" s="50"/>
      <c r="M18" s="58"/>
      <c r="N18" s="50"/>
      <c r="O18" s="67"/>
      <c r="P18" s="48"/>
      <c r="Q18" s="47"/>
      <c r="R18" s="47" t="str">
        <f aca="false">IF(O18&gt;0,O18*R$4/100," ")</f>
        <v> </v>
      </c>
      <c r="S18" s="47" t="str">
        <f aca="false">IF(O18&gt;0,O18-R18," ")</f>
        <v> </v>
      </c>
      <c r="T18" s="47"/>
      <c r="U18" s="54"/>
      <c r="V18" s="57"/>
      <c r="W18" s="50" t="str">
        <f aca="false">IF(V18&gt;0,E18," ")</f>
        <v> </v>
      </c>
      <c r="X18" s="50" t="str">
        <f aca="false">IF(V18&gt;0,J18," ")</f>
        <v> </v>
      </c>
      <c r="Y18" s="47" t="str">
        <f aca="false">IF((U18+V18)&gt;0,IF(V18&lt;S18,S18-V18," ")," ")</f>
        <v> </v>
      </c>
      <c r="Z18" s="47" t="str">
        <f aca="false">IF((U18+V18)&gt;0,IF(V18&gt;S18,V18-S18," ")," ")</f>
        <v> </v>
      </c>
      <c r="AA18" s="25"/>
    </row>
    <row r="19" customFormat="false" ht="12" hidden="false" customHeight="false" outlineLevel="0" collapsed="false">
      <c r="A19" s="42"/>
      <c r="B19" s="54"/>
      <c r="C19" s="55"/>
      <c r="D19" s="56"/>
      <c r="E19" s="57"/>
      <c r="F19" s="57"/>
      <c r="G19" s="50" t="str">
        <f aca="false">IF(E19&gt;0,E19-F19," ")</f>
        <v> </v>
      </c>
      <c r="H19" s="58" t="n">
        <f aca="false">H$13</f>
        <v>0.1</v>
      </c>
      <c r="I19" s="50" t="str">
        <f aca="false">IF(E19&gt;0,MIN(E19*H19,G19)," ")</f>
        <v> </v>
      </c>
      <c r="J19" s="50" t="str">
        <f aca="false">IF(E19&gt;0,F19+I19," ")</f>
        <v> </v>
      </c>
      <c r="K19" s="50" t="str">
        <f aca="false">IF(E19&gt;0,IF(V19&gt;0,0,E19-J19)," ")</f>
        <v> </v>
      </c>
      <c r="L19" s="50"/>
      <c r="M19" s="58"/>
      <c r="N19" s="50"/>
      <c r="O19" s="67"/>
      <c r="P19" s="48"/>
      <c r="Q19" s="47"/>
      <c r="R19" s="47" t="str">
        <f aca="false">IF(O19&gt;0,O19*R$4/100," ")</f>
        <v> </v>
      </c>
      <c r="S19" s="47" t="str">
        <f aca="false">IF(O19&gt;0,O19-R19," ")</f>
        <v> </v>
      </c>
      <c r="T19" s="47"/>
      <c r="U19" s="54"/>
      <c r="V19" s="57"/>
      <c r="W19" s="50" t="str">
        <f aca="false">IF(V19&gt;0,E19," ")</f>
        <v> </v>
      </c>
      <c r="X19" s="50" t="str">
        <f aca="false">IF(V19&gt;0,J19," ")</f>
        <v> </v>
      </c>
      <c r="Y19" s="47" t="str">
        <f aca="false">IF((U19+V19)&gt;0,IF(V19&lt;S19,S19-V19," ")," ")</f>
        <v> </v>
      </c>
      <c r="Z19" s="47" t="str">
        <f aca="false">IF((U19+V19)&gt;0,IF(V19&gt;S19,V19-S19," ")," ")</f>
        <v> </v>
      </c>
      <c r="AA19" s="25"/>
    </row>
    <row r="20" customFormat="false" ht="12" hidden="false" customHeight="false" outlineLevel="0" collapsed="false">
      <c r="A20" s="42"/>
      <c r="B20" s="54"/>
      <c r="C20" s="55"/>
      <c r="D20" s="56"/>
      <c r="E20" s="57"/>
      <c r="F20" s="57"/>
      <c r="G20" s="50" t="str">
        <f aca="false">IF(E20&gt;0,E20-F20," ")</f>
        <v> </v>
      </c>
      <c r="H20" s="58" t="n">
        <f aca="false">H$13</f>
        <v>0.1</v>
      </c>
      <c r="I20" s="50" t="str">
        <f aca="false">IF(E20&gt;0,MIN(E20*H20,G20)," ")</f>
        <v> </v>
      </c>
      <c r="J20" s="50" t="str">
        <f aca="false">IF(E20&gt;0,F20+I20," ")</f>
        <v> </v>
      </c>
      <c r="K20" s="50" t="str">
        <f aca="false">IF(E20&gt;0,IF(V20&gt;0,0,E20-J20)," ")</f>
        <v> </v>
      </c>
      <c r="L20" s="50"/>
      <c r="M20" s="58"/>
      <c r="N20" s="50"/>
      <c r="O20" s="67"/>
      <c r="P20" s="48"/>
      <c r="Q20" s="47"/>
      <c r="R20" s="47" t="str">
        <f aca="false">IF(O20&gt;0,O20*R$4/100," ")</f>
        <v> </v>
      </c>
      <c r="S20" s="47" t="str">
        <f aca="false">IF(O20&gt;0,O20-R20," ")</f>
        <v> </v>
      </c>
      <c r="T20" s="47"/>
      <c r="U20" s="54"/>
      <c r="V20" s="57"/>
      <c r="W20" s="50" t="str">
        <f aca="false">IF(V20&gt;0,E20," ")</f>
        <v> </v>
      </c>
      <c r="X20" s="50" t="str">
        <f aca="false">IF(V20&gt;0,J20," ")</f>
        <v> </v>
      </c>
      <c r="Y20" s="47" t="str">
        <f aca="false">IF((U20+V20)&gt;0,IF(V20&lt;S20,S20-V20," ")," ")</f>
        <v> </v>
      </c>
      <c r="Z20" s="47" t="str">
        <f aca="false">IF((U20+V20)&gt;0,IF(V20&gt;S20,V20-S20," ")," ")</f>
        <v> </v>
      </c>
      <c r="AA20" s="25"/>
    </row>
    <row r="21" customFormat="false" ht="12" hidden="false" customHeight="false" outlineLevel="0" collapsed="false">
      <c r="A21" s="42"/>
      <c r="B21" s="54"/>
      <c r="C21" s="55"/>
      <c r="D21" s="56"/>
      <c r="E21" s="57"/>
      <c r="F21" s="57"/>
      <c r="G21" s="50" t="str">
        <f aca="false">IF(E21&gt;0,E21-F21," ")</f>
        <v> </v>
      </c>
      <c r="H21" s="58" t="n">
        <f aca="false">H$13</f>
        <v>0.1</v>
      </c>
      <c r="I21" s="50" t="str">
        <f aca="false">IF(E21&gt;0,MIN(E21*H21,G21)," ")</f>
        <v> </v>
      </c>
      <c r="J21" s="50" t="str">
        <f aca="false">IF(E21&gt;0,F21+I21," ")</f>
        <v> </v>
      </c>
      <c r="K21" s="50" t="str">
        <f aca="false">IF(E21&gt;0,IF(V21&gt;0,0,E21-J21)," ")</f>
        <v> </v>
      </c>
      <c r="L21" s="50"/>
      <c r="M21" s="58"/>
      <c r="N21" s="50"/>
      <c r="O21" s="67"/>
      <c r="P21" s="48"/>
      <c r="Q21" s="47"/>
      <c r="R21" s="47" t="str">
        <f aca="false">IF(O21&gt;0,O21*R$4/100," ")</f>
        <v> </v>
      </c>
      <c r="S21" s="47" t="str">
        <f aca="false">IF(O21&gt;0,O21-R21," ")</f>
        <v> </v>
      </c>
      <c r="T21" s="47"/>
      <c r="U21" s="54"/>
      <c r="V21" s="57"/>
      <c r="W21" s="50" t="str">
        <f aca="false">IF(V21&gt;0,E21," ")</f>
        <v> </v>
      </c>
      <c r="X21" s="50" t="str">
        <f aca="false">IF(V21&gt;0,J21," ")</f>
        <v> </v>
      </c>
      <c r="Y21" s="47" t="str">
        <f aca="false">IF((U21+V21)&gt;0,IF(V21&lt;S21,S21-V21," ")," ")</f>
        <v> </v>
      </c>
      <c r="Z21" s="47" t="str">
        <f aca="false">IF((U21+V21)&gt;0,IF(V21&gt;S21,V21-S21," ")," ")</f>
        <v> </v>
      </c>
      <c r="AA21" s="25"/>
    </row>
    <row r="22" customFormat="false" ht="12" hidden="false" customHeight="true" outlineLevel="0" collapsed="false">
      <c r="A22" s="42"/>
      <c r="B22" s="59" t="str">
        <f aca="false">IF((E22-F22)=([1]OpenAccounts!$H$13-[1]OpenAccounts!$N$13),"Existing Plant &amp; Machinery","Check Opening Balance Sheet figures agree")</f>
        <v>Existing Plant &amp; Machinery</v>
      </c>
      <c r="C22" s="59"/>
      <c r="D22" s="59"/>
      <c r="E22" s="60" t="n">
        <f aca="false">SUM(E14:E21)</f>
        <v>0</v>
      </c>
      <c r="F22" s="60" t="n">
        <f aca="false">SUM(F14:F21)</f>
        <v>0</v>
      </c>
      <c r="G22" s="61" t="n">
        <f aca="false">SUM(G14:G21)</f>
        <v>0</v>
      </c>
      <c r="H22" s="58"/>
      <c r="I22" s="61" t="n">
        <f aca="false">SUM(I14:I21)</f>
        <v>0</v>
      </c>
      <c r="J22" s="61" t="n">
        <f aca="false">SUM(J14:J21)</f>
        <v>0</v>
      </c>
      <c r="K22" s="61" t="n">
        <f aca="false">SUM(K14:K21)</f>
        <v>0</v>
      </c>
      <c r="L22" s="50"/>
      <c r="M22" s="58"/>
      <c r="N22" s="50"/>
      <c r="O22" s="61" t="n">
        <f aca="false">SUM(O14:O21)</f>
        <v>0</v>
      </c>
      <c r="P22" s="62"/>
      <c r="Q22" s="61" t="n">
        <f aca="false">SUM(Q14:Q21)</f>
        <v>0</v>
      </c>
      <c r="R22" s="61" t="n">
        <f aca="false">SUM(R14:R21)</f>
        <v>0</v>
      </c>
      <c r="S22" s="61" t="n">
        <f aca="false">SUM(S14:S21)</f>
        <v>0</v>
      </c>
      <c r="T22" s="47"/>
      <c r="U22" s="49"/>
      <c r="V22" s="60" t="n">
        <f aca="false">SUM(V14:V21)</f>
        <v>0</v>
      </c>
      <c r="W22" s="61" t="n">
        <f aca="false">SUM(W14:W21)</f>
        <v>0</v>
      </c>
      <c r="X22" s="61" t="n">
        <f aca="false">SUM(X14:X21)</f>
        <v>0</v>
      </c>
      <c r="Y22" s="61" t="n">
        <f aca="false">SUM(Y14:Y21)</f>
        <v>0</v>
      </c>
      <c r="Z22" s="61" t="n">
        <f aca="false">SUM(Z14:Z21)</f>
        <v>0</v>
      </c>
      <c r="AA22" s="25"/>
    </row>
    <row r="23" customFormat="false" ht="6" hidden="false" customHeight="true" outlineLevel="0" collapsed="false">
      <c r="A23" s="42"/>
      <c r="B23" s="63"/>
      <c r="C23" s="64"/>
      <c r="D23" s="65"/>
      <c r="E23" s="50"/>
      <c r="F23" s="50"/>
      <c r="G23" s="50"/>
      <c r="H23" s="58"/>
      <c r="I23" s="50"/>
      <c r="J23" s="50"/>
      <c r="K23" s="50"/>
      <c r="L23" s="50"/>
      <c r="M23" s="58"/>
      <c r="N23" s="50"/>
      <c r="O23" s="50"/>
      <c r="P23" s="62"/>
      <c r="Q23" s="50"/>
      <c r="R23" s="50"/>
      <c r="S23" s="50"/>
      <c r="T23" s="47"/>
      <c r="U23" s="49"/>
      <c r="V23" s="50"/>
      <c r="W23" s="50"/>
      <c r="X23" s="50"/>
      <c r="Y23" s="50"/>
      <c r="Z23" s="50"/>
      <c r="AA23" s="25"/>
    </row>
    <row r="24" customFormat="false" ht="12" hidden="false" customHeight="true" outlineLevel="0" collapsed="false">
      <c r="A24" s="42"/>
      <c r="B24" s="51" t="s">
        <v>24</v>
      </c>
      <c r="C24" s="51"/>
      <c r="D24" s="62"/>
      <c r="E24" s="50"/>
      <c r="F24" s="50"/>
      <c r="G24" s="50"/>
      <c r="H24" s="66" t="n">
        <v>0.2</v>
      </c>
      <c r="I24" s="50"/>
      <c r="J24" s="50"/>
      <c r="K24" s="50"/>
      <c r="L24" s="50"/>
      <c r="M24" s="58"/>
      <c r="N24" s="50"/>
      <c r="O24" s="47"/>
      <c r="P24" s="48"/>
      <c r="Q24" s="47"/>
      <c r="R24" s="47"/>
      <c r="S24" s="47"/>
      <c r="T24" s="47"/>
      <c r="U24" s="49"/>
      <c r="V24" s="50"/>
      <c r="W24" s="50"/>
      <c r="X24" s="50"/>
      <c r="Y24" s="47"/>
      <c r="Z24" s="47"/>
      <c r="AA24" s="25"/>
    </row>
    <row r="25" customFormat="false" ht="12" hidden="false" customHeight="false" outlineLevel="0" collapsed="false">
      <c r="A25" s="42"/>
      <c r="B25" s="54"/>
      <c r="C25" s="55"/>
      <c r="D25" s="56"/>
      <c r="E25" s="57"/>
      <c r="F25" s="57"/>
      <c r="G25" s="50" t="str">
        <f aca="false">IF(E25&gt;0,E25-F25," ")</f>
        <v> </v>
      </c>
      <c r="H25" s="58" t="n">
        <f aca="false">H$24</f>
        <v>0.2</v>
      </c>
      <c r="I25" s="50" t="str">
        <f aca="false">IF(E25&gt;0,MIN(E25*H25,G25)," ")</f>
        <v> </v>
      </c>
      <c r="J25" s="50" t="str">
        <f aca="false">IF(E25&gt;0,F25+I25," ")</f>
        <v> </v>
      </c>
      <c r="K25" s="50" t="str">
        <f aca="false">IF(E25&gt;0,IF(V25&gt;0,0,E25-J25)," ")</f>
        <v> </v>
      </c>
      <c r="L25" s="50"/>
      <c r="M25" s="58"/>
      <c r="N25" s="50"/>
      <c r="O25" s="67"/>
      <c r="P25" s="48"/>
      <c r="Q25" s="47"/>
      <c r="R25" s="47" t="str">
        <f aca="false">IF(O25&gt;0,O25*R$4/100," ")</f>
        <v> </v>
      </c>
      <c r="S25" s="47" t="str">
        <f aca="false">IF(O25&gt;0,O25-R25," ")</f>
        <v> </v>
      </c>
      <c r="T25" s="47"/>
      <c r="U25" s="54"/>
      <c r="V25" s="57"/>
      <c r="W25" s="50" t="str">
        <f aca="false">IF(V25&gt;0,E25," ")</f>
        <v> </v>
      </c>
      <c r="X25" s="50" t="str">
        <f aca="false">IF(V25&gt;0,J25," ")</f>
        <v> </v>
      </c>
      <c r="Y25" s="47" t="str">
        <f aca="false">IF((U25+V25)&gt;0,IF(V25&lt;S25,S25-V25," ")," ")</f>
        <v> </v>
      </c>
      <c r="Z25" s="47" t="str">
        <f aca="false">IF((U25+V25)&gt;0,IF(V25&gt;S25,V25-S25," ")," ")</f>
        <v> </v>
      </c>
      <c r="AA25" s="25"/>
    </row>
    <row r="26" customFormat="false" ht="12" hidden="false" customHeight="false" outlineLevel="0" collapsed="false">
      <c r="A26" s="42"/>
      <c r="B26" s="54"/>
      <c r="C26" s="55"/>
      <c r="D26" s="56"/>
      <c r="E26" s="57"/>
      <c r="F26" s="57"/>
      <c r="G26" s="50" t="str">
        <f aca="false">IF(E26&gt;0,E26-F26," ")</f>
        <v> </v>
      </c>
      <c r="H26" s="58" t="n">
        <f aca="false">H$24</f>
        <v>0.2</v>
      </c>
      <c r="I26" s="50" t="str">
        <f aca="false">IF(E26&gt;0,MIN(E26*H26,G26)," ")</f>
        <v> </v>
      </c>
      <c r="J26" s="50" t="str">
        <f aca="false">IF(E26&gt;0,F26+I26," ")</f>
        <v> </v>
      </c>
      <c r="K26" s="50" t="str">
        <f aca="false">IF(E26&gt;0,IF(V26&gt;0,0,E26-J26)," ")</f>
        <v> </v>
      </c>
      <c r="L26" s="50"/>
      <c r="M26" s="58"/>
      <c r="N26" s="50"/>
      <c r="O26" s="67"/>
      <c r="P26" s="48"/>
      <c r="Q26" s="47"/>
      <c r="R26" s="47" t="str">
        <f aca="false">IF(O26&gt;0,O26*R$4/100," ")</f>
        <v> </v>
      </c>
      <c r="S26" s="47" t="str">
        <f aca="false">IF(O26&gt;0,O26-R26," ")</f>
        <v> </v>
      </c>
      <c r="T26" s="47"/>
      <c r="U26" s="54"/>
      <c r="V26" s="57"/>
      <c r="W26" s="50" t="str">
        <f aca="false">IF(V26&gt;0,E26," ")</f>
        <v> </v>
      </c>
      <c r="X26" s="50" t="str">
        <f aca="false">IF(V26&gt;0,J26," ")</f>
        <v> </v>
      </c>
      <c r="Y26" s="47" t="str">
        <f aca="false">IF((U26+V26)&gt;0,IF(V26&lt;S26,S26-V26," ")," ")</f>
        <v> </v>
      </c>
      <c r="Z26" s="47" t="str">
        <f aca="false">IF((U26+V26)&gt;0,IF(V26&gt;S26,V26-S26," ")," ")</f>
        <v> </v>
      </c>
      <c r="AA26" s="25"/>
    </row>
    <row r="27" customFormat="false" ht="12" hidden="false" customHeight="false" outlineLevel="0" collapsed="false">
      <c r="A27" s="42"/>
      <c r="B27" s="54"/>
      <c r="C27" s="55"/>
      <c r="D27" s="56"/>
      <c r="E27" s="57"/>
      <c r="F27" s="57"/>
      <c r="G27" s="50" t="str">
        <f aca="false">IF(E27&gt;0,E27-F27," ")</f>
        <v> </v>
      </c>
      <c r="H27" s="58" t="n">
        <f aca="false">H$24</f>
        <v>0.2</v>
      </c>
      <c r="I27" s="50" t="str">
        <f aca="false">IF(E27&gt;0,MIN(E27*H27,G27)," ")</f>
        <v> </v>
      </c>
      <c r="J27" s="50" t="str">
        <f aca="false">IF(E27&gt;0,F27+I27," ")</f>
        <v> </v>
      </c>
      <c r="K27" s="50" t="str">
        <f aca="false">IF(E27&gt;0,IF(V27&gt;0,0,E27-J27)," ")</f>
        <v> </v>
      </c>
      <c r="L27" s="50"/>
      <c r="M27" s="58"/>
      <c r="N27" s="50"/>
      <c r="O27" s="67"/>
      <c r="P27" s="48"/>
      <c r="Q27" s="47"/>
      <c r="R27" s="47" t="str">
        <f aca="false">IF(O27&gt;0,O27*R$4/100," ")</f>
        <v> </v>
      </c>
      <c r="S27" s="47" t="str">
        <f aca="false">IF(O27&gt;0,O27-R27," ")</f>
        <v> </v>
      </c>
      <c r="T27" s="47"/>
      <c r="U27" s="54"/>
      <c r="V27" s="57"/>
      <c r="W27" s="50" t="str">
        <f aca="false">IF(V27&gt;0,E27," ")</f>
        <v> </v>
      </c>
      <c r="X27" s="50" t="str">
        <f aca="false">IF(V27&gt;0,J27," ")</f>
        <v> </v>
      </c>
      <c r="Y27" s="47" t="str">
        <f aca="false">IF((U27+V27)&gt;0,IF(V27&lt;S27,S27-V27," ")," ")</f>
        <v> </v>
      </c>
      <c r="Z27" s="47" t="str">
        <f aca="false">IF((U27+V27)&gt;0,IF(V27&gt;S27,V27-S27," ")," ")</f>
        <v> </v>
      </c>
      <c r="AA27" s="25"/>
    </row>
    <row r="28" customFormat="false" ht="12" hidden="false" customHeight="false" outlineLevel="0" collapsed="false">
      <c r="A28" s="42"/>
      <c r="B28" s="54"/>
      <c r="C28" s="55"/>
      <c r="D28" s="56"/>
      <c r="E28" s="57"/>
      <c r="F28" s="57"/>
      <c r="G28" s="50" t="str">
        <f aca="false">IF(E28&gt;0,E28-F28," ")</f>
        <v> </v>
      </c>
      <c r="H28" s="58" t="n">
        <f aca="false">H$24</f>
        <v>0.2</v>
      </c>
      <c r="I28" s="50" t="str">
        <f aca="false">IF(E28&gt;0,MIN(E28*H28,G28)," ")</f>
        <v> </v>
      </c>
      <c r="J28" s="50" t="str">
        <f aca="false">IF(E28&gt;0,F28+I28," ")</f>
        <v> </v>
      </c>
      <c r="K28" s="50" t="str">
        <f aca="false">IF(E28&gt;0,IF(V28&gt;0,0,E28-J28)," ")</f>
        <v> </v>
      </c>
      <c r="L28" s="50"/>
      <c r="M28" s="58"/>
      <c r="N28" s="50"/>
      <c r="O28" s="67"/>
      <c r="P28" s="48"/>
      <c r="Q28" s="47"/>
      <c r="R28" s="47" t="str">
        <f aca="false">IF(O28&gt;0,O28*R$4/100," ")</f>
        <v> </v>
      </c>
      <c r="S28" s="47" t="str">
        <f aca="false">IF(O28&gt;0,O28-R28," ")</f>
        <v> </v>
      </c>
      <c r="T28" s="47"/>
      <c r="U28" s="54"/>
      <c r="V28" s="57"/>
      <c r="W28" s="50" t="str">
        <f aca="false">IF(V28&gt;0,E28," ")</f>
        <v> </v>
      </c>
      <c r="X28" s="50" t="str">
        <f aca="false">IF(V28&gt;0,J28," ")</f>
        <v> </v>
      </c>
      <c r="Y28" s="47" t="str">
        <f aca="false">IF((U28+V28)&gt;0,IF(V28&lt;S28,S28-V28," ")," ")</f>
        <v> </v>
      </c>
      <c r="Z28" s="47" t="str">
        <f aca="false">IF((U28+V28)&gt;0,IF(V28&gt;S28,V28-S28," ")," ")</f>
        <v> </v>
      </c>
      <c r="AA28" s="25"/>
    </row>
    <row r="29" customFormat="false" ht="12" hidden="false" customHeight="false" outlineLevel="0" collapsed="false">
      <c r="A29" s="42"/>
      <c r="B29" s="54"/>
      <c r="C29" s="55"/>
      <c r="D29" s="56"/>
      <c r="E29" s="57"/>
      <c r="F29" s="57"/>
      <c r="G29" s="50" t="str">
        <f aca="false">IF(E29&gt;0,E29-F29," ")</f>
        <v> </v>
      </c>
      <c r="H29" s="58" t="n">
        <f aca="false">H$24</f>
        <v>0.2</v>
      </c>
      <c r="I29" s="50" t="str">
        <f aca="false">IF(E29&gt;0,MIN(E29*H29,G29)," ")</f>
        <v> </v>
      </c>
      <c r="J29" s="50" t="str">
        <f aca="false">IF(E29&gt;0,F29+I29," ")</f>
        <v> </v>
      </c>
      <c r="K29" s="50" t="str">
        <f aca="false">IF(E29&gt;0,IF(V29&gt;0,0,E29-J29)," ")</f>
        <v> </v>
      </c>
      <c r="L29" s="50"/>
      <c r="M29" s="58"/>
      <c r="N29" s="50"/>
      <c r="O29" s="67"/>
      <c r="P29" s="48"/>
      <c r="Q29" s="47"/>
      <c r="R29" s="47" t="str">
        <f aca="false">IF(O29&gt;0,O29*R$4/100," ")</f>
        <v> </v>
      </c>
      <c r="S29" s="47" t="str">
        <f aca="false">IF(O29&gt;0,O29-R29," ")</f>
        <v> </v>
      </c>
      <c r="T29" s="47"/>
      <c r="U29" s="54"/>
      <c r="V29" s="57"/>
      <c r="W29" s="50" t="str">
        <f aca="false">IF(V29&gt;0,E29," ")</f>
        <v> </v>
      </c>
      <c r="X29" s="50" t="str">
        <f aca="false">IF(V29&gt;0,J29," ")</f>
        <v> </v>
      </c>
      <c r="Y29" s="47" t="str">
        <f aca="false">IF((U29+V29)&gt;0,IF(V29&lt;S29,S29-V29," ")," ")</f>
        <v> </v>
      </c>
      <c r="Z29" s="47" t="str">
        <f aca="false">IF((U29+V29)&gt;0,IF(V29&gt;S29,V29-S29," ")," ")</f>
        <v> </v>
      </c>
      <c r="AA29" s="25"/>
    </row>
    <row r="30" customFormat="false" ht="12" hidden="false" customHeight="true" outlineLevel="0" collapsed="false">
      <c r="A30" s="42"/>
      <c r="B30" s="59" t="str">
        <f aca="false">IF((E30-F30)=([1]OpenAccounts!$I$13-[1]OpenAccounts!$O$13),"Existing Fixtures &amp; Fittings","Check Opening Balance Sheet figures agree")</f>
        <v>Existing Fixtures &amp; Fittings</v>
      </c>
      <c r="C30" s="59"/>
      <c r="D30" s="59"/>
      <c r="E30" s="60" t="n">
        <f aca="false">SUM(E25:E29)</f>
        <v>0</v>
      </c>
      <c r="F30" s="60" t="n">
        <f aca="false">SUM(F25:F29)</f>
        <v>0</v>
      </c>
      <c r="G30" s="61" t="n">
        <f aca="false">SUM(G25:G29)</f>
        <v>0</v>
      </c>
      <c r="H30" s="58"/>
      <c r="I30" s="61" t="n">
        <f aca="false">SUM(I25:I29)</f>
        <v>0</v>
      </c>
      <c r="J30" s="61" t="n">
        <f aca="false">SUM(J25:J29)</f>
        <v>0</v>
      </c>
      <c r="K30" s="61" t="n">
        <f aca="false">SUM(K25:K29)</f>
        <v>0</v>
      </c>
      <c r="L30" s="50"/>
      <c r="M30" s="58"/>
      <c r="N30" s="50"/>
      <c r="O30" s="61" t="n">
        <f aca="false">SUM(O25:O29)</f>
        <v>0</v>
      </c>
      <c r="P30" s="62"/>
      <c r="Q30" s="61" t="n">
        <f aca="false">SUM(Q25:Q29)</f>
        <v>0</v>
      </c>
      <c r="R30" s="61" t="n">
        <f aca="false">SUM(R25:R29)</f>
        <v>0</v>
      </c>
      <c r="S30" s="61" t="n">
        <f aca="false">SUM(S25:S29)</f>
        <v>0</v>
      </c>
      <c r="T30" s="47"/>
      <c r="U30" s="49"/>
      <c r="V30" s="60" t="n">
        <f aca="false">SUM(V25:V29)</f>
        <v>0</v>
      </c>
      <c r="W30" s="61" t="n">
        <f aca="false">SUM(W25:W29)</f>
        <v>0</v>
      </c>
      <c r="X30" s="61" t="n">
        <f aca="false">SUM(X25:X29)</f>
        <v>0</v>
      </c>
      <c r="Y30" s="61" t="n">
        <f aca="false">SUM(Y25:Y29)</f>
        <v>0</v>
      </c>
      <c r="Z30" s="61" t="n">
        <f aca="false">SUM(Z25:Z29)</f>
        <v>0</v>
      </c>
      <c r="AA30" s="25"/>
    </row>
    <row r="31" customFormat="false" ht="6" hidden="false" customHeight="true" outlineLevel="0" collapsed="false">
      <c r="A31" s="42"/>
      <c r="B31" s="63"/>
      <c r="C31" s="64"/>
      <c r="D31" s="65"/>
      <c r="E31" s="50"/>
      <c r="F31" s="50"/>
      <c r="G31" s="50"/>
      <c r="H31" s="58"/>
      <c r="I31" s="50"/>
      <c r="J31" s="50"/>
      <c r="K31" s="50"/>
      <c r="L31" s="50"/>
      <c r="M31" s="58"/>
      <c r="N31" s="50"/>
      <c r="O31" s="50"/>
      <c r="P31" s="62"/>
      <c r="Q31" s="50"/>
      <c r="R31" s="50"/>
      <c r="S31" s="50"/>
      <c r="T31" s="47"/>
      <c r="U31" s="49"/>
      <c r="V31" s="50"/>
      <c r="W31" s="50"/>
      <c r="X31" s="50"/>
      <c r="Y31" s="50"/>
      <c r="Z31" s="50"/>
      <c r="AA31" s="25"/>
    </row>
    <row r="32" customFormat="false" ht="12" hidden="false" customHeight="true" outlineLevel="0" collapsed="false">
      <c r="A32" s="42"/>
      <c r="B32" s="51" t="s">
        <v>25</v>
      </c>
      <c r="C32" s="51"/>
      <c r="D32" s="68"/>
      <c r="E32" s="50"/>
      <c r="F32" s="50"/>
      <c r="G32" s="50"/>
      <c r="H32" s="66" t="n">
        <v>0.33</v>
      </c>
      <c r="I32" s="50"/>
      <c r="J32" s="50"/>
      <c r="K32" s="50"/>
      <c r="L32" s="50"/>
      <c r="M32" s="58"/>
      <c r="N32" s="50"/>
      <c r="O32" s="47"/>
      <c r="P32" s="48"/>
      <c r="Q32" s="47"/>
      <c r="R32" s="47"/>
      <c r="S32" s="47"/>
      <c r="T32" s="47"/>
      <c r="U32" s="49"/>
      <c r="V32" s="50"/>
      <c r="W32" s="50"/>
      <c r="X32" s="50"/>
      <c r="Y32" s="47"/>
      <c r="Z32" s="47"/>
      <c r="AA32" s="25"/>
    </row>
    <row r="33" customFormat="false" ht="12" hidden="false" customHeight="false" outlineLevel="0" collapsed="false">
      <c r="A33" s="42"/>
      <c r="B33" s="54"/>
      <c r="C33" s="55" t="s">
        <v>26</v>
      </c>
      <c r="D33" s="56"/>
      <c r="E33" s="57" t="n">
        <v>3000</v>
      </c>
      <c r="F33" s="57" t="n">
        <v>270</v>
      </c>
      <c r="G33" s="50" t="n">
        <f aca="false">IF(E33&gt;0,E33-F33," ")</f>
        <v>2730</v>
      </c>
      <c r="H33" s="58" t="n">
        <f aca="false">H$32</f>
        <v>0.33</v>
      </c>
      <c r="I33" s="50" t="n">
        <f aca="false">IF(E33&gt;0,MIN(E33*H33,G33)," ")</f>
        <v>990</v>
      </c>
      <c r="J33" s="50" t="n">
        <f aca="false">IF(E33&gt;0,F33+I33," ")</f>
        <v>1260</v>
      </c>
      <c r="K33" s="50" t="n">
        <f aca="false">IF(E33&gt;0,IF(V33&gt;0,0,E33-J33)," ")</f>
        <v>1740</v>
      </c>
      <c r="L33" s="50"/>
      <c r="M33" s="58"/>
      <c r="N33" s="50"/>
      <c r="O33" s="67"/>
      <c r="P33" s="48"/>
      <c r="Q33" s="47"/>
      <c r="R33" s="47" t="str">
        <f aca="false">IF(O33&gt;0,O33*R$4/100," ")</f>
        <v> </v>
      </c>
      <c r="S33" s="47" t="str">
        <f aca="false">IF(O33&gt;0,O33-R33," ")</f>
        <v> </v>
      </c>
      <c r="T33" s="47"/>
      <c r="U33" s="54"/>
      <c r="V33" s="57"/>
      <c r="W33" s="50" t="str">
        <f aca="false">IF(V33&gt;0,E33," ")</f>
        <v> </v>
      </c>
      <c r="X33" s="50" t="str">
        <f aca="false">IF(V33&gt;0,J33," ")</f>
        <v> </v>
      </c>
      <c r="Y33" s="47" t="str">
        <f aca="false">IF((U33+V33)&gt;0,IF(V33&lt;S33,S33-V33," ")," ")</f>
        <v> </v>
      </c>
      <c r="Z33" s="47" t="str">
        <f aca="false">IF((U33+V33)&gt;0,IF(V33&gt;S33,V33-S33," ")," ")</f>
        <v> </v>
      </c>
      <c r="AA33" s="25"/>
    </row>
    <row r="34" customFormat="false" ht="12" hidden="false" customHeight="false" outlineLevel="0" collapsed="false">
      <c r="A34" s="42"/>
      <c r="B34" s="54"/>
      <c r="C34" s="55"/>
      <c r="D34" s="56"/>
      <c r="E34" s="57"/>
      <c r="F34" s="57"/>
      <c r="G34" s="50" t="str">
        <f aca="false">IF(E34&gt;0,E34-F34," ")</f>
        <v> </v>
      </c>
      <c r="H34" s="58" t="n">
        <f aca="false">H$32</f>
        <v>0.33</v>
      </c>
      <c r="I34" s="50" t="str">
        <f aca="false">IF(E34&gt;0,MIN(E34*H34,G34)," ")</f>
        <v> </v>
      </c>
      <c r="J34" s="50" t="str">
        <f aca="false">IF(E34&gt;0,F34+I34," ")</f>
        <v> </v>
      </c>
      <c r="K34" s="50" t="str">
        <f aca="false">IF(E34&gt;0,IF(V34&gt;0,0,E34-J34)," ")</f>
        <v> </v>
      </c>
      <c r="L34" s="50"/>
      <c r="M34" s="58"/>
      <c r="N34" s="50"/>
      <c r="O34" s="67"/>
      <c r="P34" s="48"/>
      <c r="Q34" s="47"/>
      <c r="R34" s="47" t="str">
        <f aca="false">IF(O34&gt;0,O34*R$4/100," ")</f>
        <v> </v>
      </c>
      <c r="S34" s="47" t="str">
        <f aca="false">IF(O34&gt;0,O34-R34," ")</f>
        <v> </v>
      </c>
      <c r="T34" s="47"/>
      <c r="U34" s="54"/>
      <c r="V34" s="57"/>
      <c r="W34" s="50" t="str">
        <f aca="false">IF(V34&gt;0,E34," ")</f>
        <v> </v>
      </c>
      <c r="X34" s="50" t="str">
        <f aca="false">IF(V34&gt;0,J34," ")</f>
        <v> </v>
      </c>
      <c r="Y34" s="47" t="str">
        <f aca="false">IF((U34+V34)&gt;0,IF(V34&lt;S34,S34-V34," ")," ")</f>
        <v> </v>
      </c>
      <c r="Z34" s="47" t="str">
        <f aca="false">IF((U34+V34)&gt;0,IF(V34&gt;S34,V34-S34," ")," ")</f>
        <v> </v>
      </c>
      <c r="AA34" s="25"/>
    </row>
    <row r="35" customFormat="false" ht="12" hidden="false" customHeight="false" outlineLevel="0" collapsed="false">
      <c r="A35" s="42"/>
      <c r="B35" s="54"/>
      <c r="C35" s="55"/>
      <c r="D35" s="56"/>
      <c r="E35" s="57"/>
      <c r="F35" s="57"/>
      <c r="G35" s="50" t="str">
        <f aca="false">IF(E35&gt;0,E35-F35," ")</f>
        <v> </v>
      </c>
      <c r="H35" s="58" t="n">
        <f aca="false">H$32</f>
        <v>0.33</v>
      </c>
      <c r="I35" s="50" t="str">
        <f aca="false">IF(E35&gt;0,MIN(E35*H35,G35)," ")</f>
        <v> </v>
      </c>
      <c r="J35" s="50" t="str">
        <f aca="false">IF(E35&gt;0,F35+I35," ")</f>
        <v> </v>
      </c>
      <c r="K35" s="50" t="str">
        <f aca="false">IF(E35&gt;0,IF(V35&gt;0,0,E35-J35)," ")</f>
        <v> </v>
      </c>
      <c r="L35" s="50"/>
      <c r="M35" s="58"/>
      <c r="N35" s="50"/>
      <c r="O35" s="67"/>
      <c r="P35" s="48"/>
      <c r="Q35" s="47"/>
      <c r="R35" s="47" t="str">
        <f aca="false">IF(O35&gt;0,O35*R$4/100," ")</f>
        <v> </v>
      </c>
      <c r="S35" s="47" t="str">
        <f aca="false">IF(O35&gt;0,O35-R35," ")</f>
        <v> </v>
      </c>
      <c r="T35" s="47"/>
      <c r="U35" s="54"/>
      <c r="V35" s="57"/>
      <c r="W35" s="50" t="str">
        <f aca="false">IF(V35&gt;0,E35," ")</f>
        <v> </v>
      </c>
      <c r="X35" s="50" t="str">
        <f aca="false">IF(V35&gt;0,J35," ")</f>
        <v> </v>
      </c>
      <c r="Y35" s="47" t="str">
        <f aca="false">IF((U35+V35)&gt;0,IF(V35&lt;S35,S35-V35," ")," ")</f>
        <v> </v>
      </c>
      <c r="Z35" s="47" t="str">
        <f aca="false">IF((U35+V35)&gt;0,IF(V35&gt;S35,V35-S35," ")," ")</f>
        <v> </v>
      </c>
      <c r="AA35" s="25"/>
    </row>
    <row r="36" customFormat="false" ht="12" hidden="false" customHeight="false" outlineLevel="0" collapsed="false">
      <c r="A36" s="42"/>
      <c r="B36" s="54"/>
      <c r="C36" s="55"/>
      <c r="D36" s="56"/>
      <c r="E36" s="57"/>
      <c r="F36" s="57"/>
      <c r="G36" s="50" t="str">
        <f aca="false">IF(E36&gt;0,E36-F36," ")</f>
        <v> </v>
      </c>
      <c r="H36" s="58" t="n">
        <f aca="false">H$32</f>
        <v>0.33</v>
      </c>
      <c r="I36" s="50" t="str">
        <f aca="false">IF(E36&gt;0,MIN(E36*H36,G36)," ")</f>
        <v> </v>
      </c>
      <c r="J36" s="50" t="str">
        <f aca="false">IF(E36&gt;0,F36+I36," ")</f>
        <v> </v>
      </c>
      <c r="K36" s="50" t="str">
        <f aca="false">IF(E36&gt;0,IF(V36&gt;0,0,E36-J36)," ")</f>
        <v> </v>
      </c>
      <c r="L36" s="50"/>
      <c r="M36" s="58"/>
      <c r="N36" s="50"/>
      <c r="O36" s="67"/>
      <c r="P36" s="48"/>
      <c r="Q36" s="47"/>
      <c r="R36" s="47" t="str">
        <f aca="false">IF(O36&gt;0,O36*R$4/100," ")</f>
        <v> </v>
      </c>
      <c r="S36" s="47" t="str">
        <f aca="false">IF(O36&gt;0,O36-R36," ")</f>
        <v> </v>
      </c>
      <c r="T36" s="47"/>
      <c r="U36" s="54"/>
      <c r="V36" s="57"/>
      <c r="W36" s="50" t="str">
        <f aca="false">IF(V36&gt;0,E36," ")</f>
        <v> </v>
      </c>
      <c r="X36" s="50" t="str">
        <f aca="false">IF(V36&gt;0,J36," ")</f>
        <v> </v>
      </c>
      <c r="Y36" s="47" t="str">
        <f aca="false">IF((U36+V36)&gt;0,IF(V36&lt;S36,S36-V36," ")," ")</f>
        <v> </v>
      </c>
      <c r="Z36" s="47" t="str">
        <f aca="false">IF((U36+V36)&gt;0,IF(V36&gt;S36,V36-S36," ")," ")</f>
        <v> </v>
      </c>
      <c r="AA36" s="25"/>
    </row>
    <row r="37" customFormat="false" ht="12" hidden="false" customHeight="false" outlineLevel="0" collapsed="false">
      <c r="A37" s="42"/>
      <c r="B37" s="54"/>
      <c r="C37" s="55"/>
      <c r="D37" s="56"/>
      <c r="E37" s="57"/>
      <c r="F37" s="57"/>
      <c r="G37" s="50" t="str">
        <f aca="false">IF(E37&gt;0,E37-F37," ")</f>
        <v> </v>
      </c>
      <c r="H37" s="58" t="n">
        <f aca="false">H$32</f>
        <v>0.33</v>
      </c>
      <c r="I37" s="50" t="str">
        <f aca="false">IF(E37&gt;0,MIN(E37*H37,G37)," ")</f>
        <v> </v>
      </c>
      <c r="J37" s="50" t="str">
        <f aca="false">IF(E37&gt;0,F37+I37," ")</f>
        <v> </v>
      </c>
      <c r="K37" s="50" t="str">
        <f aca="false">IF(E37&gt;0,IF(V37&gt;0,0,E37-J37)," ")</f>
        <v> </v>
      </c>
      <c r="L37" s="50"/>
      <c r="M37" s="58"/>
      <c r="N37" s="50"/>
      <c r="O37" s="67"/>
      <c r="P37" s="48"/>
      <c r="Q37" s="47"/>
      <c r="R37" s="47" t="str">
        <f aca="false">IF(O37&gt;0,O37*R$4/100," ")</f>
        <v> </v>
      </c>
      <c r="S37" s="47" t="str">
        <f aca="false">IF(O37&gt;0,O37-R37," ")</f>
        <v> </v>
      </c>
      <c r="T37" s="47"/>
      <c r="U37" s="54"/>
      <c r="V37" s="57"/>
      <c r="W37" s="50" t="str">
        <f aca="false">IF(V37&gt;0,E37," ")</f>
        <v> </v>
      </c>
      <c r="X37" s="50" t="str">
        <f aca="false">IF(V37&gt;0,J37," ")</f>
        <v> </v>
      </c>
      <c r="Y37" s="47" t="str">
        <f aca="false">IF((U37+V37)&gt;0,IF(V37&lt;S37,S37-V37," ")," ")</f>
        <v> </v>
      </c>
      <c r="Z37" s="47" t="str">
        <f aca="false">IF((U37+V37)&gt;0,IF(V37&gt;S37,V37-S37," ")," ")</f>
        <v> </v>
      </c>
      <c r="AA37" s="25"/>
    </row>
    <row r="38" customFormat="false" ht="12" hidden="false" customHeight="false" outlineLevel="0" collapsed="false">
      <c r="A38" s="42"/>
      <c r="B38" s="54"/>
      <c r="C38" s="55"/>
      <c r="D38" s="56"/>
      <c r="E38" s="57"/>
      <c r="F38" s="57"/>
      <c r="G38" s="50" t="str">
        <f aca="false">IF(E38&gt;0,E38-F38," ")</f>
        <v> </v>
      </c>
      <c r="H38" s="58" t="n">
        <f aca="false">H$32</f>
        <v>0.33</v>
      </c>
      <c r="I38" s="50" t="str">
        <f aca="false">IF(E38&gt;0,MIN(E38*H38,G38)," ")</f>
        <v> </v>
      </c>
      <c r="J38" s="50" t="str">
        <f aca="false">IF(E38&gt;0,F38+I38," ")</f>
        <v> </v>
      </c>
      <c r="K38" s="50" t="str">
        <f aca="false">IF(E38&gt;0,IF(V38&gt;0,0,E38-J38)," ")</f>
        <v> </v>
      </c>
      <c r="L38" s="50"/>
      <c r="M38" s="58"/>
      <c r="N38" s="50"/>
      <c r="O38" s="67"/>
      <c r="P38" s="48"/>
      <c r="Q38" s="47"/>
      <c r="R38" s="47" t="str">
        <f aca="false">IF(O38&gt;0,O38*R$4/100," ")</f>
        <v> </v>
      </c>
      <c r="S38" s="47" t="str">
        <f aca="false">IF(O38&gt;0,O38-R38," ")</f>
        <v> </v>
      </c>
      <c r="T38" s="47"/>
      <c r="U38" s="54"/>
      <c r="V38" s="57"/>
      <c r="W38" s="50" t="str">
        <f aca="false">IF(V38&gt;0,E38," ")</f>
        <v> </v>
      </c>
      <c r="X38" s="50" t="str">
        <f aca="false">IF(V38&gt;0,J38," ")</f>
        <v> </v>
      </c>
      <c r="Y38" s="47" t="str">
        <f aca="false">IF((U38+V38)&gt;0,IF(V38&lt;S38,S38-V38," ")," ")</f>
        <v> </v>
      </c>
      <c r="Z38" s="47" t="str">
        <f aca="false">IF((U38+V38)&gt;0,IF(V38&gt;S38,V38-S38," ")," ")</f>
        <v> </v>
      </c>
      <c r="AA38" s="25"/>
    </row>
    <row r="39" customFormat="false" ht="12" hidden="false" customHeight="false" outlineLevel="0" collapsed="false">
      <c r="A39" s="42"/>
      <c r="B39" s="54"/>
      <c r="C39" s="55"/>
      <c r="D39" s="56"/>
      <c r="E39" s="57"/>
      <c r="F39" s="57"/>
      <c r="G39" s="50" t="str">
        <f aca="false">IF(E39&gt;0,E39-F39," ")</f>
        <v> </v>
      </c>
      <c r="H39" s="58" t="n">
        <f aca="false">H$32</f>
        <v>0.33</v>
      </c>
      <c r="I39" s="50" t="str">
        <f aca="false">IF(E39&gt;0,MIN(E39*H39,G39)," ")</f>
        <v> </v>
      </c>
      <c r="J39" s="50" t="str">
        <f aca="false">IF(E39&gt;0,F39+I39," ")</f>
        <v> </v>
      </c>
      <c r="K39" s="50" t="str">
        <f aca="false">IF(E39&gt;0,IF(V39&gt;0,0,E39-J39)," ")</f>
        <v> </v>
      </c>
      <c r="L39" s="50"/>
      <c r="M39" s="58"/>
      <c r="N39" s="50"/>
      <c r="O39" s="67"/>
      <c r="P39" s="48"/>
      <c r="Q39" s="47"/>
      <c r="R39" s="47" t="str">
        <f aca="false">IF(O39&gt;0,O39*R$4/100," ")</f>
        <v> </v>
      </c>
      <c r="S39" s="47" t="str">
        <f aca="false">IF(O39&gt;0,O39-R39," ")</f>
        <v> </v>
      </c>
      <c r="T39" s="47"/>
      <c r="U39" s="54"/>
      <c r="V39" s="57"/>
      <c r="W39" s="50" t="str">
        <f aca="false">IF(V39&gt;0,E39," ")</f>
        <v> </v>
      </c>
      <c r="X39" s="50" t="str">
        <f aca="false">IF(V39&gt;0,J39," ")</f>
        <v> </v>
      </c>
      <c r="Y39" s="47" t="str">
        <f aca="false">IF((U39+V39)&gt;0,IF(V39&lt;S39,S39-V39," ")," ")</f>
        <v> </v>
      </c>
      <c r="Z39" s="47" t="str">
        <f aca="false">IF((U39+V39)&gt;0,IF(V39&gt;S39,V39-S39," ")," ")</f>
        <v> </v>
      </c>
      <c r="AA39" s="25"/>
    </row>
    <row r="40" customFormat="false" ht="12" hidden="false" customHeight="false" outlineLevel="0" collapsed="false">
      <c r="A40" s="42"/>
      <c r="B40" s="54"/>
      <c r="C40" s="55"/>
      <c r="D40" s="56"/>
      <c r="E40" s="57"/>
      <c r="F40" s="57"/>
      <c r="G40" s="50" t="str">
        <f aca="false">IF(E40&gt;0,E40-F40," ")</f>
        <v> </v>
      </c>
      <c r="H40" s="58" t="n">
        <f aca="false">H$32</f>
        <v>0.33</v>
      </c>
      <c r="I40" s="50" t="str">
        <f aca="false">IF(E40&gt;0,MIN(E40*H40,G40)," ")</f>
        <v> </v>
      </c>
      <c r="J40" s="50" t="str">
        <f aca="false">IF(E40&gt;0,F40+I40," ")</f>
        <v> </v>
      </c>
      <c r="K40" s="50" t="str">
        <f aca="false">IF(E40&gt;0,IF(V40&gt;0,0,E40-J40)," ")</f>
        <v> </v>
      </c>
      <c r="L40" s="50"/>
      <c r="M40" s="58"/>
      <c r="N40" s="50"/>
      <c r="O40" s="67"/>
      <c r="P40" s="48"/>
      <c r="Q40" s="47"/>
      <c r="R40" s="47" t="str">
        <f aca="false">IF(O40&gt;0,O40*R$4/100," ")</f>
        <v> </v>
      </c>
      <c r="S40" s="47" t="str">
        <f aca="false">IF(O40&gt;0,O40-R40," ")</f>
        <v> </v>
      </c>
      <c r="T40" s="47"/>
      <c r="U40" s="54"/>
      <c r="V40" s="57"/>
      <c r="W40" s="50" t="str">
        <f aca="false">IF(V40&gt;0,E40," ")</f>
        <v> </v>
      </c>
      <c r="X40" s="50" t="str">
        <f aca="false">IF(V40&gt;0,J40," ")</f>
        <v> </v>
      </c>
      <c r="Y40" s="47" t="str">
        <f aca="false">IF((U40+V40)&gt;0,IF(V40&lt;S40,S40-V40," ")," ")</f>
        <v> </v>
      </c>
      <c r="Z40" s="47" t="str">
        <f aca="false">IF((U40+V40)&gt;0,IF(V40&gt;S40,V40-S40," ")," ")</f>
        <v> </v>
      </c>
      <c r="AA40" s="25"/>
    </row>
    <row r="41" customFormat="false" ht="12" hidden="false" customHeight="true" outlineLevel="0" collapsed="false">
      <c r="A41" s="42"/>
      <c r="B41" s="59" t="str">
        <f aca="false">IF((E41-F41)=([1]OpenAccounts!$J$13-[1]OpenAccounts!$P$13),"Existing Computers","Check Opening Balkance Sheet figures agree")</f>
        <v>Existing Computers</v>
      </c>
      <c r="C41" s="59"/>
      <c r="D41" s="59"/>
      <c r="E41" s="60" t="n">
        <f aca="false">SUM(E33:E40)</f>
        <v>3000</v>
      </c>
      <c r="F41" s="60" t="n">
        <f aca="false">SUM(F33:F40)</f>
        <v>270</v>
      </c>
      <c r="G41" s="61" t="n">
        <f aca="false">SUM(G33:G40)</f>
        <v>2730</v>
      </c>
      <c r="H41" s="58"/>
      <c r="I41" s="61" t="n">
        <f aca="false">SUM(I33:I40)</f>
        <v>990</v>
      </c>
      <c r="J41" s="61" t="n">
        <f aca="false">SUM(J33:J40)</f>
        <v>1260</v>
      </c>
      <c r="K41" s="61" t="n">
        <f aca="false">SUM(K33:K40)</f>
        <v>1740</v>
      </c>
      <c r="L41" s="50"/>
      <c r="M41" s="58"/>
      <c r="N41" s="50"/>
      <c r="O41" s="61" t="n">
        <f aca="false">SUM(O33:O40)</f>
        <v>0</v>
      </c>
      <c r="P41" s="62"/>
      <c r="Q41" s="61" t="n">
        <f aca="false">SUM(Q33:Q40)</f>
        <v>0</v>
      </c>
      <c r="R41" s="61" t="n">
        <f aca="false">SUM(R33:R40)</f>
        <v>0</v>
      </c>
      <c r="S41" s="61" t="n">
        <f aca="false">SUM(S33:S40)</f>
        <v>0</v>
      </c>
      <c r="T41" s="47"/>
      <c r="U41" s="49"/>
      <c r="V41" s="60" t="n">
        <f aca="false">SUM(V33:V40)</f>
        <v>0</v>
      </c>
      <c r="W41" s="61" t="n">
        <f aca="false">SUM(W33:W40)</f>
        <v>0</v>
      </c>
      <c r="X41" s="61" t="n">
        <f aca="false">SUM(X33:X40)</f>
        <v>0</v>
      </c>
      <c r="Y41" s="61" t="n">
        <f aca="false">SUM(Y33:Y40)</f>
        <v>0</v>
      </c>
      <c r="Z41" s="61" t="n">
        <f aca="false">SUM(Z33:Z40)</f>
        <v>0</v>
      </c>
      <c r="AA41" s="25"/>
    </row>
    <row r="42" customFormat="false" ht="6" hidden="false" customHeight="true" outlineLevel="0" collapsed="false">
      <c r="A42" s="42"/>
      <c r="B42" s="63"/>
      <c r="C42" s="64"/>
      <c r="D42" s="65"/>
      <c r="E42" s="50"/>
      <c r="F42" s="50"/>
      <c r="G42" s="50"/>
      <c r="H42" s="58"/>
      <c r="I42" s="50"/>
      <c r="J42" s="50"/>
      <c r="K42" s="50"/>
      <c r="L42" s="50"/>
      <c r="M42" s="58"/>
      <c r="N42" s="50"/>
      <c r="O42" s="50"/>
      <c r="P42" s="62"/>
      <c r="Q42" s="50"/>
      <c r="R42" s="50"/>
      <c r="S42" s="50"/>
      <c r="T42" s="47"/>
      <c r="U42" s="49"/>
      <c r="V42" s="50"/>
      <c r="W42" s="50"/>
      <c r="X42" s="50"/>
      <c r="Y42" s="50"/>
      <c r="Z42" s="50"/>
      <c r="AA42" s="25"/>
    </row>
    <row r="43" customFormat="false" ht="12" hidden="false" customHeight="true" outlineLevel="0" collapsed="false">
      <c r="A43" s="42"/>
      <c r="B43" s="51" t="s">
        <v>27</v>
      </c>
      <c r="C43" s="51"/>
      <c r="D43" s="68"/>
      <c r="E43" s="50"/>
      <c r="F43" s="50"/>
      <c r="G43" s="50"/>
      <c r="H43" s="66" t="n">
        <v>0.25</v>
      </c>
      <c r="I43" s="50"/>
      <c r="J43" s="50"/>
      <c r="K43" s="50"/>
      <c r="L43" s="50"/>
      <c r="M43" s="69"/>
      <c r="N43" s="50"/>
      <c r="O43" s="50"/>
      <c r="P43" s="62"/>
      <c r="Q43" s="50"/>
      <c r="R43" s="50"/>
      <c r="S43" s="50"/>
      <c r="T43" s="70"/>
      <c r="U43" s="49"/>
      <c r="V43" s="50"/>
      <c r="W43" s="50"/>
      <c r="X43" s="50"/>
      <c r="Y43" s="50"/>
      <c r="Z43" s="50"/>
      <c r="AA43" s="25"/>
    </row>
    <row r="44" customFormat="false" ht="12" hidden="false" customHeight="false" outlineLevel="0" collapsed="false">
      <c r="A44" s="42"/>
      <c r="B44" s="54"/>
      <c r="C44" s="55"/>
      <c r="D44" s="56"/>
      <c r="E44" s="57"/>
      <c r="F44" s="57"/>
      <c r="G44" s="50" t="str">
        <f aca="false">IF(E44&gt;0,E44-F44," ")</f>
        <v> </v>
      </c>
      <c r="H44" s="58" t="n">
        <f aca="false">H$43</f>
        <v>0.25</v>
      </c>
      <c r="I44" s="50" t="str">
        <f aca="false">IF(E44&gt;0,MIN(E44*H44,G44)," ")</f>
        <v> </v>
      </c>
      <c r="J44" s="50" t="str">
        <f aca="false">IF(E44&gt;0,F44+I44," ")</f>
        <v> </v>
      </c>
      <c r="K44" s="50" t="str">
        <f aca="false">IF(E44&gt;0,IF(V44&gt;0,0,E44-J44)," ")</f>
        <v> </v>
      </c>
      <c r="L44" s="50"/>
      <c r="M44" s="66" t="n">
        <v>0</v>
      </c>
      <c r="N44" s="50"/>
      <c r="O44" s="67"/>
      <c r="P44" s="48"/>
      <c r="Q44" s="47"/>
      <c r="R44" s="47" t="str">
        <f aca="false">IF(O44&gt;0,O44*R$4/100*(1-M44)," ")</f>
        <v> </v>
      </c>
      <c r="S44" s="47" t="str">
        <f aca="false">IF(O44&gt;0,O44-R44," ")</f>
        <v> </v>
      </c>
      <c r="T44" s="47"/>
      <c r="U44" s="54"/>
      <c r="V44" s="57"/>
      <c r="W44" s="50" t="str">
        <f aca="false">IF(V44&gt;0,E44," ")</f>
        <v> </v>
      </c>
      <c r="X44" s="50" t="str">
        <f aca="false">IF(V44&gt;0,J44," ")</f>
        <v> </v>
      </c>
      <c r="Y44" s="47" t="str">
        <f aca="false">IF((U44+V44)&gt;0,IF(V44&lt;S44,(S44-V44)*(1-M44)," ")," ")</f>
        <v> </v>
      </c>
      <c r="Z44" s="47" t="str">
        <f aca="false">IF((U44+V44)&gt;0,IF(V44&gt;S44,(V44-S44)*(1-M44)," ")," ")</f>
        <v> </v>
      </c>
      <c r="AA44" s="25"/>
    </row>
    <row r="45" customFormat="false" ht="12" hidden="false" customHeight="false" outlineLevel="0" collapsed="false">
      <c r="A45" s="42"/>
      <c r="B45" s="54"/>
      <c r="C45" s="55"/>
      <c r="D45" s="56"/>
      <c r="E45" s="57"/>
      <c r="F45" s="57"/>
      <c r="G45" s="50" t="str">
        <f aca="false">IF(E45&gt;0,E45-F45," ")</f>
        <v> </v>
      </c>
      <c r="H45" s="58" t="n">
        <f aca="false">H$43</f>
        <v>0.25</v>
      </c>
      <c r="I45" s="50" t="str">
        <f aca="false">IF(E45&gt;0,MIN(E45*H45,G45)," ")</f>
        <v> </v>
      </c>
      <c r="J45" s="50" t="str">
        <f aca="false">IF(E45&gt;0,F45+I45," ")</f>
        <v> </v>
      </c>
      <c r="K45" s="50" t="str">
        <f aca="false">IF(E45&gt;0,IF(V45&gt;0,0,E45-J45)," ")</f>
        <v> </v>
      </c>
      <c r="L45" s="50"/>
      <c r="M45" s="66" t="n">
        <v>0</v>
      </c>
      <c r="N45" s="50"/>
      <c r="O45" s="67"/>
      <c r="P45" s="48"/>
      <c r="Q45" s="47"/>
      <c r="R45" s="47" t="str">
        <f aca="false">IF(O45&gt;0,O45*R$4/100*(1-M45)," ")</f>
        <v> </v>
      </c>
      <c r="S45" s="47" t="str">
        <f aca="false">IF(O45&gt;0,O45-R45," ")</f>
        <v> </v>
      </c>
      <c r="T45" s="47"/>
      <c r="U45" s="54"/>
      <c r="V45" s="57"/>
      <c r="W45" s="50" t="str">
        <f aca="false">IF(V45&gt;0,E45," ")</f>
        <v> </v>
      </c>
      <c r="X45" s="50" t="str">
        <f aca="false">IF(V45&gt;0,J45," ")</f>
        <v> </v>
      </c>
      <c r="Y45" s="47" t="str">
        <f aca="false">IF((U45+V45)&gt;0,IF(V45&lt;S45,(S45-V45)*(1-M45)," ")," ")</f>
        <v> </v>
      </c>
      <c r="Z45" s="47" t="str">
        <f aca="false">IF((U45+V45)&gt;0,IF(V45&gt;S45,(V45-S45)*(1-M45)," ")," ")</f>
        <v> </v>
      </c>
      <c r="AA45" s="25"/>
    </row>
    <row r="46" customFormat="false" ht="12" hidden="false" customHeight="false" outlineLevel="0" collapsed="false">
      <c r="A46" s="42"/>
      <c r="B46" s="54"/>
      <c r="C46" s="55"/>
      <c r="D46" s="56"/>
      <c r="E46" s="57"/>
      <c r="F46" s="57"/>
      <c r="G46" s="50" t="str">
        <f aca="false">IF(E46&gt;0,E46-F46," ")</f>
        <v> </v>
      </c>
      <c r="H46" s="58" t="n">
        <f aca="false">H$43</f>
        <v>0.25</v>
      </c>
      <c r="I46" s="50" t="str">
        <f aca="false">IF(E46&gt;0,MIN(E46*H46,G46)," ")</f>
        <v> </v>
      </c>
      <c r="J46" s="50" t="str">
        <f aca="false">IF(E46&gt;0,F46+I46," ")</f>
        <v> </v>
      </c>
      <c r="K46" s="50" t="str">
        <f aca="false">IF(E46&gt;0,IF(V46&gt;0,0,E46-J46)," ")</f>
        <v> </v>
      </c>
      <c r="L46" s="50"/>
      <c r="M46" s="66" t="n">
        <v>0</v>
      </c>
      <c r="N46" s="50"/>
      <c r="O46" s="67"/>
      <c r="P46" s="48"/>
      <c r="Q46" s="47"/>
      <c r="R46" s="47" t="str">
        <f aca="false">IF(O46&gt;0,O46*R$4/100*(1-M46)," ")</f>
        <v> </v>
      </c>
      <c r="S46" s="47" t="str">
        <f aca="false">IF(O46&gt;0,O46-R46," ")</f>
        <v> </v>
      </c>
      <c r="T46" s="47"/>
      <c r="U46" s="54"/>
      <c r="V46" s="57"/>
      <c r="W46" s="50" t="str">
        <f aca="false">IF(V46&gt;0,E46," ")</f>
        <v> </v>
      </c>
      <c r="X46" s="50" t="str">
        <f aca="false">IF(V46&gt;0,J46," ")</f>
        <v> </v>
      </c>
      <c r="Y46" s="47" t="str">
        <f aca="false">IF((U46+V46)&gt;0,IF(V46&lt;S46,(S46-V46)*(1-M46)," ")," ")</f>
        <v> </v>
      </c>
      <c r="Z46" s="47" t="str">
        <f aca="false">IF((U46+V46)&gt;0,IF(V46&gt;S46,(V46-S46)*(1-M46)," ")," ")</f>
        <v> </v>
      </c>
      <c r="AA46" s="25"/>
    </row>
    <row r="47" customFormat="false" ht="12" hidden="false" customHeight="false" outlineLevel="0" collapsed="false">
      <c r="A47" s="42"/>
      <c r="B47" s="54"/>
      <c r="C47" s="55"/>
      <c r="D47" s="56"/>
      <c r="E47" s="57"/>
      <c r="F47" s="57"/>
      <c r="G47" s="50" t="str">
        <f aca="false">IF(E47&gt;0,E47-F47," ")</f>
        <v> </v>
      </c>
      <c r="H47" s="58" t="n">
        <f aca="false">H$43</f>
        <v>0.25</v>
      </c>
      <c r="I47" s="50" t="str">
        <f aca="false">IF(E47&gt;0,MIN(E47*H47,G47)," ")</f>
        <v> </v>
      </c>
      <c r="J47" s="50" t="str">
        <f aca="false">IF(E47&gt;0,F47+I47," ")</f>
        <v> </v>
      </c>
      <c r="K47" s="50" t="str">
        <f aca="false">IF(E47&gt;0,IF(V47&gt;0,0,E47-J47)," ")</f>
        <v> </v>
      </c>
      <c r="L47" s="50"/>
      <c r="M47" s="66" t="n">
        <v>0</v>
      </c>
      <c r="N47" s="50"/>
      <c r="O47" s="67"/>
      <c r="P47" s="48"/>
      <c r="Q47" s="47"/>
      <c r="R47" s="47" t="str">
        <f aca="false">IF(O47&gt;0,O47*R$4/100*(1-M47)," ")</f>
        <v> </v>
      </c>
      <c r="S47" s="47" t="str">
        <f aca="false">IF(O47&gt;0,O47-R47," ")</f>
        <v> </v>
      </c>
      <c r="T47" s="47"/>
      <c r="U47" s="54"/>
      <c r="V47" s="57"/>
      <c r="W47" s="50" t="str">
        <f aca="false">IF(V47&gt;0,E47," ")</f>
        <v> </v>
      </c>
      <c r="X47" s="50" t="str">
        <f aca="false">IF(V47&gt;0,J47," ")</f>
        <v> </v>
      </c>
      <c r="Y47" s="47" t="str">
        <f aca="false">IF((U47+V47)&gt;0,IF(V47&lt;S47,(S47-V47)*(1-M47)," ")," ")</f>
        <v> </v>
      </c>
      <c r="Z47" s="47" t="str">
        <f aca="false">IF((U47+V47)&gt;0,IF(V47&gt;S47,(V47-S47)*(1-M47)," ")," ")</f>
        <v> </v>
      </c>
      <c r="AA47" s="25"/>
    </row>
    <row r="48" customFormat="false" ht="12" hidden="false" customHeight="false" outlineLevel="0" collapsed="false">
      <c r="A48" s="42"/>
      <c r="B48" s="54"/>
      <c r="C48" s="55"/>
      <c r="D48" s="56"/>
      <c r="E48" s="57"/>
      <c r="F48" s="57"/>
      <c r="G48" s="50" t="str">
        <f aca="false">IF(E48&gt;0,E48-F48," ")</f>
        <v> </v>
      </c>
      <c r="H48" s="58" t="n">
        <f aca="false">H$43</f>
        <v>0.25</v>
      </c>
      <c r="I48" s="50" t="str">
        <f aca="false">IF(E48&gt;0,MIN(E48*H48,G48)," ")</f>
        <v> </v>
      </c>
      <c r="J48" s="50" t="str">
        <f aca="false">IF(E48&gt;0,F48+I48," ")</f>
        <v> </v>
      </c>
      <c r="K48" s="50" t="str">
        <f aca="false">IF(E48&gt;0,IF(V48&gt;0,0,E48-J48)," ")</f>
        <v> </v>
      </c>
      <c r="L48" s="50"/>
      <c r="M48" s="66" t="n">
        <v>0</v>
      </c>
      <c r="N48" s="50"/>
      <c r="O48" s="67"/>
      <c r="P48" s="48"/>
      <c r="Q48" s="47"/>
      <c r="R48" s="47" t="str">
        <f aca="false">IF(O48&gt;0,O48*R$4/100*(1-M48)," ")</f>
        <v> </v>
      </c>
      <c r="S48" s="47" t="str">
        <f aca="false">IF(O48&gt;0,O48-R48," ")</f>
        <v> </v>
      </c>
      <c r="T48" s="47"/>
      <c r="U48" s="54"/>
      <c r="V48" s="57"/>
      <c r="W48" s="50" t="str">
        <f aca="false">IF(V48&gt;0,E48," ")</f>
        <v> </v>
      </c>
      <c r="X48" s="50" t="str">
        <f aca="false">IF(V48&gt;0,J48," ")</f>
        <v> </v>
      </c>
      <c r="Y48" s="47" t="str">
        <f aca="false">IF((U48+V48)&gt;0,IF(V48&lt;S48,(S48-V48)*(1-M48)," ")," ")</f>
        <v> </v>
      </c>
      <c r="Z48" s="47" t="str">
        <f aca="false">IF((U48+V48)&gt;0,IF(V48&gt;S48,(V48-S48)*(1-M48)," ")," ")</f>
        <v> </v>
      </c>
      <c r="AA48" s="25"/>
    </row>
    <row r="49" customFormat="false" ht="12" hidden="false" customHeight="true" outlineLevel="0" collapsed="false">
      <c r="A49" s="42"/>
      <c r="B49" s="51" t="s">
        <v>28</v>
      </c>
      <c r="C49" s="51"/>
      <c r="D49" s="62"/>
      <c r="E49" s="50"/>
      <c r="F49" s="50"/>
      <c r="G49" s="50"/>
      <c r="H49" s="58"/>
      <c r="I49" s="50"/>
      <c r="J49" s="50"/>
      <c r="K49" s="50"/>
      <c r="L49" s="50"/>
      <c r="M49" s="58"/>
      <c r="N49" s="50"/>
      <c r="O49" s="47"/>
      <c r="P49" s="48"/>
      <c r="Q49" s="47"/>
      <c r="R49" s="47"/>
      <c r="S49" s="47"/>
      <c r="T49" s="47"/>
      <c r="U49" s="49"/>
      <c r="V49" s="50"/>
      <c r="W49" s="50"/>
      <c r="X49" s="50"/>
      <c r="Y49" s="47"/>
      <c r="Z49" s="47"/>
      <c r="AA49" s="25"/>
    </row>
    <row r="50" customFormat="false" ht="12" hidden="false" customHeight="false" outlineLevel="0" collapsed="false">
      <c r="A50" s="42"/>
      <c r="B50" s="54"/>
      <c r="C50" s="55" t="s">
        <v>29</v>
      </c>
      <c r="D50" s="56"/>
      <c r="E50" s="57" t="n">
        <v>30000</v>
      </c>
      <c r="F50" s="57" t="n">
        <v>9828</v>
      </c>
      <c r="G50" s="50" t="n">
        <f aca="false">IF(E50&gt;0,E50-F50," ")</f>
        <v>20172</v>
      </c>
      <c r="H50" s="58" t="n">
        <f aca="false">H$43</f>
        <v>0.25</v>
      </c>
      <c r="I50" s="50" t="n">
        <f aca="false">IF(E50&gt;0,MIN(E50*H50,G50)," ")</f>
        <v>7500</v>
      </c>
      <c r="J50" s="50" t="n">
        <f aca="false">IF(E50&gt;0,F50+I50," ")</f>
        <v>17328</v>
      </c>
      <c r="K50" s="50" t="n">
        <f aca="false">IF(E50&gt;0,IF(V50&gt;0,0,E50-J50)," ")</f>
        <v>0</v>
      </c>
      <c r="L50" s="50"/>
      <c r="M50" s="66" t="n">
        <v>0</v>
      </c>
      <c r="N50" s="50"/>
      <c r="O50" s="67" t="n">
        <v>24000</v>
      </c>
      <c r="P50" s="48"/>
      <c r="Q50" s="47"/>
      <c r="R50" s="47" t="n">
        <f aca="false">IF(O50&gt;0,O50*R$4/100*(1-M50)," ")</f>
        <v>3360</v>
      </c>
      <c r="S50" s="47" t="n">
        <f aca="false">IF(O50&gt;0,O50-R50," ")</f>
        <v>20640</v>
      </c>
      <c r="T50" s="47"/>
      <c r="U50" s="54" t="n">
        <v>46517</v>
      </c>
      <c r="V50" s="57" t="n">
        <v>12500</v>
      </c>
      <c r="W50" s="50" t="n">
        <f aca="false">IF(V50&gt;0,E50," ")</f>
        <v>30000</v>
      </c>
      <c r="X50" s="50" t="n">
        <f aca="false">IF(V50&gt;0,J50," ")</f>
        <v>17328</v>
      </c>
      <c r="Y50" s="47" t="n">
        <f aca="false">IF((U50+V50)&gt;0,IF(V50&lt;S50,(S50-V50)*(1-M50)," ")," ")</f>
        <v>8140</v>
      </c>
      <c r="Z50" s="47" t="str">
        <f aca="false">IF((U50+V50)&gt;0,IF(V50&gt;S50,(V50-S50)*(1-M50)," ")," ")</f>
        <v> </v>
      </c>
      <c r="AA50" s="25"/>
    </row>
    <row r="51" customFormat="false" ht="12" hidden="false" customHeight="false" outlineLevel="0" collapsed="false">
      <c r="A51" s="42"/>
      <c r="B51" s="54"/>
      <c r="C51" s="55"/>
      <c r="D51" s="56"/>
      <c r="E51" s="57"/>
      <c r="F51" s="57"/>
      <c r="G51" s="50" t="str">
        <f aca="false">IF(E51&gt;0,E51-F51," ")</f>
        <v> </v>
      </c>
      <c r="H51" s="58" t="n">
        <f aca="false">H$43</f>
        <v>0.25</v>
      </c>
      <c r="I51" s="50" t="str">
        <f aca="false">IF(E51&gt;0,MIN(E51*H51,G51)," ")</f>
        <v> </v>
      </c>
      <c r="J51" s="50" t="str">
        <f aca="false">IF(E51&gt;0,F51+I51," ")</f>
        <v> </v>
      </c>
      <c r="K51" s="50" t="str">
        <f aca="false">IF(E51&gt;0,IF(V51&gt;0,0,E51-J51)," ")</f>
        <v> </v>
      </c>
      <c r="L51" s="50"/>
      <c r="M51" s="66" t="n">
        <v>0</v>
      </c>
      <c r="N51" s="50"/>
      <c r="O51" s="67"/>
      <c r="P51" s="48"/>
      <c r="Q51" s="47"/>
      <c r="R51" s="47" t="str">
        <f aca="false">IF(O51&gt;0,O51*R$4/100*(1-M51)," ")</f>
        <v> </v>
      </c>
      <c r="S51" s="47" t="str">
        <f aca="false">IF(O51&gt;0,O51-R51," ")</f>
        <v> </v>
      </c>
      <c r="T51" s="47"/>
      <c r="U51" s="54"/>
      <c r="V51" s="57"/>
      <c r="W51" s="50" t="str">
        <f aca="false">IF(V51&gt;0,E51," ")</f>
        <v> </v>
      </c>
      <c r="X51" s="50" t="str">
        <f aca="false">IF(V51&gt;0,J51," ")</f>
        <v> </v>
      </c>
      <c r="Y51" s="47" t="str">
        <f aca="false">IF((U51+V51)&gt;0,IF(V51&lt;S51,(S51-V51)*(1-M51)," ")," ")</f>
        <v> </v>
      </c>
      <c r="Z51" s="47" t="str">
        <f aca="false">IF((U51+V51)&gt;0,IF(V51&gt;S51,(V51-S51)*(1-M51)," ")," ")</f>
        <v> </v>
      </c>
      <c r="AA51" s="25"/>
    </row>
    <row r="52" customFormat="false" ht="12" hidden="false" customHeight="false" outlineLevel="0" collapsed="false">
      <c r="A52" s="42"/>
      <c r="B52" s="54"/>
      <c r="C52" s="55"/>
      <c r="D52" s="56"/>
      <c r="E52" s="57"/>
      <c r="F52" s="57"/>
      <c r="G52" s="50" t="str">
        <f aca="false">IF(E52&gt;0,E52-F52," ")</f>
        <v> </v>
      </c>
      <c r="H52" s="58" t="n">
        <f aca="false">H$43</f>
        <v>0.25</v>
      </c>
      <c r="I52" s="50" t="str">
        <f aca="false">IF(E52&gt;0,MIN(E52*H52,G52)," ")</f>
        <v> </v>
      </c>
      <c r="J52" s="50" t="str">
        <f aca="false">IF(E52&gt;0,F52+I52," ")</f>
        <v> </v>
      </c>
      <c r="K52" s="50" t="str">
        <f aca="false">IF(E52&gt;0,IF(V52&gt;0,0,E52-J52)," ")</f>
        <v> </v>
      </c>
      <c r="L52" s="50"/>
      <c r="M52" s="66" t="n">
        <v>0</v>
      </c>
      <c r="N52" s="50"/>
      <c r="O52" s="67"/>
      <c r="P52" s="48"/>
      <c r="Q52" s="47"/>
      <c r="R52" s="47" t="str">
        <f aca="false">IF(O52&gt;0,O52*R$4/100*(1-M52)," ")</f>
        <v> </v>
      </c>
      <c r="S52" s="47" t="str">
        <f aca="false">IF(O52&gt;0,O52-R52," ")</f>
        <v> </v>
      </c>
      <c r="T52" s="47"/>
      <c r="U52" s="54"/>
      <c r="V52" s="57"/>
      <c r="W52" s="50" t="str">
        <f aca="false">IF(V52&gt;0,E52," ")</f>
        <v> </v>
      </c>
      <c r="X52" s="50" t="str">
        <f aca="false">IF(V52&gt;0,J52," ")</f>
        <v> </v>
      </c>
      <c r="Y52" s="47" t="str">
        <f aca="false">IF((U52+V52)&gt;0,IF(V52&lt;S52,(S52-V52)*(1-M52)," ")," ")</f>
        <v> </v>
      </c>
      <c r="Z52" s="47" t="str">
        <f aca="false">IF((U52+V52)&gt;0,IF(V52&gt;S52,(V52-S52)*(1-M52)," ")," ")</f>
        <v> </v>
      </c>
      <c r="AA52" s="25"/>
    </row>
    <row r="53" customFormat="false" ht="12" hidden="false" customHeight="false" outlineLevel="0" collapsed="false">
      <c r="A53" s="42"/>
      <c r="B53" s="54"/>
      <c r="C53" s="55"/>
      <c r="D53" s="56"/>
      <c r="E53" s="57"/>
      <c r="F53" s="57"/>
      <c r="G53" s="50" t="str">
        <f aca="false">IF(E53&gt;0,E53-F53," ")</f>
        <v> </v>
      </c>
      <c r="H53" s="58" t="n">
        <f aca="false">H$43</f>
        <v>0.25</v>
      </c>
      <c r="I53" s="50" t="str">
        <f aca="false">IF(E53&gt;0,MIN(E53*H53,G53)," ")</f>
        <v> </v>
      </c>
      <c r="J53" s="50" t="str">
        <f aca="false">IF(E53&gt;0,F53+I53," ")</f>
        <v> </v>
      </c>
      <c r="K53" s="50" t="str">
        <f aca="false">IF(E53&gt;0,IF(V53&gt;0,0,E53-J53)," ")</f>
        <v> </v>
      </c>
      <c r="L53" s="50"/>
      <c r="M53" s="66" t="n">
        <v>0</v>
      </c>
      <c r="N53" s="50"/>
      <c r="O53" s="67"/>
      <c r="P53" s="48"/>
      <c r="Q53" s="47"/>
      <c r="R53" s="47" t="str">
        <f aca="false">IF(O53&gt;0,O53*R$4/100*(1-M53)," ")</f>
        <v> </v>
      </c>
      <c r="S53" s="47" t="str">
        <f aca="false">IF(O53&gt;0,O53-R53," ")</f>
        <v> </v>
      </c>
      <c r="T53" s="47"/>
      <c r="U53" s="54"/>
      <c r="V53" s="57"/>
      <c r="W53" s="50" t="str">
        <f aca="false">IF(V53&gt;0,E53," ")</f>
        <v> </v>
      </c>
      <c r="X53" s="50" t="str">
        <f aca="false">IF(V53&gt;0,J53," ")</f>
        <v> </v>
      </c>
      <c r="Y53" s="47" t="str">
        <f aca="false">IF((U53+V53)&gt;0,IF(V53&lt;S53,(S53-V53)*(1-M53)," ")," ")</f>
        <v> </v>
      </c>
      <c r="Z53" s="47" t="str">
        <f aca="false">IF((U53+V53)&gt;0,IF(V53&gt;S53,(V53-S53)*(1-M53)," ")," ")</f>
        <v> </v>
      </c>
      <c r="AA53" s="25"/>
    </row>
    <row r="54" customFormat="false" ht="12" hidden="false" customHeight="false" outlineLevel="0" collapsed="false">
      <c r="A54" s="42"/>
      <c r="B54" s="54"/>
      <c r="C54" s="55"/>
      <c r="D54" s="56"/>
      <c r="E54" s="57"/>
      <c r="F54" s="57"/>
      <c r="G54" s="50" t="str">
        <f aca="false">IF(E54&gt;0,E54-F54," ")</f>
        <v> </v>
      </c>
      <c r="H54" s="58" t="n">
        <f aca="false">H$43</f>
        <v>0.25</v>
      </c>
      <c r="I54" s="50" t="str">
        <f aca="false">IF(E54&gt;0,MIN(E54*H54,G54)," ")</f>
        <v> </v>
      </c>
      <c r="J54" s="50" t="str">
        <f aca="false">IF(E54&gt;0,F54+I54," ")</f>
        <v> </v>
      </c>
      <c r="K54" s="50" t="str">
        <f aca="false">IF(E54&gt;0,IF(V54&gt;0,0,E54-J54)," ")</f>
        <v> </v>
      </c>
      <c r="L54" s="50"/>
      <c r="M54" s="66" t="n">
        <v>0</v>
      </c>
      <c r="N54" s="50"/>
      <c r="O54" s="67"/>
      <c r="P54" s="48"/>
      <c r="Q54" s="47"/>
      <c r="R54" s="47" t="str">
        <f aca="false">IF(O54&gt;0,O54*R$4/100*(1-M54)," ")</f>
        <v> </v>
      </c>
      <c r="S54" s="47" t="str">
        <f aca="false">IF(O54&gt;0,O54-R54," ")</f>
        <v> </v>
      </c>
      <c r="T54" s="47"/>
      <c r="U54" s="54"/>
      <c r="V54" s="57"/>
      <c r="W54" s="50" t="str">
        <f aca="false">IF(V54&gt;0,E54," ")</f>
        <v> </v>
      </c>
      <c r="X54" s="50" t="str">
        <f aca="false">IF(V54&gt;0,J54," ")</f>
        <v> </v>
      </c>
      <c r="Y54" s="47" t="str">
        <f aca="false">IF((U54+V54)&gt;0,IF(V54&lt;S54,(S54-V54)*(1-M54)," ")," ")</f>
        <v> </v>
      </c>
      <c r="Z54" s="47" t="str">
        <f aca="false">IF((U54+V54)&gt;0,IF(V54&gt;S54,(V54-S54)*(1-M54)," ")," ")</f>
        <v> </v>
      </c>
      <c r="AA54" s="25"/>
    </row>
    <row r="55" customFormat="false" ht="12" hidden="false" customHeight="true" outlineLevel="0" collapsed="false">
      <c r="A55" s="42"/>
      <c r="B55" s="59" t="str">
        <f aca="false">IF((E55-F55)=([1]OpenAccounts!$K$13-[1]OpenAccounts!$Q$13),"Existing Motor Vehicles","Check Opening Balance Sheet figures agree")</f>
        <v>Existing Motor Vehicles</v>
      </c>
      <c r="C55" s="59"/>
      <c r="D55" s="59"/>
      <c r="E55" s="60" t="n">
        <f aca="false">SUM(E44:E54)</f>
        <v>30000</v>
      </c>
      <c r="F55" s="60" t="n">
        <f aca="false">SUM(F44:F54)</f>
        <v>9828</v>
      </c>
      <c r="G55" s="61" t="n">
        <f aca="false">SUM(G44:G54)</f>
        <v>20172</v>
      </c>
      <c r="H55" s="58"/>
      <c r="I55" s="61" t="n">
        <f aca="false">SUM(I44:I54)</f>
        <v>7500</v>
      </c>
      <c r="J55" s="61" t="n">
        <f aca="false">SUM(J44:J54)</f>
        <v>17328</v>
      </c>
      <c r="K55" s="61" t="n">
        <f aca="false">SUM(K44:K54)</f>
        <v>0</v>
      </c>
      <c r="L55" s="50"/>
      <c r="M55" s="69"/>
      <c r="N55" s="50"/>
      <c r="O55" s="61" t="n">
        <f aca="false">SUM(O44:O54)</f>
        <v>24000</v>
      </c>
      <c r="P55" s="62"/>
      <c r="Q55" s="61" t="n">
        <f aca="false">SUM(Q44:Q54)</f>
        <v>0</v>
      </c>
      <c r="R55" s="61" t="n">
        <f aca="false">SUM(R44:R54)</f>
        <v>3360</v>
      </c>
      <c r="S55" s="61" t="n">
        <f aca="false">SUM(S44:S54)</f>
        <v>20640</v>
      </c>
      <c r="T55" s="50"/>
      <c r="U55" s="49"/>
      <c r="V55" s="60" t="n">
        <f aca="false">SUM(V44:V54)</f>
        <v>12500</v>
      </c>
      <c r="W55" s="61" t="n">
        <f aca="false">SUM(W44:W54)</f>
        <v>30000</v>
      </c>
      <c r="X55" s="61" t="n">
        <f aca="false">SUM(X44:X54)</f>
        <v>17328</v>
      </c>
      <c r="Y55" s="61" t="n">
        <f aca="false">SUM(Y44:Y54)</f>
        <v>8140</v>
      </c>
      <c r="Z55" s="61" t="n">
        <f aca="false">SUM(Z44:Z54)</f>
        <v>0</v>
      </c>
      <c r="AA55" s="25"/>
    </row>
    <row r="56" customFormat="false" ht="6" hidden="false" customHeight="true" outlineLevel="0" collapsed="false">
      <c r="A56" s="42"/>
      <c r="B56" s="49"/>
      <c r="C56" s="71"/>
      <c r="D56" s="62"/>
      <c r="E56" s="50"/>
      <c r="F56" s="50"/>
      <c r="G56" s="50"/>
      <c r="H56" s="58"/>
      <c r="I56" s="50"/>
      <c r="J56" s="50"/>
      <c r="K56" s="50"/>
      <c r="L56" s="50"/>
      <c r="M56" s="58"/>
      <c r="N56" s="50"/>
      <c r="O56" s="47"/>
      <c r="P56" s="48"/>
      <c r="Q56" s="47"/>
      <c r="R56" s="47"/>
      <c r="S56" s="47"/>
      <c r="T56" s="47"/>
      <c r="U56" s="49"/>
      <c r="V56" s="50"/>
      <c r="W56" s="47"/>
      <c r="X56" s="47"/>
      <c r="Y56" s="47"/>
      <c r="Z56" s="47"/>
      <c r="AA56" s="25"/>
    </row>
    <row r="57" customFormat="false" ht="13.5" hidden="false" customHeight="true" outlineLevel="0" collapsed="false">
      <c r="A57" s="42"/>
      <c r="B57" s="43" t="str">
        <f aca="false">B6</f>
        <v>EXISTING FIXED ASSETS AT </v>
      </c>
      <c r="C57" s="43"/>
      <c r="D57" s="72" t="n">
        <f aca="false">D6</f>
        <v>46327</v>
      </c>
      <c r="E57" s="73" t="n">
        <f aca="false">E11+E22+E30+E41+E55</f>
        <v>233000</v>
      </c>
      <c r="F57" s="73" t="n">
        <f aca="false">F11+F22+F30+F41+F55</f>
        <v>50098</v>
      </c>
      <c r="G57" s="73" t="n">
        <f aca="false">G11+G22+G30+G41+G55</f>
        <v>182902</v>
      </c>
      <c r="H57" s="58"/>
      <c r="I57" s="73" t="n">
        <f aca="false">I11+I22+I30+I41+I55</f>
        <v>8490</v>
      </c>
      <c r="J57" s="73" t="n">
        <f aca="false">J11+J22+J30+J41+J55</f>
        <v>58588</v>
      </c>
      <c r="K57" s="73" t="n">
        <f aca="false">K11+K22+K30+K41+K55</f>
        <v>161740</v>
      </c>
      <c r="L57" s="50"/>
      <c r="M57" s="58"/>
      <c r="N57" s="50"/>
      <c r="O57" s="73" t="n">
        <f aca="false">O11+O22+O30+O41+O55</f>
        <v>24000</v>
      </c>
      <c r="P57" s="62"/>
      <c r="Q57" s="73" t="n">
        <f aca="false">Q11+Q22+Q30+Q41+Q55</f>
        <v>0</v>
      </c>
      <c r="R57" s="73" t="n">
        <f aca="false">R11+R22+R30+R41+R55</f>
        <v>3360</v>
      </c>
      <c r="S57" s="73" t="n">
        <f aca="false">S11+S22+S30+S41+S55</f>
        <v>20640</v>
      </c>
      <c r="T57" s="47"/>
      <c r="U57" s="49"/>
      <c r="V57" s="73" t="n">
        <f aca="false">V11+V22+V30+V41+V55</f>
        <v>12500</v>
      </c>
      <c r="W57" s="73" t="n">
        <f aca="false">W11+W22+W30+W41+W55</f>
        <v>30000</v>
      </c>
      <c r="X57" s="73" t="n">
        <f aca="false">X11+X22+X30+X41+X55</f>
        <v>17328</v>
      </c>
      <c r="Y57" s="73" t="n">
        <f aca="false">Y11+Y22+Y30+Y41+Y55</f>
        <v>8140</v>
      </c>
      <c r="Z57" s="73" t="n">
        <f aca="false">Z11+Z22+Z30+Z41+Z55</f>
        <v>0</v>
      </c>
      <c r="AA57" s="25"/>
    </row>
    <row r="58" customFormat="false" ht="9" hidden="false" customHeight="true" outlineLevel="0" collapsed="false">
      <c r="A58" s="42"/>
      <c r="B58" s="74"/>
      <c r="C58" s="75"/>
      <c r="D58" s="76"/>
      <c r="E58" s="50"/>
      <c r="F58" s="50"/>
      <c r="G58" s="50"/>
      <c r="H58" s="58"/>
      <c r="I58" s="50"/>
      <c r="J58" s="50"/>
      <c r="K58" s="50"/>
      <c r="L58" s="50"/>
      <c r="M58" s="58"/>
      <c r="N58" s="50"/>
      <c r="O58" s="47"/>
      <c r="P58" s="48"/>
      <c r="Q58" s="47"/>
      <c r="R58" s="47"/>
      <c r="S58" s="47"/>
      <c r="T58" s="47"/>
      <c r="U58" s="49"/>
      <c r="V58" s="50"/>
      <c r="W58" s="50"/>
      <c r="X58" s="50"/>
      <c r="Y58" s="47"/>
      <c r="Z58" s="47"/>
      <c r="AA58" s="25"/>
    </row>
    <row r="59" customFormat="false" ht="13.5" hidden="false" customHeight="true" outlineLevel="0" collapsed="false">
      <c r="A59" s="42"/>
      <c r="B59" s="77" t="s">
        <v>30</v>
      </c>
      <c r="C59" s="77"/>
      <c r="D59" s="78" t="n">
        <f aca="false">D57</f>
        <v>46327</v>
      </c>
      <c r="E59" s="79" t="s">
        <v>31</v>
      </c>
      <c r="F59" s="80" t="n">
        <f aca="false">J4</f>
        <v>46691</v>
      </c>
      <c r="G59" s="81"/>
      <c r="H59" s="58"/>
      <c r="I59" s="47"/>
      <c r="J59" s="47"/>
      <c r="K59" s="47"/>
      <c r="L59" s="47"/>
      <c r="M59" s="58"/>
      <c r="N59" s="47"/>
      <c r="O59" s="47"/>
      <c r="P59" s="48"/>
      <c r="Q59" s="47"/>
      <c r="R59" s="47"/>
      <c r="S59" s="47"/>
      <c r="T59" s="47"/>
      <c r="U59" s="49"/>
      <c r="V59" s="50"/>
      <c r="W59" s="50"/>
      <c r="X59" s="50"/>
      <c r="Y59" s="47"/>
      <c r="Z59" s="47"/>
      <c r="AA59" s="25"/>
    </row>
    <row r="60" customFormat="false" ht="12.75" hidden="false" customHeight="true" outlineLevel="0" collapsed="false">
      <c r="A60" s="42"/>
      <c r="B60" s="51" t="s">
        <v>21</v>
      </c>
      <c r="C60" s="51"/>
      <c r="D60" s="52"/>
      <c r="E60" s="45"/>
      <c r="F60" s="81"/>
      <c r="G60" s="81"/>
      <c r="H60" s="82" t="n">
        <f aca="false">H$7</f>
        <v>0</v>
      </c>
      <c r="I60" s="45"/>
      <c r="J60" s="45"/>
      <c r="K60" s="45"/>
      <c r="L60" s="45"/>
      <c r="M60" s="58"/>
      <c r="N60" s="45"/>
      <c r="O60" s="47"/>
      <c r="P60" s="48"/>
      <c r="Q60" s="47"/>
      <c r="R60" s="47"/>
      <c r="S60" s="47"/>
      <c r="T60" s="47"/>
      <c r="U60" s="49"/>
      <c r="V60" s="50"/>
      <c r="W60" s="50"/>
      <c r="X60" s="50"/>
      <c r="Y60" s="47"/>
      <c r="Z60" s="47"/>
      <c r="AA60" s="25"/>
    </row>
    <row r="61" customFormat="false" ht="12" hidden="false" customHeight="false" outlineLevel="0" collapsed="false">
      <c r="A61" s="42"/>
      <c r="B61" s="54"/>
      <c r="C61" s="55"/>
      <c r="D61" s="83"/>
      <c r="E61" s="57"/>
      <c r="F61" s="50"/>
      <c r="G61" s="50"/>
      <c r="H61" s="58" t="n">
        <f aca="false">H$60</f>
        <v>0</v>
      </c>
      <c r="I61" s="50" t="str">
        <f aca="false">IF(E61&gt;0,MIN(E61*H61,G61)," ")</f>
        <v> </v>
      </c>
      <c r="J61" s="50" t="str">
        <f aca="false">IF(E61&gt;0,F61+I61," ")</f>
        <v> </v>
      </c>
      <c r="K61" s="50" t="str">
        <f aca="false">IF(E61&gt;0,IF(V61&gt;0,0,E61-J61)," ")</f>
        <v> </v>
      </c>
      <c r="L61" s="50"/>
      <c r="M61" s="58"/>
      <c r="N61" s="50"/>
      <c r="O61" s="47"/>
      <c r="P61" s="48"/>
      <c r="Q61" s="47"/>
      <c r="R61" s="47"/>
      <c r="S61" s="47"/>
      <c r="T61" s="47"/>
      <c r="U61" s="54"/>
      <c r="V61" s="57"/>
      <c r="W61" s="50" t="str">
        <f aca="false">IF(V61&gt;0,E61," ")</f>
        <v> </v>
      </c>
      <c r="X61" s="50" t="str">
        <f aca="false">IF(V61&gt;0,J61," ")</f>
        <v> </v>
      </c>
      <c r="Y61" s="47"/>
      <c r="Z61" s="47"/>
      <c r="AA61" s="25"/>
    </row>
    <row r="62" customFormat="false" ht="12" hidden="false" customHeight="false" outlineLevel="0" collapsed="false">
      <c r="A62" s="42"/>
      <c r="B62" s="54"/>
      <c r="C62" s="55"/>
      <c r="D62" s="83"/>
      <c r="E62" s="57"/>
      <c r="F62" s="50"/>
      <c r="G62" s="50"/>
      <c r="H62" s="58" t="n">
        <f aca="false">H$60</f>
        <v>0</v>
      </c>
      <c r="I62" s="50" t="str">
        <f aca="false">IF(E62&gt;0,MIN(E62*H62,G62)," ")</f>
        <v> </v>
      </c>
      <c r="J62" s="50" t="str">
        <f aca="false">IF(E62&gt;0,F62+I62," ")</f>
        <v> </v>
      </c>
      <c r="K62" s="50" t="str">
        <f aca="false">IF(E62&gt;0,IF(V62&gt;0,0,E62-J62)," ")</f>
        <v> </v>
      </c>
      <c r="L62" s="50"/>
      <c r="M62" s="58"/>
      <c r="N62" s="50"/>
      <c r="O62" s="47"/>
      <c r="P62" s="48"/>
      <c r="Q62" s="47"/>
      <c r="R62" s="47"/>
      <c r="S62" s="47"/>
      <c r="T62" s="47"/>
      <c r="U62" s="54"/>
      <c r="V62" s="57"/>
      <c r="W62" s="50" t="str">
        <f aca="false">IF(V62&gt;0,E62," ")</f>
        <v> </v>
      </c>
      <c r="X62" s="50" t="str">
        <f aca="false">IF(V62&gt;0,J62," ")</f>
        <v> </v>
      </c>
      <c r="Y62" s="47"/>
      <c r="Z62" s="47"/>
      <c r="AA62" s="25"/>
    </row>
    <row r="63" customFormat="false" ht="12" hidden="false" customHeight="false" outlineLevel="0" collapsed="false">
      <c r="A63" s="42"/>
      <c r="B63" s="54"/>
      <c r="C63" s="55"/>
      <c r="D63" s="83"/>
      <c r="E63" s="57"/>
      <c r="F63" s="50"/>
      <c r="G63" s="50"/>
      <c r="H63" s="58" t="n">
        <f aca="false">H$60</f>
        <v>0</v>
      </c>
      <c r="I63" s="50" t="str">
        <f aca="false">IF(E63&gt;0,MIN(E63*H63,G63)," ")</f>
        <v> </v>
      </c>
      <c r="J63" s="50" t="str">
        <f aca="false">IF(E63&gt;0,F63+I63," ")</f>
        <v> </v>
      </c>
      <c r="K63" s="50" t="str">
        <f aca="false">IF(E63&gt;0,IF(V63&gt;0,0,E63-J63)," ")</f>
        <v> </v>
      </c>
      <c r="L63" s="50"/>
      <c r="M63" s="58"/>
      <c r="N63" s="50"/>
      <c r="O63" s="47"/>
      <c r="P63" s="48"/>
      <c r="Q63" s="47"/>
      <c r="R63" s="47"/>
      <c r="S63" s="47"/>
      <c r="T63" s="47"/>
      <c r="U63" s="54"/>
      <c r="V63" s="57"/>
      <c r="W63" s="50" t="str">
        <f aca="false">IF(V63&gt;0,E63," ")</f>
        <v> </v>
      </c>
      <c r="X63" s="50" t="str">
        <f aca="false">IF(V63&gt;0,J63," ")</f>
        <v> </v>
      </c>
      <c r="Y63" s="47"/>
      <c r="Z63" s="47"/>
      <c r="AA63" s="25"/>
    </row>
    <row r="64" customFormat="false" ht="12" hidden="false" customHeight="true" outlineLevel="0" collapsed="false">
      <c r="A64" s="42"/>
      <c r="B64" s="59" t="s">
        <v>32</v>
      </c>
      <c r="C64" s="59"/>
      <c r="D64" s="59"/>
      <c r="E64" s="60" t="n">
        <f aca="false">SUM(E61:E63)</f>
        <v>0</v>
      </c>
      <c r="F64" s="61" t="n">
        <f aca="false">SUM(F61:F63)</f>
        <v>0</v>
      </c>
      <c r="G64" s="61" t="n">
        <f aca="false">SUM(G61:G63)</f>
        <v>0</v>
      </c>
      <c r="H64" s="58"/>
      <c r="I64" s="61" t="n">
        <f aca="false">SUM(I61:I63)</f>
        <v>0</v>
      </c>
      <c r="J64" s="61" t="n">
        <f aca="false">SUM(J61:J63)</f>
        <v>0</v>
      </c>
      <c r="K64" s="61" t="n">
        <f aca="false">SUM(K61:K63)</f>
        <v>0</v>
      </c>
      <c r="L64" s="50"/>
      <c r="M64" s="58"/>
      <c r="N64" s="50"/>
      <c r="O64" s="61" t="n">
        <f aca="false">SUM(O61:O63)</f>
        <v>0</v>
      </c>
      <c r="P64" s="84"/>
      <c r="Q64" s="61" t="n">
        <f aca="false">SUM(Q61:Q63)</f>
        <v>0</v>
      </c>
      <c r="R64" s="61" t="n">
        <f aca="false">SUM(R61:R63)</f>
        <v>0</v>
      </c>
      <c r="S64" s="61" t="n">
        <f aca="false">SUM(S61:S63)</f>
        <v>0</v>
      </c>
      <c r="T64" s="47"/>
      <c r="U64" s="49"/>
      <c r="V64" s="60" t="n">
        <f aca="false">SUM(V61:V63)</f>
        <v>0</v>
      </c>
      <c r="W64" s="61" t="n">
        <f aca="false">SUM(W61:W63)</f>
        <v>0</v>
      </c>
      <c r="X64" s="61" t="n">
        <f aca="false">SUM(X61:X63)</f>
        <v>0</v>
      </c>
      <c r="Y64" s="61" t="n">
        <f aca="false">SUM(Y61:Y63)</f>
        <v>0</v>
      </c>
      <c r="Z64" s="61" t="n">
        <f aca="false">SUM(Z61:Z63)</f>
        <v>0</v>
      </c>
      <c r="AA64" s="25"/>
    </row>
    <row r="65" customFormat="false" ht="6" hidden="false" customHeight="true" outlineLevel="0" collapsed="false">
      <c r="A65" s="42"/>
      <c r="B65" s="63"/>
      <c r="C65" s="64"/>
      <c r="D65" s="65"/>
      <c r="E65" s="50"/>
      <c r="F65" s="50"/>
      <c r="G65" s="50"/>
      <c r="H65" s="58"/>
      <c r="I65" s="50"/>
      <c r="J65" s="50"/>
      <c r="K65" s="50"/>
      <c r="L65" s="50"/>
      <c r="M65" s="58"/>
      <c r="N65" s="50"/>
      <c r="O65" s="50"/>
      <c r="P65" s="62"/>
      <c r="Q65" s="50"/>
      <c r="R65" s="50"/>
      <c r="S65" s="50"/>
      <c r="T65" s="47"/>
      <c r="U65" s="49"/>
      <c r="V65" s="50"/>
      <c r="W65" s="50"/>
      <c r="X65" s="50"/>
      <c r="Y65" s="50"/>
      <c r="Z65" s="50"/>
      <c r="AA65" s="25"/>
    </row>
    <row r="66" customFormat="false" ht="12" hidden="false" customHeight="true" outlineLevel="0" collapsed="false">
      <c r="A66" s="42"/>
      <c r="B66" s="51" t="s">
        <v>23</v>
      </c>
      <c r="C66" s="51"/>
      <c r="D66" s="62"/>
      <c r="E66" s="50"/>
      <c r="F66" s="50"/>
      <c r="G66" s="50"/>
      <c r="H66" s="85" t="n">
        <f aca="false">H$13</f>
        <v>0.1</v>
      </c>
      <c r="I66" s="50"/>
      <c r="J66" s="50"/>
      <c r="K66" s="50"/>
      <c r="L66" s="50"/>
      <c r="M66" s="58"/>
      <c r="N66" s="50"/>
      <c r="O66" s="47"/>
      <c r="P66" s="48"/>
      <c r="Q66" s="47"/>
      <c r="R66" s="47"/>
      <c r="S66" s="47"/>
      <c r="T66" s="47"/>
      <c r="U66" s="49"/>
      <c r="V66" s="50"/>
      <c r="W66" s="50"/>
      <c r="X66" s="50"/>
      <c r="Y66" s="47"/>
      <c r="Z66" s="47"/>
      <c r="AA66" s="25"/>
    </row>
    <row r="67" customFormat="false" ht="12" hidden="false" customHeight="false" outlineLevel="0" collapsed="false">
      <c r="A67" s="42"/>
      <c r="B67" s="54" t="n">
        <v>46371</v>
      </c>
      <c r="C67" s="55" t="s">
        <v>33</v>
      </c>
      <c r="D67" s="56"/>
      <c r="E67" s="57" t="n">
        <v>1500</v>
      </c>
      <c r="F67" s="50"/>
      <c r="G67" s="50"/>
      <c r="H67" s="58" t="n">
        <f aca="false">H$66</f>
        <v>0.1</v>
      </c>
      <c r="I67" s="50" t="n">
        <f aca="false">IF(E67&gt;0,MIN(E67*H67,G67)," ")</f>
        <v>150</v>
      </c>
      <c r="J67" s="50" t="n">
        <f aca="false">IF(E67&gt;0,F67+I67," ")</f>
        <v>150</v>
      </c>
      <c r="K67" s="50" t="n">
        <f aca="false">IF(E67&gt;0,IF(V67&gt;0,0,E67-J67)," ")</f>
        <v>1350</v>
      </c>
      <c r="L67" s="50"/>
      <c r="M67" s="58"/>
      <c r="N67" s="50"/>
      <c r="O67" s="47"/>
      <c r="P67" s="48" t="n">
        <f aca="false">IF(B67&gt;0,IF(B67&gt;[1]Admin!$N$11,[1]Admin!$G$7,[1]Admin!$G$5),[1]Admin!$G$5)</f>
        <v>100</v>
      </c>
      <c r="Q67" s="47" t="n">
        <f aca="false">IF(E67&gt;0,E67*P67/100," ")</f>
        <v>1500</v>
      </c>
      <c r="R67" s="47"/>
      <c r="S67" s="47" t="n">
        <f aca="false">IF(E67&gt;0,E67-Q67," ")</f>
        <v>0</v>
      </c>
      <c r="T67" s="47"/>
      <c r="U67" s="54"/>
      <c r="V67" s="57"/>
      <c r="W67" s="50" t="str">
        <f aca="false">IF(V67&gt;0,E67," ")</f>
        <v> </v>
      </c>
      <c r="X67" s="50" t="str">
        <f aca="false">IF(V67&gt;0,J67," ")</f>
        <v> </v>
      </c>
      <c r="Y67" s="47" t="str">
        <f aca="false">IF((U67+V67)&gt;0,IF(V67&lt;S67,S67-V67," ")," ")</f>
        <v> </v>
      </c>
      <c r="Z67" s="47" t="str">
        <f aca="false">IF((U67+V67)&gt;0,IF(V67&gt;S67,V67-S67," ")," ")</f>
        <v> </v>
      </c>
      <c r="AA67" s="25"/>
    </row>
    <row r="68" customFormat="false" ht="12" hidden="false" customHeight="false" outlineLevel="0" collapsed="false">
      <c r="A68" s="42"/>
      <c r="B68" s="54" t="n">
        <v>46388</v>
      </c>
      <c r="C68" s="55" t="s">
        <v>34</v>
      </c>
      <c r="D68" s="56"/>
      <c r="E68" s="57" t="n">
        <v>13000</v>
      </c>
      <c r="F68" s="50"/>
      <c r="G68" s="50"/>
      <c r="H68" s="58" t="n">
        <f aca="false">H$66</f>
        <v>0.1</v>
      </c>
      <c r="I68" s="50" t="n">
        <f aca="false">IF(E68&gt;0,MIN(E68*H68,G68)," ")</f>
        <v>1300</v>
      </c>
      <c r="J68" s="50" t="n">
        <f aca="false">IF(E68&gt;0,F68+I68," ")</f>
        <v>1300</v>
      </c>
      <c r="K68" s="50" t="n">
        <f aca="false">IF(E68&gt;0,IF(V68&gt;0,0,E68-J68)," ")</f>
        <v>11700</v>
      </c>
      <c r="L68" s="50"/>
      <c r="M68" s="58"/>
      <c r="N68" s="50"/>
      <c r="O68" s="47"/>
      <c r="P68" s="48" t="n">
        <f aca="false">IF(B68&gt;0,IF(B68&gt;[1]Admin!$N$11,[1]Admin!$G$7,[1]Admin!$G$5),[1]Admin!$G$5)</f>
        <v>100</v>
      </c>
      <c r="Q68" s="47" t="n">
        <f aca="false">IF(E68&gt;0,E68*P68/100," ")</f>
        <v>13000</v>
      </c>
      <c r="R68" s="47"/>
      <c r="S68" s="47" t="n">
        <f aca="false">IF(E68&gt;0,E68-Q68," ")</f>
        <v>0</v>
      </c>
      <c r="T68" s="47"/>
      <c r="U68" s="54"/>
      <c r="V68" s="57"/>
      <c r="W68" s="50" t="str">
        <f aca="false">IF(V68&gt;0,E68," ")</f>
        <v> </v>
      </c>
      <c r="X68" s="50" t="str">
        <f aca="false">IF(V68&gt;0,J68," ")</f>
        <v> </v>
      </c>
      <c r="Y68" s="47" t="str">
        <f aca="false">IF((U68+V68)&gt;0,IF(V68&lt;S68,S68-V68," ")," ")</f>
        <v> </v>
      </c>
      <c r="Z68" s="47" t="str">
        <f aca="false">IF((U68+V68)&gt;0,IF(V68&gt;S68,V68-S68," ")," ")</f>
        <v> </v>
      </c>
      <c r="AA68" s="25"/>
    </row>
    <row r="69" customFormat="false" ht="12" hidden="false" customHeight="false" outlineLevel="0" collapsed="false">
      <c r="A69" s="42"/>
      <c r="B69" s="54" t="n">
        <v>46433</v>
      </c>
      <c r="C69" s="55" t="s">
        <v>35</v>
      </c>
      <c r="D69" s="56"/>
      <c r="E69" s="57" t="n">
        <v>1000</v>
      </c>
      <c r="F69" s="50"/>
      <c r="G69" s="50"/>
      <c r="H69" s="58" t="n">
        <f aca="false">H$66</f>
        <v>0.1</v>
      </c>
      <c r="I69" s="50" t="n">
        <f aca="false">IF(E69&gt;0,MIN(E69*H69,G69)," ")</f>
        <v>100</v>
      </c>
      <c r="J69" s="50" t="n">
        <f aca="false">IF(E69&gt;0,F69+I69," ")</f>
        <v>100</v>
      </c>
      <c r="K69" s="50" t="n">
        <f aca="false">IF(E69&gt;0,IF(V69&gt;0,0,E69-J69)," ")</f>
        <v>900</v>
      </c>
      <c r="L69" s="50"/>
      <c r="M69" s="58"/>
      <c r="N69" s="50"/>
      <c r="O69" s="47"/>
      <c r="P69" s="48" t="n">
        <f aca="false">IF(B69&gt;0,IF(B69&gt;[1]Admin!$N$11,[1]Admin!$G$7,[1]Admin!$G$5),[1]Admin!$G$5)</f>
        <v>100</v>
      </c>
      <c r="Q69" s="47" t="n">
        <f aca="false">IF(E69&gt;0,E69*P69/100," ")</f>
        <v>1000</v>
      </c>
      <c r="R69" s="47"/>
      <c r="S69" s="47" t="n">
        <f aca="false">IF(E69&gt;0,E69-Q69," ")</f>
        <v>0</v>
      </c>
      <c r="T69" s="47"/>
      <c r="U69" s="54"/>
      <c r="V69" s="57"/>
      <c r="W69" s="50" t="str">
        <f aca="false">IF(V69&gt;0,E69," ")</f>
        <v> </v>
      </c>
      <c r="X69" s="50" t="str">
        <f aca="false">IF(V69&gt;0,J69," ")</f>
        <v> </v>
      </c>
      <c r="Y69" s="47" t="str">
        <f aca="false">IF((U69+V69)&gt;0,IF(V69&lt;S69,S69-V69," ")," ")</f>
        <v> </v>
      </c>
      <c r="Z69" s="47" t="str">
        <f aca="false">IF((U69+V69)&gt;0,IF(V69&gt;S69,V69-S69," ")," ")</f>
        <v> </v>
      </c>
      <c r="AA69" s="25"/>
    </row>
    <row r="70" customFormat="false" ht="12" hidden="false" customHeight="false" outlineLevel="0" collapsed="false">
      <c r="A70" s="42"/>
      <c r="B70" s="54" t="n">
        <v>46478</v>
      </c>
      <c r="C70" s="55" t="s">
        <v>34</v>
      </c>
      <c r="D70" s="56"/>
      <c r="E70" s="57" t="n">
        <v>7000</v>
      </c>
      <c r="F70" s="50"/>
      <c r="G70" s="50"/>
      <c r="H70" s="58" t="n">
        <f aca="false">H$66</f>
        <v>0.1</v>
      </c>
      <c r="I70" s="50" t="n">
        <f aca="false">IF(E70&gt;0,MIN(E70*H70,G70)," ")</f>
        <v>700</v>
      </c>
      <c r="J70" s="50" t="n">
        <f aca="false">IF(E70&gt;0,F70+I70," ")</f>
        <v>700</v>
      </c>
      <c r="K70" s="50" t="n">
        <f aca="false">IF(E70&gt;0,IF(V70&gt;0,0,E70-J70)," ")</f>
        <v>6300</v>
      </c>
      <c r="L70" s="50"/>
      <c r="M70" s="58"/>
      <c r="N70" s="50"/>
      <c r="O70" s="47"/>
      <c r="P70" s="48" t="n">
        <f aca="false">IF(B70&gt;0,IF(B70&gt;[1]Admin!$N$11,[1]Admin!$G$7,[1]Admin!$G$5),[1]Admin!$G$5)</f>
        <v>100</v>
      </c>
      <c r="Q70" s="47" t="n">
        <f aca="false">IF(E70&gt;0,E70*P70/100," ")</f>
        <v>7000</v>
      </c>
      <c r="R70" s="47"/>
      <c r="S70" s="47" t="n">
        <f aca="false">IF(E70&gt;0,E70-Q70," ")</f>
        <v>0</v>
      </c>
      <c r="T70" s="47"/>
      <c r="U70" s="54"/>
      <c r="V70" s="57"/>
      <c r="W70" s="50" t="str">
        <f aca="false">IF(V70&gt;0,E70," ")</f>
        <v> </v>
      </c>
      <c r="X70" s="50" t="str">
        <f aca="false">IF(V70&gt;0,J70," ")</f>
        <v> </v>
      </c>
      <c r="Y70" s="47" t="str">
        <f aca="false">IF((U70+V70)&gt;0,IF(V70&lt;S70,S70-V70," ")," ")</f>
        <v> </v>
      </c>
      <c r="Z70" s="47" t="str">
        <f aca="false">IF((U70+V70)&gt;0,IF(V70&gt;S70,V70-S70," ")," ")</f>
        <v> </v>
      </c>
      <c r="AA70" s="25"/>
    </row>
    <row r="71" customFormat="false" ht="12" hidden="false" customHeight="false" outlineLevel="0" collapsed="false">
      <c r="A71" s="42"/>
      <c r="B71" s="54" t="n">
        <v>46532</v>
      </c>
      <c r="C71" s="55" t="s">
        <v>36</v>
      </c>
      <c r="D71" s="56"/>
      <c r="E71" s="57" t="n">
        <v>30000</v>
      </c>
      <c r="F71" s="50"/>
      <c r="G71" s="50"/>
      <c r="H71" s="58" t="n">
        <f aca="false">H$66</f>
        <v>0.1</v>
      </c>
      <c r="I71" s="50" t="n">
        <f aca="false">IF(E71&gt;0,MIN(E71*H71,G71)," ")</f>
        <v>3000</v>
      </c>
      <c r="J71" s="50" t="n">
        <f aca="false">IF(E71&gt;0,F71+I71," ")</f>
        <v>3000</v>
      </c>
      <c r="K71" s="50" t="n">
        <f aca="false">IF(E71&gt;0,IF(V71&gt;0,0,E71-J71)," ")</f>
        <v>27000</v>
      </c>
      <c r="L71" s="50"/>
      <c r="M71" s="58"/>
      <c r="N71" s="50"/>
      <c r="O71" s="47"/>
      <c r="P71" s="48" t="n">
        <f aca="false">IF(B71&gt;0,IF(B71&gt;[1]Admin!$N$11,[1]Admin!$G$7,[1]Admin!$G$5),[1]Admin!$G$5)</f>
        <v>100</v>
      </c>
      <c r="Q71" s="47" t="n">
        <f aca="false">IF(E71&gt;0,E71*P71/100," ")</f>
        <v>30000</v>
      </c>
      <c r="R71" s="47"/>
      <c r="S71" s="47" t="n">
        <f aca="false">IF(E71&gt;0,E71-Q71," ")</f>
        <v>0</v>
      </c>
      <c r="T71" s="47"/>
      <c r="U71" s="54"/>
      <c r="V71" s="57"/>
      <c r="W71" s="50" t="str">
        <f aca="false">IF(V71&gt;0,E71," ")</f>
        <v> </v>
      </c>
      <c r="X71" s="50" t="str">
        <f aca="false">IF(V71&gt;0,J71," ")</f>
        <v> </v>
      </c>
      <c r="Y71" s="47" t="str">
        <f aca="false">IF((U71+V71)&gt;0,IF(V71&lt;S71,S71-V71," ")," ")</f>
        <v> </v>
      </c>
      <c r="Z71" s="47" t="str">
        <f aca="false">IF((U71+V71)&gt;0,IF(V71&gt;S71,V71-S71," ")," ")</f>
        <v> </v>
      </c>
      <c r="AA71" s="25"/>
    </row>
    <row r="72" customFormat="false" ht="12" hidden="false" customHeight="false" outlineLevel="0" collapsed="false">
      <c r="A72" s="42"/>
      <c r="B72" s="54"/>
      <c r="C72" s="55"/>
      <c r="D72" s="56"/>
      <c r="E72" s="57"/>
      <c r="F72" s="50"/>
      <c r="G72" s="50"/>
      <c r="H72" s="58" t="n">
        <f aca="false">H$66</f>
        <v>0.1</v>
      </c>
      <c r="I72" s="50" t="str">
        <f aca="false">IF(E72&gt;0,MIN(E72*H72,G72)," ")</f>
        <v> </v>
      </c>
      <c r="J72" s="50" t="str">
        <f aca="false">IF(E72&gt;0,F72+I72," ")</f>
        <v> </v>
      </c>
      <c r="K72" s="50" t="str">
        <f aca="false">IF(E72&gt;0,IF(V72&gt;0,0,E72-J72)," ")</f>
        <v> </v>
      </c>
      <c r="L72" s="50"/>
      <c r="M72" s="58"/>
      <c r="N72" s="50"/>
      <c r="O72" s="47"/>
      <c r="P72" s="48" t="n">
        <f aca="false">IF(B72&gt;0,IF(B72&gt;[1]Admin!$N$11,[1]Admin!$G$7,[1]Admin!$G$5),[1]Admin!$G$5)</f>
        <v>100</v>
      </c>
      <c r="Q72" s="47" t="str">
        <f aca="false">IF(E72&gt;0,E72*P72/100," ")</f>
        <v> </v>
      </c>
      <c r="R72" s="47"/>
      <c r="S72" s="47" t="str">
        <f aca="false">IF(E72&gt;0,E72-Q72," ")</f>
        <v> </v>
      </c>
      <c r="T72" s="47"/>
      <c r="U72" s="54"/>
      <c r="V72" s="57"/>
      <c r="W72" s="50" t="str">
        <f aca="false">IF(V72&gt;0,E72," ")</f>
        <v> </v>
      </c>
      <c r="X72" s="50" t="str">
        <f aca="false">IF(V72&gt;0,J72," ")</f>
        <v> </v>
      </c>
      <c r="Y72" s="47" t="str">
        <f aca="false">IF((U72+V72)&gt;0,IF(V72&lt;S72,S72-V72," ")," ")</f>
        <v> </v>
      </c>
      <c r="Z72" s="47" t="str">
        <f aca="false">IF((U72+V72)&gt;0,IF(V72&gt;S72,V72-S72," ")," ")</f>
        <v> </v>
      </c>
      <c r="AA72" s="25"/>
    </row>
    <row r="73" customFormat="false" ht="12" hidden="false" customHeight="false" outlineLevel="0" collapsed="false">
      <c r="A73" s="42"/>
      <c r="B73" s="54"/>
      <c r="C73" s="55"/>
      <c r="D73" s="56"/>
      <c r="E73" s="57"/>
      <c r="F73" s="50"/>
      <c r="G73" s="50"/>
      <c r="H73" s="58" t="n">
        <f aca="false">H$66</f>
        <v>0.1</v>
      </c>
      <c r="I73" s="50" t="str">
        <f aca="false">IF(E73&gt;0,MIN(E73*H73,G73)," ")</f>
        <v> </v>
      </c>
      <c r="J73" s="50" t="str">
        <f aca="false">IF(E73&gt;0,F73+I73," ")</f>
        <v> </v>
      </c>
      <c r="K73" s="50" t="str">
        <f aca="false">IF(E73&gt;0,IF(V73&gt;0,0,E73-J73)," ")</f>
        <v> </v>
      </c>
      <c r="L73" s="50"/>
      <c r="M73" s="58"/>
      <c r="N73" s="50"/>
      <c r="O73" s="47"/>
      <c r="P73" s="48" t="n">
        <f aca="false">IF(B73&gt;0,IF(B73&gt;[1]Admin!$N$11,[1]Admin!$G$7,[1]Admin!$G$5),[1]Admin!$G$5)</f>
        <v>100</v>
      </c>
      <c r="Q73" s="47" t="str">
        <f aca="false">IF(E73&gt;0,E73*P73/100," ")</f>
        <v> </v>
      </c>
      <c r="R73" s="47"/>
      <c r="S73" s="47" t="str">
        <f aca="false">IF(E73&gt;0,E73-Q73," ")</f>
        <v> </v>
      </c>
      <c r="T73" s="47"/>
      <c r="U73" s="54"/>
      <c r="V73" s="57"/>
      <c r="W73" s="50" t="str">
        <f aca="false">IF(V73&gt;0,E73," ")</f>
        <v> </v>
      </c>
      <c r="X73" s="50" t="str">
        <f aca="false">IF(V73&gt;0,J73," ")</f>
        <v> </v>
      </c>
      <c r="Y73" s="47" t="str">
        <f aca="false">IF((U73+V73)&gt;0,IF(V73&lt;S73,S73-V73," ")," ")</f>
        <v> </v>
      </c>
      <c r="Z73" s="47" t="str">
        <f aca="false">IF((U73+V73)&gt;0,IF(V73&gt;S73,V73-S73," ")," ")</f>
        <v> </v>
      </c>
      <c r="AA73" s="25"/>
    </row>
    <row r="74" customFormat="false" ht="12" hidden="false" customHeight="false" outlineLevel="0" collapsed="false">
      <c r="A74" s="42"/>
      <c r="B74" s="54"/>
      <c r="C74" s="55"/>
      <c r="D74" s="56"/>
      <c r="E74" s="57"/>
      <c r="F74" s="50"/>
      <c r="G74" s="50"/>
      <c r="H74" s="58" t="n">
        <f aca="false">H$66</f>
        <v>0.1</v>
      </c>
      <c r="I74" s="50" t="str">
        <f aca="false">IF(E74&gt;0,MIN(E74*H74,G74)," ")</f>
        <v> </v>
      </c>
      <c r="J74" s="50" t="str">
        <f aca="false">IF(E74&gt;0,F74+I74," ")</f>
        <v> </v>
      </c>
      <c r="K74" s="50" t="str">
        <f aca="false">IF(E74&gt;0,IF(V74&gt;0,0,E74-J74)," ")</f>
        <v> </v>
      </c>
      <c r="L74" s="50"/>
      <c r="M74" s="58"/>
      <c r="N74" s="50"/>
      <c r="O74" s="47"/>
      <c r="P74" s="48" t="n">
        <f aca="false">IF(B74&gt;0,IF(B74&gt;[1]Admin!$N$11,[1]Admin!$G$7,[1]Admin!$G$5),[1]Admin!$G$5)</f>
        <v>100</v>
      </c>
      <c r="Q74" s="47" t="str">
        <f aca="false">IF(E74&gt;0,E74*P74/100," ")</f>
        <v> </v>
      </c>
      <c r="R74" s="47"/>
      <c r="S74" s="47" t="str">
        <f aca="false">IF(E74&gt;0,E74-Q74," ")</f>
        <v> </v>
      </c>
      <c r="T74" s="47"/>
      <c r="U74" s="54"/>
      <c r="V74" s="57"/>
      <c r="W74" s="50" t="str">
        <f aca="false">IF(V74&gt;0,E74," ")</f>
        <v> </v>
      </c>
      <c r="X74" s="50" t="str">
        <f aca="false">IF(V74&gt;0,J74," ")</f>
        <v> </v>
      </c>
      <c r="Y74" s="47" t="str">
        <f aca="false">IF((U74+V74)&gt;0,IF(V74&lt;S74,S74-V74," ")," ")</f>
        <v> </v>
      </c>
      <c r="Z74" s="47" t="str">
        <f aca="false">IF((U74+V74)&gt;0,IF(V74&gt;S74,V74-S74," ")," ")</f>
        <v> </v>
      </c>
      <c r="AA74" s="25"/>
    </row>
    <row r="75" customFormat="false" ht="12" hidden="false" customHeight="true" outlineLevel="0" collapsed="false">
      <c r="A75" s="42"/>
      <c r="B75" s="59" t="s">
        <v>37</v>
      </c>
      <c r="C75" s="59"/>
      <c r="D75" s="59"/>
      <c r="E75" s="60" t="n">
        <f aca="false">SUM(E67:E74)</f>
        <v>52500</v>
      </c>
      <c r="F75" s="61" t="n">
        <f aca="false">SUM(F67:F74)</f>
        <v>0</v>
      </c>
      <c r="G75" s="61" t="n">
        <f aca="false">SUM(G67:G74)</f>
        <v>0</v>
      </c>
      <c r="H75" s="58"/>
      <c r="I75" s="61" t="n">
        <f aca="false">SUM(I67:I74)</f>
        <v>5250</v>
      </c>
      <c r="J75" s="61" t="n">
        <f aca="false">SUM(J67:J74)</f>
        <v>5250</v>
      </c>
      <c r="K75" s="61" t="n">
        <f aca="false">SUM(K67:K74)</f>
        <v>47250</v>
      </c>
      <c r="L75" s="50"/>
      <c r="M75" s="58"/>
      <c r="N75" s="50"/>
      <c r="O75" s="61" t="n">
        <f aca="false">SUM(O67:O74)</f>
        <v>0</v>
      </c>
      <c r="P75" s="62"/>
      <c r="Q75" s="61" t="n">
        <f aca="false">SUM(Q67:Q74)</f>
        <v>52500</v>
      </c>
      <c r="R75" s="61" t="n">
        <f aca="false">SUM(R67:R74)</f>
        <v>0</v>
      </c>
      <c r="S75" s="61" t="n">
        <f aca="false">SUM(S67:S74)</f>
        <v>0</v>
      </c>
      <c r="T75" s="47"/>
      <c r="U75" s="49"/>
      <c r="V75" s="60" t="n">
        <f aca="false">SUM(V67:V74)</f>
        <v>0</v>
      </c>
      <c r="W75" s="61" t="n">
        <f aca="false">SUM(W67:W74)</f>
        <v>0</v>
      </c>
      <c r="X75" s="61" t="n">
        <f aca="false">SUM(X67:X74)</f>
        <v>0</v>
      </c>
      <c r="Y75" s="61" t="n">
        <f aca="false">SUM(Y67:Y74)</f>
        <v>0</v>
      </c>
      <c r="Z75" s="61" t="n">
        <f aca="false">SUM(Z67:Z74)</f>
        <v>0</v>
      </c>
      <c r="AA75" s="25"/>
    </row>
    <row r="76" customFormat="false" ht="6" hidden="false" customHeight="true" outlineLevel="0" collapsed="false">
      <c r="A76" s="42"/>
      <c r="B76" s="63"/>
      <c r="C76" s="64"/>
      <c r="D76" s="65"/>
      <c r="E76" s="50"/>
      <c r="F76" s="50"/>
      <c r="G76" s="50"/>
      <c r="H76" s="58"/>
      <c r="I76" s="50"/>
      <c r="J76" s="50"/>
      <c r="K76" s="50"/>
      <c r="L76" s="50"/>
      <c r="M76" s="58"/>
      <c r="N76" s="50"/>
      <c r="O76" s="50"/>
      <c r="P76" s="62"/>
      <c r="Q76" s="50"/>
      <c r="R76" s="50"/>
      <c r="S76" s="50"/>
      <c r="T76" s="47"/>
      <c r="U76" s="49"/>
      <c r="V76" s="50"/>
      <c r="W76" s="50"/>
      <c r="X76" s="50"/>
      <c r="Y76" s="50"/>
      <c r="Z76" s="50"/>
      <c r="AA76" s="25"/>
    </row>
    <row r="77" customFormat="false" ht="12" hidden="false" customHeight="true" outlineLevel="0" collapsed="false">
      <c r="A77" s="42"/>
      <c r="B77" s="51" t="s">
        <v>24</v>
      </c>
      <c r="C77" s="51"/>
      <c r="D77" s="62"/>
      <c r="E77" s="50"/>
      <c r="F77" s="50"/>
      <c r="G77" s="50"/>
      <c r="H77" s="85" t="n">
        <f aca="false">H$24</f>
        <v>0.2</v>
      </c>
      <c r="I77" s="50"/>
      <c r="J77" s="50"/>
      <c r="K77" s="50"/>
      <c r="L77" s="50"/>
      <c r="M77" s="58"/>
      <c r="N77" s="50"/>
      <c r="O77" s="47"/>
      <c r="P77" s="48"/>
      <c r="Q77" s="47"/>
      <c r="R77" s="47"/>
      <c r="S77" s="47"/>
      <c r="T77" s="47"/>
      <c r="U77" s="49"/>
      <c r="V77" s="50"/>
      <c r="W77" s="50"/>
      <c r="X77" s="50"/>
      <c r="Y77" s="47"/>
      <c r="Z77" s="47"/>
      <c r="AA77" s="25"/>
    </row>
    <row r="78" customFormat="false" ht="12" hidden="false" customHeight="true" outlineLevel="0" collapsed="false">
      <c r="A78" s="42"/>
      <c r="B78" s="54"/>
      <c r="C78" s="55"/>
      <c r="D78" s="83"/>
      <c r="E78" s="57"/>
      <c r="F78" s="50"/>
      <c r="G78" s="50"/>
      <c r="H78" s="58" t="n">
        <f aca="false">H$77</f>
        <v>0.2</v>
      </c>
      <c r="I78" s="50" t="str">
        <f aca="false">IF(E78&gt;0,MIN(E78*H78,G78)," ")</f>
        <v> </v>
      </c>
      <c r="J78" s="50" t="str">
        <f aca="false">IF(E78&gt;0,F78+I78," ")</f>
        <v> </v>
      </c>
      <c r="K78" s="50" t="str">
        <f aca="false">IF(E78&gt;0,IF(V78&gt;0,0,E78-J78)," ")</f>
        <v> </v>
      </c>
      <c r="L78" s="50"/>
      <c r="M78" s="58"/>
      <c r="N78" s="50"/>
      <c r="O78" s="47"/>
      <c r="P78" s="48" t="n">
        <f aca="false">IF(B78&gt;0,IF(B78&gt;[1]Admin!$N$11,[1]Admin!$G$7,[1]Admin!$G$5),[1]Admin!$G$5)</f>
        <v>100</v>
      </c>
      <c r="Q78" s="47" t="str">
        <f aca="false">IF(E78&gt;0,E78*P78/100," ")</f>
        <v> </v>
      </c>
      <c r="R78" s="47"/>
      <c r="S78" s="47" t="str">
        <f aca="false">IF(E78&gt;0,E78-Q78," ")</f>
        <v> </v>
      </c>
      <c r="T78" s="47"/>
      <c r="U78" s="54"/>
      <c r="V78" s="57"/>
      <c r="W78" s="50" t="str">
        <f aca="false">IF(V78&gt;0,E78," ")</f>
        <v> </v>
      </c>
      <c r="X78" s="50" t="str">
        <f aca="false">IF(V78&gt;0,J78," ")</f>
        <v> </v>
      </c>
      <c r="Y78" s="47" t="str">
        <f aca="false">IF((U78+V78)&gt;0,IF(V78&lt;S78,S78-V78," ")," ")</f>
        <v> </v>
      </c>
      <c r="Z78" s="47" t="str">
        <f aca="false">IF((U78+V78)&gt;0,IF(V78&gt;S78,V78-S78," ")," ")</f>
        <v> </v>
      </c>
      <c r="AA78" s="25"/>
    </row>
    <row r="79" customFormat="false" ht="12" hidden="false" customHeight="false" outlineLevel="0" collapsed="false">
      <c r="A79" s="42"/>
      <c r="B79" s="54"/>
      <c r="C79" s="55"/>
      <c r="D79" s="83"/>
      <c r="E79" s="57"/>
      <c r="F79" s="50"/>
      <c r="G79" s="50"/>
      <c r="H79" s="58" t="n">
        <f aca="false">H$77</f>
        <v>0.2</v>
      </c>
      <c r="I79" s="50" t="str">
        <f aca="false">IF(E79&gt;0,MIN(E79*H79,G79)," ")</f>
        <v> </v>
      </c>
      <c r="J79" s="50" t="str">
        <f aca="false">IF(E79&gt;0,F79+I79," ")</f>
        <v> </v>
      </c>
      <c r="K79" s="50" t="str">
        <f aca="false">IF(E79&gt;0,IF(V79&gt;0,0,E79-J79)," ")</f>
        <v> </v>
      </c>
      <c r="L79" s="50"/>
      <c r="M79" s="58"/>
      <c r="N79" s="50"/>
      <c r="O79" s="47"/>
      <c r="P79" s="48" t="n">
        <f aca="false">IF(B79&gt;0,IF(B79&gt;[1]Admin!$N$11,[1]Admin!$G$7,[1]Admin!$G$5),[1]Admin!$G$5)</f>
        <v>100</v>
      </c>
      <c r="Q79" s="47" t="str">
        <f aca="false">IF(E79&gt;0,E79*P79/100," ")</f>
        <v> </v>
      </c>
      <c r="R79" s="47"/>
      <c r="S79" s="47" t="str">
        <f aca="false">IF(E79&gt;0,E79-Q79," ")</f>
        <v> </v>
      </c>
      <c r="T79" s="47"/>
      <c r="U79" s="54"/>
      <c r="V79" s="57"/>
      <c r="W79" s="50" t="str">
        <f aca="false">IF(V79&gt;0,E79," ")</f>
        <v> </v>
      </c>
      <c r="X79" s="50" t="str">
        <f aca="false">IF(V79&gt;0,J79," ")</f>
        <v> </v>
      </c>
      <c r="Y79" s="47" t="str">
        <f aca="false">IF((U79+V79)&gt;0,IF(V79&lt;S79,S79-V79," ")," ")</f>
        <v> </v>
      </c>
      <c r="Z79" s="47" t="str">
        <f aca="false">IF((U79+V79)&gt;0,IF(V79&gt;S79,V79-S79," ")," ")</f>
        <v> </v>
      </c>
      <c r="AA79" s="25"/>
    </row>
    <row r="80" customFormat="false" ht="12" hidden="false" customHeight="false" outlineLevel="0" collapsed="false">
      <c r="A80" s="42"/>
      <c r="B80" s="54"/>
      <c r="C80" s="55"/>
      <c r="D80" s="83"/>
      <c r="E80" s="57"/>
      <c r="F80" s="50"/>
      <c r="G80" s="50"/>
      <c r="H80" s="58" t="n">
        <f aca="false">H$77</f>
        <v>0.2</v>
      </c>
      <c r="I80" s="50" t="str">
        <f aca="false">IF(E80&gt;0,MIN(E80*H80,G80)," ")</f>
        <v> </v>
      </c>
      <c r="J80" s="50" t="str">
        <f aca="false">IF(E80&gt;0,F80+I80," ")</f>
        <v> </v>
      </c>
      <c r="K80" s="50" t="str">
        <f aca="false">IF(E80&gt;0,IF(V80&gt;0,0,E80-J80)," ")</f>
        <v> </v>
      </c>
      <c r="L80" s="50"/>
      <c r="M80" s="58"/>
      <c r="N80" s="50"/>
      <c r="O80" s="47"/>
      <c r="P80" s="48" t="n">
        <f aca="false">IF(B80&gt;0,IF(B80&gt;[1]Admin!$N$11,[1]Admin!$G$7,[1]Admin!$G$5),[1]Admin!$G$5)</f>
        <v>100</v>
      </c>
      <c r="Q80" s="47" t="str">
        <f aca="false">IF(E80&gt;0,E80*P80/100," ")</f>
        <v> </v>
      </c>
      <c r="R80" s="47"/>
      <c r="S80" s="47" t="str">
        <f aca="false">IF(E80&gt;0,E80-Q80," ")</f>
        <v> </v>
      </c>
      <c r="T80" s="47"/>
      <c r="U80" s="54"/>
      <c r="V80" s="57"/>
      <c r="W80" s="50" t="str">
        <f aca="false">IF(V80&gt;0,E80," ")</f>
        <v> </v>
      </c>
      <c r="X80" s="50" t="str">
        <f aca="false">IF(V80&gt;0,J80," ")</f>
        <v> </v>
      </c>
      <c r="Y80" s="47" t="str">
        <f aca="false">IF((U80+V80)&gt;0,IF(V80&lt;S80,S80-V80," ")," ")</f>
        <v> </v>
      </c>
      <c r="Z80" s="47" t="str">
        <f aca="false">IF((U80+V80)&gt;0,IF(V80&gt;S80,V80-S80," ")," ")</f>
        <v> </v>
      </c>
      <c r="AA80" s="25"/>
    </row>
    <row r="81" customFormat="false" ht="12" hidden="false" customHeight="false" outlineLevel="0" collapsed="false">
      <c r="A81" s="42"/>
      <c r="B81" s="54"/>
      <c r="C81" s="55"/>
      <c r="D81" s="83"/>
      <c r="E81" s="57"/>
      <c r="F81" s="50"/>
      <c r="G81" s="50"/>
      <c r="H81" s="58" t="n">
        <f aca="false">H$77</f>
        <v>0.2</v>
      </c>
      <c r="I81" s="50" t="str">
        <f aca="false">IF(E81&gt;0,MIN(E81*H81,G81)," ")</f>
        <v> </v>
      </c>
      <c r="J81" s="50" t="str">
        <f aca="false">IF(E81&gt;0,F81+I81," ")</f>
        <v> </v>
      </c>
      <c r="K81" s="50" t="str">
        <f aca="false">IF(E81&gt;0,IF(V81&gt;0,0,E81-J81)," ")</f>
        <v> </v>
      </c>
      <c r="L81" s="50"/>
      <c r="M81" s="58"/>
      <c r="N81" s="50"/>
      <c r="O81" s="47"/>
      <c r="P81" s="48" t="n">
        <f aca="false">IF(B81&gt;0,IF(B81&gt;[1]Admin!$N$11,[1]Admin!$G$7,[1]Admin!$G$5),[1]Admin!$G$5)</f>
        <v>100</v>
      </c>
      <c r="Q81" s="47" t="str">
        <f aca="false">IF(E81&gt;0,E81*P81/100," ")</f>
        <v> </v>
      </c>
      <c r="R81" s="47"/>
      <c r="S81" s="47" t="str">
        <f aca="false">IF(E81&gt;0,E81-Q81," ")</f>
        <v> </v>
      </c>
      <c r="T81" s="47"/>
      <c r="U81" s="54"/>
      <c r="V81" s="57"/>
      <c r="W81" s="50" t="str">
        <f aca="false">IF(V81&gt;0,E81," ")</f>
        <v> </v>
      </c>
      <c r="X81" s="50" t="str">
        <f aca="false">IF(V81&gt;0,J81," ")</f>
        <v> </v>
      </c>
      <c r="Y81" s="47" t="str">
        <f aca="false">IF((U81+V81)&gt;0,IF(V81&lt;S81,S81-V81," ")," ")</f>
        <v> </v>
      </c>
      <c r="Z81" s="47" t="str">
        <f aca="false">IF((U81+V81)&gt;0,IF(V81&gt;S81,V81-S81," ")," ")</f>
        <v> </v>
      </c>
      <c r="AA81" s="25"/>
    </row>
    <row r="82" customFormat="false" ht="12" hidden="false" customHeight="false" outlineLevel="0" collapsed="false">
      <c r="A82" s="42"/>
      <c r="B82" s="54"/>
      <c r="C82" s="55"/>
      <c r="D82" s="83"/>
      <c r="E82" s="57"/>
      <c r="F82" s="50"/>
      <c r="G82" s="50"/>
      <c r="H82" s="58" t="n">
        <f aca="false">H$77</f>
        <v>0.2</v>
      </c>
      <c r="I82" s="50" t="str">
        <f aca="false">IF(E82&gt;0,MIN(E82*H82,G82)," ")</f>
        <v> </v>
      </c>
      <c r="J82" s="50" t="str">
        <f aca="false">IF(E82&gt;0,F82+I82," ")</f>
        <v> </v>
      </c>
      <c r="K82" s="50" t="str">
        <f aca="false">IF(E82&gt;0,IF(V82&gt;0,0,E82-J82)," ")</f>
        <v> </v>
      </c>
      <c r="L82" s="50"/>
      <c r="M82" s="58"/>
      <c r="N82" s="50"/>
      <c r="O82" s="47"/>
      <c r="P82" s="48" t="n">
        <f aca="false">IF(B82&gt;0,IF(B82&gt;[1]Admin!$N$11,[1]Admin!$G$7,[1]Admin!$G$5),[1]Admin!$G$5)</f>
        <v>100</v>
      </c>
      <c r="Q82" s="47" t="str">
        <f aca="false">IF(E82&gt;0,E82*P82/100," ")</f>
        <v> </v>
      </c>
      <c r="R82" s="47"/>
      <c r="S82" s="47" t="str">
        <f aca="false">IF(E82&gt;0,E82-Q82," ")</f>
        <v> </v>
      </c>
      <c r="T82" s="47"/>
      <c r="U82" s="54"/>
      <c r="V82" s="57"/>
      <c r="W82" s="50" t="str">
        <f aca="false">IF(V82&gt;0,E82," ")</f>
        <v> </v>
      </c>
      <c r="X82" s="50" t="str">
        <f aca="false">IF(V82&gt;0,J82," ")</f>
        <v> </v>
      </c>
      <c r="Y82" s="47" t="str">
        <f aca="false">IF((U82+V82)&gt;0,IF(V82&lt;S82,S82-V82," ")," ")</f>
        <v> </v>
      </c>
      <c r="Z82" s="47" t="str">
        <f aca="false">IF((U82+V82)&gt;0,IF(V82&gt;S82,V82-S82," ")," ")</f>
        <v> </v>
      </c>
      <c r="AA82" s="25"/>
    </row>
    <row r="83" customFormat="false" ht="12" hidden="false" customHeight="true" outlineLevel="0" collapsed="false">
      <c r="A83" s="42"/>
      <c r="B83" s="59" t="s">
        <v>38</v>
      </c>
      <c r="C83" s="59"/>
      <c r="D83" s="59"/>
      <c r="E83" s="60" t="n">
        <f aca="false">SUM(E78:E82)</f>
        <v>0</v>
      </c>
      <c r="F83" s="61" t="n">
        <f aca="false">SUM(F78:F82)</f>
        <v>0</v>
      </c>
      <c r="G83" s="61" t="n">
        <f aca="false">SUM(G78:G82)</f>
        <v>0</v>
      </c>
      <c r="H83" s="58"/>
      <c r="I83" s="61" t="n">
        <f aca="false">SUM(I78:I82)</f>
        <v>0</v>
      </c>
      <c r="J83" s="61" t="n">
        <f aca="false">SUM(J78:J82)</f>
        <v>0</v>
      </c>
      <c r="K83" s="61" t="n">
        <f aca="false">SUM(K78:K82)</f>
        <v>0</v>
      </c>
      <c r="L83" s="50"/>
      <c r="M83" s="58"/>
      <c r="N83" s="50"/>
      <c r="O83" s="61" t="n">
        <f aca="false">SUM(O78:O82)</f>
        <v>0</v>
      </c>
      <c r="P83" s="62"/>
      <c r="Q83" s="61" t="n">
        <f aca="false">SUM(Q78:Q82)</f>
        <v>0</v>
      </c>
      <c r="R83" s="61" t="n">
        <f aca="false">SUM(R78:R82)</f>
        <v>0</v>
      </c>
      <c r="S83" s="61" t="n">
        <f aca="false">SUM(S78:S82)</f>
        <v>0</v>
      </c>
      <c r="T83" s="47"/>
      <c r="U83" s="49"/>
      <c r="V83" s="60" t="n">
        <f aca="false">SUM(V78:V82)</f>
        <v>0</v>
      </c>
      <c r="W83" s="61" t="n">
        <f aca="false">SUM(W78:W82)</f>
        <v>0</v>
      </c>
      <c r="X83" s="61" t="n">
        <f aca="false">SUM(X78:X82)</f>
        <v>0</v>
      </c>
      <c r="Y83" s="61" t="n">
        <f aca="false">SUM(Y78:Y82)</f>
        <v>0</v>
      </c>
      <c r="Z83" s="61" t="n">
        <f aca="false">SUM(Z78:Z82)</f>
        <v>0</v>
      </c>
      <c r="AA83" s="25"/>
    </row>
    <row r="84" customFormat="false" ht="6" hidden="false" customHeight="true" outlineLevel="0" collapsed="false">
      <c r="A84" s="42"/>
      <c r="B84" s="63"/>
      <c r="C84" s="64"/>
      <c r="D84" s="65"/>
      <c r="E84" s="50"/>
      <c r="F84" s="50"/>
      <c r="G84" s="50"/>
      <c r="H84" s="58"/>
      <c r="I84" s="50"/>
      <c r="J84" s="50"/>
      <c r="K84" s="50"/>
      <c r="L84" s="50"/>
      <c r="M84" s="58"/>
      <c r="N84" s="50"/>
      <c r="O84" s="50"/>
      <c r="P84" s="62"/>
      <c r="Q84" s="50"/>
      <c r="R84" s="50"/>
      <c r="S84" s="50"/>
      <c r="T84" s="47"/>
      <c r="U84" s="49"/>
      <c r="V84" s="50"/>
      <c r="W84" s="50"/>
      <c r="X84" s="50"/>
      <c r="Y84" s="50"/>
      <c r="Z84" s="50"/>
      <c r="AA84" s="25"/>
    </row>
    <row r="85" customFormat="false" ht="12" hidden="false" customHeight="true" outlineLevel="0" collapsed="false">
      <c r="A85" s="42"/>
      <c r="B85" s="51" t="s">
        <v>25</v>
      </c>
      <c r="C85" s="51"/>
      <c r="D85" s="68"/>
      <c r="E85" s="50"/>
      <c r="F85" s="50"/>
      <c r="G85" s="50"/>
      <c r="H85" s="85" t="n">
        <f aca="false">H$32</f>
        <v>0.33</v>
      </c>
      <c r="I85" s="50"/>
      <c r="J85" s="50"/>
      <c r="K85" s="50"/>
      <c r="L85" s="50"/>
      <c r="M85" s="58"/>
      <c r="N85" s="50"/>
      <c r="O85" s="47"/>
      <c r="P85" s="48"/>
      <c r="Q85" s="47"/>
      <c r="R85" s="47"/>
      <c r="S85" s="47"/>
      <c r="T85" s="47"/>
      <c r="U85" s="49"/>
      <c r="V85" s="50"/>
      <c r="W85" s="50"/>
      <c r="X85" s="50"/>
      <c r="Y85" s="47"/>
      <c r="Z85" s="47"/>
      <c r="AA85" s="25"/>
    </row>
    <row r="86" customFormat="false" ht="12" hidden="false" customHeight="false" outlineLevel="0" collapsed="false">
      <c r="A86" s="42"/>
      <c r="B86" s="54"/>
      <c r="C86" s="55"/>
      <c r="D86" s="83"/>
      <c r="E86" s="57"/>
      <c r="F86" s="50"/>
      <c r="G86" s="50"/>
      <c r="H86" s="58" t="n">
        <f aca="false">H$85</f>
        <v>0.33</v>
      </c>
      <c r="I86" s="50" t="str">
        <f aca="false">IF(E86&gt;0,MIN(E86*H86,G86)," ")</f>
        <v> </v>
      </c>
      <c r="J86" s="50" t="str">
        <f aca="false">IF(E86&gt;0,F86+I86," ")</f>
        <v> </v>
      </c>
      <c r="K86" s="50" t="str">
        <f aca="false">IF(E86&gt;0,IF(V86&gt;0,0,E86-J86)," ")</f>
        <v> </v>
      </c>
      <c r="L86" s="50"/>
      <c r="M86" s="58"/>
      <c r="N86" s="50"/>
      <c r="O86" s="47"/>
      <c r="P86" s="48" t="n">
        <f aca="false">IF(B86&gt;0,IF(B86&gt;[1]Admin!$N$11,[1]Admin!$G$7,[1]Admin!$G$5),[1]Admin!$G$5)</f>
        <v>100</v>
      </c>
      <c r="Q86" s="47" t="str">
        <f aca="false">IF(E86&gt;0,E86*P86/100," ")</f>
        <v> </v>
      </c>
      <c r="R86" s="47"/>
      <c r="S86" s="47" t="str">
        <f aca="false">IF(E86&gt;0,E86-Q86," ")</f>
        <v> </v>
      </c>
      <c r="T86" s="47"/>
      <c r="U86" s="54"/>
      <c r="V86" s="57"/>
      <c r="W86" s="50" t="str">
        <f aca="false">IF(V86&gt;0,E86," ")</f>
        <v> </v>
      </c>
      <c r="X86" s="50" t="str">
        <f aca="false">IF(V86&gt;0,J86," ")</f>
        <v> </v>
      </c>
      <c r="Y86" s="47" t="str">
        <f aca="false">IF((U86+V86)&gt;0,IF(V86&lt;S86,S86-V86," ")," ")</f>
        <v> </v>
      </c>
      <c r="Z86" s="47" t="str">
        <f aca="false">IF((U86+V86)&gt;0,IF(V86&gt;S86,V86-S86," ")," ")</f>
        <v> </v>
      </c>
      <c r="AA86" s="25"/>
    </row>
    <row r="87" customFormat="false" ht="12" hidden="false" customHeight="false" outlineLevel="0" collapsed="false">
      <c r="A87" s="42"/>
      <c r="B87" s="54"/>
      <c r="C87" s="55"/>
      <c r="D87" s="83"/>
      <c r="E87" s="57"/>
      <c r="F87" s="50"/>
      <c r="G87" s="50"/>
      <c r="H87" s="58" t="n">
        <f aca="false">H$85</f>
        <v>0.33</v>
      </c>
      <c r="I87" s="50" t="str">
        <f aca="false">IF(E87&gt;0,MIN(E87*H87,G87)," ")</f>
        <v> </v>
      </c>
      <c r="J87" s="50" t="str">
        <f aca="false">IF(E87&gt;0,F87+I87," ")</f>
        <v> </v>
      </c>
      <c r="K87" s="50" t="str">
        <f aca="false">IF(E87&gt;0,IF(V87&gt;0,0,E87-J87)," ")</f>
        <v> </v>
      </c>
      <c r="L87" s="50"/>
      <c r="M87" s="58"/>
      <c r="N87" s="50"/>
      <c r="O87" s="47"/>
      <c r="P87" s="48" t="n">
        <f aca="false">IF(B87&gt;0,IF(B87&gt;[1]Admin!$N$11,[1]Admin!$G$7,[1]Admin!$G$5),[1]Admin!$G$5)</f>
        <v>100</v>
      </c>
      <c r="Q87" s="47" t="str">
        <f aca="false">IF(E87&gt;0,E87*P87/100," ")</f>
        <v> </v>
      </c>
      <c r="R87" s="47"/>
      <c r="S87" s="47" t="str">
        <f aca="false">IF(E87&gt;0,E87-Q87," ")</f>
        <v> </v>
      </c>
      <c r="T87" s="47"/>
      <c r="U87" s="54"/>
      <c r="V87" s="57"/>
      <c r="W87" s="50" t="str">
        <f aca="false">IF(V87&gt;0,E87," ")</f>
        <v> </v>
      </c>
      <c r="X87" s="50" t="str">
        <f aca="false">IF(V87&gt;0,J87," ")</f>
        <v> </v>
      </c>
      <c r="Y87" s="47" t="str">
        <f aca="false">IF((U87+V87)&gt;0,IF(V87&lt;S87,S87-V87," ")," ")</f>
        <v> </v>
      </c>
      <c r="Z87" s="47" t="str">
        <f aca="false">IF((U87+V87)&gt;0,IF(V87&gt;S87,V87-S87," ")," ")</f>
        <v> </v>
      </c>
      <c r="AA87" s="25"/>
    </row>
    <row r="88" customFormat="false" ht="12" hidden="false" customHeight="false" outlineLevel="0" collapsed="false">
      <c r="A88" s="42"/>
      <c r="B88" s="54"/>
      <c r="C88" s="55"/>
      <c r="D88" s="83"/>
      <c r="E88" s="57"/>
      <c r="F88" s="50"/>
      <c r="G88" s="50"/>
      <c r="H88" s="58" t="n">
        <f aca="false">H$85</f>
        <v>0.33</v>
      </c>
      <c r="I88" s="50" t="str">
        <f aca="false">IF(E88&gt;0,MIN(E88*H88,G88)," ")</f>
        <v> </v>
      </c>
      <c r="J88" s="50" t="str">
        <f aca="false">IF(E88&gt;0,F88+I88," ")</f>
        <v> </v>
      </c>
      <c r="K88" s="50" t="str">
        <f aca="false">IF(E88&gt;0,IF(V88&gt;0,0,E88-J88)," ")</f>
        <v> </v>
      </c>
      <c r="L88" s="50"/>
      <c r="M88" s="58"/>
      <c r="N88" s="50"/>
      <c r="O88" s="47"/>
      <c r="P88" s="48" t="n">
        <f aca="false">IF(B88&gt;0,IF(B88&gt;[1]Admin!$N$11,[1]Admin!$G$7,[1]Admin!$G$5),[1]Admin!$G$5)</f>
        <v>100</v>
      </c>
      <c r="Q88" s="47" t="str">
        <f aca="false">IF(E88&gt;0,E88*P88/100," ")</f>
        <v> </v>
      </c>
      <c r="R88" s="47"/>
      <c r="S88" s="47" t="str">
        <f aca="false">IF(E88&gt;0,E88-Q88," ")</f>
        <v> </v>
      </c>
      <c r="T88" s="47"/>
      <c r="U88" s="54"/>
      <c r="V88" s="57"/>
      <c r="W88" s="50" t="str">
        <f aca="false">IF(V88&gt;0,E88," ")</f>
        <v> </v>
      </c>
      <c r="X88" s="50" t="str">
        <f aca="false">IF(V88&gt;0,J88," ")</f>
        <v> </v>
      </c>
      <c r="Y88" s="47" t="str">
        <f aca="false">IF((U88+V88)&gt;0,IF(V88&lt;S88,S88-V88," ")," ")</f>
        <v> </v>
      </c>
      <c r="Z88" s="47" t="str">
        <f aca="false">IF((U88+V88)&gt;0,IF(V88&gt;S88,V88-S88," ")," ")</f>
        <v> </v>
      </c>
      <c r="AA88" s="25"/>
    </row>
    <row r="89" customFormat="false" ht="12" hidden="false" customHeight="false" outlineLevel="0" collapsed="false">
      <c r="A89" s="42"/>
      <c r="B89" s="54"/>
      <c r="C89" s="55"/>
      <c r="D89" s="83"/>
      <c r="E89" s="57"/>
      <c r="F89" s="50"/>
      <c r="G89" s="50"/>
      <c r="H89" s="58" t="n">
        <f aca="false">H$85</f>
        <v>0.33</v>
      </c>
      <c r="I89" s="50" t="str">
        <f aca="false">IF(E89&gt;0,MIN(E89*H89,G89)," ")</f>
        <v> </v>
      </c>
      <c r="J89" s="50" t="str">
        <f aca="false">IF(E89&gt;0,F89+I89," ")</f>
        <v> </v>
      </c>
      <c r="K89" s="50" t="str">
        <f aca="false">IF(E89&gt;0,IF(V89&gt;0,0,E89-J89)," ")</f>
        <v> </v>
      </c>
      <c r="L89" s="50"/>
      <c r="M89" s="58"/>
      <c r="N89" s="50"/>
      <c r="O89" s="47"/>
      <c r="P89" s="48" t="n">
        <f aca="false">IF(B89&gt;0,IF(B89&gt;[1]Admin!$N$11,[1]Admin!$G$7,[1]Admin!$G$5),[1]Admin!$G$5)</f>
        <v>100</v>
      </c>
      <c r="Q89" s="47" t="str">
        <f aca="false">IF(E89&gt;0,E89*P89/100," ")</f>
        <v> </v>
      </c>
      <c r="R89" s="47"/>
      <c r="S89" s="47" t="str">
        <f aca="false">IF(E89&gt;0,E89-Q89," ")</f>
        <v> </v>
      </c>
      <c r="T89" s="47"/>
      <c r="U89" s="54"/>
      <c r="V89" s="57"/>
      <c r="W89" s="50" t="str">
        <f aca="false">IF(V89&gt;0,E89," ")</f>
        <v> </v>
      </c>
      <c r="X89" s="50" t="str">
        <f aca="false">IF(V89&gt;0,J89," ")</f>
        <v> </v>
      </c>
      <c r="Y89" s="47" t="str">
        <f aca="false">IF((U89+V89)&gt;0,IF(V89&lt;S89,S89-V89," ")," ")</f>
        <v> </v>
      </c>
      <c r="Z89" s="47" t="str">
        <f aca="false">IF((U89+V89)&gt;0,IF(V89&gt;S89,V89-S89," ")," ")</f>
        <v> </v>
      </c>
      <c r="AA89" s="25"/>
    </row>
    <row r="90" customFormat="false" ht="12" hidden="false" customHeight="false" outlineLevel="0" collapsed="false">
      <c r="A90" s="42"/>
      <c r="B90" s="54"/>
      <c r="C90" s="55"/>
      <c r="D90" s="83"/>
      <c r="E90" s="57"/>
      <c r="F90" s="50"/>
      <c r="G90" s="50"/>
      <c r="H90" s="58" t="n">
        <f aca="false">H$85</f>
        <v>0.33</v>
      </c>
      <c r="I90" s="50" t="str">
        <f aca="false">IF(E90&gt;0,MIN(E90*H90,G90)," ")</f>
        <v> </v>
      </c>
      <c r="J90" s="50" t="str">
        <f aca="false">IF(E90&gt;0,F90+I90," ")</f>
        <v> </v>
      </c>
      <c r="K90" s="50" t="str">
        <f aca="false">IF(E90&gt;0,IF(V90&gt;0,0,E90-J90)," ")</f>
        <v> </v>
      </c>
      <c r="L90" s="50"/>
      <c r="M90" s="58"/>
      <c r="N90" s="50"/>
      <c r="O90" s="47"/>
      <c r="P90" s="48" t="n">
        <f aca="false">IF(B90&gt;0,IF(B90&gt;[1]Admin!$N$11,[1]Admin!$G$7,[1]Admin!$G$5),[1]Admin!$G$5)</f>
        <v>100</v>
      </c>
      <c r="Q90" s="47" t="str">
        <f aca="false">IF(E90&gt;0,E90*P90/100," ")</f>
        <v> </v>
      </c>
      <c r="R90" s="47"/>
      <c r="S90" s="47" t="str">
        <f aca="false">IF(E90&gt;0,E90-Q90," ")</f>
        <v> </v>
      </c>
      <c r="T90" s="47"/>
      <c r="U90" s="54"/>
      <c r="V90" s="57"/>
      <c r="W90" s="50" t="str">
        <f aca="false">IF(V90&gt;0,E90," ")</f>
        <v> </v>
      </c>
      <c r="X90" s="50" t="str">
        <f aca="false">IF(V90&gt;0,J90," ")</f>
        <v> </v>
      </c>
      <c r="Y90" s="47" t="str">
        <f aca="false">IF((U90+V90)&gt;0,IF(V90&lt;S90,S90-V90," ")," ")</f>
        <v> </v>
      </c>
      <c r="Z90" s="47" t="str">
        <f aca="false">IF((U90+V90)&gt;0,IF(V90&gt;S90,V90-S90," ")," ")</f>
        <v> </v>
      </c>
      <c r="AA90" s="25"/>
    </row>
    <row r="91" customFormat="false" ht="12" hidden="false" customHeight="false" outlineLevel="0" collapsed="false">
      <c r="A91" s="42"/>
      <c r="B91" s="54"/>
      <c r="C91" s="55"/>
      <c r="D91" s="83"/>
      <c r="E91" s="57"/>
      <c r="F91" s="50"/>
      <c r="G91" s="50"/>
      <c r="H91" s="58" t="n">
        <f aca="false">H$85</f>
        <v>0.33</v>
      </c>
      <c r="I91" s="50" t="str">
        <f aca="false">IF(E91&gt;0,MIN(E91*H91,G91)," ")</f>
        <v> </v>
      </c>
      <c r="J91" s="50" t="str">
        <f aca="false">IF(E91&gt;0,F91+I91," ")</f>
        <v> </v>
      </c>
      <c r="K91" s="50" t="str">
        <f aca="false">IF(E91&gt;0,IF(V91&gt;0,0,E91-J91)," ")</f>
        <v> </v>
      </c>
      <c r="L91" s="50"/>
      <c r="M91" s="58"/>
      <c r="N91" s="50"/>
      <c r="O91" s="47"/>
      <c r="P91" s="48" t="n">
        <f aca="false">IF(B91&gt;0,IF(B91&gt;[1]Admin!$N$11,[1]Admin!$G$7,[1]Admin!$G$5),[1]Admin!$G$5)</f>
        <v>100</v>
      </c>
      <c r="Q91" s="47" t="str">
        <f aca="false">IF(E91&gt;0,E91*P91/100," ")</f>
        <v> </v>
      </c>
      <c r="R91" s="47"/>
      <c r="S91" s="47" t="str">
        <f aca="false">IF(E91&gt;0,E91-Q91," ")</f>
        <v> </v>
      </c>
      <c r="T91" s="47"/>
      <c r="U91" s="54"/>
      <c r="V91" s="57"/>
      <c r="W91" s="50" t="str">
        <f aca="false">IF(V91&gt;0,E91," ")</f>
        <v> </v>
      </c>
      <c r="X91" s="50" t="str">
        <f aca="false">IF(V91&gt;0,J91," ")</f>
        <v> </v>
      </c>
      <c r="Y91" s="47" t="str">
        <f aca="false">IF((U91+V91)&gt;0,IF(V91&lt;S91,S91-V91," ")," ")</f>
        <v> </v>
      </c>
      <c r="Z91" s="47" t="str">
        <f aca="false">IF((U91+V91)&gt;0,IF(V91&gt;S91,V91-S91," ")," ")</f>
        <v> </v>
      </c>
      <c r="AA91" s="25"/>
    </row>
    <row r="92" customFormat="false" ht="12" hidden="false" customHeight="false" outlineLevel="0" collapsed="false">
      <c r="A92" s="42"/>
      <c r="B92" s="54"/>
      <c r="C92" s="55"/>
      <c r="D92" s="83"/>
      <c r="E92" s="57"/>
      <c r="F92" s="50"/>
      <c r="G92" s="50"/>
      <c r="H92" s="58" t="n">
        <f aca="false">H$85</f>
        <v>0.33</v>
      </c>
      <c r="I92" s="50" t="str">
        <f aca="false">IF(E92&gt;0,MIN(E92*H92,G92)," ")</f>
        <v> </v>
      </c>
      <c r="J92" s="50" t="str">
        <f aca="false">IF(E92&gt;0,F92+I92," ")</f>
        <v> </v>
      </c>
      <c r="K92" s="50" t="str">
        <f aca="false">IF(E92&gt;0,IF(V92&gt;0,0,E92-J92)," ")</f>
        <v> </v>
      </c>
      <c r="L92" s="50"/>
      <c r="M92" s="58"/>
      <c r="N92" s="50"/>
      <c r="O92" s="47"/>
      <c r="P92" s="48" t="n">
        <f aca="false">IF(B92&gt;0,IF(B92&gt;[1]Admin!$N$11,[1]Admin!$G$7,[1]Admin!$G$5),[1]Admin!$G$5)</f>
        <v>100</v>
      </c>
      <c r="Q92" s="47" t="str">
        <f aca="false">IF(E92&gt;0,E92*P92/100," ")</f>
        <v> </v>
      </c>
      <c r="R92" s="47"/>
      <c r="S92" s="47" t="str">
        <f aca="false">IF(E92&gt;0,E92-Q92," ")</f>
        <v> </v>
      </c>
      <c r="T92" s="47"/>
      <c r="U92" s="54"/>
      <c r="V92" s="57"/>
      <c r="W92" s="50" t="str">
        <f aca="false">IF(V92&gt;0,E92," ")</f>
        <v> </v>
      </c>
      <c r="X92" s="50" t="str">
        <f aca="false">IF(V92&gt;0,J92," ")</f>
        <v> </v>
      </c>
      <c r="Y92" s="47" t="str">
        <f aca="false">IF((U92+V92)&gt;0,IF(V92&lt;S92,S92-V92," ")," ")</f>
        <v> </v>
      </c>
      <c r="Z92" s="47" t="str">
        <f aca="false">IF((U92+V92)&gt;0,IF(V92&gt;S92,V92-S92," ")," ")</f>
        <v> </v>
      </c>
      <c r="AA92" s="25"/>
    </row>
    <row r="93" customFormat="false" ht="12" hidden="false" customHeight="false" outlineLevel="0" collapsed="false">
      <c r="A93" s="42"/>
      <c r="B93" s="54"/>
      <c r="C93" s="55"/>
      <c r="D93" s="83"/>
      <c r="E93" s="57"/>
      <c r="F93" s="50"/>
      <c r="G93" s="50"/>
      <c r="H93" s="58" t="n">
        <f aca="false">H$85</f>
        <v>0.33</v>
      </c>
      <c r="I93" s="50" t="str">
        <f aca="false">IF(E93&gt;0,MIN(E93*H93,G93)," ")</f>
        <v> </v>
      </c>
      <c r="J93" s="50" t="str">
        <f aca="false">IF(E93&gt;0,F93+I93," ")</f>
        <v> </v>
      </c>
      <c r="K93" s="50" t="str">
        <f aca="false">IF(E93&gt;0,IF(V93&gt;0,0,E93-J93)," ")</f>
        <v> </v>
      </c>
      <c r="L93" s="50"/>
      <c r="M93" s="58"/>
      <c r="N93" s="50"/>
      <c r="O93" s="47"/>
      <c r="P93" s="48" t="n">
        <f aca="false">IF(B93&gt;0,IF(B93&gt;[1]Admin!$N$11,[1]Admin!$G$7,[1]Admin!$G$5),[1]Admin!$G$5)</f>
        <v>100</v>
      </c>
      <c r="Q93" s="47" t="str">
        <f aca="false">IF(E93&gt;0,E93*P93/100," ")</f>
        <v> </v>
      </c>
      <c r="R93" s="47"/>
      <c r="S93" s="47" t="str">
        <f aca="false">IF(E93&gt;0,E93-Q93," ")</f>
        <v> </v>
      </c>
      <c r="T93" s="47"/>
      <c r="U93" s="54"/>
      <c r="V93" s="57"/>
      <c r="W93" s="50" t="str">
        <f aca="false">IF(V93&gt;0,E93," ")</f>
        <v> </v>
      </c>
      <c r="X93" s="50" t="str">
        <f aca="false">IF(V93&gt;0,J93," ")</f>
        <v> </v>
      </c>
      <c r="Y93" s="47" t="str">
        <f aca="false">IF((U93+V93)&gt;0,IF(V93&lt;S93,S93-V93," ")," ")</f>
        <v> </v>
      </c>
      <c r="Z93" s="47" t="str">
        <f aca="false">IF((U93+V93)&gt;0,IF(V93&gt;S93,V93-S93," ")," ")</f>
        <v> </v>
      </c>
      <c r="AA93" s="25"/>
    </row>
    <row r="94" customFormat="false" ht="12" hidden="false" customHeight="true" outlineLevel="0" collapsed="false">
      <c r="A94" s="42"/>
      <c r="B94" s="59" t="s">
        <v>39</v>
      </c>
      <c r="C94" s="59"/>
      <c r="D94" s="59"/>
      <c r="E94" s="60" t="n">
        <f aca="false">SUM(E86:E93)</f>
        <v>0</v>
      </c>
      <c r="F94" s="61" t="n">
        <f aca="false">SUM(F86:F93)</f>
        <v>0</v>
      </c>
      <c r="G94" s="61" t="n">
        <f aca="false">SUM(G86:G93)</f>
        <v>0</v>
      </c>
      <c r="H94" s="58"/>
      <c r="I94" s="61" t="n">
        <f aca="false">SUM(I86:I93)</f>
        <v>0</v>
      </c>
      <c r="J94" s="61" t="n">
        <f aca="false">SUM(J86:J93)</f>
        <v>0</v>
      </c>
      <c r="K94" s="61" t="n">
        <f aca="false">SUM(K86:K93)</f>
        <v>0</v>
      </c>
      <c r="L94" s="50"/>
      <c r="M94" s="58"/>
      <c r="N94" s="50"/>
      <c r="O94" s="61" t="n">
        <f aca="false">SUM(O86:O93)</f>
        <v>0</v>
      </c>
      <c r="P94" s="62"/>
      <c r="Q94" s="61" t="n">
        <f aca="false">SUM(Q86:Q93)</f>
        <v>0</v>
      </c>
      <c r="R94" s="61" t="n">
        <f aca="false">SUM(R86:R93)</f>
        <v>0</v>
      </c>
      <c r="S94" s="61" t="n">
        <f aca="false">SUM(S86:S93)</f>
        <v>0</v>
      </c>
      <c r="T94" s="47"/>
      <c r="U94" s="49"/>
      <c r="V94" s="60" t="n">
        <f aca="false">SUM(V86:V93)</f>
        <v>0</v>
      </c>
      <c r="W94" s="61" t="n">
        <f aca="false">SUM(W86:W93)</f>
        <v>0</v>
      </c>
      <c r="X94" s="61" t="n">
        <f aca="false">SUM(X86:X93)</f>
        <v>0</v>
      </c>
      <c r="Y94" s="61" t="n">
        <f aca="false">SUM(Y86:Y93)</f>
        <v>0</v>
      </c>
      <c r="Z94" s="61" t="n">
        <f aca="false">SUM(Z86:Z93)</f>
        <v>0</v>
      </c>
      <c r="AA94" s="25"/>
    </row>
    <row r="95" customFormat="false" ht="6" hidden="false" customHeight="true" outlineLevel="0" collapsed="false">
      <c r="A95" s="42"/>
      <c r="B95" s="63"/>
      <c r="C95" s="64"/>
      <c r="D95" s="65"/>
      <c r="E95" s="50"/>
      <c r="F95" s="50"/>
      <c r="G95" s="50"/>
      <c r="H95" s="58"/>
      <c r="I95" s="50"/>
      <c r="J95" s="50"/>
      <c r="K95" s="50"/>
      <c r="L95" s="50"/>
      <c r="M95" s="58"/>
      <c r="N95" s="50"/>
      <c r="O95" s="50"/>
      <c r="P95" s="62"/>
      <c r="Q95" s="50"/>
      <c r="R95" s="50"/>
      <c r="S95" s="50"/>
      <c r="T95" s="47"/>
      <c r="U95" s="49"/>
      <c r="V95" s="50"/>
      <c r="W95" s="50"/>
      <c r="X95" s="50"/>
      <c r="Y95" s="50"/>
      <c r="Z95" s="50"/>
      <c r="AA95" s="25"/>
    </row>
    <row r="96" customFormat="false" ht="12" hidden="false" customHeight="true" outlineLevel="0" collapsed="false">
      <c r="A96" s="42"/>
      <c r="B96" s="51" t="s">
        <v>27</v>
      </c>
      <c r="C96" s="51"/>
      <c r="D96" s="68"/>
      <c r="E96" s="50"/>
      <c r="F96" s="50"/>
      <c r="G96" s="50"/>
      <c r="H96" s="85" t="n">
        <f aca="false">H$43</f>
        <v>0.25</v>
      </c>
      <c r="I96" s="50"/>
      <c r="J96" s="50"/>
      <c r="K96" s="50"/>
      <c r="L96" s="50"/>
      <c r="M96" s="58"/>
      <c r="N96" s="50"/>
      <c r="O96" s="47"/>
      <c r="P96" s="62"/>
      <c r="Q96" s="47"/>
      <c r="R96" s="47"/>
      <c r="S96" s="47"/>
      <c r="T96" s="47"/>
      <c r="U96" s="49"/>
      <c r="V96" s="50"/>
      <c r="W96" s="50"/>
      <c r="X96" s="50"/>
      <c r="Y96" s="47"/>
      <c r="Z96" s="47"/>
      <c r="AA96" s="25"/>
    </row>
    <row r="97" customFormat="false" ht="12" hidden="false" customHeight="false" outlineLevel="0" collapsed="false">
      <c r="A97" s="42"/>
      <c r="B97" s="54"/>
      <c r="C97" s="55"/>
      <c r="D97" s="83"/>
      <c r="E97" s="57"/>
      <c r="F97" s="50"/>
      <c r="G97" s="50"/>
      <c r="H97" s="58" t="n">
        <f aca="false">H$96</f>
        <v>0.25</v>
      </c>
      <c r="I97" s="50" t="str">
        <f aca="false">IF(E97&gt;0,MIN(E97*H97,G97)," ")</f>
        <v> </v>
      </c>
      <c r="J97" s="50" t="str">
        <f aca="false">IF(E97&gt;0,F97+I97," ")</f>
        <v> </v>
      </c>
      <c r="K97" s="50" t="str">
        <f aca="false">IF(E97&gt;0,IF(V97&gt;0,0,E97-J97)," ")</f>
        <v> </v>
      </c>
      <c r="L97" s="50"/>
      <c r="M97" s="66" t="n">
        <v>0</v>
      </c>
      <c r="N97" s="50"/>
      <c r="O97" s="47"/>
      <c r="P97" s="48"/>
      <c r="Q97" s="47"/>
      <c r="R97" s="47" t="str">
        <f aca="false">IF(E97&gt;0,E97*R$4/100*(1-M97)," ")</f>
        <v> </v>
      </c>
      <c r="S97" s="47" t="str">
        <f aca="false">IF(E97&gt;0,E97-R97," ")</f>
        <v> </v>
      </c>
      <c r="T97" s="47"/>
      <c r="U97" s="54"/>
      <c r="V97" s="57"/>
      <c r="W97" s="50" t="str">
        <f aca="false">IF(V97&gt;0,E97," ")</f>
        <v> </v>
      </c>
      <c r="X97" s="50" t="str">
        <f aca="false">IF(V97&gt;0,J97," ")</f>
        <v> </v>
      </c>
      <c r="Y97" s="47" t="str">
        <f aca="false">IF((U97+V97)&gt;0,IF(V97&lt;S97,(S97-V97)*(1-M97)," ")," ")</f>
        <v> </v>
      </c>
      <c r="Z97" s="47" t="str">
        <f aca="false">IF((U97+V97)&gt;0,IF(V97&gt;S97,(V97-S97)*(1-M97)," ")," ")</f>
        <v> </v>
      </c>
      <c r="AA97" s="25"/>
    </row>
    <row r="98" customFormat="false" ht="12" hidden="false" customHeight="false" outlineLevel="0" collapsed="false">
      <c r="A98" s="42"/>
      <c r="B98" s="54"/>
      <c r="C98" s="55"/>
      <c r="D98" s="83"/>
      <c r="E98" s="57"/>
      <c r="F98" s="50"/>
      <c r="G98" s="50"/>
      <c r="H98" s="58" t="n">
        <f aca="false">H$96</f>
        <v>0.25</v>
      </c>
      <c r="I98" s="50" t="str">
        <f aca="false">IF(E98&gt;0,MIN(E98*H98,G98)," ")</f>
        <v> </v>
      </c>
      <c r="J98" s="50" t="str">
        <f aca="false">IF(E98&gt;0,F98+I98," ")</f>
        <v> </v>
      </c>
      <c r="K98" s="50" t="str">
        <f aca="false">IF(E98&gt;0,IF(V98&gt;0,0,E98-J98)," ")</f>
        <v> </v>
      </c>
      <c r="L98" s="50"/>
      <c r="M98" s="66" t="n">
        <v>0</v>
      </c>
      <c r="N98" s="50"/>
      <c r="O98" s="47"/>
      <c r="P98" s="48"/>
      <c r="Q98" s="47"/>
      <c r="R98" s="47" t="str">
        <f aca="false">IF(E98&gt;0,E98*R$4/100*(1-M98)," ")</f>
        <v> </v>
      </c>
      <c r="S98" s="47" t="str">
        <f aca="false">IF(E98&gt;0,E98-R98," ")</f>
        <v> </v>
      </c>
      <c r="T98" s="47"/>
      <c r="U98" s="54"/>
      <c r="V98" s="57"/>
      <c r="W98" s="50" t="str">
        <f aca="false">IF(V98&gt;0,E98," ")</f>
        <v> </v>
      </c>
      <c r="X98" s="50" t="str">
        <f aca="false">IF(V98&gt;0,J98," ")</f>
        <v> </v>
      </c>
      <c r="Y98" s="47" t="str">
        <f aca="false">IF((U98+V98)&gt;0,IF(V98&lt;S98,(S98-V98)*(1-M98)," ")," ")</f>
        <v> </v>
      </c>
      <c r="Z98" s="47" t="str">
        <f aca="false">IF((U98+V98)&gt;0,IF(V98&gt;S98,(V98-S98)*(1-M98)," ")," ")</f>
        <v> </v>
      </c>
      <c r="AA98" s="25"/>
    </row>
    <row r="99" customFormat="false" ht="12" hidden="false" customHeight="false" outlineLevel="0" collapsed="false">
      <c r="A99" s="42"/>
      <c r="B99" s="54"/>
      <c r="C99" s="55"/>
      <c r="D99" s="83"/>
      <c r="E99" s="57"/>
      <c r="F99" s="50"/>
      <c r="G99" s="50"/>
      <c r="H99" s="58" t="n">
        <f aca="false">H$96</f>
        <v>0.25</v>
      </c>
      <c r="I99" s="50" t="str">
        <f aca="false">IF(E99&gt;0,MIN(E99*H99,G99)," ")</f>
        <v> </v>
      </c>
      <c r="J99" s="50" t="str">
        <f aca="false">IF(E99&gt;0,F99+I99," ")</f>
        <v> </v>
      </c>
      <c r="K99" s="50" t="str">
        <f aca="false">IF(E99&gt;0,IF(V99&gt;0,0,E99-J99)," ")</f>
        <v> </v>
      </c>
      <c r="L99" s="50"/>
      <c r="M99" s="66" t="n">
        <v>0</v>
      </c>
      <c r="N99" s="50"/>
      <c r="O99" s="47"/>
      <c r="P99" s="48"/>
      <c r="Q99" s="47"/>
      <c r="R99" s="47" t="str">
        <f aca="false">IF(E99&gt;0,E99*R$4/100*(1-M99)," ")</f>
        <v> </v>
      </c>
      <c r="S99" s="47" t="str">
        <f aca="false">IF(E99&gt;0,E99-R99," ")</f>
        <v> </v>
      </c>
      <c r="T99" s="47"/>
      <c r="U99" s="54"/>
      <c r="V99" s="57"/>
      <c r="W99" s="50" t="str">
        <f aca="false">IF(V99&gt;0,E99," ")</f>
        <v> </v>
      </c>
      <c r="X99" s="50" t="str">
        <f aca="false">IF(V99&gt;0,J99," ")</f>
        <v> </v>
      </c>
      <c r="Y99" s="47" t="str">
        <f aca="false">IF((U99+V99)&gt;0,IF(V99&lt;S99,(S99-V99)*(1-M99)," ")," ")</f>
        <v> </v>
      </c>
      <c r="Z99" s="47" t="str">
        <f aca="false">IF((U99+V99)&gt;0,IF(V99&gt;S99,(V99-S99)*(1-M99)," ")," ")</f>
        <v> </v>
      </c>
      <c r="AA99" s="25"/>
    </row>
    <row r="100" customFormat="false" ht="12" hidden="false" customHeight="false" outlineLevel="0" collapsed="false">
      <c r="A100" s="42"/>
      <c r="B100" s="54"/>
      <c r="C100" s="55"/>
      <c r="D100" s="83"/>
      <c r="E100" s="57"/>
      <c r="F100" s="50"/>
      <c r="G100" s="50"/>
      <c r="H100" s="58" t="n">
        <f aca="false">H$96</f>
        <v>0.25</v>
      </c>
      <c r="I100" s="50" t="str">
        <f aca="false">IF(E100&gt;0,MIN(E100*H100,G100)," ")</f>
        <v> </v>
      </c>
      <c r="J100" s="50" t="str">
        <f aca="false">IF(E100&gt;0,F100+I100," ")</f>
        <v> </v>
      </c>
      <c r="K100" s="50" t="str">
        <f aca="false">IF(E100&gt;0,IF(V100&gt;0,0,E100-J100)," ")</f>
        <v> </v>
      </c>
      <c r="L100" s="50"/>
      <c r="M100" s="66" t="n">
        <v>0</v>
      </c>
      <c r="N100" s="50"/>
      <c r="O100" s="47"/>
      <c r="P100" s="48"/>
      <c r="Q100" s="47"/>
      <c r="R100" s="47" t="str">
        <f aca="false">IF(E100&gt;0,E100*R$4/100*(1-M100)," ")</f>
        <v> </v>
      </c>
      <c r="S100" s="47" t="str">
        <f aca="false">IF(E100&gt;0,E100-R100," ")</f>
        <v> </v>
      </c>
      <c r="T100" s="47"/>
      <c r="U100" s="54"/>
      <c r="V100" s="57"/>
      <c r="W100" s="50" t="str">
        <f aca="false">IF(V100&gt;0,E100," ")</f>
        <v> </v>
      </c>
      <c r="X100" s="50" t="str">
        <f aca="false">IF(V100&gt;0,J100," ")</f>
        <v> </v>
      </c>
      <c r="Y100" s="47" t="str">
        <f aca="false">IF((U100+V100)&gt;0,IF(V100&lt;S100,(S100-V100)*(1-M100)," ")," ")</f>
        <v> </v>
      </c>
      <c r="Z100" s="47" t="str">
        <f aca="false">IF((U100+V100)&gt;0,IF(V100&gt;S100,(V100-S100)*(1-M100)," ")," ")</f>
        <v> </v>
      </c>
      <c r="AA100" s="25"/>
    </row>
    <row r="101" customFormat="false" ht="12" hidden="false" customHeight="false" outlineLevel="0" collapsed="false">
      <c r="A101" s="42"/>
      <c r="B101" s="54"/>
      <c r="C101" s="55"/>
      <c r="D101" s="83"/>
      <c r="E101" s="57"/>
      <c r="F101" s="50"/>
      <c r="G101" s="50"/>
      <c r="H101" s="58" t="n">
        <f aca="false">H$96</f>
        <v>0.25</v>
      </c>
      <c r="I101" s="50" t="str">
        <f aca="false">IF(E101&gt;0,MIN(E101*H101,G101)," ")</f>
        <v> </v>
      </c>
      <c r="J101" s="50" t="str">
        <f aca="false">IF(E101&gt;0,F101+I101," ")</f>
        <v> </v>
      </c>
      <c r="K101" s="50" t="str">
        <f aca="false">IF(E101&gt;0,IF(V101&gt;0,0,E101-J101)," ")</f>
        <v> </v>
      </c>
      <c r="L101" s="50"/>
      <c r="M101" s="66" t="n">
        <v>0</v>
      </c>
      <c r="N101" s="50"/>
      <c r="O101" s="47"/>
      <c r="P101" s="48"/>
      <c r="Q101" s="47"/>
      <c r="R101" s="47" t="str">
        <f aca="false">IF(E101&gt;0,E101*R$4/100*(1-M101)," ")</f>
        <v> </v>
      </c>
      <c r="S101" s="47" t="str">
        <f aca="false">IF(E101&gt;0,E101-R101," ")</f>
        <v> </v>
      </c>
      <c r="T101" s="47"/>
      <c r="U101" s="54"/>
      <c r="V101" s="57"/>
      <c r="W101" s="50" t="str">
        <f aca="false">IF(V101&gt;0,E101," ")</f>
        <v> </v>
      </c>
      <c r="X101" s="50" t="str">
        <f aca="false">IF(V101&gt;0,J101," ")</f>
        <v> </v>
      </c>
      <c r="Y101" s="47" t="str">
        <f aca="false">IF((U101+V101)&gt;0,IF(V101&lt;S101,(S101-V101)*(1-M101)," ")," ")</f>
        <v> </v>
      </c>
      <c r="Z101" s="47" t="str">
        <f aca="false">IF((U101+V101)&gt;0,IF(V101&gt;S101,(V101-S101)*(1-M101)," ")," ")</f>
        <v> </v>
      </c>
      <c r="AA101" s="25"/>
    </row>
    <row r="102" customFormat="false" ht="12" hidden="false" customHeight="true" outlineLevel="0" collapsed="false">
      <c r="A102" s="42"/>
      <c r="B102" s="51" t="s">
        <v>28</v>
      </c>
      <c r="C102" s="51"/>
      <c r="D102" s="68"/>
      <c r="E102" s="50"/>
      <c r="F102" s="50"/>
      <c r="G102" s="50"/>
      <c r="H102" s="58"/>
      <c r="I102" s="50"/>
      <c r="J102" s="50"/>
      <c r="K102" s="50"/>
      <c r="L102" s="50"/>
      <c r="M102" s="58"/>
      <c r="N102" s="50"/>
      <c r="O102" s="47"/>
      <c r="P102" s="48"/>
      <c r="Q102" s="47"/>
      <c r="R102" s="47"/>
      <c r="S102" s="47"/>
      <c r="T102" s="47"/>
      <c r="U102" s="49"/>
      <c r="V102" s="50"/>
      <c r="W102" s="50"/>
      <c r="X102" s="50"/>
      <c r="Y102" s="47"/>
      <c r="Z102" s="47"/>
      <c r="AA102" s="25"/>
    </row>
    <row r="103" customFormat="false" ht="12" hidden="false" customHeight="false" outlineLevel="0" collapsed="false">
      <c r="A103" s="42"/>
      <c r="B103" s="54"/>
      <c r="C103" s="55"/>
      <c r="D103" s="83"/>
      <c r="E103" s="57"/>
      <c r="F103" s="50"/>
      <c r="G103" s="50"/>
      <c r="H103" s="58" t="n">
        <f aca="false">H$96</f>
        <v>0.25</v>
      </c>
      <c r="I103" s="50" t="str">
        <f aca="false">IF(E103&gt;0,MIN(E103*H103,G103)," ")</f>
        <v> </v>
      </c>
      <c r="J103" s="50" t="str">
        <f aca="false">IF(E103&gt;0,F103+I103," ")</f>
        <v> </v>
      </c>
      <c r="K103" s="50" t="str">
        <f aca="false">IF(E103&gt;0,IF(V103&gt;0,0,E103-J103)," ")</f>
        <v> </v>
      </c>
      <c r="L103" s="50"/>
      <c r="M103" s="66" t="n">
        <v>0</v>
      </c>
      <c r="N103" s="50"/>
      <c r="O103" s="47"/>
      <c r="P103" s="48" t="n">
        <f aca="false">IF(B103&gt;0,IF(B103&gt;[1]Admin!$N$11,[1]Admin!$G$7,[1]Admin!$G$5),[1]Admin!$G$5)</f>
        <v>100</v>
      </c>
      <c r="Q103" s="47" t="str">
        <f aca="false">IF(E103&gt;0,E103*P103/100," ")</f>
        <v> </v>
      </c>
      <c r="R103" s="47"/>
      <c r="S103" s="47" t="str">
        <f aca="false">IF(E103&gt;0,E103-Q103," ")</f>
        <v> </v>
      </c>
      <c r="T103" s="47"/>
      <c r="U103" s="54"/>
      <c r="V103" s="57"/>
      <c r="W103" s="50" t="str">
        <f aca="false">IF(V103&gt;0,E103," ")</f>
        <v> </v>
      </c>
      <c r="X103" s="50" t="str">
        <f aca="false">IF(V103&gt;0,J103," ")</f>
        <v> </v>
      </c>
      <c r="Y103" s="47" t="str">
        <f aca="false">IF((U103+V103)&gt;0,IF(V103&lt;S103,(S103-V103)*(1-M103)," ")," ")</f>
        <v> </v>
      </c>
      <c r="Z103" s="47" t="str">
        <f aca="false">IF((U103+V103)&gt;0,IF(V103&gt;S103,(V103-S103)*(1-M103)," ")," ")</f>
        <v> </v>
      </c>
      <c r="AA103" s="25"/>
    </row>
    <row r="104" customFormat="false" ht="12" hidden="false" customHeight="false" outlineLevel="0" collapsed="false">
      <c r="A104" s="42"/>
      <c r="B104" s="54"/>
      <c r="C104" s="55"/>
      <c r="D104" s="83"/>
      <c r="E104" s="57"/>
      <c r="F104" s="50"/>
      <c r="G104" s="50"/>
      <c r="H104" s="58" t="n">
        <f aca="false">H$96</f>
        <v>0.25</v>
      </c>
      <c r="I104" s="50" t="str">
        <f aca="false">IF(E104&gt;0,MIN(E104*H104,G104)," ")</f>
        <v> </v>
      </c>
      <c r="J104" s="50" t="str">
        <f aca="false">IF(E104&gt;0,F104+I104," ")</f>
        <v> </v>
      </c>
      <c r="K104" s="50" t="str">
        <f aca="false">IF(E104&gt;0,IF(V104&gt;0,0,E104-J104)," ")</f>
        <v> </v>
      </c>
      <c r="L104" s="50"/>
      <c r="M104" s="66" t="n">
        <v>0</v>
      </c>
      <c r="N104" s="50"/>
      <c r="O104" s="47"/>
      <c r="P104" s="48" t="n">
        <f aca="false">IF(B104&gt;0,IF(B104&gt;[1]Admin!$N$11,[1]Admin!$G$7,[1]Admin!$G$5),[1]Admin!$G$5)</f>
        <v>100</v>
      </c>
      <c r="Q104" s="47" t="str">
        <f aca="false">IF(E104&gt;0,E104*P104/100," ")</f>
        <v> </v>
      </c>
      <c r="R104" s="47"/>
      <c r="S104" s="47" t="str">
        <f aca="false">IF(E104&gt;0,E104-Q104," ")</f>
        <v> </v>
      </c>
      <c r="T104" s="47"/>
      <c r="U104" s="54"/>
      <c r="V104" s="57"/>
      <c r="W104" s="50" t="str">
        <f aca="false">IF(V104&gt;0,E104," ")</f>
        <v> </v>
      </c>
      <c r="X104" s="50" t="str">
        <f aca="false">IF(V104&gt;0,J104," ")</f>
        <v> </v>
      </c>
      <c r="Y104" s="47" t="str">
        <f aca="false">IF((U104+V104)&gt;0,IF(V104&lt;S104,(S104-V104)*(1-M104)," ")," ")</f>
        <v> </v>
      </c>
      <c r="Z104" s="47" t="str">
        <f aca="false">IF((U104+V104)&gt;0,IF(V104&gt;S104,(V104-S104)*(1-M104)," ")," ")</f>
        <v> </v>
      </c>
      <c r="AA104" s="25"/>
    </row>
    <row r="105" customFormat="false" ht="12" hidden="false" customHeight="false" outlineLevel="0" collapsed="false">
      <c r="A105" s="42"/>
      <c r="B105" s="54"/>
      <c r="C105" s="55"/>
      <c r="D105" s="83"/>
      <c r="E105" s="57"/>
      <c r="F105" s="50"/>
      <c r="G105" s="50"/>
      <c r="H105" s="58" t="n">
        <f aca="false">H$96</f>
        <v>0.25</v>
      </c>
      <c r="I105" s="50" t="str">
        <f aca="false">IF(E105&gt;0,MIN(E105*H105,G105)," ")</f>
        <v> </v>
      </c>
      <c r="J105" s="50" t="str">
        <f aca="false">IF(E105&gt;0,F105+I105," ")</f>
        <v> </v>
      </c>
      <c r="K105" s="50" t="str">
        <f aca="false">IF(E105&gt;0,IF(V105&gt;0,0,E105-J105)," ")</f>
        <v> </v>
      </c>
      <c r="L105" s="50"/>
      <c r="M105" s="66" t="n">
        <v>0</v>
      </c>
      <c r="N105" s="50"/>
      <c r="O105" s="47"/>
      <c r="P105" s="48" t="n">
        <f aca="false">IF(B105&gt;0,IF(B105&gt;[1]Admin!$N$11,[1]Admin!$G$7,[1]Admin!$G$5),[1]Admin!$G$5)</f>
        <v>100</v>
      </c>
      <c r="Q105" s="47" t="str">
        <f aca="false">IF(E105&gt;0,E105*P105/100," ")</f>
        <v> </v>
      </c>
      <c r="R105" s="47"/>
      <c r="S105" s="47" t="str">
        <f aca="false">IF(E105&gt;0,E105-Q105," ")</f>
        <v> </v>
      </c>
      <c r="T105" s="47"/>
      <c r="U105" s="54"/>
      <c r="V105" s="57"/>
      <c r="W105" s="50" t="str">
        <f aca="false">IF(V105&gt;0,E105," ")</f>
        <v> </v>
      </c>
      <c r="X105" s="50" t="str">
        <f aca="false">IF(V105&gt;0,J105," ")</f>
        <v> </v>
      </c>
      <c r="Y105" s="47" t="str">
        <f aca="false">IF((U105+V105)&gt;0,IF(V105&lt;S105,(S105-V105)*(1-M105)," ")," ")</f>
        <v> </v>
      </c>
      <c r="Z105" s="47" t="str">
        <f aca="false">IF((U105+V105)&gt;0,IF(V105&gt;S105,(V105-S105)*(1-M105)," ")," ")</f>
        <v> </v>
      </c>
      <c r="AA105" s="25"/>
    </row>
    <row r="106" customFormat="false" ht="12" hidden="false" customHeight="false" outlineLevel="0" collapsed="false">
      <c r="A106" s="42"/>
      <c r="B106" s="54"/>
      <c r="C106" s="55"/>
      <c r="D106" s="83"/>
      <c r="E106" s="57"/>
      <c r="F106" s="50"/>
      <c r="G106" s="50"/>
      <c r="H106" s="58" t="n">
        <f aca="false">H$96</f>
        <v>0.25</v>
      </c>
      <c r="I106" s="50" t="str">
        <f aca="false">IF(E106&gt;0,MIN(E106*H106,G106)," ")</f>
        <v> </v>
      </c>
      <c r="J106" s="50" t="str">
        <f aca="false">IF(E106&gt;0,F106+I106," ")</f>
        <v> </v>
      </c>
      <c r="K106" s="50" t="str">
        <f aca="false">IF(E106&gt;0,IF(V106&gt;0,0,E106-J106)," ")</f>
        <v> </v>
      </c>
      <c r="L106" s="50"/>
      <c r="M106" s="66" t="n">
        <v>0</v>
      </c>
      <c r="N106" s="50"/>
      <c r="O106" s="47"/>
      <c r="P106" s="48" t="n">
        <f aca="false">IF(B106&gt;0,IF(B106&gt;[1]Admin!$N$11,[1]Admin!$G$7,[1]Admin!$G$5),[1]Admin!$G$5)</f>
        <v>100</v>
      </c>
      <c r="Q106" s="47" t="str">
        <f aca="false">IF(E106&gt;0,E106*P106/100," ")</f>
        <v> </v>
      </c>
      <c r="R106" s="47"/>
      <c r="S106" s="47" t="str">
        <f aca="false">IF(E106&gt;0,E106-Q106," ")</f>
        <v> </v>
      </c>
      <c r="T106" s="47"/>
      <c r="U106" s="54"/>
      <c r="V106" s="57"/>
      <c r="W106" s="50" t="str">
        <f aca="false">IF(V106&gt;0,E106," ")</f>
        <v> </v>
      </c>
      <c r="X106" s="50" t="str">
        <f aca="false">IF(V106&gt;0,J106," ")</f>
        <v> </v>
      </c>
      <c r="Y106" s="47" t="str">
        <f aca="false">IF((U106+V106)&gt;0,IF(V106&lt;S106,(S106-V106)*(1-M106)," ")," ")</f>
        <v> </v>
      </c>
      <c r="Z106" s="47" t="str">
        <f aca="false">IF((U106+V106)&gt;0,IF(V106&gt;S106,(V106-S106)*(1-M106)," ")," ")</f>
        <v> </v>
      </c>
      <c r="AA106" s="25"/>
    </row>
    <row r="107" customFormat="false" ht="12" hidden="false" customHeight="false" outlineLevel="0" collapsed="false">
      <c r="A107" s="42"/>
      <c r="B107" s="54"/>
      <c r="C107" s="55"/>
      <c r="D107" s="83"/>
      <c r="E107" s="57"/>
      <c r="F107" s="50"/>
      <c r="G107" s="50"/>
      <c r="H107" s="58" t="n">
        <f aca="false">H$96</f>
        <v>0.25</v>
      </c>
      <c r="I107" s="50" t="str">
        <f aca="false">IF(E107&gt;0,MIN(E107*H107,G107)," ")</f>
        <v> </v>
      </c>
      <c r="J107" s="50" t="str">
        <f aca="false">IF(E107&gt;0,F107+I107," ")</f>
        <v> </v>
      </c>
      <c r="K107" s="50" t="str">
        <f aca="false">IF(E107&gt;0,IF(V107&gt;0,0,E107-J107)," ")</f>
        <v> </v>
      </c>
      <c r="L107" s="50"/>
      <c r="M107" s="66" t="n">
        <v>0</v>
      </c>
      <c r="N107" s="50"/>
      <c r="O107" s="47"/>
      <c r="P107" s="48" t="n">
        <f aca="false">IF(B107&gt;0,IF(B107&gt;[1]Admin!$N$11,[1]Admin!$G$7,[1]Admin!$G$5),[1]Admin!$G$5)</f>
        <v>100</v>
      </c>
      <c r="Q107" s="47" t="str">
        <f aca="false">IF(E107&gt;0,E107*P107/100," ")</f>
        <v> </v>
      </c>
      <c r="R107" s="47"/>
      <c r="S107" s="47" t="str">
        <f aca="false">IF(E107&gt;0,E107-Q107," ")</f>
        <v> </v>
      </c>
      <c r="T107" s="47"/>
      <c r="U107" s="54"/>
      <c r="V107" s="57"/>
      <c r="W107" s="50" t="str">
        <f aca="false">IF(V107&gt;0,E107," ")</f>
        <v> </v>
      </c>
      <c r="X107" s="50" t="str">
        <f aca="false">IF(V107&gt;0,J107," ")</f>
        <v> </v>
      </c>
      <c r="Y107" s="47" t="str">
        <f aca="false">IF((U107+V107)&gt;0,IF(V107&lt;S107,(S107-V107)*(1-M107)," ")," ")</f>
        <v> </v>
      </c>
      <c r="Z107" s="47" t="str">
        <f aca="false">IF((U107+V107)&gt;0,IF(V107&gt;S107,(V107-S107)*(1-M107)," ")," ")</f>
        <v> </v>
      </c>
      <c r="AA107" s="25"/>
    </row>
    <row r="108" customFormat="false" ht="12" hidden="false" customHeight="true" outlineLevel="0" collapsed="false">
      <c r="A108" s="42"/>
      <c r="B108" s="59" t="s">
        <v>40</v>
      </c>
      <c r="C108" s="59"/>
      <c r="D108" s="59"/>
      <c r="E108" s="60" t="n">
        <f aca="false">SUM(E97:E107)</f>
        <v>0</v>
      </c>
      <c r="F108" s="61" t="n">
        <f aca="false">SUM(F97:F107)</f>
        <v>0</v>
      </c>
      <c r="G108" s="61" t="n">
        <f aca="false">SUM(G97:G107)</f>
        <v>0</v>
      </c>
      <c r="H108" s="58"/>
      <c r="I108" s="61" t="n">
        <f aca="false">SUM(I97:I107)</f>
        <v>0</v>
      </c>
      <c r="J108" s="61" t="n">
        <f aca="false">SUM(J97:J107)</f>
        <v>0</v>
      </c>
      <c r="K108" s="61" t="n">
        <f aca="false">SUM(K97:K107)</f>
        <v>0</v>
      </c>
      <c r="L108" s="50"/>
      <c r="M108" s="58"/>
      <c r="N108" s="50"/>
      <c r="O108" s="61" t="n">
        <f aca="false">SUM(O97:O107)</f>
        <v>0</v>
      </c>
      <c r="P108" s="62"/>
      <c r="Q108" s="61" t="n">
        <f aca="false">SUM(Q97:Q107)</f>
        <v>0</v>
      </c>
      <c r="R108" s="61" t="n">
        <f aca="false">SUM(R97:R107)</f>
        <v>0</v>
      </c>
      <c r="S108" s="61" t="n">
        <f aca="false">SUM(S97:S107)</f>
        <v>0</v>
      </c>
      <c r="T108" s="47"/>
      <c r="U108" s="49"/>
      <c r="V108" s="60" t="n">
        <f aca="false">SUM(V97:V107)</f>
        <v>0</v>
      </c>
      <c r="W108" s="61" t="n">
        <f aca="false">SUM(W97:W107)</f>
        <v>0</v>
      </c>
      <c r="X108" s="61" t="n">
        <f aca="false">SUM(X97:X107)</f>
        <v>0</v>
      </c>
      <c r="Y108" s="61" t="n">
        <f aca="false">SUM(Y97:Y107)</f>
        <v>0</v>
      </c>
      <c r="Z108" s="61" t="n">
        <f aca="false">SUM(Z97:Z107)</f>
        <v>0</v>
      </c>
      <c r="AA108" s="25"/>
    </row>
    <row r="109" customFormat="false" ht="9" hidden="false" customHeight="true" outlineLevel="0" collapsed="false">
      <c r="A109" s="42"/>
      <c r="B109" s="49"/>
      <c r="C109" s="71"/>
      <c r="D109" s="68"/>
      <c r="E109" s="50"/>
      <c r="F109" s="50"/>
      <c r="G109" s="50"/>
      <c r="H109" s="58"/>
      <c r="I109" s="50"/>
      <c r="J109" s="50"/>
      <c r="K109" s="50"/>
      <c r="L109" s="50"/>
      <c r="M109" s="58"/>
      <c r="N109" s="50"/>
      <c r="O109" s="47"/>
      <c r="P109" s="48"/>
      <c r="Q109" s="47"/>
      <c r="R109" s="47"/>
      <c r="S109" s="47"/>
      <c r="T109" s="47"/>
      <c r="U109" s="49"/>
      <c r="V109" s="50"/>
      <c r="W109" s="47"/>
      <c r="X109" s="47"/>
      <c r="Y109" s="47"/>
      <c r="Z109" s="47"/>
      <c r="AA109" s="25"/>
    </row>
    <row r="110" customFormat="false" ht="13.5" hidden="false" customHeight="true" outlineLevel="0" collapsed="false">
      <c r="A110" s="42"/>
      <c r="B110" s="43" t="s">
        <v>41</v>
      </c>
      <c r="C110" s="43"/>
      <c r="D110" s="86" t="n">
        <f aca="false">F59</f>
        <v>46691</v>
      </c>
      <c r="E110" s="73" t="n">
        <f aca="false">E64+E75+E83+E94+E108</f>
        <v>52500</v>
      </c>
      <c r="F110" s="73" t="n">
        <f aca="false">F64+F75+F83+F94+F108</f>
        <v>0</v>
      </c>
      <c r="G110" s="73" t="n">
        <f aca="false">G64+G75+G83+G94+G108</f>
        <v>0</v>
      </c>
      <c r="H110" s="58"/>
      <c r="I110" s="73" t="n">
        <f aca="false">I64+I75+I83+I94+I108</f>
        <v>5250</v>
      </c>
      <c r="J110" s="73" t="n">
        <f aca="false">J64+J75+J83+J94+J108</f>
        <v>5250</v>
      </c>
      <c r="K110" s="73" t="n">
        <f aca="false">K64+K75+K83+K94+K108</f>
        <v>47250</v>
      </c>
      <c r="L110" s="50"/>
      <c r="M110" s="58"/>
      <c r="N110" s="50"/>
      <c r="O110" s="73" t="n">
        <f aca="false">O64+O75+O83+O94+O108</f>
        <v>0</v>
      </c>
      <c r="P110" s="62"/>
      <c r="Q110" s="73" t="n">
        <f aca="false">Q64+Q75+Q83+Q94+Q108</f>
        <v>52500</v>
      </c>
      <c r="R110" s="73" t="n">
        <f aca="false">R64+R75+R83+R94+R108</f>
        <v>0</v>
      </c>
      <c r="S110" s="73" t="n">
        <f aca="false">S64+S75+S83+S94+S108</f>
        <v>0</v>
      </c>
      <c r="T110" s="47"/>
      <c r="U110" s="49"/>
      <c r="V110" s="73" t="n">
        <f aca="false">V64+V75+V83+V94+V108</f>
        <v>0</v>
      </c>
      <c r="W110" s="73" t="n">
        <f aca="false">W64+W75+W83+W94+W108</f>
        <v>0</v>
      </c>
      <c r="X110" s="73" t="n">
        <f aca="false">X64+X75+X83+X94+X108</f>
        <v>0</v>
      </c>
      <c r="Y110" s="73" t="n">
        <f aca="false">Y64+Y75+Y83+Y94+Y108</f>
        <v>0</v>
      </c>
      <c r="Z110" s="73" t="n">
        <f aca="false">Z64+Z75+Z83+Z94+Z108</f>
        <v>0</v>
      </c>
      <c r="AA110" s="25"/>
    </row>
    <row r="111" customFormat="false" ht="7.5" hidden="false" customHeight="true" outlineLevel="0" collapsed="false">
      <c r="A111" s="87"/>
      <c r="B111" s="88"/>
      <c r="C111" s="89"/>
      <c r="D111" s="90"/>
      <c r="E111" s="91"/>
      <c r="F111" s="91"/>
      <c r="G111" s="91"/>
      <c r="H111" s="92"/>
      <c r="I111" s="91"/>
      <c r="J111" s="91"/>
      <c r="K111" s="91"/>
      <c r="L111" s="91"/>
      <c r="M111" s="92"/>
      <c r="N111" s="91"/>
      <c r="O111" s="93"/>
      <c r="P111" s="94"/>
      <c r="Q111" s="93"/>
      <c r="R111" s="93"/>
      <c r="S111" s="93"/>
      <c r="T111" s="93"/>
      <c r="U111" s="88"/>
      <c r="V111" s="91"/>
      <c r="W111" s="91"/>
      <c r="X111" s="91"/>
      <c r="Y111" s="93"/>
      <c r="Z111" s="93"/>
      <c r="AA111" s="95"/>
    </row>
  </sheetData>
  <mergeCells count="54">
    <mergeCell ref="A1:A4"/>
    <mergeCell ref="B1:B4"/>
    <mergeCell ref="C1:D1"/>
    <mergeCell ref="H1:H4"/>
    <mergeCell ref="L1:L4"/>
    <mergeCell ref="M1:M4"/>
    <mergeCell ref="N1:N4"/>
    <mergeCell ref="P1:P3"/>
    <mergeCell ref="T1:T4"/>
    <mergeCell ref="U1:U4"/>
    <mergeCell ref="C2:C4"/>
    <mergeCell ref="D2:D4"/>
    <mergeCell ref="E2:E4"/>
    <mergeCell ref="F2:F3"/>
    <mergeCell ref="G2:G3"/>
    <mergeCell ref="I2:I4"/>
    <mergeCell ref="J2:J3"/>
    <mergeCell ref="K2:K3"/>
    <mergeCell ref="O2:O3"/>
    <mergeCell ref="Q2:Q4"/>
    <mergeCell ref="R2:R3"/>
    <mergeCell ref="S2:S3"/>
    <mergeCell ref="V2:V4"/>
    <mergeCell ref="W2:W4"/>
    <mergeCell ref="X2:X4"/>
    <mergeCell ref="Y2:Y4"/>
    <mergeCell ref="Z2:Z4"/>
    <mergeCell ref="B6:C6"/>
    <mergeCell ref="D6:E6"/>
    <mergeCell ref="B7:C7"/>
    <mergeCell ref="B11:D11"/>
    <mergeCell ref="B13:C13"/>
    <mergeCell ref="B22:D22"/>
    <mergeCell ref="B24:C24"/>
    <mergeCell ref="B30:D30"/>
    <mergeCell ref="B32:C32"/>
    <mergeCell ref="B41:D41"/>
    <mergeCell ref="B43:C43"/>
    <mergeCell ref="B49:C49"/>
    <mergeCell ref="B55:D55"/>
    <mergeCell ref="B57:C57"/>
    <mergeCell ref="B59:C59"/>
    <mergeCell ref="B60:C60"/>
    <mergeCell ref="B64:D64"/>
    <mergeCell ref="B66:C66"/>
    <mergeCell ref="B75:D75"/>
    <mergeCell ref="B77:C77"/>
    <mergeCell ref="B83:D83"/>
    <mergeCell ref="B85:C85"/>
    <mergeCell ref="B94:D94"/>
    <mergeCell ref="B96:C96"/>
    <mergeCell ref="B102:C102"/>
    <mergeCell ref="B108:D108"/>
    <mergeCell ref="B110:C110"/>
  </mergeCells>
  <printOptions headings="false" gridLines="false" gridLinesSet="true" horizontalCentered="true" verticalCentered="true"/>
  <pageMargins left="0.157638888888889" right="0.157638888888889" top="0.551388888888889" bottom="0.669444444444445" header="0.315277777777778" footer="0.118055555555556"/>
  <pageSetup paperSize="9" scale="75" fitToWidth="1" fitToHeight="1" pageOrder="downThenOver" orientation="landscape" blackAndWhite="false" draft="false" cellComments="none" horizontalDpi="300" verticalDpi="300" copies="1"/>
  <headerFooter differentFirst="false" differentOddEven="false">
    <oddHeader>&amp;C&amp;"Arial,Bold"&amp;12Fixed Assets Capital Allowances</oddHeader>
    <oddFooter>&amp;L&amp;D  &amp;T&amp;C&amp;P  of  &amp;N&amp;R&amp;F  &amp;A</oddFooter>
  </headerFooter>
  <rowBreaks count="2" manualBreakCount="2">
    <brk id="57" man="true" max="16383" min="0"/>
    <brk id="111" man="true" max="16383" min="0"/>
  </rowBreaks>
  <colBreaks count="1" manualBreakCount="1">
    <brk id="19"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96" width="1.66"/>
    <col collapsed="false" customWidth="true" hidden="false" outlineLevel="0" max="2" min="2" style="96" width="27.15"/>
    <col collapsed="false" customWidth="false" hidden="false" outlineLevel="0" max="3" min="3" style="96" width="9.15"/>
    <col collapsed="false" customWidth="true" hidden="false" outlineLevel="0" max="4" min="4" style="96" width="3.66"/>
    <col collapsed="false" customWidth="true" hidden="false" outlineLevel="0" max="5" min="5" style="96" width="11.5"/>
    <col collapsed="false" customWidth="true" hidden="false" outlineLevel="0" max="6" min="6" style="96" width="5.5"/>
    <col collapsed="false" customWidth="false" hidden="false" outlineLevel="0" max="9" min="7" style="96" width="9.15"/>
    <col collapsed="false" customWidth="true" hidden="false" outlineLevel="0" max="10" min="10" style="96" width="6.5"/>
    <col collapsed="false" customWidth="true" hidden="false" outlineLevel="0" max="11" min="11" style="96" width="11.66"/>
    <col collapsed="false" customWidth="true" hidden="false" outlineLevel="0" max="12" min="12" style="96" width="2.66"/>
    <col collapsed="false" customWidth="true" hidden="false" outlineLevel="0" max="14" min="13" style="96" width="9.66"/>
    <col collapsed="false" customWidth="true" hidden="false" outlineLevel="0" max="15" min="15" style="96" width="1.5"/>
    <col collapsed="false" customWidth="false" hidden="false" outlineLevel="0" max="257" min="16" style="96" width="9.15"/>
  </cols>
  <sheetData>
    <row r="1" customFormat="false" ht="9" hidden="false" customHeight="true" outlineLevel="0" collapsed="false">
      <c r="A1" s="97"/>
      <c r="B1" s="97"/>
      <c r="C1" s="97"/>
      <c r="D1" s="97"/>
      <c r="E1" s="97"/>
      <c r="F1" s="97"/>
      <c r="G1" s="97"/>
      <c r="H1" s="97"/>
      <c r="I1" s="97"/>
      <c r="J1" s="97"/>
      <c r="K1" s="97"/>
      <c r="L1" s="97"/>
      <c r="M1" s="97"/>
      <c r="N1" s="97"/>
      <c r="O1" s="98"/>
      <c r="P1" s="7"/>
      <c r="Q1" s="7"/>
      <c r="R1" s="7"/>
      <c r="S1" s="7"/>
      <c r="T1" s="2"/>
      <c r="U1" s="5"/>
      <c r="V1" s="5"/>
      <c r="W1" s="7"/>
      <c r="X1" s="7"/>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row>
    <row r="2" customFormat="false" ht="15" hidden="false" customHeight="true" outlineLevel="0" collapsed="false">
      <c r="A2" s="99"/>
      <c r="B2" s="100"/>
      <c r="C2" s="101"/>
      <c r="D2" s="102"/>
      <c r="E2" s="103" t="s">
        <v>42</v>
      </c>
      <c r="F2" s="103"/>
      <c r="G2" s="103"/>
      <c r="H2" s="103"/>
      <c r="I2" s="104"/>
      <c r="J2" s="104"/>
      <c r="K2" s="104"/>
      <c r="L2" s="104"/>
      <c r="M2" s="105"/>
      <c r="N2" s="104"/>
      <c r="O2" s="106"/>
      <c r="P2" s="7"/>
      <c r="Q2" s="7"/>
      <c r="R2" s="7"/>
      <c r="S2" s="7"/>
      <c r="T2" s="2"/>
      <c r="U2" s="5"/>
      <c r="V2" s="5"/>
      <c r="W2" s="7"/>
      <c r="X2" s="7"/>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row>
    <row r="3" customFormat="false" ht="15" hidden="false" customHeight="true" outlineLevel="0" collapsed="false">
      <c r="A3" s="99"/>
      <c r="B3" s="100"/>
      <c r="C3" s="101"/>
      <c r="D3" s="102"/>
      <c r="E3" s="107"/>
      <c r="F3" s="107"/>
      <c r="G3" s="108"/>
      <c r="H3" s="108"/>
      <c r="I3" s="104"/>
      <c r="J3" s="104"/>
      <c r="K3" s="104"/>
      <c r="L3" s="104"/>
      <c r="M3" s="105"/>
      <c r="N3" s="104"/>
      <c r="O3" s="106"/>
      <c r="P3" s="7"/>
      <c r="Q3" s="7"/>
      <c r="R3" s="7"/>
      <c r="S3" s="7"/>
      <c r="T3" s="2"/>
      <c r="U3" s="5"/>
      <c r="V3" s="5"/>
      <c r="W3" s="7"/>
      <c r="X3" s="7"/>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row>
    <row r="4" customFormat="false" ht="15" hidden="false" customHeight="true" outlineLevel="0" collapsed="false">
      <c r="A4" s="99"/>
      <c r="B4" s="109" t="s">
        <v>43</v>
      </c>
      <c r="C4" s="101"/>
      <c r="D4" s="102"/>
      <c r="E4" s="110" t="s">
        <v>8</v>
      </c>
      <c r="F4" s="104"/>
      <c r="G4" s="111" t="s">
        <v>44</v>
      </c>
      <c r="H4" s="111"/>
      <c r="I4" s="111"/>
      <c r="J4" s="104"/>
      <c r="K4" s="110" t="s">
        <v>45</v>
      </c>
      <c r="L4" s="104"/>
      <c r="M4" s="112" t="s">
        <v>46</v>
      </c>
      <c r="N4" s="112"/>
      <c r="O4" s="106"/>
      <c r="P4" s="7"/>
      <c r="Q4" s="7"/>
      <c r="R4" s="7"/>
      <c r="S4" s="7"/>
      <c r="T4" s="2"/>
      <c r="U4" s="5"/>
      <c r="V4" s="5"/>
      <c r="W4" s="7"/>
      <c r="X4" s="7"/>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row>
    <row r="5" customFormat="false" ht="15" hidden="false" customHeight="true" outlineLevel="0" collapsed="false">
      <c r="A5" s="99"/>
      <c r="B5" s="100" t="s">
        <v>47</v>
      </c>
      <c r="C5" s="101"/>
      <c r="D5" s="102"/>
      <c r="E5" s="104"/>
      <c r="F5" s="104"/>
      <c r="G5" s="100" t="s">
        <v>48</v>
      </c>
      <c r="H5" s="101"/>
      <c r="I5" s="102"/>
      <c r="J5" s="104"/>
      <c r="K5" s="104"/>
      <c r="L5" s="104"/>
      <c r="M5" s="112"/>
      <c r="N5" s="112"/>
      <c r="O5" s="106"/>
      <c r="P5" s="7"/>
      <c r="Q5" s="7"/>
      <c r="R5" s="7"/>
      <c r="S5" s="7"/>
      <c r="T5" s="2"/>
      <c r="U5" s="5"/>
      <c r="V5" s="5"/>
      <c r="W5" s="7"/>
      <c r="X5" s="7"/>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row>
    <row r="6" customFormat="false" ht="15" hidden="false" customHeight="true" outlineLevel="0" collapsed="false">
      <c r="A6" s="99"/>
      <c r="B6" s="113" t="s">
        <v>32</v>
      </c>
      <c r="C6" s="113"/>
      <c r="D6" s="113"/>
      <c r="E6" s="114" t="n">
        <f aca="false">Schedule!E64</f>
        <v>0</v>
      </c>
      <c r="F6" s="104"/>
      <c r="G6" s="113" t="s">
        <v>49</v>
      </c>
      <c r="H6" s="113"/>
      <c r="I6" s="113"/>
      <c r="J6" s="113"/>
      <c r="K6" s="114" t="n">
        <f aca="false">Schedule!V11+Schedule!V64</f>
        <v>0</v>
      </c>
      <c r="L6" s="104"/>
      <c r="M6" s="112"/>
      <c r="N6" s="112"/>
      <c r="O6" s="106"/>
      <c r="P6" s="7"/>
      <c r="Q6" s="7"/>
      <c r="R6" s="7"/>
      <c r="S6" s="7"/>
      <c r="T6" s="2"/>
      <c r="U6" s="5"/>
      <c r="V6" s="5"/>
      <c r="W6" s="7"/>
      <c r="X6" s="7"/>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row>
    <row r="7" customFormat="false" ht="15" hidden="false" customHeight="true" outlineLevel="0" collapsed="false">
      <c r="A7" s="99"/>
      <c r="B7" s="113" t="s">
        <v>37</v>
      </c>
      <c r="C7" s="113"/>
      <c r="D7" s="113"/>
      <c r="E7" s="114" t="n">
        <f aca="false">Schedule!E75</f>
        <v>52500</v>
      </c>
      <c r="F7" s="104"/>
      <c r="G7" s="113" t="s">
        <v>50</v>
      </c>
      <c r="H7" s="113"/>
      <c r="I7" s="113"/>
      <c r="J7" s="113"/>
      <c r="K7" s="114" t="n">
        <f aca="false">Schedule!V22+Schedule!V75</f>
        <v>0</v>
      </c>
      <c r="L7" s="104"/>
      <c r="M7" s="112"/>
      <c r="N7" s="112"/>
      <c r="O7" s="106"/>
      <c r="P7" s="7"/>
      <c r="Q7" s="7"/>
      <c r="R7" s="7"/>
      <c r="S7" s="7"/>
      <c r="T7" s="2"/>
      <c r="U7" s="5"/>
      <c r="V7" s="5"/>
      <c r="W7" s="7"/>
      <c r="X7" s="7"/>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row>
    <row r="8" customFormat="false" ht="15" hidden="false" customHeight="true" outlineLevel="0" collapsed="false">
      <c r="A8" s="99"/>
      <c r="B8" s="113" t="s">
        <v>38</v>
      </c>
      <c r="C8" s="113"/>
      <c r="D8" s="113"/>
      <c r="E8" s="114" t="n">
        <f aca="false">Schedule!E83</f>
        <v>0</v>
      </c>
      <c r="F8" s="104"/>
      <c r="G8" s="113" t="s">
        <v>51</v>
      </c>
      <c r="H8" s="113"/>
      <c r="I8" s="113"/>
      <c r="J8" s="113"/>
      <c r="K8" s="114" t="n">
        <f aca="false">Schedule!V30+Schedule!V83</f>
        <v>0</v>
      </c>
      <c r="L8" s="104"/>
      <c r="M8" s="112"/>
      <c r="N8" s="112"/>
      <c r="O8" s="106"/>
      <c r="P8" s="7"/>
      <c r="Q8" s="7"/>
      <c r="R8" s="7"/>
      <c r="S8" s="7"/>
      <c r="T8" s="2"/>
      <c r="U8" s="5"/>
      <c r="V8" s="5"/>
      <c r="W8" s="7"/>
      <c r="X8" s="7"/>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row>
    <row r="9" customFormat="false" ht="15" hidden="false" customHeight="true" outlineLevel="0" collapsed="false">
      <c r="A9" s="99"/>
      <c r="B9" s="113" t="s">
        <v>39</v>
      </c>
      <c r="C9" s="113"/>
      <c r="D9" s="113"/>
      <c r="E9" s="114" t="n">
        <f aca="false">Schedule!E94</f>
        <v>0</v>
      </c>
      <c r="F9" s="104"/>
      <c r="G9" s="113" t="s">
        <v>52</v>
      </c>
      <c r="H9" s="113"/>
      <c r="I9" s="113"/>
      <c r="J9" s="113"/>
      <c r="K9" s="114" t="n">
        <f aca="false">Schedule!V41+Schedule!V94</f>
        <v>0</v>
      </c>
      <c r="L9" s="104"/>
      <c r="M9" s="112"/>
      <c r="N9" s="112"/>
      <c r="O9" s="106"/>
      <c r="P9" s="7"/>
      <c r="Q9" s="7"/>
      <c r="R9" s="7"/>
      <c r="S9" s="7"/>
      <c r="T9" s="2"/>
      <c r="U9" s="5"/>
      <c r="V9" s="5"/>
      <c r="W9" s="7"/>
      <c r="X9" s="7"/>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row>
    <row r="10" customFormat="false" ht="15" hidden="false" customHeight="true" outlineLevel="0" collapsed="false">
      <c r="A10" s="99"/>
      <c r="B10" s="113" t="s">
        <v>40</v>
      </c>
      <c r="C10" s="113"/>
      <c r="D10" s="113"/>
      <c r="E10" s="114" t="n">
        <f aca="false">Schedule!E108</f>
        <v>0</v>
      </c>
      <c r="F10" s="104"/>
      <c r="G10" s="113" t="s">
        <v>53</v>
      </c>
      <c r="H10" s="113"/>
      <c r="I10" s="113"/>
      <c r="J10" s="113"/>
      <c r="K10" s="114" t="n">
        <f aca="false">Schedule!V55+Schedule!V108</f>
        <v>12500</v>
      </c>
      <c r="L10" s="104"/>
      <c r="M10" s="112"/>
      <c r="N10" s="112"/>
      <c r="O10" s="106"/>
      <c r="P10" s="7"/>
      <c r="Q10" s="7"/>
      <c r="R10" s="7"/>
      <c r="S10" s="7"/>
      <c r="T10" s="2"/>
      <c r="U10" s="5"/>
      <c r="V10" s="5"/>
      <c r="W10" s="7"/>
      <c r="X10" s="7"/>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row>
    <row r="11" customFormat="false" ht="15" hidden="false" customHeight="true" outlineLevel="0" collapsed="false">
      <c r="A11" s="99"/>
      <c r="B11" s="115" t="s">
        <v>54</v>
      </c>
      <c r="C11" s="115"/>
      <c r="D11" s="115"/>
      <c r="E11" s="116" t="n">
        <f aca="false">SUM(E6:E10)</f>
        <v>52500</v>
      </c>
      <c r="F11" s="104"/>
      <c r="G11" s="117" t="s">
        <v>54</v>
      </c>
      <c r="H11" s="117"/>
      <c r="I11" s="117"/>
      <c r="J11" s="117"/>
      <c r="K11" s="116" t="n">
        <f aca="false">SUM(K6:K10)</f>
        <v>12500</v>
      </c>
      <c r="L11" s="104"/>
      <c r="M11" s="112"/>
      <c r="N11" s="112"/>
      <c r="O11" s="106"/>
      <c r="P11" s="7"/>
      <c r="Q11" s="7"/>
      <c r="R11" s="7"/>
      <c r="S11" s="7"/>
      <c r="T11" s="2"/>
      <c r="U11" s="5"/>
      <c r="V11" s="5"/>
      <c r="W11" s="7"/>
      <c r="X11" s="7"/>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row>
    <row r="12" customFormat="false" ht="15" hidden="false" customHeight="true" outlineLevel="0" collapsed="false">
      <c r="A12" s="99"/>
      <c r="B12" s="100"/>
      <c r="C12" s="101"/>
      <c r="D12" s="102"/>
      <c r="E12" s="104"/>
      <c r="F12" s="104"/>
      <c r="G12" s="100"/>
      <c r="H12" s="101"/>
      <c r="I12" s="102"/>
      <c r="J12" s="104"/>
      <c r="K12" s="104"/>
      <c r="L12" s="104"/>
      <c r="M12" s="112"/>
      <c r="N12" s="112"/>
      <c r="O12" s="106"/>
      <c r="P12" s="7"/>
      <c r="Q12" s="7"/>
      <c r="R12" s="7"/>
      <c r="S12" s="7"/>
      <c r="T12" s="2"/>
      <c r="U12" s="5"/>
      <c r="V12" s="5"/>
      <c r="W12" s="7"/>
      <c r="X12" s="7"/>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row>
    <row r="13" customFormat="false" ht="15" hidden="false" customHeight="true" outlineLevel="0" collapsed="false">
      <c r="A13" s="99"/>
      <c r="B13" s="115" t="s">
        <v>55</v>
      </c>
      <c r="C13" s="115"/>
      <c r="D13" s="115"/>
      <c r="E13" s="116" t="n">
        <f aca="false">[2]Oct!$AI$2</f>
        <v>52500</v>
      </c>
      <c r="F13" s="104"/>
      <c r="G13" s="117" t="s">
        <v>56</v>
      </c>
      <c r="H13" s="117"/>
      <c r="I13" s="117"/>
      <c r="J13" s="117"/>
      <c r="K13" s="116" t="n">
        <f aca="false">[3]Oct!$U$2</f>
        <v>12500</v>
      </c>
      <c r="L13" s="104"/>
      <c r="M13" s="112"/>
      <c r="N13" s="112"/>
      <c r="O13" s="106"/>
      <c r="P13" s="7"/>
      <c r="Q13" s="7"/>
      <c r="R13" s="7"/>
      <c r="S13" s="7"/>
      <c r="T13" s="2"/>
      <c r="U13" s="5"/>
      <c r="V13" s="5"/>
      <c r="W13" s="7"/>
      <c r="X13" s="7"/>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row>
    <row r="14" customFormat="false" ht="15" hidden="false" customHeight="true" outlineLevel="0" collapsed="false">
      <c r="A14" s="99"/>
      <c r="B14" s="100"/>
      <c r="C14" s="101"/>
      <c r="D14" s="102"/>
      <c r="E14" s="104"/>
      <c r="F14" s="104"/>
      <c r="G14" s="100"/>
      <c r="H14" s="101"/>
      <c r="I14" s="102"/>
      <c r="J14" s="104"/>
      <c r="K14" s="104"/>
      <c r="L14" s="104"/>
      <c r="M14" s="112"/>
      <c r="N14" s="112"/>
      <c r="O14" s="106"/>
      <c r="P14" s="7"/>
      <c r="Q14" s="7"/>
      <c r="R14" s="7"/>
      <c r="S14" s="7"/>
      <c r="T14" s="2"/>
      <c r="U14" s="5"/>
      <c r="V14" s="5"/>
      <c r="W14" s="7"/>
      <c r="X14" s="7"/>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row>
    <row r="15" customFormat="false" ht="30" hidden="false" customHeight="true" outlineLevel="0" collapsed="false">
      <c r="A15" s="99"/>
      <c r="B15" s="118" t="str">
        <f aca="false">IF(E15&gt;0,"Purchases exceed Assets listed on Schedule",IF(E15&lt;0,"Assets listed on Schedule exceed Purchase values","Purchases reconcile with Fixed asset Schedule"))</f>
        <v>Purchases reconcile with Fixed asset Schedule</v>
      </c>
      <c r="C15" s="118"/>
      <c r="D15" s="118"/>
      <c r="E15" s="119" t="n">
        <f aca="false">E13-E11</f>
        <v>0</v>
      </c>
      <c r="F15" s="104"/>
      <c r="G15" s="118" t="str">
        <f aca="false">IF(K15&gt;0,"Sales exceed Assets listed on Schedule",IF(K15&lt;0,"Assets listed on Schedule exceed Sales values","Sales reconcile with Fixed asset Schedule"))</f>
        <v>Sales reconcile with Fixed asset Schedule</v>
      </c>
      <c r="H15" s="118"/>
      <c r="I15" s="118"/>
      <c r="J15" s="118"/>
      <c r="K15" s="119" t="n">
        <f aca="false">K13-K11</f>
        <v>0</v>
      </c>
      <c r="L15" s="104"/>
      <c r="M15" s="112"/>
      <c r="N15" s="112"/>
      <c r="O15" s="106"/>
      <c r="P15" s="7"/>
      <c r="Q15" s="7"/>
      <c r="R15" s="7"/>
      <c r="S15" s="7"/>
      <c r="T15" s="2"/>
      <c r="U15" s="5"/>
      <c r="V15" s="5"/>
      <c r="W15" s="7"/>
      <c r="X15" s="7"/>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row>
    <row r="16" customFormat="false" ht="9" hidden="false" customHeight="true" outlineLevel="0" collapsed="false">
      <c r="A16" s="120"/>
      <c r="B16" s="121"/>
      <c r="C16" s="122"/>
      <c r="D16" s="123"/>
      <c r="E16" s="124"/>
      <c r="F16" s="124"/>
      <c r="G16" s="121"/>
      <c r="H16" s="122"/>
      <c r="I16" s="123"/>
      <c r="J16" s="124"/>
      <c r="K16" s="124"/>
      <c r="L16" s="124"/>
      <c r="M16" s="125"/>
      <c r="N16" s="124"/>
      <c r="O16" s="126"/>
      <c r="P16" s="7"/>
      <c r="Q16" s="7"/>
      <c r="R16" s="7"/>
      <c r="S16" s="7"/>
      <c r="T16" s="2"/>
      <c r="U16" s="5"/>
      <c r="V16" s="5"/>
      <c r="W16" s="7"/>
      <c r="X16" s="7"/>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row>
  </sheetData>
  <mergeCells count="20">
    <mergeCell ref="A1:N1"/>
    <mergeCell ref="E2:H2"/>
    <mergeCell ref="G4:I4"/>
    <mergeCell ref="M4:N15"/>
    <mergeCell ref="B6:D6"/>
    <mergeCell ref="G6:J6"/>
    <mergeCell ref="B7:D7"/>
    <mergeCell ref="G7:J7"/>
    <mergeCell ref="B8:D8"/>
    <mergeCell ref="G8:J8"/>
    <mergeCell ref="B9:D9"/>
    <mergeCell ref="G9:J9"/>
    <mergeCell ref="B10:D10"/>
    <mergeCell ref="G10:J10"/>
    <mergeCell ref="B11:D11"/>
    <mergeCell ref="G11:J11"/>
    <mergeCell ref="B13:D13"/>
    <mergeCell ref="G13:J13"/>
    <mergeCell ref="B15:D15"/>
    <mergeCell ref="G15:J15"/>
  </mergeCells>
  <printOptions headings="false" gridLines="false" gridLinesSet="true" horizontalCentered="true" verticalCentered="false"/>
  <pageMargins left="0.354166666666667" right="0.354166666666667" top="0.7875" bottom="0.7875" header="0.511805555555556" footer="0.511805555555556"/>
  <pageSetup paperSize="9" scale="100" fitToWidth="1" fitToHeight="1" pageOrder="downThenOver" orientation="landscape" blackAndWhite="false" draft="false" cellComments="none" horizontalDpi="300" verticalDpi="300" copies="1"/>
  <headerFooter differentFirst="false" differentOddEven="false">
    <oddHeader>&amp;CReconciliation between Fixed Assets entered on Sales and Purchase spreadsheets with the Fixed Asset Schedule</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127" width="1.5"/>
    <col collapsed="false" customWidth="true" hidden="false" outlineLevel="0" max="2" min="2" style="2" width="10.66"/>
    <col collapsed="false" customWidth="true" hidden="false" outlineLevel="0" max="4" min="3" style="4" width="18.66"/>
    <col collapsed="false" customWidth="true" hidden="false" outlineLevel="0" max="5" min="5" style="127" width="13.82"/>
    <col collapsed="false" customWidth="true" hidden="false" outlineLevel="0" max="7" min="6" style="127" width="8.66"/>
    <col collapsed="false" customWidth="true" hidden="false" outlineLevel="0" max="8" min="8" style="8" width="6.66"/>
    <col collapsed="false" customWidth="true" hidden="false" outlineLevel="0" max="11" min="9" style="128" width="8.66"/>
    <col collapsed="false" customWidth="true" hidden="false" outlineLevel="0" max="12" min="12" style="4" width="18.66"/>
    <col collapsed="false" customWidth="true" hidden="false" outlineLevel="0" max="13" min="13" style="127" width="1.5"/>
    <col collapsed="false" customWidth="false" hidden="false" outlineLevel="0" max="257" min="14" style="127" width="9.15"/>
  </cols>
  <sheetData>
    <row r="1" customFormat="false" ht="6" hidden="false" customHeight="true" outlineLevel="0" collapsed="false">
      <c r="A1" s="129"/>
      <c r="B1" s="100"/>
      <c r="C1" s="102"/>
      <c r="D1" s="102"/>
      <c r="E1" s="129"/>
      <c r="F1" s="129"/>
      <c r="G1" s="129"/>
      <c r="H1" s="130"/>
      <c r="I1" s="131"/>
      <c r="J1" s="131"/>
      <c r="K1" s="131"/>
      <c r="L1" s="102"/>
      <c r="M1" s="129"/>
    </row>
    <row r="2" customFormat="false" ht="15" hidden="false" customHeight="true" outlineLevel="0" collapsed="false">
      <c r="A2" s="129"/>
      <c r="B2" s="132"/>
      <c r="C2" s="133" t="s">
        <v>57</v>
      </c>
      <c r="D2" s="133"/>
      <c r="E2" s="134" t="n">
        <f aca="false">SUM(E8:E26)</f>
        <v>20000</v>
      </c>
      <c r="F2" s="135"/>
      <c r="G2" s="136" t="s">
        <v>58</v>
      </c>
      <c r="H2" s="136"/>
      <c r="I2" s="136"/>
      <c r="J2" s="136"/>
      <c r="K2" s="136"/>
      <c r="L2" s="48"/>
      <c r="M2" s="129"/>
    </row>
    <row r="3" customFormat="false" ht="18" hidden="false" customHeight="true" outlineLevel="0" collapsed="false">
      <c r="A3" s="129"/>
      <c r="B3" s="137" t="s">
        <v>59</v>
      </c>
      <c r="C3" s="62"/>
      <c r="D3" s="138"/>
      <c r="E3" s="135"/>
      <c r="F3" s="135"/>
      <c r="G3" s="136"/>
      <c r="H3" s="136"/>
      <c r="I3" s="136"/>
      <c r="J3" s="136"/>
      <c r="K3" s="136"/>
      <c r="L3" s="48"/>
      <c r="M3" s="129"/>
    </row>
    <row r="4" customFormat="false" ht="9" hidden="false" customHeight="true" outlineLevel="0" collapsed="false">
      <c r="A4" s="129"/>
      <c r="B4" s="49"/>
      <c r="C4" s="62"/>
      <c r="D4" s="62"/>
      <c r="E4" s="132"/>
      <c r="F4" s="132"/>
      <c r="G4" s="132"/>
      <c r="H4" s="48"/>
      <c r="I4" s="135"/>
      <c r="J4" s="135"/>
      <c r="K4" s="135"/>
      <c r="L4" s="139"/>
      <c r="M4" s="129"/>
    </row>
    <row r="5" customFormat="false" ht="15" hidden="false" customHeight="true" outlineLevel="0" collapsed="false">
      <c r="A5" s="140"/>
      <c r="B5" s="10" t="s">
        <v>60</v>
      </c>
      <c r="C5" s="21" t="s">
        <v>61</v>
      </c>
      <c r="D5" s="21" t="s">
        <v>62</v>
      </c>
      <c r="E5" s="141" t="s">
        <v>63</v>
      </c>
      <c r="F5" s="141" t="s">
        <v>64</v>
      </c>
      <c r="G5" s="141" t="s">
        <v>65</v>
      </c>
      <c r="H5" s="21" t="s">
        <v>66</v>
      </c>
      <c r="I5" s="141" t="s">
        <v>67</v>
      </c>
      <c r="J5" s="141"/>
      <c r="K5" s="141"/>
      <c r="L5" s="21" t="s">
        <v>68</v>
      </c>
      <c r="M5" s="140"/>
      <c r="N5" s="142"/>
      <c r="O5" s="142"/>
      <c r="P5" s="142"/>
      <c r="Q5" s="142"/>
      <c r="R5" s="142"/>
      <c r="S5" s="142"/>
      <c r="T5" s="142"/>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c r="BT5" s="142"/>
      <c r="BU5" s="142"/>
      <c r="BV5" s="142"/>
      <c r="BW5" s="142"/>
      <c r="BX5" s="142"/>
      <c r="BY5" s="142"/>
      <c r="BZ5" s="142"/>
      <c r="CA5" s="142"/>
      <c r="CB5" s="142"/>
      <c r="CC5" s="142"/>
      <c r="CD5" s="142"/>
      <c r="CE5" s="142"/>
      <c r="CF5" s="142"/>
      <c r="CG5" s="142"/>
      <c r="CH5" s="142"/>
      <c r="CI5" s="142"/>
      <c r="CJ5" s="142"/>
      <c r="CK5" s="142"/>
      <c r="CL5" s="142"/>
      <c r="CM5" s="142"/>
      <c r="CN5" s="142"/>
      <c r="CO5" s="142"/>
      <c r="CP5" s="142"/>
      <c r="CQ5" s="142"/>
      <c r="CR5" s="142"/>
      <c r="CS5" s="142"/>
      <c r="CT5" s="142"/>
      <c r="CU5" s="142"/>
      <c r="CV5" s="142"/>
      <c r="CW5" s="142"/>
      <c r="CX5" s="142"/>
      <c r="CY5" s="142"/>
      <c r="CZ5" s="142"/>
      <c r="DA5" s="142"/>
      <c r="DB5" s="142"/>
      <c r="DC5" s="142"/>
      <c r="DD5" s="142"/>
      <c r="DE5" s="142"/>
      <c r="DF5" s="142"/>
      <c r="DG5" s="142"/>
      <c r="DH5" s="142"/>
      <c r="DI5" s="142"/>
      <c r="DJ5" s="142"/>
      <c r="DK5" s="142"/>
      <c r="DL5" s="142"/>
      <c r="DM5" s="142"/>
      <c r="DN5" s="142"/>
      <c r="DO5" s="142"/>
      <c r="DP5" s="142"/>
      <c r="DQ5" s="142"/>
      <c r="DR5" s="142"/>
      <c r="DS5" s="142"/>
      <c r="DT5" s="142"/>
      <c r="DU5" s="142"/>
      <c r="DV5" s="142"/>
      <c r="DW5" s="142"/>
      <c r="DX5" s="142"/>
      <c r="DY5" s="142"/>
      <c r="DZ5" s="142"/>
      <c r="EA5" s="142"/>
      <c r="EB5" s="142"/>
      <c r="EC5" s="142"/>
      <c r="ED5" s="142"/>
      <c r="EE5" s="142"/>
      <c r="EF5" s="142"/>
      <c r="EG5" s="142"/>
      <c r="EH5" s="142"/>
      <c r="EI5" s="142"/>
      <c r="EJ5" s="142"/>
      <c r="EK5" s="142"/>
      <c r="EL5" s="142"/>
      <c r="EM5" s="142"/>
      <c r="EN5" s="142"/>
      <c r="EO5" s="142"/>
      <c r="EP5" s="142"/>
      <c r="EQ5" s="142"/>
      <c r="ER5" s="142"/>
      <c r="ES5" s="142"/>
      <c r="ET5" s="142"/>
      <c r="EU5" s="142"/>
      <c r="EV5" s="142"/>
      <c r="EW5" s="142"/>
      <c r="EX5" s="142"/>
      <c r="EY5" s="142"/>
      <c r="EZ5" s="142"/>
      <c r="FA5" s="142"/>
      <c r="FB5" s="142"/>
      <c r="FC5" s="142"/>
      <c r="FD5" s="142"/>
      <c r="FE5" s="142"/>
      <c r="FF5" s="142"/>
      <c r="FG5" s="142"/>
      <c r="FH5" s="142"/>
      <c r="FI5" s="142"/>
      <c r="FJ5" s="142"/>
      <c r="FK5" s="142"/>
      <c r="FL5" s="142"/>
      <c r="FM5" s="142"/>
      <c r="FN5" s="142"/>
      <c r="FO5" s="142"/>
      <c r="FP5" s="142"/>
      <c r="FQ5" s="142"/>
      <c r="FR5" s="142"/>
      <c r="FS5" s="142"/>
      <c r="FT5" s="142"/>
      <c r="FU5" s="142"/>
      <c r="FV5" s="142"/>
      <c r="FW5" s="142"/>
      <c r="FX5" s="142"/>
      <c r="FY5" s="142"/>
      <c r="FZ5" s="142"/>
      <c r="GA5" s="142"/>
      <c r="GB5" s="142"/>
      <c r="GC5" s="142"/>
      <c r="GD5" s="142"/>
      <c r="GE5" s="142"/>
      <c r="GF5" s="142"/>
      <c r="GG5" s="142"/>
      <c r="GH5" s="142"/>
      <c r="GI5" s="142"/>
      <c r="GJ5" s="142"/>
      <c r="GK5" s="142"/>
      <c r="GL5" s="142"/>
      <c r="GM5" s="142"/>
      <c r="GN5" s="142"/>
      <c r="GO5" s="142"/>
      <c r="GP5" s="142"/>
      <c r="GQ5" s="142"/>
      <c r="GR5" s="142"/>
      <c r="GS5" s="142"/>
      <c r="GT5" s="142"/>
      <c r="GU5" s="142"/>
      <c r="GV5" s="142"/>
      <c r="GW5" s="142"/>
      <c r="GX5" s="142"/>
      <c r="GY5" s="142"/>
      <c r="GZ5" s="142"/>
      <c r="HA5" s="142"/>
      <c r="HB5" s="142"/>
      <c r="HC5" s="142"/>
      <c r="HD5" s="142"/>
      <c r="HE5" s="142"/>
      <c r="HF5" s="142"/>
      <c r="HG5" s="142"/>
      <c r="HH5" s="142"/>
      <c r="HI5" s="142"/>
      <c r="HJ5" s="142"/>
      <c r="HK5" s="142"/>
      <c r="HL5" s="142"/>
      <c r="HM5" s="142"/>
      <c r="HN5" s="142"/>
      <c r="HO5" s="142"/>
      <c r="HP5" s="142"/>
      <c r="HQ5" s="142"/>
      <c r="HR5" s="142"/>
      <c r="HS5" s="142"/>
      <c r="HT5" s="142"/>
      <c r="HU5" s="142"/>
      <c r="HV5" s="142"/>
      <c r="HW5" s="142"/>
      <c r="HX5" s="142"/>
      <c r="HY5" s="142"/>
      <c r="HZ5" s="142"/>
      <c r="IA5" s="142"/>
      <c r="IB5" s="142"/>
      <c r="IC5" s="142"/>
      <c r="ID5" s="142"/>
      <c r="IE5" s="142"/>
      <c r="IF5" s="142"/>
      <c r="IG5" s="142"/>
      <c r="IH5" s="142"/>
      <c r="II5" s="142"/>
      <c r="IJ5" s="142"/>
      <c r="IK5" s="142"/>
      <c r="IL5" s="142"/>
      <c r="IM5" s="142"/>
      <c r="IN5" s="142"/>
      <c r="IO5" s="142"/>
      <c r="IP5" s="142"/>
      <c r="IQ5" s="142"/>
      <c r="IR5" s="142"/>
      <c r="IS5" s="142"/>
      <c r="IT5" s="142"/>
      <c r="IU5" s="142"/>
      <c r="IV5" s="142"/>
      <c r="IW5" s="142"/>
    </row>
    <row r="6" customFormat="false" ht="30.75" hidden="false" customHeight="true" outlineLevel="0" collapsed="false">
      <c r="A6" s="140"/>
      <c r="B6" s="10"/>
      <c r="C6" s="10"/>
      <c r="D6" s="10"/>
      <c r="E6" s="10"/>
      <c r="F6" s="10"/>
      <c r="G6" s="10"/>
      <c r="H6" s="10"/>
      <c r="I6" s="141" t="s">
        <v>69</v>
      </c>
      <c r="J6" s="141" t="s">
        <v>70</v>
      </c>
      <c r="K6" s="141" t="s">
        <v>71</v>
      </c>
      <c r="L6" s="21"/>
      <c r="M6" s="140"/>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2"/>
      <c r="BK6" s="142"/>
      <c r="BL6" s="142"/>
      <c r="BM6" s="142"/>
      <c r="BN6" s="142"/>
      <c r="BO6" s="142"/>
      <c r="BP6" s="142"/>
      <c r="BQ6" s="142"/>
      <c r="BR6" s="142"/>
      <c r="BS6" s="142"/>
      <c r="BT6" s="142"/>
      <c r="BU6" s="142"/>
      <c r="BV6" s="142"/>
      <c r="BW6" s="142"/>
      <c r="BX6" s="142"/>
      <c r="BY6" s="142"/>
      <c r="BZ6" s="142"/>
      <c r="CA6" s="142"/>
      <c r="CB6" s="142"/>
      <c r="CC6" s="142"/>
      <c r="CD6" s="142"/>
      <c r="CE6" s="142"/>
      <c r="CF6" s="142"/>
      <c r="CG6" s="142"/>
      <c r="CH6" s="142"/>
      <c r="CI6" s="142"/>
      <c r="CJ6" s="142"/>
      <c r="CK6" s="142"/>
      <c r="CL6" s="142"/>
      <c r="CM6" s="142"/>
      <c r="CN6" s="142"/>
      <c r="CO6" s="142"/>
      <c r="CP6" s="142"/>
      <c r="CQ6" s="142"/>
      <c r="CR6" s="142"/>
      <c r="CS6" s="142"/>
      <c r="CT6" s="142"/>
      <c r="CU6" s="142"/>
      <c r="CV6" s="142"/>
      <c r="CW6" s="142"/>
      <c r="CX6" s="142"/>
      <c r="CY6" s="142"/>
      <c r="CZ6" s="142"/>
      <c r="DA6" s="142"/>
      <c r="DB6" s="142"/>
      <c r="DC6" s="142"/>
      <c r="DD6" s="142"/>
      <c r="DE6" s="142"/>
      <c r="DF6" s="142"/>
      <c r="DG6" s="142"/>
      <c r="DH6" s="142"/>
      <c r="DI6" s="142"/>
      <c r="DJ6" s="142"/>
      <c r="DK6" s="142"/>
      <c r="DL6" s="142"/>
      <c r="DM6" s="142"/>
      <c r="DN6" s="142"/>
      <c r="DO6" s="142"/>
      <c r="DP6" s="142"/>
      <c r="DQ6" s="142"/>
      <c r="DR6" s="142"/>
      <c r="DS6" s="142"/>
      <c r="DT6" s="142"/>
      <c r="DU6" s="142"/>
      <c r="DV6" s="142"/>
      <c r="DW6" s="142"/>
      <c r="DX6" s="142"/>
      <c r="DY6" s="142"/>
      <c r="DZ6" s="142"/>
      <c r="EA6" s="142"/>
      <c r="EB6" s="142"/>
      <c r="EC6" s="142"/>
      <c r="ED6" s="142"/>
      <c r="EE6" s="142"/>
      <c r="EF6" s="142"/>
      <c r="EG6" s="142"/>
      <c r="EH6" s="142"/>
      <c r="EI6" s="142"/>
      <c r="EJ6" s="142"/>
      <c r="EK6" s="142"/>
      <c r="EL6" s="142"/>
      <c r="EM6" s="142"/>
      <c r="EN6" s="142"/>
      <c r="EO6" s="142"/>
      <c r="EP6" s="142"/>
      <c r="EQ6" s="142"/>
      <c r="ER6" s="142"/>
      <c r="ES6" s="142"/>
      <c r="ET6" s="142"/>
      <c r="EU6" s="142"/>
      <c r="EV6" s="142"/>
      <c r="EW6" s="142"/>
      <c r="EX6" s="142"/>
      <c r="EY6" s="142"/>
      <c r="EZ6" s="142"/>
      <c r="FA6" s="142"/>
      <c r="FB6" s="142"/>
      <c r="FC6" s="142"/>
      <c r="FD6" s="142"/>
      <c r="FE6" s="142"/>
      <c r="FF6" s="142"/>
      <c r="FG6" s="142"/>
      <c r="FH6" s="142"/>
      <c r="FI6" s="142"/>
      <c r="FJ6" s="142"/>
      <c r="FK6" s="142"/>
      <c r="FL6" s="142"/>
      <c r="FM6" s="142"/>
      <c r="FN6" s="142"/>
      <c r="FO6" s="142"/>
      <c r="FP6" s="142"/>
      <c r="FQ6" s="142"/>
      <c r="FR6" s="142"/>
      <c r="FS6" s="142"/>
      <c r="FT6" s="142"/>
      <c r="FU6" s="142"/>
      <c r="FV6" s="142"/>
      <c r="FW6" s="142"/>
      <c r="FX6" s="142"/>
      <c r="FY6" s="142"/>
      <c r="FZ6" s="142"/>
      <c r="GA6" s="142"/>
      <c r="GB6" s="142"/>
      <c r="GC6" s="142"/>
      <c r="GD6" s="142"/>
      <c r="GE6" s="142"/>
      <c r="GF6" s="142"/>
      <c r="GG6" s="142"/>
      <c r="GH6" s="142"/>
      <c r="GI6" s="142"/>
      <c r="GJ6" s="142"/>
      <c r="GK6" s="142"/>
      <c r="GL6" s="142"/>
      <c r="GM6" s="142"/>
      <c r="GN6" s="142"/>
      <c r="GO6" s="142"/>
      <c r="GP6" s="142"/>
      <c r="GQ6" s="142"/>
      <c r="GR6" s="142"/>
      <c r="GS6" s="142"/>
      <c r="GT6" s="142"/>
      <c r="GU6" s="142"/>
      <c r="GV6" s="142"/>
      <c r="GW6" s="142"/>
      <c r="GX6" s="142"/>
      <c r="GY6" s="142"/>
      <c r="GZ6" s="142"/>
      <c r="HA6" s="142"/>
      <c r="HB6" s="142"/>
      <c r="HC6" s="142"/>
      <c r="HD6" s="142"/>
      <c r="HE6" s="142"/>
      <c r="HF6" s="142"/>
      <c r="HG6" s="142"/>
      <c r="HH6" s="142"/>
      <c r="HI6" s="142"/>
      <c r="HJ6" s="142"/>
      <c r="HK6" s="142"/>
      <c r="HL6" s="142"/>
      <c r="HM6" s="142"/>
      <c r="HN6" s="142"/>
      <c r="HO6" s="142"/>
      <c r="HP6" s="142"/>
      <c r="HQ6" s="142"/>
      <c r="HR6" s="142"/>
      <c r="HS6" s="142"/>
      <c r="HT6" s="142"/>
      <c r="HU6" s="142"/>
      <c r="HV6" s="142"/>
      <c r="HW6" s="142"/>
      <c r="HX6" s="142"/>
      <c r="HY6" s="142"/>
      <c r="HZ6" s="142"/>
      <c r="IA6" s="142"/>
      <c r="IB6" s="142"/>
      <c r="IC6" s="142"/>
      <c r="ID6" s="142"/>
      <c r="IE6" s="142"/>
      <c r="IF6" s="142"/>
      <c r="IG6" s="142"/>
      <c r="IH6" s="142"/>
      <c r="II6" s="142"/>
      <c r="IJ6" s="142"/>
      <c r="IK6" s="142"/>
      <c r="IL6" s="142"/>
      <c r="IM6" s="142"/>
      <c r="IN6" s="142"/>
      <c r="IO6" s="142"/>
      <c r="IP6" s="142"/>
      <c r="IQ6" s="142"/>
      <c r="IR6" s="142"/>
      <c r="IS6" s="142"/>
      <c r="IT6" s="142"/>
      <c r="IU6" s="142"/>
      <c r="IV6" s="142"/>
      <c r="IW6" s="142"/>
    </row>
    <row r="7" customFormat="false" ht="12" hidden="false" customHeight="false" outlineLevel="0" collapsed="false">
      <c r="A7" s="129"/>
      <c r="B7" s="49"/>
      <c r="C7" s="62"/>
      <c r="D7" s="62"/>
      <c r="E7" s="132"/>
      <c r="F7" s="132"/>
      <c r="G7" s="132"/>
      <c r="H7" s="48"/>
      <c r="I7" s="135"/>
      <c r="J7" s="135"/>
      <c r="K7" s="135"/>
      <c r="L7" s="62"/>
      <c r="M7" s="129"/>
    </row>
    <row r="8" customFormat="false" ht="15" hidden="false" customHeight="true" outlineLevel="0" collapsed="false">
      <c r="A8" s="129"/>
      <c r="B8" s="54" t="n">
        <v>46388</v>
      </c>
      <c r="C8" s="56" t="s">
        <v>72</v>
      </c>
      <c r="D8" s="56" t="s">
        <v>73</v>
      </c>
      <c r="E8" s="134" t="n">
        <v>13000</v>
      </c>
      <c r="F8" s="134" t="n">
        <v>200</v>
      </c>
      <c r="G8" s="134" t="n">
        <v>1800</v>
      </c>
      <c r="H8" s="143" t="n">
        <v>20</v>
      </c>
      <c r="I8" s="135" t="n">
        <f aca="false">IF(E8&gt;0,(E8+F8+G8)/H8," ")</f>
        <v>750</v>
      </c>
      <c r="J8" s="135" t="n">
        <f aca="false">IF(H8&gt;0,I8-K8," ")</f>
        <v>660</v>
      </c>
      <c r="K8" s="135" t="n">
        <f aca="false">IF(H8&gt;0,G8/H8," ")</f>
        <v>90</v>
      </c>
      <c r="L8" s="56" t="s">
        <v>34</v>
      </c>
      <c r="M8" s="129"/>
    </row>
    <row r="9" customFormat="false" ht="12" hidden="false" customHeight="false" outlineLevel="0" collapsed="false">
      <c r="A9" s="129"/>
      <c r="B9" s="49"/>
      <c r="C9" s="62"/>
      <c r="D9" s="62"/>
      <c r="E9" s="132"/>
      <c r="F9" s="132"/>
      <c r="G9" s="132"/>
      <c r="H9" s="48"/>
      <c r="I9" s="135"/>
      <c r="J9" s="135"/>
      <c r="K9" s="135"/>
      <c r="L9" s="62"/>
      <c r="M9" s="129"/>
    </row>
    <row r="10" customFormat="false" ht="15" hidden="false" customHeight="true" outlineLevel="0" collapsed="false">
      <c r="A10" s="129"/>
      <c r="B10" s="54" t="n">
        <v>46478</v>
      </c>
      <c r="C10" s="56" t="s">
        <v>72</v>
      </c>
      <c r="D10" s="56" t="s">
        <v>74</v>
      </c>
      <c r="E10" s="134" t="n">
        <v>7000</v>
      </c>
      <c r="F10" s="134" t="n">
        <v>100</v>
      </c>
      <c r="G10" s="134" t="n">
        <v>1000</v>
      </c>
      <c r="H10" s="143" t="n">
        <v>20</v>
      </c>
      <c r="I10" s="135" t="n">
        <f aca="false">IF(E10&gt;0,(E10+F10+G10)/H10," ")</f>
        <v>405</v>
      </c>
      <c r="J10" s="135" t="n">
        <f aca="false">IF(H10&gt;0,I10-K10," ")</f>
        <v>355</v>
      </c>
      <c r="K10" s="135" t="n">
        <f aca="false">IF(H10&gt;0,G10/H10," ")</f>
        <v>50</v>
      </c>
      <c r="L10" s="56" t="s">
        <v>34</v>
      </c>
      <c r="M10" s="129"/>
    </row>
    <row r="11" customFormat="false" ht="12" hidden="false" customHeight="false" outlineLevel="0" collapsed="false">
      <c r="A11" s="129"/>
      <c r="B11" s="49"/>
      <c r="C11" s="62"/>
      <c r="D11" s="62"/>
      <c r="E11" s="132"/>
      <c r="F11" s="132"/>
      <c r="G11" s="132"/>
      <c r="H11" s="48"/>
      <c r="I11" s="135"/>
      <c r="J11" s="135"/>
      <c r="K11" s="135"/>
      <c r="L11" s="62"/>
      <c r="M11" s="129"/>
    </row>
    <row r="12" customFormat="false" ht="15" hidden="false" customHeight="true" outlineLevel="0" collapsed="false">
      <c r="A12" s="129"/>
      <c r="B12" s="54"/>
      <c r="C12" s="56"/>
      <c r="D12" s="56"/>
      <c r="E12" s="134"/>
      <c r="F12" s="134"/>
      <c r="G12" s="134"/>
      <c r="H12" s="143"/>
      <c r="I12" s="135" t="str">
        <f aca="false">IF(E12&gt;0,(E12+F12+G12)/H12," ")</f>
        <v> </v>
      </c>
      <c r="J12" s="135" t="str">
        <f aca="false">IF(H12&gt;0,I12-K12," ")</f>
        <v> </v>
      </c>
      <c r="K12" s="135" t="str">
        <f aca="false">IF(H12&gt;0,G12/H12," ")</f>
        <v> </v>
      </c>
      <c r="L12" s="56"/>
      <c r="M12" s="129"/>
    </row>
    <row r="13" customFormat="false" ht="12" hidden="false" customHeight="false" outlineLevel="0" collapsed="false">
      <c r="A13" s="129"/>
      <c r="B13" s="49"/>
      <c r="C13" s="62"/>
      <c r="D13" s="62"/>
      <c r="E13" s="132"/>
      <c r="F13" s="132"/>
      <c r="G13" s="132"/>
      <c r="H13" s="48"/>
      <c r="I13" s="135"/>
      <c r="J13" s="135"/>
      <c r="K13" s="135"/>
      <c r="L13" s="62"/>
      <c r="M13" s="129"/>
    </row>
    <row r="14" customFormat="false" ht="15" hidden="false" customHeight="true" outlineLevel="0" collapsed="false">
      <c r="A14" s="129"/>
      <c r="B14" s="54"/>
      <c r="C14" s="56"/>
      <c r="D14" s="56"/>
      <c r="E14" s="134"/>
      <c r="F14" s="134"/>
      <c r="G14" s="134"/>
      <c r="H14" s="143"/>
      <c r="I14" s="135" t="str">
        <f aca="false">IF(E14&gt;0,(E14+F14+G14)/H14," ")</f>
        <v> </v>
      </c>
      <c r="J14" s="135" t="str">
        <f aca="false">IF(H14&gt;0,I14-K14," ")</f>
        <v> </v>
      </c>
      <c r="K14" s="135" t="str">
        <f aca="false">IF(H14&gt;0,G14/H14," ")</f>
        <v> </v>
      </c>
      <c r="L14" s="56"/>
      <c r="M14" s="129"/>
    </row>
    <row r="15" customFormat="false" ht="12" hidden="false" customHeight="false" outlineLevel="0" collapsed="false">
      <c r="A15" s="129"/>
      <c r="B15" s="49"/>
      <c r="C15" s="62"/>
      <c r="D15" s="62"/>
      <c r="E15" s="132"/>
      <c r="F15" s="132"/>
      <c r="G15" s="132"/>
      <c r="H15" s="48"/>
      <c r="I15" s="135"/>
      <c r="J15" s="135"/>
      <c r="K15" s="135"/>
      <c r="L15" s="62"/>
      <c r="M15" s="129"/>
    </row>
    <row r="16" customFormat="false" ht="15" hidden="false" customHeight="true" outlineLevel="0" collapsed="false">
      <c r="A16" s="129"/>
      <c r="B16" s="54"/>
      <c r="C16" s="56"/>
      <c r="D16" s="56"/>
      <c r="E16" s="134"/>
      <c r="F16" s="134"/>
      <c r="G16" s="134"/>
      <c r="H16" s="143"/>
      <c r="I16" s="135" t="str">
        <f aca="false">IF(E16&gt;0,(E16+F16+G16)/H16," ")</f>
        <v> </v>
      </c>
      <c r="J16" s="135" t="str">
        <f aca="false">IF(H16&gt;0,I16-K16," ")</f>
        <v> </v>
      </c>
      <c r="K16" s="135" t="str">
        <f aca="false">IF(H16&gt;0,G16/H16," ")</f>
        <v> </v>
      </c>
      <c r="L16" s="56"/>
      <c r="M16" s="129"/>
    </row>
    <row r="17" customFormat="false" ht="12" hidden="false" customHeight="false" outlineLevel="0" collapsed="false">
      <c r="A17" s="129"/>
      <c r="B17" s="49"/>
      <c r="C17" s="62"/>
      <c r="D17" s="62"/>
      <c r="E17" s="132"/>
      <c r="F17" s="132"/>
      <c r="G17" s="132"/>
      <c r="H17" s="48"/>
      <c r="I17" s="135"/>
      <c r="J17" s="135"/>
      <c r="K17" s="135"/>
      <c r="L17" s="62"/>
      <c r="M17" s="129"/>
    </row>
    <row r="18" customFormat="false" ht="15" hidden="false" customHeight="true" outlineLevel="0" collapsed="false">
      <c r="A18" s="129"/>
      <c r="B18" s="54"/>
      <c r="C18" s="56"/>
      <c r="D18" s="56"/>
      <c r="E18" s="134"/>
      <c r="F18" s="134"/>
      <c r="G18" s="134"/>
      <c r="H18" s="143"/>
      <c r="I18" s="135" t="str">
        <f aca="false">IF(E18&gt;0,(E18+F18+G18)/H18," ")</f>
        <v> </v>
      </c>
      <c r="J18" s="135" t="str">
        <f aca="false">IF(H18&gt;0,I18-K18," ")</f>
        <v> </v>
      </c>
      <c r="K18" s="135" t="str">
        <f aca="false">IF(H18&gt;0,G18/H18," ")</f>
        <v> </v>
      </c>
      <c r="L18" s="56"/>
      <c r="M18" s="129"/>
    </row>
    <row r="19" customFormat="false" ht="12" hidden="false" customHeight="false" outlineLevel="0" collapsed="false">
      <c r="A19" s="129"/>
      <c r="B19" s="49"/>
      <c r="C19" s="62"/>
      <c r="D19" s="62"/>
      <c r="E19" s="132"/>
      <c r="F19" s="132"/>
      <c r="G19" s="132"/>
      <c r="H19" s="48"/>
      <c r="I19" s="135"/>
      <c r="J19" s="135"/>
      <c r="K19" s="135"/>
      <c r="L19" s="62"/>
      <c r="M19" s="129"/>
    </row>
    <row r="20" customFormat="false" ht="15" hidden="false" customHeight="true" outlineLevel="0" collapsed="false">
      <c r="A20" s="129"/>
      <c r="B20" s="54"/>
      <c r="C20" s="56"/>
      <c r="D20" s="56"/>
      <c r="E20" s="134"/>
      <c r="F20" s="134"/>
      <c r="G20" s="134"/>
      <c r="H20" s="143"/>
      <c r="I20" s="135" t="str">
        <f aca="false">IF(E20&gt;0,(E20+F20+G20)/H20," ")</f>
        <v> </v>
      </c>
      <c r="J20" s="135" t="str">
        <f aca="false">IF(H20&gt;0,I20-K20," ")</f>
        <v> </v>
      </c>
      <c r="K20" s="135" t="str">
        <f aca="false">IF(H20&gt;0,G20/H20," ")</f>
        <v> </v>
      </c>
      <c r="L20" s="56"/>
      <c r="M20" s="129"/>
    </row>
    <row r="21" customFormat="false" ht="12" hidden="false" customHeight="false" outlineLevel="0" collapsed="false">
      <c r="A21" s="129"/>
      <c r="B21" s="49"/>
      <c r="C21" s="62"/>
      <c r="D21" s="62"/>
      <c r="E21" s="132"/>
      <c r="F21" s="132"/>
      <c r="G21" s="132"/>
      <c r="H21" s="48"/>
      <c r="I21" s="135"/>
      <c r="J21" s="135"/>
      <c r="K21" s="135"/>
      <c r="L21" s="62"/>
      <c r="M21" s="129"/>
    </row>
    <row r="22" customFormat="false" ht="15" hidden="false" customHeight="true" outlineLevel="0" collapsed="false">
      <c r="A22" s="129"/>
      <c r="B22" s="54"/>
      <c r="C22" s="56"/>
      <c r="D22" s="56"/>
      <c r="E22" s="134"/>
      <c r="F22" s="134"/>
      <c r="G22" s="134"/>
      <c r="H22" s="143"/>
      <c r="I22" s="135" t="str">
        <f aca="false">IF(E22&gt;0,(E22+F22+G22)/H22," ")</f>
        <v> </v>
      </c>
      <c r="J22" s="135" t="str">
        <f aca="false">IF(H22&gt;0,I22-K22," ")</f>
        <v> </v>
      </c>
      <c r="K22" s="135" t="str">
        <f aca="false">IF(H22&gt;0,G22/H22," ")</f>
        <v> </v>
      </c>
      <c r="L22" s="56"/>
      <c r="M22" s="129"/>
    </row>
    <row r="23" customFormat="false" ht="12" hidden="false" customHeight="false" outlineLevel="0" collapsed="false">
      <c r="A23" s="129"/>
      <c r="B23" s="49"/>
      <c r="C23" s="62"/>
      <c r="D23" s="62"/>
      <c r="E23" s="132"/>
      <c r="F23" s="132"/>
      <c r="G23" s="132"/>
      <c r="H23" s="48"/>
      <c r="I23" s="135"/>
      <c r="J23" s="135"/>
      <c r="K23" s="135"/>
      <c r="L23" s="62"/>
      <c r="M23" s="129"/>
    </row>
    <row r="24" customFormat="false" ht="15" hidden="false" customHeight="true" outlineLevel="0" collapsed="false">
      <c r="A24" s="129"/>
      <c r="B24" s="54"/>
      <c r="C24" s="56"/>
      <c r="D24" s="56"/>
      <c r="E24" s="134"/>
      <c r="F24" s="134"/>
      <c r="G24" s="134"/>
      <c r="H24" s="143"/>
      <c r="I24" s="135" t="str">
        <f aca="false">IF(E24&gt;0,(E24+F24+G24)/H24," ")</f>
        <v> </v>
      </c>
      <c r="J24" s="135" t="str">
        <f aca="false">IF(H24&gt;0,I24-K24," ")</f>
        <v> </v>
      </c>
      <c r="K24" s="135" t="str">
        <f aca="false">IF(H24&gt;0,G24/H24," ")</f>
        <v> </v>
      </c>
      <c r="L24" s="56"/>
      <c r="M24" s="129"/>
    </row>
    <row r="25" customFormat="false" ht="12" hidden="false" customHeight="false" outlineLevel="0" collapsed="false">
      <c r="A25" s="129"/>
      <c r="B25" s="49"/>
      <c r="C25" s="62"/>
      <c r="D25" s="62"/>
      <c r="E25" s="132"/>
      <c r="F25" s="132"/>
      <c r="G25" s="132"/>
      <c r="H25" s="48"/>
      <c r="I25" s="135"/>
      <c r="J25" s="135"/>
      <c r="K25" s="135"/>
      <c r="L25" s="62"/>
      <c r="M25" s="129"/>
    </row>
    <row r="26" customFormat="false" ht="15" hidden="false" customHeight="true" outlineLevel="0" collapsed="false">
      <c r="A26" s="129"/>
      <c r="B26" s="54"/>
      <c r="C26" s="56"/>
      <c r="D26" s="56"/>
      <c r="E26" s="134"/>
      <c r="F26" s="134"/>
      <c r="G26" s="134"/>
      <c r="H26" s="143"/>
      <c r="I26" s="135" t="str">
        <f aca="false">IF(E26&gt;0,(E26+F26+G26)/H26," ")</f>
        <v> </v>
      </c>
      <c r="J26" s="135" t="str">
        <f aca="false">IF(H26&gt;0,I26-K26," ")</f>
        <v> </v>
      </c>
      <c r="K26" s="135" t="str">
        <f aca="false">IF(H26&gt;0,G26/H26," ")</f>
        <v> </v>
      </c>
      <c r="L26" s="56"/>
      <c r="M26" s="129"/>
    </row>
    <row r="27" customFormat="false" ht="12" hidden="false" customHeight="false" outlineLevel="0" collapsed="false">
      <c r="A27" s="129"/>
      <c r="B27" s="49"/>
      <c r="C27" s="62"/>
      <c r="D27" s="62"/>
      <c r="E27" s="132"/>
      <c r="F27" s="132"/>
      <c r="G27" s="132"/>
      <c r="H27" s="48"/>
      <c r="I27" s="135"/>
      <c r="J27" s="135"/>
      <c r="K27" s="135"/>
      <c r="L27" s="62"/>
      <c r="M27" s="129"/>
    </row>
    <row r="28" customFormat="false" ht="6" hidden="false" customHeight="true" outlineLevel="0" collapsed="false">
      <c r="A28" s="129"/>
      <c r="B28" s="100"/>
      <c r="C28" s="102"/>
      <c r="D28" s="102"/>
      <c r="E28" s="129"/>
      <c r="F28" s="129"/>
      <c r="G28" s="129"/>
      <c r="H28" s="130"/>
      <c r="I28" s="131"/>
      <c r="J28" s="131"/>
      <c r="K28" s="131"/>
      <c r="L28" s="102"/>
      <c r="M28" s="129"/>
    </row>
    <row r="29" customFormat="false" ht="19.5" hidden="false" customHeight="true" outlineLevel="0" collapsed="false">
      <c r="A29" s="129"/>
      <c r="B29" s="137" t="s">
        <v>75</v>
      </c>
      <c r="C29" s="62"/>
      <c r="D29" s="138"/>
      <c r="E29" s="132"/>
      <c r="F29" s="132"/>
      <c r="G29" s="132"/>
      <c r="H29" s="62" t="s">
        <v>76</v>
      </c>
      <c r="I29" s="132"/>
      <c r="J29" s="132"/>
      <c r="K29" s="132"/>
      <c r="L29" s="62"/>
      <c r="M29" s="129"/>
    </row>
    <row r="30" customFormat="false" ht="12" hidden="false" customHeight="false" outlineLevel="0" collapsed="false">
      <c r="A30" s="129"/>
      <c r="B30" s="49"/>
      <c r="C30" s="62"/>
      <c r="D30" s="62"/>
      <c r="E30" s="132"/>
      <c r="F30" s="132"/>
      <c r="G30" s="132"/>
      <c r="H30" s="48"/>
      <c r="I30" s="135"/>
      <c r="J30" s="135"/>
      <c r="K30" s="135"/>
      <c r="L30" s="62"/>
      <c r="M30" s="129"/>
    </row>
    <row r="31" customFormat="false" ht="15" hidden="false" customHeight="true" outlineLevel="0" collapsed="false">
      <c r="A31" s="140"/>
      <c r="B31" s="10" t="s">
        <v>60</v>
      </c>
      <c r="C31" s="21" t="s">
        <v>61</v>
      </c>
      <c r="D31" s="21" t="s">
        <v>62</v>
      </c>
      <c r="E31" s="141" t="s">
        <v>63</v>
      </c>
      <c r="F31" s="141" t="s">
        <v>64</v>
      </c>
      <c r="G31" s="141" t="s">
        <v>65</v>
      </c>
      <c r="H31" s="21" t="s">
        <v>66</v>
      </c>
      <c r="I31" s="141" t="s">
        <v>67</v>
      </c>
      <c r="J31" s="141"/>
      <c r="K31" s="141"/>
      <c r="L31" s="21" t="s">
        <v>68</v>
      </c>
      <c r="M31" s="140"/>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c r="AY31" s="142"/>
      <c r="AZ31" s="142"/>
      <c r="BA31" s="142"/>
      <c r="BB31" s="142"/>
      <c r="BC31" s="142"/>
      <c r="BD31" s="142"/>
      <c r="BE31" s="142"/>
      <c r="BF31" s="142"/>
      <c r="BG31" s="142"/>
      <c r="BH31" s="142"/>
      <c r="BI31" s="142"/>
      <c r="BJ31" s="142"/>
      <c r="BK31" s="142"/>
      <c r="BL31" s="142"/>
      <c r="BM31" s="142"/>
      <c r="BN31" s="142"/>
      <c r="BO31" s="142"/>
      <c r="BP31" s="142"/>
      <c r="BQ31" s="142"/>
      <c r="BR31" s="142"/>
      <c r="BS31" s="142"/>
      <c r="BT31" s="142"/>
      <c r="BU31" s="142"/>
      <c r="BV31" s="142"/>
      <c r="BW31" s="142"/>
      <c r="BX31" s="142"/>
      <c r="BY31" s="142"/>
      <c r="BZ31" s="142"/>
      <c r="CA31" s="142"/>
      <c r="CB31" s="142"/>
      <c r="CC31" s="142"/>
      <c r="CD31" s="142"/>
      <c r="CE31" s="142"/>
      <c r="CF31" s="142"/>
      <c r="CG31" s="142"/>
      <c r="CH31" s="142"/>
      <c r="CI31" s="142"/>
      <c r="CJ31" s="142"/>
      <c r="CK31" s="142"/>
      <c r="CL31" s="142"/>
      <c r="CM31" s="142"/>
      <c r="CN31" s="142"/>
      <c r="CO31" s="142"/>
      <c r="CP31" s="142"/>
      <c r="CQ31" s="142"/>
      <c r="CR31" s="142"/>
      <c r="CS31" s="142"/>
      <c r="CT31" s="142"/>
      <c r="CU31" s="142"/>
      <c r="CV31" s="142"/>
      <c r="CW31" s="142"/>
      <c r="CX31" s="142"/>
      <c r="CY31" s="142"/>
      <c r="CZ31" s="142"/>
      <c r="DA31" s="142"/>
      <c r="DB31" s="142"/>
      <c r="DC31" s="142"/>
      <c r="DD31" s="142"/>
      <c r="DE31" s="142"/>
      <c r="DF31" s="142"/>
      <c r="DG31" s="142"/>
      <c r="DH31" s="142"/>
      <c r="DI31" s="142"/>
      <c r="DJ31" s="142"/>
      <c r="DK31" s="142"/>
      <c r="DL31" s="142"/>
      <c r="DM31" s="142"/>
      <c r="DN31" s="142"/>
      <c r="DO31" s="142"/>
      <c r="DP31" s="142"/>
      <c r="DQ31" s="142"/>
      <c r="DR31" s="142"/>
      <c r="DS31" s="142"/>
      <c r="DT31" s="142"/>
      <c r="DU31" s="142"/>
      <c r="DV31" s="142"/>
      <c r="DW31" s="142"/>
      <c r="DX31" s="142"/>
      <c r="DY31" s="142"/>
      <c r="DZ31" s="142"/>
      <c r="EA31" s="142"/>
      <c r="EB31" s="142"/>
      <c r="EC31" s="142"/>
      <c r="ED31" s="142"/>
      <c r="EE31" s="142"/>
      <c r="EF31" s="142"/>
      <c r="EG31" s="142"/>
      <c r="EH31" s="142"/>
      <c r="EI31" s="142"/>
      <c r="EJ31" s="142"/>
      <c r="EK31" s="142"/>
      <c r="EL31" s="142"/>
      <c r="EM31" s="142"/>
      <c r="EN31" s="142"/>
      <c r="EO31" s="142"/>
      <c r="EP31" s="142"/>
      <c r="EQ31" s="142"/>
      <c r="ER31" s="142"/>
      <c r="ES31" s="142"/>
      <c r="ET31" s="142"/>
      <c r="EU31" s="142"/>
      <c r="EV31" s="142"/>
      <c r="EW31" s="142"/>
      <c r="EX31" s="142"/>
      <c r="EY31" s="142"/>
      <c r="EZ31" s="142"/>
      <c r="FA31" s="142"/>
      <c r="FB31" s="142"/>
      <c r="FC31" s="142"/>
      <c r="FD31" s="142"/>
      <c r="FE31" s="142"/>
      <c r="FF31" s="142"/>
      <c r="FG31" s="142"/>
      <c r="FH31" s="142"/>
      <c r="FI31" s="142"/>
      <c r="FJ31" s="142"/>
      <c r="FK31" s="142"/>
      <c r="FL31" s="142"/>
      <c r="FM31" s="142"/>
      <c r="FN31" s="142"/>
      <c r="FO31" s="142"/>
      <c r="FP31" s="142"/>
      <c r="FQ31" s="142"/>
      <c r="FR31" s="142"/>
      <c r="FS31" s="142"/>
      <c r="FT31" s="142"/>
      <c r="FU31" s="142"/>
      <c r="FV31" s="142"/>
      <c r="FW31" s="142"/>
      <c r="FX31" s="142"/>
      <c r="FY31" s="142"/>
      <c r="FZ31" s="142"/>
      <c r="GA31" s="142"/>
      <c r="GB31" s="142"/>
      <c r="GC31" s="142"/>
      <c r="GD31" s="142"/>
      <c r="GE31" s="142"/>
      <c r="GF31" s="142"/>
      <c r="GG31" s="142"/>
      <c r="GH31" s="142"/>
      <c r="GI31" s="142"/>
      <c r="GJ31" s="142"/>
      <c r="GK31" s="142"/>
      <c r="GL31" s="142"/>
      <c r="GM31" s="142"/>
      <c r="GN31" s="142"/>
      <c r="GO31" s="142"/>
      <c r="GP31" s="142"/>
      <c r="GQ31" s="142"/>
      <c r="GR31" s="142"/>
      <c r="GS31" s="142"/>
      <c r="GT31" s="142"/>
      <c r="GU31" s="142"/>
      <c r="GV31" s="142"/>
      <c r="GW31" s="142"/>
      <c r="GX31" s="142"/>
      <c r="GY31" s="142"/>
      <c r="GZ31" s="142"/>
      <c r="HA31" s="142"/>
      <c r="HB31" s="142"/>
      <c r="HC31" s="142"/>
      <c r="HD31" s="142"/>
      <c r="HE31" s="142"/>
      <c r="HF31" s="142"/>
      <c r="HG31" s="142"/>
      <c r="HH31" s="142"/>
      <c r="HI31" s="142"/>
      <c r="HJ31" s="142"/>
      <c r="HK31" s="142"/>
      <c r="HL31" s="142"/>
      <c r="HM31" s="142"/>
      <c r="HN31" s="142"/>
      <c r="HO31" s="142"/>
      <c r="HP31" s="142"/>
      <c r="HQ31" s="142"/>
      <c r="HR31" s="142"/>
      <c r="HS31" s="142"/>
      <c r="HT31" s="142"/>
      <c r="HU31" s="142"/>
      <c r="HV31" s="142"/>
      <c r="HW31" s="142"/>
      <c r="HX31" s="142"/>
      <c r="HY31" s="142"/>
      <c r="HZ31" s="142"/>
      <c r="IA31" s="142"/>
      <c r="IB31" s="142"/>
      <c r="IC31" s="142"/>
      <c r="ID31" s="142"/>
      <c r="IE31" s="142"/>
      <c r="IF31" s="142"/>
      <c r="IG31" s="142"/>
      <c r="IH31" s="142"/>
      <c r="II31" s="142"/>
      <c r="IJ31" s="142"/>
      <c r="IK31" s="142"/>
      <c r="IL31" s="142"/>
      <c r="IM31" s="142"/>
      <c r="IN31" s="142"/>
      <c r="IO31" s="142"/>
      <c r="IP31" s="142"/>
      <c r="IQ31" s="142"/>
      <c r="IR31" s="142"/>
      <c r="IS31" s="142"/>
      <c r="IT31" s="142"/>
      <c r="IU31" s="142"/>
      <c r="IV31" s="142"/>
      <c r="IW31" s="142"/>
    </row>
    <row r="32" customFormat="false" ht="30.75" hidden="false" customHeight="true" outlineLevel="0" collapsed="false">
      <c r="A32" s="140"/>
      <c r="B32" s="10"/>
      <c r="C32" s="10"/>
      <c r="D32" s="10"/>
      <c r="E32" s="10"/>
      <c r="F32" s="10"/>
      <c r="G32" s="10"/>
      <c r="H32" s="10"/>
      <c r="I32" s="141" t="s">
        <v>69</v>
      </c>
      <c r="J32" s="141" t="s">
        <v>70</v>
      </c>
      <c r="K32" s="141" t="s">
        <v>71</v>
      </c>
      <c r="L32" s="21"/>
      <c r="M32" s="140"/>
      <c r="N32" s="142"/>
      <c r="O32" s="142"/>
      <c r="P32" s="142"/>
      <c r="Q32" s="142"/>
      <c r="R32" s="142"/>
      <c r="S32" s="142"/>
      <c r="T32" s="142"/>
      <c r="U32" s="142"/>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c r="BQ32" s="142"/>
      <c r="BR32" s="142"/>
      <c r="BS32" s="142"/>
      <c r="BT32" s="142"/>
      <c r="BU32" s="142"/>
      <c r="BV32" s="142"/>
      <c r="BW32" s="142"/>
      <c r="BX32" s="142"/>
      <c r="BY32" s="142"/>
      <c r="BZ32" s="142"/>
      <c r="CA32" s="142"/>
      <c r="CB32" s="142"/>
      <c r="CC32" s="142"/>
      <c r="CD32" s="142"/>
      <c r="CE32" s="142"/>
      <c r="CF32" s="142"/>
      <c r="CG32" s="142"/>
      <c r="CH32" s="142"/>
      <c r="CI32" s="142"/>
      <c r="CJ32" s="142"/>
      <c r="CK32" s="142"/>
      <c r="CL32" s="142"/>
      <c r="CM32" s="142"/>
      <c r="CN32" s="142"/>
      <c r="CO32" s="142"/>
      <c r="CP32" s="142"/>
      <c r="CQ32" s="142"/>
      <c r="CR32" s="142"/>
      <c r="CS32" s="142"/>
      <c r="CT32" s="142"/>
      <c r="CU32" s="142"/>
      <c r="CV32" s="142"/>
      <c r="CW32" s="142"/>
      <c r="CX32" s="142"/>
      <c r="CY32" s="142"/>
      <c r="CZ32" s="142"/>
      <c r="DA32" s="142"/>
      <c r="DB32" s="142"/>
      <c r="DC32" s="142"/>
      <c r="DD32" s="142"/>
      <c r="DE32" s="142"/>
      <c r="DF32" s="142"/>
      <c r="DG32" s="142"/>
      <c r="DH32" s="142"/>
      <c r="DI32" s="142"/>
      <c r="DJ32" s="142"/>
      <c r="DK32" s="142"/>
      <c r="DL32" s="142"/>
      <c r="DM32" s="142"/>
      <c r="DN32" s="142"/>
      <c r="DO32" s="142"/>
      <c r="DP32" s="142"/>
      <c r="DQ32" s="142"/>
      <c r="DR32" s="142"/>
      <c r="DS32" s="142"/>
      <c r="DT32" s="142"/>
      <c r="DU32" s="142"/>
      <c r="DV32" s="142"/>
      <c r="DW32" s="142"/>
      <c r="DX32" s="142"/>
      <c r="DY32" s="142"/>
      <c r="DZ32" s="142"/>
      <c r="EA32" s="142"/>
      <c r="EB32" s="142"/>
      <c r="EC32" s="142"/>
      <c r="ED32" s="142"/>
      <c r="EE32" s="142"/>
      <c r="EF32" s="142"/>
      <c r="EG32" s="142"/>
      <c r="EH32" s="142"/>
      <c r="EI32" s="142"/>
      <c r="EJ32" s="142"/>
      <c r="EK32" s="142"/>
      <c r="EL32" s="142"/>
      <c r="EM32" s="142"/>
      <c r="EN32" s="142"/>
      <c r="EO32" s="142"/>
      <c r="EP32" s="142"/>
      <c r="EQ32" s="142"/>
      <c r="ER32" s="142"/>
      <c r="ES32" s="142"/>
      <c r="ET32" s="142"/>
      <c r="EU32" s="142"/>
      <c r="EV32" s="142"/>
      <c r="EW32" s="142"/>
      <c r="EX32" s="142"/>
      <c r="EY32" s="142"/>
      <c r="EZ32" s="142"/>
      <c r="FA32" s="142"/>
      <c r="FB32" s="142"/>
      <c r="FC32" s="142"/>
      <c r="FD32" s="142"/>
      <c r="FE32" s="142"/>
      <c r="FF32" s="142"/>
      <c r="FG32" s="142"/>
      <c r="FH32" s="142"/>
      <c r="FI32" s="142"/>
      <c r="FJ32" s="142"/>
      <c r="FK32" s="142"/>
      <c r="FL32" s="142"/>
      <c r="FM32" s="142"/>
      <c r="FN32" s="142"/>
      <c r="FO32" s="142"/>
      <c r="FP32" s="142"/>
      <c r="FQ32" s="142"/>
      <c r="FR32" s="142"/>
      <c r="FS32" s="142"/>
      <c r="FT32" s="142"/>
      <c r="FU32" s="142"/>
      <c r="FV32" s="142"/>
      <c r="FW32" s="142"/>
      <c r="FX32" s="142"/>
      <c r="FY32" s="142"/>
      <c r="FZ32" s="142"/>
      <c r="GA32" s="142"/>
      <c r="GB32" s="142"/>
      <c r="GC32" s="142"/>
      <c r="GD32" s="142"/>
      <c r="GE32" s="142"/>
      <c r="GF32" s="142"/>
      <c r="GG32" s="142"/>
      <c r="GH32" s="142"/>
      <c r="GI32" s="142"/>
      <c r="GJ32" s="142"/>
      <c r="GK32" s="142"/>
      <c r="GL32" s="142"/>
      <c r="GM32" s="142"/>
      <c r="GN32" s="142"/>
      <c r="GO32" s="142"/>
      <c r="GP32" s="142"/>
      <c r="GQ32" s="142"/>
      <c r="GR32" s="142"/>
      <c r="GS32" s="142"/>
      <c r="GT32" s="142"/>
      <c r="GU32" s="142"/>
      <c r="GV32" s="142"/>
      <c r="GW32" s="142"/>
      <c r="GX32" s="142"/>
      <c r="GY32" s="142"/>
      <c r="GZ32" s="142"/>
      <c r="HA32" s="142"/>
      <c r="HB32" s="142"/>
      <c r="HC32" s="142"/>
      <c r="HD32" s="142"/>
      <c r="HE32" s="142"/>
      <c r="HF32" s="142"/>
      <c r="HG32" s="142"/>
      <c r="HH32" s="142"/>
      <c r="HI32" s="142"/>
      <c r="HJ32" s="142"/>
      <c r="HK32" s="142"/>
      <c r="HL32" s="142"/>
      <c r="HM32" s="142"/>
      <c r="HN32" s="142"/>
      <c r="HO32" s="142"/>
      <c r="HP32" s="142"/>
      <c r="HQ32" s="142"/>
      <c r="HR32" s="142"/>
      <c r="HS32" s="142"/>
      <c r="HT32" s="142"/>
      <c r="HU32" s="142"/>
      <c r="HV32" s="142"/>
      <c r="HW32" s="142"/>
      <c r="HX32" s="142"/>
      <c r="HY32" s="142"/>
      <c r="HZ32" s="142"/>
      <c r="IA32" s="142"/>
      <c r="IB32" s="142"/>
      <c r="IC32" s="142"/>
      <c r="ID32" s="142"/>
      <c r="IE32" s="142"/>
      <c r="IF32" s="142"/>
      <c r="IG32" s="142"/>
      <c r="IH32" s="142"/>
      <c r="II32" s="142"/>
      <c r="IJ32" s="142"/>
      <c r="IK32" s="142"/>
      <c r="IL32" s="142"/>
      <c r="IM32" s="142"/>
      <c r="IN32" s="142"/>
      <c r="IO32" s="142"/>
      <c r="IP32" s="142"/>
      <c r="IQ32" s="142"/>
      <c r="IR32" s="142"/>
      <c r="IS32" s="142"/>
      <c r="IT32" s="142"/>
      <c r="IU32" s="142"/>
      <c r="IV32" s="142"/>
      <c r="IW32" s="142"/>
    </row>
    <row r="33" customFormat="false" ht="12.75" hidden="false" customHeight="true" outlineLevel="0" collapsed="false">
      <c r="A33" s="140"/>
      <c r="B33" s="144"/>
      <c r="C33" s="144"/>
      <c r="D33" s="144"/>
      <c r="E33" s="144"/>
      <c r="F33" s="144"/>
      <c r="G33" s="144"/>
      <c r="H33" s="144"/>
      <c r="I33" s="145"/>
      <c r="J33" s="145"/>
      <c r="K33" s="145"/>
      <c r="L33" s="144"/>
      <c r="M33" s="140"/>
      <c r="N33" s="142"/>
      <c r="O33" s="142"/>
      <c r="P33" s="142"/>
      <c r="Q33" s="142"/>
      <c r="R33" s="142"/>
      <c r="S33" s="142"/>
      <c r="T33" s="142"/>
      <c r="U33" s="142"/>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42"/>
      <c r="BJ33" s="142"/>
      <c r="BK33" s="142"/>
      <c r="BL33" s="142"/>
      <c r="BM33" s="142"/>
      <c r="BN33" s="142"/>
      <c r="BO33" s="142"/>
      <c r="BP33" s="142"/>
      <c r="BQ33" s="142"/>
      <c r="BR33" s="142"/>
      <c r="BS33" s="142"/>
      <c r="BT33" s="142"/>
      <c r="BU33" s="142"/>
      <c r="BV33" s="142"/>
      <c r="BW33" s="142"/>
      <c r="BX33" s="142"/>
      <c r="BY33" s="142"/>
      <c r="BZ33" s="142"/>
      <c r="CA33" s="142"/>
      <c r="CB33" s="142"/>
      <c r="CC33" s="142"/>
      <c r="CD33" s="142"/>
      <c r="CE33" s="142"/>
      <c r="CF33" s="142"/>
      <c r="CG33" s="142"/>
      <c r="CH33" s="142"/>
      <c r="CI33" s="142"/>
      <c r="CJ33" s="142"/>
      <c r="CK33" s="142"/>
      <c r="CL33" s="142"/>
      <c r="CM33" s="142"/>
      <c r="CN33" s="142"/>
      <c r="CO33" s="142"/>
      <c r="CP33" s="142"/>
      <c r="CQ33" s="142"/>
      <c r="CR33" s="142"/>
      <c r="CS33" s="142"/>
      <c r="CT33" s="142"/>
      <c r="CU33" s="142"/>
      <c r="CV33" s="142"/>
      <c r="CW33" s="142"/>
      <c r="CX33" s="142"/>
      <c r="CY33" s="142"/>
      <c r="CZ33" s="142"/>
      <c r="DA33" s="142"/>
      <c r="DB33" s="142"/>
      <c r="DC33" s="142"/>
      <c r="DD33" s="142"/>
      <c r="DE33" s="142"/>
      <c r="DF33" s="142"/>
      <c r="DG33" s="142"/>
      <c r="DH33" s="142"/>
      <c r="DI33" s="142"/>
      <c r="DJ33" s="142"/>
      <c r="DK33" s="142"/>
      <c r="DL33" s="142"/>
      <c r="DM33" s="142"/>
      <c r="DN33" s="142"/>
      <c r="DO33" s="142"/>
      <c r="DP33" s="142"/>
      <c r="DQ33" s="142"/>
      <c r="DR33" s="142"/>
      <c r="DS33" s="142"/>
      <c r="DT33" s="142"/>
      <c r="DU33" s="142"/>
      <c r="DV33" s="142"/>
      <c r="DW33" s="142"/>
      <c r="DX33" s="142"/>
      <c r="DY33" s="142"/>
      <c r="DZ33" s="142"/>
      <c r="EA33" s="142"/>
      <c r="EB33" s="142"/>
      <c r="EC33" s="142"/>
      <c r="ED33" s="142"/>
      <c r="EE33" s="142"/>
      <c r="EF33" s="142"/>
      <c r="EG33" s="142"/>
      <c r="EH33" s="142"/>
      <c r="EI33" s="142"/>
      <c r="EJ33" s="142"/>
      <c r="EK33" s="142"/>
      <c r="EL33" s="142"/>
      <c r="EM33" s="142"/>
      <c r="EN33" s="142"/>
      <c r="EO33" s="142"/>
      <c r="EP33" s="142"/>
      <c r="EQ33" s="142"/>
      <c r="ER33" s="142"/>
      <c r="ES33" s="142"/>
      <c r="ET33" s="142"/>
      <c r="EU33" s="142"/>
      <c r="EV33" s="142"/>
      <c r="EW33" s="142"/>
      <c r="EX33" s="142"/>
      <c r="EY33" s="142"/>
      <c r="EZ33" s="142"/>
      <c r="FA33" s="142"/>
      <c r="FB33" s="142"/>
      <c r="FC33" s="142"/>
      <c r="FD33" s="142"/>
      <c r="FE33" s="142"/>
      <c r="FF33" s="142"/>
      <c r="FG33" s="142"/>
      <c r="FH33" s="142"/>
      <c r="FI33" s="142"/>
      <c r="FJ33" s="142"/>
      <c r="FK33" s="142"/>
      <c r="FL33" s="142"/>
      <c r="FM33" s="142"/>
      <c r="FN33" s="142"/>
      <c r="FO33" s="142"/>
      <c r="FP33" s="142"/>
      <c r="FQ33" s="142"/>
      <c r="FR33" s="142"/>
      <c r="FS33" s="142"/>
      <c r="FT33" s="142"/>
      <c r="FU33" s="142"/>
      <c r="FV33" s="142"/>
      <c r="FW33" s="142"/>
      <c r="FX33" s="142"/>
      <c r="FY33" s="142"/>
      <c r="FZ33" s="142"/>
      <c r="GA33" s="142"/>
      <c r="GB33" s="142"/>
      <c r="GC33" s="142"/>
      <c r="GD33" s="142"/>
      <c r="GE33" s="142"/>
      <c r="GF33" s="142"/>
      <c r="GG33" s="142"/>
      <c r="GH33" s="142"/>
      <c r="GI33" s="142"/>
      <c r="GJ33" s="142"/>
      <c r="GK33" s="142"/>
      <c r="GL33" s="142"/>
      <c r="GM33" s="142"/>
      <c r="GN33" s="142"/>
      <c r="GO33" s="142"/>
      <c r="GP33" s="142"/>
      <c r="GQ33" s="142"/>
      <c r="GR33" s="142"/>
      <c r="GS33" s="142"/>
      <c r="GT33" s="142"/>
      <c r="GU33" s="142"/>
      <c r="GV33" s="142"/>
      <c r="GW33" s="142"/>
      <c r="GX33" s="142"/>
      <c r="GY33" s="142"/>
      <c r="GZ33" s="142"/>
      <c r="HA33" s="142"/>
      <c r="HB33" s="142"/>
      <c r="HC33" s="142"/>
      <c r="HD33" s="142"/>
      <c r="HE33" s="142"/>
      <c r="HF33" s="142"/>
      <c r="HG33" s="142"/>
      <c r="HH33" s="142"/>
      <c r="HI33" s="142"/>
      <c r="HJ33" s="142"/>
      <c r="HK33" s="142"/>
      <c r="HL33" s="142"/>
      <c r="HM33" s="142"/>
      <c r="HN33" s="142"/>
      <c r="HO33" s="142"/>
      <c r="HP33" s="142"/>
      <c r="HQ33" s="142"/>
      <c r="HR33" s="142"/>
      <c r="HS33" s="142"/>
      <c r="HT33" s="142"/>
      <c r="HU33" s="142"/>
      <c r="HV33" s="142"/>
      <c r="HW33" s="142"/>
      <c r="HX33" s="142"/>
      <c r="HY33" s="142"/>
      <c r="HZ33" s="142"/>
      <c r="IA33" s="142"/>
      <c r="IB33" s="142"/>
      <c r="IC33" s="142"/>
      <c r="ID33" s="142"/>
      <c r="IE33" s="142"/>
      <c r="IF33" s="142"/>
      <c r="IG33" s="142"/>
      <c r="IH33" s="142"/>
      <c r="II33" s="142"/>
      <c r="IJ33" s="142"/>
      <c r="IK33" s="142"/>
      <c r="IL33" s="142"/>
      <c r="IM33" s="142"/>
      <c r="IN33" s="142"/>
      <c r="IO33" s="142"/>
      <c r="IP33" s="142"/>
      <c r="IQ33" s="142"/>
      <c r="IR33" s="142"/>
      <c r="IS33" s="142"/>
      <c r="IT33" s="142"/>
      <c r="IU33" s="142"/>
      <c r="IV33" s="142"/>
      <c r="IW33" s="142"/>
    </row>
    <row r="34" customFormat="false" ht="15" hidden="false" customHeight="true" outlineLevel="0" collapsed="false">
      <c r="A34" s="129"/>
      <c r="B34" s="54"/>
      <c r="C34" s="56"/>
      <c r="D34" s="56"/>
      <c r="E34" s="134"/>
      <c r="F34" s="134"/>
      <c r="G34" s="134"/>
      <c r="H34" s="143"/>
      <c r="I34" s="135" t="str">
        <f aca="false">IF(E34&gt;0,(E34+F34+G34)/H34," ")</f>
        <v> </v>
      </c>
      <c r="J34" s="135" t="str">
        <f aca="false">IF(H34&gt;0,I34-K34," ")</f>
        <v> </v>
      </c>
      <c r="K34" s="135" t="str">
        <f aca="false">IF(H34&gt;0,G34/H34," ")</f>
        <v> </v>
      </c>
      <c r="L34" s="56"/>
      <c r="M34" s="129"/>
    </row>
    <row r="35" customFormat="false" ht="12.75" hidden="false" customHeight="true" outlineLevel="0" collapsed="false">
      <c r="A35" s="129"/>
      <c r="B35" s="49"/>
      <c r="C35" s="62"/>
      <c r="D35" s="62"/>
      <c r="E35" s="132"/>
      <c r="F35" s="132"/>
      <c r="G35" s="132"/>
      <c r="H35" s="48"/>
      <c r="I35" s="135"/>
      <c r="J35" s="135"/>
      <c r="K35" s="135"/>
      <c r="L35" s="62"/>
      <c r="M35" s="129"/>
    </row>
    <row r="36" customFormat="false" ht="15" hidden="false" customHeight="true" outlineLevel="0" collapsed="false">
      <c r="A36" s="129"/>
      <c r="B36" s="54"/>
      <c r="C36" s="56"/>
      <c r="D36" s="56"/>
      <c r="E36" s="134"/>
      <c r="F36" s="134"/>
      <c r="G36" s="134"/>
      <c r="H36" s="143"/>
      <c r="I36" s="135" t="str">
        <f aca="false">IF(E36&gt;0,(E36+F36+G36)/H36," ")</f>
        <v> </v>
      </c>
      <c r="J36" s="135" t="str">
        <f aca="false">IF(H36&gt;0,I36-K36," ")</f>
        <v> </v>
      </c>
      <c r="K36" s="135" t="str">
        <f aca="false">IF(H36&gt;0,G36/H36," ")</f>
        <v> </v>
      </c>
      <c r="L36" s="56"/>
      <c r="M36" s="129"/>
    </row>
    <row r="37" customFormat="false" ht="12" hidden="false" customHeight="false" outlineLevel="0" collapsed="false">
      <c r="A37" s="129"/>
      <c r="B37" s="49"/>
      <c r="C37" s="62"/>
      <c r="D37" s="62"/>
      <c r="E37" s="132"/>
      <c r="F37" s="132"/>
      <c r="G37" s="132"/>
      <c r="H37" s="48"/>
      <c r="I37" s="135"/>
      <c r="J37" s="135"/>
      <c r="K37" s="135"/>
      <c r="L37" s="62"/>
      <c r="M37" s="129"/>
    </row>
    <row r="38" customFormat="false" ht="15" hidden="false" customHeight="true" outlineLevel="0" collapsed="false">
      <c r="A38" s="129"/>
      <c r="B38" s="54"/>
      <c r="C38" s="56"/>
      <c r="D38" s="56"/>
      <c r="E38" s="134"/>
      <c r="F38" s="134"/>
      <c r="G38" s="134"/>
      <c r="H38" s="143"/>
      <c r="I38" s="135" t="str">
        <f aca="false">IF(E38&gt;0,(E38+F38+G38)/H38," ")</f>
        <v> </v>
      </c>
      <c r="J38" s="135" t="str">
        <f aca="false">IF(H38&gt;0,I38-K38," ")</f>
        <v> </v>
      </c>
      <c r="K38" s="135" t="str">
        <f aca="false">IF(H38&gt;0,G38/H38," ")</f>
        <v> </v>
      </c>
      <c r="L38" s="56"/>
      <c r="M38" s="129"/>
    </row>
    <row r="39" customFormat="false" ht="12" hidden="false" customHeight="false" outlineLevel="0" collapsed="false">
      <c r="A39" s="129"/>
      <c r="B39" s="49"/>
      <c r="C39" s="62"/>
      <c r="D39" s="62"/>
      <c r="E39" s="132"/>
      <c r="F39" s="132"/>
      <c r="G39" s="132"/>
      <c r="H39" s="48"/>
      <c r="I39" s="135"/>
      <c r="J39" s="135"/>
      <c r="K39" s="135"/>
      <c r="L39" s="62"/>
      <c r="M39" s="129"/>
    </row>
    <row r="40" customFormat="false" ht="15" hidden="false" customHeight="true" outlineLevel="0" collapsed="false">
      <c r="A40" s="129"/>
      <c r="B40" s="54"/>
      <c r="C40" s="56"/>
      <c r="D40" s="56"/>
      <c r="E40" s="134"/>
      <c r="F40" s="134"/>
      <c r="G40" s="134"/>
      <c r="H40" s="143"/>
      <c r="I40" s="135" t="str">
        <f aca="false">IF(E40&gt;0,(E40+F40+G40)/H40," ")</f>
        <v> </v>
      </c>
      <c r="J40" s="135" t="str">
        <f aca="false">IF(H40&gt;0,I40-K40," ")</f>
        <v> </v>
      </c>
      <c r="K40" s="135" t="str">
        <f aca="false">IF(H40&gt;0,G40/H40," ")</f>
        <v> </v>
      </c>
      <c r="L40" s="56"/>
      <c r="M40" s="129"/>
    </row>
    <row r="41" customFormat="false" ht="12" hidden="false" customHeight="false" outlineLevel="0" collapsed="false">
      <c r="A41" s="129"/>
      <c r="B41" s="49"/>
      <c r="C41" s="62"/>
      <c r="D41" s="62"/>
      <c r="E41" s="132"/>
      <c r="F41" s="132"/>
      <c r="G41" s="132"/>
      <c r="H41" s="48"/>
      <c r="I41" s="135"/>
      <c r="J41" s="135"/>
      <c r="K41" s="135"/>
      <c r="L41" s="62"/>
      <c r="M41" s="129"/>
    </row>
    <row r="42" customFormat="false" ht="15" hidden="false" customHeight="true" outlineLevel="0" collapsed="false">
      <c r="A42" s="129"/>
      <c r="B42" s="54"/>
      <c r="C42" s="56"/>
      <c r="D42" s="56"/>
      <c r="E42" s="134"/>
      <c r="F42" s="134"/>
      <c r="G42" s="134"/>
      <c r="H42" s="143"/>
      <c r="I42" s="135" t="str">
        <f aca="false">IF(E42&gt;0,(E42+F42+G42)/H42," ")</f>
        <v> </v>
      </c>
      <c r="J42" s="135" t="str">
        <f aca="false">IF(H42&gt;0,I42-K42," ")</f>
        <v> </v>
      </c>
      <c r="K42" s="135" t="str">
        <f aca="false">IF(H42&gt;0,G42/H42," ")</f>
        <v> </v>
      </c>
      <c r="L42" s="56"/>
      <c r="M42" s="129"/>
    </row>
    <row r="43" customFormat="false" ht="12" hidden="false" customHeight="false" outlineLevel="0" collapsed="false">
      <c r="A43" s="129"/>
      <c r="B43" s="49"/>
      <c r="C43" s="62"/>
      <c r="D43" s="62"/>
      <c r="E43" s="132"/>
      <c r="F43" s="132"/>
      <c r="G43" s="132"/>
      <c r="H43" s="48"/>
      <c r="I43" s="135"/>
      <c r="J43" s="135"/>
      <c r="K43" s="135"/>
      <c r="L43" s="62"/>
      <c r="M43" s="129"/>
    </row>
    <row r="44" customFormat="false" ht="15" hidden="false" customHeight="true" outlineLevel="0" collapsed="false">
      <c r="A44" s="129"/>
      <c r="B44" s="54"/>
      <c r="C44" s="56"/>
      <c r="D44" s="56"/>
      <c r="E44" s="134"/>
      <c r="F44" s="134"/>
      <c r="G44" s="134"/>
      <c r="H44" s="143"/>
      <c r="I44" s="135" t="str">
        <f aca="false">IF(E44&gt;0,(E44+F44+G44)/H44," ")</f>
        <v> </v>
      </c>
      <c r="J44" s="135" t="str">
        <f aca="false">IF(H44&gt;0,I44-K44," ")</f>
        <v> </v>
      </c>
      <c r="K44" s="135" t="str">
        <f aca="false">IF(H44&gt;0,G44/H44," ")</f>
        <v> </v>
      </c>
      <c r="L44" s="56"/>
      <c r="M44" s="129"/>
    </row>
    <row r="45" customFormat="false" ht="12" hidden="false" customHeight="false" outlineLevel="0" collapsed="false">
      <c r="A45" s="129"/>
      <c r="B45" s="49"/>
      <c r="C45" s="62"/>
      <c r="D45" s="62"/>
      <c r="E45" s="132"/>
      <c r="F45" s="132"/>
      <c r="G45" s="132"/>
      <c r="H45" s="48"/>
      <c r="I45" s="135"/>
      <c r="J45" s="135"/>
      <c r="K45" s="135"/>
      <c r="L45" s="62"/>
      <c r="M45" s="129"/>
    </row>
    <row r="46" customFormat="false" ht="15" hidden="false" customHeight="true" outlineLevel="0" collapsed="false">
      <c r="A46" s="129"/>
      <c r="B46" s="54"/>
      <c r="C46" s="56"/>
      <c r="D46" s="56"/>
      <c r="E46" s="134"/>
      <c r="F46" s="134"/>
      <c r="G46" s="134"/>
      <c r="H46" s="143"/>
      <c r="I46" s="135" t="str">
        <f aca="false">IF(E46&gt;0,(E46+F46+G46)/H46," ")</f>
        <v> </v>
      </c>
      <c r="J46" s="135" t="str">
        <f aca="false">IF(H46&gt;0,I46-K46," ")</f>
        <v> </v>
      </c>
      <c r="K46" s="135" t="str">
        <f aca="false">IF(H46&gt;0,G46/H46," ")</f>
        <v> </v>
      </c>
      <c r="L46" s="56"/>
      <c r="M46" s="129"/>
    </row>
    <row r="47" customFormat="false" ht="12" hidden="false" customHeight="false" outlineLevel="0" collapsed="false">
      <c r="A47" s="129"/>
      <c r="B47" s="49"/>
      <c r="C47" s="62"/>
      <c r="D47" s="62"/>
      <c r="E47" s="132"/>
      <c r="F47" s="132"/>
      <c r="G47" s="132"/>
      <c r="H47" s="48"/>
      <c r="I47" s="135"/>
      <c r="J47" s="135"/>
      <c r="K47" s="135"/>
      <c r="L47" s="62"/>
      <c r="M47" s="129"/>
    </row>
    <row r="48" customFormat="false" ht="15" hidden="false" customHeight="true" outlineLevel="0" collapsed="false">
      <c r="A48" s="129"/>
      <c r="B48" s="54"/>
      <c r="C48" s="56"/>
      <c r="D48" s="56"/>
      <c r="E48" s="134"/>
      <c r="F48" s="134"/>
      <c r="G48" s="134"/>
      <c r="H48" s="143"/>
      <c r="I48" s="135" t="str">
        <f aca="false">IF(E48&gt;0,(E48+F48+G48)/H48," ")</f>
        <v> </v>
      </c>
      <c r="J48" s="135" t="str">
        <f aca="false">IF(H48&gt;0,I48-K48," ")</f>
        <v> </v>
      </c>
      <c r="K48" s="135" t="str">
        <f aca="false">IF(H48&gt;0,G48/H48," ")</f>
        <v> </v>
      </c>
      <c r="L48" s="56"/>
      <c r="M48" s="129"/>
    </row>
    <row r="49" customFormat="false" ht="12" hidden="false" customHeight="false" outlineLevel="0" collapsed="false">
      <c r="A49" s="129"/>
      <c r="B49" s="49"/>
      <c r="C49" s="62"/>
      <c r="D49" s="62"/>
      <c r="E49" s="132"/>
      <c r="F49" s="132"/>
      <c r="G49" s="132"/>
      <c r="H49" s="48"/>
      <c r="I49" s="135"/>
      <c r="J49" s="135"/>
      <c r="K49" s="135"/>
      <c r="L49" s="62"/>
      <c r="M49" s="129"/>
    </row>
    <row r="50" customFormat="false" ht="15" hidden="false" customHeight="true" outlineLevel="0" collapsed="false">
      <c r="A50" s="129"/>
      <c r="B50" s="54"/>
      <c r="C50" s="56"/>
      <c r="D50" s="56"/>
      <c r="E50" s="134"/>
      <c r="F50" s="134"/>
      <c r="G50" s="134"/>
      <c r="H50" s="143"/>
      <c r="I50" s="135" t="str">
        <f aca="false">IF(E50&gt;0,(E50+F50+G50)/H50," ")</f>
        <v> </v>
      </c>
      <c r="J50" s="135" t="str">
        <f aca="false">IF(H50&gt;0,I50-K50," ")</f>
        <v> </v>
      </c>
      <c r="K50" s="135" t="str">
        <f aca="false">IF(H50&gt;0,G50/H50," ")</f>
        <v> </v>
      </c>
      <c r="L50" s="56"/>
      <c r="M50" s="129"/>
    </row>
    <row r="51" customFormat="false" ht="12" hidden="false" customHeight="false" outlineLevel="0" collapsed="false">
      <c r="A51" s="129"/>
      <c r="B51" s="49"/>
      <c r="C51" s="62"/>
      <c r="D51" s="62"/>
      <c r="E51" s="132"/>
      <c r="F51" s="132"/>
      <c r="G51" s="132"/>
      <c r="H51" s="48"/>
      <c r="I51" s="135"/>
      <c r="J51" s="135"/>
      <c r="K51" s="135"/>
      <c r="L51" s="62"/>
      <c r="M51" s="129"/>
    </row>
    <row r="52" customFormat="false" ht="15" hidden="false" customHeight="true" outlineLevel="0" collapsed="false">
      <c r="A52" s="129"/>
      <c r="B52" s="54"/>
      <c r="C52" s="56"/>
      <c r="D52" s="56"/>
      <c r="E52" s="134"/>
      <c r="F52" s="134"/>
      <c r="G52" s="134"/>
      <c r="H52" s="143"/>
      <c r="I52" s="135" t="str">
        <f aca="false">IF(E52&gt;0,(E52+F52+G52)/H52," ")</f>
        <v> </v>
      </c>
      <c r="J52" s="135" t="str">
        <f aca="false">IF(H52&gt;0,I52-K52," ")</f>
        <v> </v>
      </c>
      <c r="K52" s="135" t="str">
        <f aca="false">IF(H52&gt;0,G52/H52," ")</f>
        <v> </v>
      </c>
      <c r="L52" s="56"/>
      <c r="M52" s="129"/>
    </row>
    <row r="53" customFormat="false" ht="12" hidden="false" customHeight="false" outlineLevel="0" collapsed="false">
      <c r="A53" s="129"/>
      <c r="B53" s="49"/>
      <c r="C53" s="62"/>
      <c r="D53" s="62"/>
      <c r="E53" s="132"/>
      <c r="F53" s="132"/>
      <c r="G53" s="132"/>
      <c r="H53" s="48"/>
      <c r="I53" s="135"/>
      <c r="J53" s="135"/>
      <c r="K53" s="135"/>
      <c r="L53" s="62"/>
      <c r="M53" s="129"/>
    </row>
    <row r="54" customFormat="false" ht="6" hidden="false" customHeight="true" outlineLevel="0" collapsed="false">
      <c r="A54" s="129"/>
      <c r="B54" s="100"/>
      <c r="C54" s="102"/>
      <c r="D54" s="102"/>
      <c r="E54" s="129"/>
      <c r="F54" s="129"/>
      <c r="G54" s="129"/>
      <c r="H54" s="130"/>
      <c r="I54" s="131"/>
      <c r="J54" s="131"/>
      <c r="K54" s="131"/>
      <c r="L54" s="102"/>
      <c r="M54" s="129"/>
    </row>
  </sheetData>
  <mergeCells count="20">
    <mergeCell ref="C2:D2"/>
    <mergeCell ref="G2:K3"/>
    <mergeCell ref="B5:B6"/>
    <mergeCell ref="C5:C6"/>
    <mergeCell ref="D5:D6"/>
    <mergeCell ref="E5:E6"/>
    <mergeCell ref="F5:F6"/>
    <mergeCell ref="G5:G6"/>
    <mergeCell ref="H5:H6"/>
    <mergeCell ref="I5:K5"/>
    <mergeCell ref="L5:L6"/>
    <mergeCell ref="B31:B32"/>
    <mergeCell ref="C31:C32"/>
    <mergeCell ref="D31:D32"/>
    <mergeCell ref="E31:E32"/>
    <mergeCell ref="F31:F32"/>
    <mergeCell ref="G31:G32"/>
    <mergeCell ref="H31:H32"/>
    <mergeCell ref="I31:K31"/>
    <mergeCell ref="L31:L32"/>
  </mergeCells>
  <printOptions headings="false" gridLines="false" gridLinesSet="true" horizontalCentered="true" verticalCentered="true"/>
  <pageMargins left="0.157638888888889" right="0.157638888888889" top="0.39375" bottom="0.39375" header="0.118055555555556"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&amp;C&amp;"Arial,Bold"&amp;11LONG TERM FINANCE AGREEMENTS</oddHeader>
    <oddFooter>&amp;L&amp;D  &amp;T&amp;C&amp;P  of  &amp;N&amp;R&amp;F  &amp;A</oddFooter>
  </headerFooter>
  <rowBreaks count="1" manualBreakCount="1">
    <brk id="27" man="true" max="16383" min="0"/>
  </rowBreaks>
</worksheet>
</file>

<file path=docProps/app.xml><?xml version="1.0" encoding="utf-8"?>
<Properties xmlns="http://schemas.openxmlformats.org/officeDocument/2006/extended-properties" xmlns:vt="http://schemas.openxmlformats.org/officeDocument/2006/docPropsVTypes">
  <Template/>
  <TotalTime>0</TotalTime>
  <Application>LibreOffice/26.2.5.2$MacOSX_X86_64 LibreOffice_project/cd7284b4cbbfeb507e630c1aac019f4157393acb</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DIY Accounting Limited</dc:creator>
  <dc:description>Copyright (C) 2006-2026 DIY Accounting Limited. Licensed under the PolyForm Internal Use License 1.0.0 with an additional grant for accountants.</dc:description>
  <dc:language>en-GB</dc:language>
  <cp:lastModifiedBy>DIY Accounting Limited</cp:lastModifiedBy>
  <cp:lastPrinted>2007-03-03T22:52:10Z</cp:lastPrinted>
  <dcterms:modified xsi:type="dcterms:W3CDTF">2025-04-03T23:05:48Z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