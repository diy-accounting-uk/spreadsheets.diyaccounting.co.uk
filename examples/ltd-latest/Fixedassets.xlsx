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3.xml.rels" ContentType="application/vnd.openxmlformats-package.relationships+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 r:id="rId7"/>
    <externalReference r:id="rId8"/>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<sst xmlns="http://schemas.openxmlformats.org/spreadsheetml/2006/main" count="109" uniqueCount="77">
  <si>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</si>
  <si>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</si>
  <si>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</si>
  <si>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</si>
  <si>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</si>
  <si>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</si>
  <si>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</si>
  <si>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</si>
  <si>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</si>
  <si>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</si>
  <si>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</si>
  <si>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</si>
  <si>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</si>
  <si>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</si>
  <si>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</si>
  <si>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</si>
  <si>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</si>
  <si>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</si>
  <si>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</si>
  <si>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</si>
  <si>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</si>
  <si>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</si>
  <si>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Office premises</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</si>
  <si>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</si>
  <si>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</si>
  <si>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</si>
  <si>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</si>
  <si>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</si>
  <si>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</si>
  <si>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</si>
  <si>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</si>
  <si>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</si>
  <si>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</si>
  <si>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</si>
  <si>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Precision Tooling Supplies</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</si>
  <si>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</si>
  <si>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</si>
  <si>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</si>
  <si>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</si>
  <si>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</si>
  <si>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</si>
  <si>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</si>
  <si>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</si>
  <si>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</si>
  <si>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</si>
  <si>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</si>
  <si>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</si>
  <si>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</si>
  <si>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</si>
  <si>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</si>
  <si>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</si>
  <si>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</si>
  <si>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</si>
  <si>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</si>
  <si>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</si>
  <si>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</si>
  <si>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</si>
  <si>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</si>
  <si>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</si>
  <si>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</si>
  <si>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</si>
  <si>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</si>
  <si>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</si>
  <si>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</si>
  <si>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</si>
  <si>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</si>
  <si>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</si>
  <si>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</si>
  <si>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</si>
  <si>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</si>
  <si>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</si>
  <si>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</si>
  <si>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Close Brothers Asset Finance</t>
  </si>
  <si>
    <t xml:space="preserve">HP-2025-01</t>
  </si>
  <si>
    <t xml:space="preserve">HP-2025-02</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</si>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</sst>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externalLink" Target="externalLinks/externalLink2.xml"/><Relationship Id="rId8" Type="http://schemas.openxmlformats.org/officeDocument/2006/relationships/externalLink" Target="externalLinks/externalLink3.xml"/><Relationship Id="rId9"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Purchases.xlsx"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Sale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G13">
            <v>200000</v>
          </cell>
        </row>
        <row r="13">
          <cell r="J13">
            <v>3000</v>
          </cell>
          <cell r="K13">
            <v>30000</v>
          </cell>
        </row>
        <row r="13">
          <cell r="M13">
            <v>40000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G6">
            <v>14</v>
          </cell>
        </row>
        <row r="6">
          <cell r="L6">
            <v>46327</v>
          </cell>
        </row>
        <row r="7">
          <cell r="G7">
            <v>100</v>
          </cell>
        </row>
        <row r="7">
          <cell r="N7">
            <v>46691</v>
          </cell>
        </row>
        <row r="11">
          <cell r="N11">
            <v>46691</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52500</v>
          </cell>
        </row>
      </sheetData>
      <sheetData sheetId="1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12500</v>
          </cell>
        </row>
      </sheetData>
      <sheetData sheetId="1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285500</v>
      </c>
      <c r="F1" s="13" t="n">
        <f aca="false">F57+F110</f>
        <v>50098</v>
      </c>
      <c r="G1" s="13" t="n">
        <f aca="false">G57+G110</f>
        <v>182902</v>
      </c>
      <c r="H1" s="14" t="s">
        <v>2</v>
      </c>
      <c r="I1" s="13" t="n">
        <f aca="false">I57+I110</f>
        <v>13740</v>
      </c>
      <c r="J1" s="13" t="n">
        <f aca="false">J57+J110</f>
        <v>63838</v>
      </c>
      <c r="K1" s="13" t="n">
        <f aca="false">K57+K110</f>
        <v>208990</v>
      </c>
      <c r="L1" s="13"/>
      <c r="M1" s="14" t="s">
        <v>3</v>
      </c>
      <c r="N1" s="13"/>
      <c r="O1" s="13" t="n">
        <f aca="false">O57+O110</f>
        <v>24000</v>
      </c>
      <c r="P1" s="15" t="s">
        <v>4</v>
      </c>
      <c r="Q1" s="13" t="n">
        <f aca="false">Q57+Q110</f>
        <v>52500</v>
      </c>
      <c r="R1" s="13" t="n">
        <f aca="false">R57+R110</f>
        <v>3360</v>
      </c>
      <c r="S1" s="13" t="n">
        <f aca="false">S57+S110</f>
        <v>20640</v>
      </c>
      <c r="T1" s="16"/>
      <c r="U1" s="17" t="s">
        <v>5</v>
      </c>
      <c r="V1" s="13" t="n">
        <f aca="false">V57+V110</f>
        <v>12500</v>
      </c>
      <c r="W1" s="13" t="n">
        <f aca="false">W57+W110</f>
        <v>30000</v>
      </c>
      <c r="X1" s="13" t="n">
        <f aca="false">X57+X110</f>
        <v>17328</v>
      </c>
      <c r="Y1" s="13" t="n">
        <f aca="false">Y57+Y110</f>
        <v>8140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46327</v>
      </c>
      <c r="G4" s="26" t="n">
        <f aca="false">D6</f>
        <v>46327</v>
      </c>
      <c r="H4" s="14"/>
      <c r="I4" s="23"/>
      <c r="J4" s="26" t="n">
        <f aca="false">[1]Admin!$N$7</f>
        <v>46691</v>
      </c>
      <c r="K4" s="26" t="n">
        <f aca="false">J4</f>
        <v>46691</v>
      </c>
      <c r="L4" s="13"/>
      <c r="M4" s="14"/>
      <c r="N4" s="13"/>
      <c r="O4" s="10" t="n">
        <f aca="false">D6</f>
        <v>46327</v>
      </c>
      <c r="P4" s="27" t="n">
        <v>100</v>
      </c>
      <c r="Q4" s="22"/>
      <c r="R4" s="28" t="n">
        <f aca="false">[1]Admin!$G$6</f>
        <v>14</v>
      </c>
      <c r="S4" s="10" t="n">
        <f aca="false">J4</f>
        <v>46691</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46327</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t="s">
        <v>22</v>
      </c>
      <c r="D8" s="56"/>
      <c r="E8" s="57" t="n">
        <v>200000</v>
      </c>
      <c r="F8" s="57" t="n">
        <v>40000</v>
      </c>
      <c r="G8" s="50" t="n">
        <f aca="false">IF(E8&gt;0,E8-F8," ")</f>
        <v>160000</v>
      </c>
      <c r="H8" s="58" t="n">
        <f aca="false">H$7</f>
        <v>0</v>
      </c>
      <c r="I8" s="50" t="n">
        <f aca="false">IF(E8&gt;0,MIN(E8*H8,G8)," ")</f>
        <v>0</v>
      </c>
      <c r="J8" s="50" t="n">
        <f aca="false">IF(E8&gt;0,F8+I8," ")</f>
        <v>40000</v>
      </c>
      <c r="K8" s="50" t="n">
        <f aca="false">IF(E8&gt;0,IF(V8&gt;0,0,E8-J8)," ")</f>
        <v>160000</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IF(E9&gt;0,IF(V9&gt;0,0,E9-J9),"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IF(E10&gt;0,IF(V10&gt;0,0,E10-J10),"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200000</v>
      </c>
      <c r="F11" s="60" t="n">
        <f aca="false">SUM(F8:F10)</f>
        <v>40000</v>
      </c>
      <c r="G11" s="61" t="n">
        <f aca="false">SUM(G8:G10)</f>
        <v>160000</v>
      </c>
      <c r="H11" s="58"/>
      <c r="I11" s="61" t="n">
        <f aca="false">SUM(I8:I10)</f>
        <v>0</v>
      </c>
      <c r="J11" s="61" t="n">
        <f aca="false">SUM(J8:J10)</f>
        <v>40000</v>
      </c>
      <c r="K11" s="61" t="n">
        <f aca="false">SUM(K8:K10)</f>
        <v>160000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23</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IF(E14&gt;0,IF(V14&gt;0,0,E14-J14),"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IF(E15&gt;0,IF(V15&gt;0,0,E15-J15),"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IF(E16&gt;0,IF(V16&gt;0,0,E16-J16),"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IF(E17&gt;0,IF(V17&gt;0,0,E17-J17),"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IF(E18&gt;0,IF(V18&gt;0,0,E18-J18),"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IF(E19&gt;0,IF(V19&gt;0,0,E19-J19),"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IF(E20&gt;0,IF(V20&gt;0,0,E20-J20),"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IF(E21&gt;0,IF(V21&gt;0,0,E21-J21),"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24</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IF(E25&gt;0,IF(V25&gt;0,0,E25-J25),"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IF(E26&gt;0,IF(V26&gt;0,0,E26-J26),"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IF(E27&gt;0,IF(V27&gt;0,0,E27-J27),"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IF(E28&gt;0,IF(V28&gt;0,0,E28-J28),"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IF(E29&gt;0,IF(V29&gt;0,0,E29-J29),"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25</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26</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IF(E33&gt;0,IF(V33&gt;0,0,E33-J33),"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IF(E34&gt;0,IF(V34&gt;0,0,E34-J34),"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IF(E35&gt;0,IF(V35&gt;0,0,E35-J35),"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IF(E36&gt;0,IF(V36&gt;0,0,E36-J36),"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IF(E37&gt;0,IF(V37&gt;0,0,E37-J37),"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IF(E38&gt;0,IF(V38&gt;0,0,E38-J38),"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IF(E39&gt;0,IF(V39&gt;0,0,E39-J39),"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IF(E40&gt;0,IF(V40&gt;0,0,E40-J40),"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27</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IF(E44&gt;0,IF(V44&gt;0,0,E44-J44)," ")</f>
        <v> </v>
      </c>
      <c r="L44" s="50"/>
      <c r="M44" s="66" t="n">
        <v>0</v>
      </c>
      <c r="N44" s="50"/>
      <c r="O44" s="67"/>
      <c r="P44" s="48"/>
      <c r="Q44" s="47"/>
      <c r="R44" s="47" t="str">
        <f aca="false">IF(O44&gt;0,O44*R$4/100*(1-M44),"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IF(E45&gt;0,IF(V45&gt;0,0,E45-J45)," ")</f>
        <v> </v>
      </c>
      <c r="L45" s="50"/>
      <c r="M45" s="66" t="n">
        <v>0</v>
      </c>
      <c r="N45" s="50"/>
      <c r="O45" s="67"/>
      <c r="P45" s="48"/>
      <c r="Q45" s="47"/>
      <c r="R45" s="47" t="str">
        <f aca="false">IF(O45&gt;0,O45*R$4/100*(1-M45),"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IF(E46&gt;0,IF(V46&gt;0,0,E46-J46)," ")</f>
        <v> </v>
      </c>
      <c r="L46" s="50"/>
      <c r="M46" s="66" t="n">
        <v>0</v>
      </c>
      <c r="N46" s="50"/>
      <c r="O46" s="67"/>
      <c r="P46" s="48"/>
      <c r="Q46" s="47"/>
      <c r="R46" s="47" t="str">
        <f aca="false">IF(O46&gt;0,O46*R$4/100*(1-M46),"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IF(E47&gt;0,IF(V47&gt;0,0,E47-J47)," ")</f>
        <v> </v>
      </c>
      <c r="L47" s="50"/>
      <c r="M47" s="66" t="n">
        <v>0</v>
      </c>
      <c r="N47" s="50"/>
      <c r="O47" s="67"/>
      <c r="P47" s="48"/>
      <c r="Q47" s="47"/>
      <c r="R47" s="47" t="str">
        <f aca="false">IF(O47&gt;0,O47*R$4/100*(1-M47),"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IF(E48&gt;0,IF(V48&gt;0,0,E48-J48)," ")</f>
        <v> </v>
      </c>
      <c r="L48" s="50"/>
      <c r="M48" s="66" t="n">
        <v>0</v>
      </c>
      <c r="N48" s="50"/>
      <c r="O48" s="67"/>
      <c r="P48" s="48"/>
      <c r="Q48" s="47"/>
      <c r="R48" s="47" t="str">
        <f aca="false">IF(O48&gt;0,O48*R$4/100*(1-M48),"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28</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29</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IF(E50&gt;0,IF(V50&gt;0,0,E50-J50)," ")</f>
        <v>0</v>
      </c>
      <c r="L50" s="50"/>
      <c r="M50" s="66" t="n">
        <v>0</v>
      </c>
      <c r="N50" s="50"/>
      <c r="O50" s="67" t="n">
        <v>24000</v>
      </c>
      <c r="P50" s="48"/>
      <c r="Q50" s="47"/>
      <c r="R50" s="47" t="n">
        <f aca="false">IF(O50&gt;0,O50*R$4/100*(1-M50)," ")</f>
        <v>3360</v>
      </c>
      <c r="S50" s="47" t="n">
        <f aca="false">IF(O50&gt;0,O50-R50," ")</f>
        <v>20640</v>
      </c>
      <c r="T50" s="47"/>
      <c r="U50" s="54" t="n">
        <v>46152</v>
      </c>
      <c r="V50" s="57" t="n">
        <v>12500</v>
      </c>
      <c r="W50" s="50" t="n">
        <f aca="false">IF(V50&gt;0,E50," ")</f>
        <v>30000</v>
      </c>
      <c r="X50" s="50" t="n">
        <f aca="false">IF(V50&gt;0,J50," ")</f>
        <v>17328</v>
      </c>
      <c r="Y50" s="47" t="n">
        <f aca="false">IF((U50+V50)&gt;0,IF(V50&lt;S50,(S50-V50)*(1-M50)," ")," ")</f>
        <v>8140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IF(E51&gt;0,IF(V51&gt;0,0,E51-J51)," ")</f>
        <v> </v>
      </c>
      <c r="L51" s="50"/>
      <c r="M51" s="66" t="n">
        <v>0</v>
      </c>
      <c r="N51" s="50"/>
      <c r="O51" s="67"/>
      <c r="P51" s="48"/>
      <c r="Q51" s="47"/>
      <c r="R51" s="47" t="str">
        <f aca="false">IF(O51&gt;0,O51*R$4/100*(1-M51),"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IF(E52&gt;0,IF(V52&gt;0,0,E52-J52)," ")</f>
        <v> </v>
      </c>
      <c r="L52" s="50"/>
      <c r="M52" s="66" t="n">
        <v>0</v>
      </c>
      <c r="N52" s="50"/>
      <c r="O52" s="67"/>
      <c r="P52" s="48"/>
      <c r="Q52" s="47"/>
      <c r="R52" s="47" t="str">
        <f aca="false">IF(O52&gt;0,O52*R$4/100*(1-M52),"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IF(E53&gt;0,IF(V53&gt;0,0,E53-J53)," ")</f>
        <v> </v>
      </c>
      <c r="L53" s="50"/>
      <c r="M53" s="66" t="n">
        <v>0</v>
      </c>
      <c r="N53" s="50"/>
      <c r="O53" s="67"/>
      <c r="P53" s="48"/>
      <c r="Q53" s="47"/>
      <c r="R53" s="47" t="str">
        <f aca="false">IF(O53&gt;0,O53*R$4/100*(1-M53),"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IF(E54&gt;0,IF(V54&gt;0,0,E54-J54)," ")</f>
        <v> </v>
      </c>
      <c r="L54" s="50"/>
      <c r="M54" s="66" t="n">
        <v>0</v>
      </c>
      <c r="N54" s="50"/>
      <c r="O54" s="67"/>
      <c r="P54" s="48"/>
      <c r="Q54" s="47"/>
      <c r="R54" s="47" t="str">
        <f aca="false">IF(O54&gt;0,O54*R$4/100*(1-M54),"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0</v>
      </c>
      <c r="L55" s="50"/>
      <c r="M55" s="69"/>
      <c r="N55" s="50"/>
      <c r="O55" s="61" t="n">
        <f aca="false">SUM(O44:O54)</f>
        <v>24000</v>
      </c>
      <c r="P55" s="62"/>
      <c r="Q55" s="61" t="n">
        <f aca="false">SUM(Q44:Q54)</f>
        <v>0</v>
      </c>
      <c r="R55" s="61" t="n">
        <f aca="false">SUM(R44:R54)</f>
        <v>3360</v>
      </c>
      <c r="S55" s="61" t="n">
        <f aca="false">SUM(S44:S54)</f>
        <v>20640</v>
      </c>
      <c r="T55" s="50"/>
      <c r="U55" s="49"/>
      <c r="V55" s="60" t="n">
        <f aca="false">SUM(V44:V54)</f>
        <v>12500</v>
      </c>
      <c r="W55" s="61" t="n">
        <f aca="false">SUM(W44:W54)</f>
        <v>30000</v>
      </c>
      <c r="X55" s="61" t="n">
        <f aca="false">SUM(X44:X54)</f>
        <v>17328</v>
      </c>
      <c r="Y55" s="61" t="n">
        <f aca="false">SUM(Y44:Y54)</f>
        <v>8140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46327</v>
      </c>
      <c r="E57" s="73" t="n">
        <f aca="false">E11+E22+E30+E41+E55</f>
        <v>233000</v>
      </c>
      <c r="F57" s="73" t="n">
        <f aca="false">F11+F22+F30+F41+F55</f>
        <v>50098</v>
      </c>
      <c r="G57" s="73" t="n">
        <f aca="false">G11+G22+G30+G41+G55</f>
        <v>182902</v>
      </c>
      <c r="H57" s="58"/>
      <c r="I57" s="73" t="n">
        <f aca="false">I11+I22+I30+I41+I55</f>
        <v>8490</v>
      </c>
      <c r="J57" s="73" t="n">
        <f aca="false">J11+J22+J30+J41+J55</f>
        <v>58588</v>
      </c>
      <c r="K57" s="73" t="n">
        <f aca="false">K11+K22+K30+K41+K55</f>
        <v>161740</v>
      </c>
      <c r="L57" s="50"/>
      <c r="M57" s="58"/>
      <c r="N57" s="50"/>
      <c r="O57" s="73" t="n">
        <f aca="false">O11+O22+O30+O41+O55</f>
        <v>24000</v>
      </c>
      <c r="P57" s="62"/>
      <c r="Q57" s="73" t="n">
        <f aca="false">Q11+Q22+Q30+Q41+Q55</f>
        <v>0</v>
      </c>
      <c r="R57" s="73" t="n">
        <f aca="false">R11+R22+R30+R41+R55</f>
        <v>3360</v>
      </c>
      <c r="S57" s="73" t="n">
        <f aca="false">S11+S22+S30+S41+S55</f>
        <v>20640</v>
      </c>
      <c r="T57" s="47"/>
      <c r="U57" s="49"/>
      <c r="V57" s="73" t="n">
        <f aca="false">V11+V22+V30+V41+V55</f>
        <v>12500</v>
      </c>
      <c r="W57" s="73" t="n">
        <f aca="false">W11+W22+W30+W41+W55</f>
        <v>30000</v>
      </c>
      <c r="X57" s="73" t="n">
        <f aca="false">X11+X22+X30+X41+X55</f>
        <v>17328</v>
      </c>
      <c r="Y57" s="73" t="n">
        <f aca="false">Y11+Y22+Y30+Y41+Y55</f>
        <v>8140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30</v>
      </c>
      <c r="C59" s="77"/>
      <c r="D59" s="78" t="n">
        <f aca="false">D57</f>
        <v>46327</v>
      </c>
      <c r="E59" s="79" t="s">
        <v>31</v>
      </c>
      <c r="F59" s="80" t="n">
        <f aca="false">J4</f>
        <v>46691</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IF(E61&gt;0,IF(V61&gt;0,0,E61-J61),"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IF(E62&gt;0,IF(V62&gt;0,0,E62-J62),"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IF(E63&gt;0,IF(V63&gt;0,0,E63-J63),"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32</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23</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46006</v>
      </c>
      <c r="C67" s="55" t="s">
        <v>33</v>
      </c>
      <c r="D67" s="56"/>
      <c r="E67" s="57" t="n">
        <v>1500</v>
      </c>
      <c r="F67" s="50"/>
      <c r="G67" s="50"/>
      <c r="H67" s="58" t="n">
        <f aca="false">H$66</f>
        <v>0.1</v>
      </c>
      <c r="I67" s="50" t="n">
        <f aca="false">IF(E67&gt;0,MIN(E67*H67,G67)," ")</f>
        <v>150</v>
      </c>
      <c r="J67" s="50" t="n">
        <f aca="false">IF(E67&gt;0,F67+I67," ")</f>
        <v>150</v>
      </c>
      <c r="K67" s="50" t="n">
        <f aca="false">IF(E67&gt;0,IF(V67&gt;0,0,E67-J67),"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46023</v>
      </c>
      <c r="C68" s="55" t="s">
        <v>34</v>
      </c>
      <c r="D68" s="56"/>
      <c r="E68" s="57" t="n">
        <v>13000</v>
      </c>
      <c r="F68" s="50"/>
      <c r="G68" s="50"/>
      <c r="H68" s="58" t="n">
        <f aca="false">H$66</f>
        <v>0.1</v>
      </c>
      <c r="I68" s="50" t="n">
        <f aca="false">IF(E68&gt;0,MIN(E68*H68,G68)," ")</f>
        <v>1300</v>
      </c>
      <c r="J68" s="50" t="n">
        <f aca="false">IF(E68&gt;0,F68+I68," ")</f>
        <v>1300</v>
      </c>
      <c r="K68" s="50" t="n">
        <f aca="false">IF(E68&gt;0,IF(V68&gt;0,0,E68-J68)," ")</f>
        <v>11700</v>
      </c>
      <c r="L68" s="50"/>
      <c r="M68" s="58"/>
      <c r="N68" s="50"/>
      <c r="O68" s="47"/>
      <c r="P68" s="48" t="n">
        <f aca="false">IF(B68&gt;0,IF(B68&gt;[1]Admin!$N$11,[1]Admin!$G$7,[1]Admin!$G$5),[1]Admin!$G$5)</f>
        <v>100</v>
      </c>
      <c r="Q68" s="47" t="n">
        <f aca="false">IF(E68&gt;0,E68*P68/100," ")</f>
        <v>13000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46068</v>
      </c>
      <c r="C69" s="55" t="s">
        <v>35</v>
      </c>
      <c r="D69" s="56"/>
      <c r="E69" s="57" t="n">
        <v>1000</v>
      </c>
      <c r="F69" s="50"/>
      <c r="G69" s="50"/>
      <c r="H69" s="58" t="n">
        <f aca="false">H$66</f>
        <v>0.1</v>
      </c>
      <c r="I69" s="50" t="n">
        <f aca="false">IF(E69&gt;0,MIN(E69*H69,G69)," ")</f>
        <v>100</v>
      </c>
      <c r="J69" s="50" t="n">
        <f aca="false">IF(E69&gt;0,F69+I69," ")</f>
        <v>100</v>
      </c>
      <c r="K69" s="50" t="n">
        <f aca="false">IF(E69&gt;0,IF(V69&gt;0,0,E69-J69)," ")</f>
        <v>900</v>
      </c>
      <c r="L69" s="50"/>
      <c r="M69" s="58"/>
      <c r="N69" s="50"/>
      <c r="O69" s="47"/>
      <c r="P69" s="48" t="n">
        <f aca="false">IF(B69&gt;0,IF(B69&gt;[1]Admin!$N$11,[1]Admin!$G$7,[1]Admin!$G$5),[1]Admin!$G$5)</f>
        <v>100</v>
      </c>
      <c r="Q69" s="47" t="n">
        <f aca="false">IF(E69&gt;0,E69*P69/100," ")</f>
        <v>1000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t="n">
        <v>46113</v>
      </c>
      <c r="C70" s="55" t="s">
        <v>34</v>
      </c>
      <c r="D70" s="56"/>
      <c r="E70" s="57" t="n">
        <v>7000</v>
      </c>
      <c r="F70" s="50"/>
      <c r="G70" s="50"/>
      <c r="H70" s="58" t="n">
        <f aca="false">H$66</f>
        <v>0.1</v>
      </c>
      <c r="I70" s="50" t="n">
        <f aca="false">IF(E70&gt;0,MIN(E70*H70,G70)," ")</f>
        <v>700</v>
      </c>
      <c r="J70" s="50" t="n">
        <f aca="false">IF(E70&gt;0,F70+I70," ")</f>
        <v>700</v>
      </c>
      <c r="K70" s="50" t="n">
        <f aca="false">IF(E70&gt;0,IF(V70&gt;0,0,E70-J70)," ")</f>
        <v>6300</v>
      </c>
      <c r="L70" s="50"/>
      <c r="M70" s="58"/>
      <c r="N70" s="50"/>
      <c r="O70" s="47"/>
      <c r="P70" s="48" t="n">
        <f aca="false">IF(B70&gt;0,IF(B70&gt;[1]Admin!$N$11,[1]Admin!$G$7,[1]Admin!$G$5),[1]Admin!$G$5)</f>
        <v>100</v>
      </c>
      <c r="Q70" s="47" t="n">
        <f aca="false">IF(E70&gt;0,E70*P70/100," ")</f>
        <v>7000</v>
      </c>
      <c r="R70" s="47"/>
      <c r="S70" s="47" t="n">
        <f aca="false">IF(E70&gt;0,E70-Q70," ")</f>
        <v>0</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t="n">
        <v>46167</v>
      </c>
      <c r="C71" s="55" t="s">
        <v>36</v>
      </c>
      <c r="D71" s="56"/>
      <c r="E71" s="57" t="n">
        <v>30000</v>
      </c>
      <c r="F71" s="50"/>
      <c r="G71" s="50"/>
      <c r="H71" s="58" t="n">
        <f aca="false">H$66</f>
        <v>0.1</v>
      </c>
      <c r="I71" s="50" t="n">
        <f aca="false">IF(E71&gt;0,MIN(E71*H71,G71)," ")</f>
        <v>3000</v>
      </c>
      <c r="J71" s="50" t="n">
        <f aca="false">IF(E71&gt;0,F71+I71," ")</f>
        <v>3000</v>
      </c>
      <c r="K71" s="50" t="n">
        <f aca="false">IF(E71&gt;0,IF(V71&gt;0,0,E71-J71)," ")</f>
        <v>27000</v>
      </c>
      <c r="L71" s="50"/>
      <c r="M71" s="58"/>
      <c r="N71" s="50"/>
      <c r="O71" s="47"/>
      <c r="P71" s="48" t="n">
        <f aca="false">IF(B71&gt;0,IF(B71&gt;[1]Admin!$N$11,[1]Admin!$G$7,[1]Admin!$G$5),[1]Admin!$G$5)</f>
        <v>100</v>
      </c>
      <c r="Q71" s="47" t="n">
        <f aca="false">IF(E71&gt;0,E71*P71/100," ")</f>
        <v>30000</v>
      </c>
      <c r="R71" s="47"/>
      <c r="S71" s="47" t="n">
        <f aca="false">IF(E71&gt;0,E71-Q71," ")</f>
        <v>0</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IF(E72&gt;0,IF(V72&gt;0,0,E72-J72),"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IF(E73&gt;0,IF(V73&gt;0,0,E73-J73),"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IF(E74&gt;0,IF(V74&gt;0,0,E74-J74),"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37</v>
      </c>
      <c r="C75" s="59"/>
      <c r="D75" s="59"/>
      <c r="E75" s="60" t="n">
        <f aca="false">SUM(E67:E74)</f>
        <v>52500</v>
      </c>
      <c r="F75" s="61" t="n">
        <f aca="false">SUM(F67:F74)</f>
        <v>0</v>
      </c>
      <c r="G75" s="61" t="n">
        <f aca="false">SUM(G67:G74)</f>
        <v>0</v>
      </c>
      <c r="H75" s="58"/>
      <c r="I75" s="61" t="n">
        <f aca="false">SUM(I67:I74)</f>
        <v>5250</v>
      </c>
      <c r="J75" s="61" t="n">
        <f aca="false">SUM(J67:J74)</f>
        <v>5250</v>
      </c>
      <c r="K75" s="61" t="n">
        <f aca="false">SUM(K67:K74)</f>
        <v>47250</v>
      </c>
      <c r="L75" s="50"/>
      <c r="M75" s="58"/>
      <c r="N75" s="50"/>
      <c r="O75" s="61" t="n">
        <f aca="false">SUM(O67:O74)</f>
        <v>0</v>
      </c>
      <c r="P75" s="62"/>
      <c r="Q75" s="61" t="n">
        <f aca="false">SUM(Q67:Q74)</f>
        <v>52500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24</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IF(E78&gt;0,IF(V78&gt;0,0,E78-J78),"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IF(E79&gt;0,IF(V79&gt;0,0,E79-J79),"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IF(E80&gt;0,IF(V80&gt;0,0,E80-J80),"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IF(E81&gt;0,IF(V81&gt;0,0,E81-J81),"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IF(E82&gt;0,IF(V82&gt;0,0,E82-J82),"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38</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25</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IF(E86&gt;0,IF(V86&gt;0,0,E86-J86),"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IF(E87&gt;0,IF(V87&gt;0,0,E87-J87),"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IF(E88&gt;0,IF(V88&gt;0,0,E88-J88),"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IF(E89&gt;0,IF(V89&gt;0,0,E89-J89),"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IF(E90&gt;0,IF(V90&gt;0,0,E90-J90),"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IF(E91&gt;0,IF(V91&gt;0,0,E91-J91),"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IF(E92&gt;0,IF(V92&gt;0,0,E92-J92),"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IF(E93&gt;0,IF(V93&gt;0,0,E93-J93),"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39</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27</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IF(E97&gt;0,IF(V97&gt;0,0,E97-J97)," ")</f>
        <v> </v>
      </c>
      <c r="L97" s="50"/>
      <c r="M97" s="66" t="n">
        <v>0</v>
      </c>
      <c r="N97" s="50"/>
      <c r="O97" s="47"/>
      <c r="P97" s="48"/>
      <c r="Q97" s="47"/>
      <c r="R97" s="47" t="str">
        <f aca="false">IF(E97&gt;0,E97*R$4/100*(1-M97),"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IF(E98&gt;0,IF(V98&gt;0,0,E98-J98)," ")</f>
        <v> </v>
      </c>
      <c r="L98" s="50"/>
      <c r="M98" s="66" t="n">
        <v>0</v>
      </c>
      <c r="N98" s="50"/>
      <c r="O98" s="47"/>
      <c r="P98" s="48"/>
      <c r="Q98" s="47"/>
      <c r="R98" s="47" t="str">
        <f aca="false">IF(E98&gt;0,E98*R$4/100*(1-M98),"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IF(E99&gt;0,IF(V99&gt;0,0,E99-J99)," ")</f>
        <v> </v>
      </c>
      <c r="L99" s="50"/>
      <c r="M99" s="66" t="n">
        <v>0</v>
      </c>
      <c r="N99" s="50"/>
      <c r="O99" s="47"/>
      <c r="P99" s="48"/>
      <c r="Q99" s="47"/>
      <c r="R99" s="47" t="str">
        <f aca="false">IF(E99&gt;0,E99*R$4/100*(1-M99),"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IF(E100&gt;0,IF(V100&gt;0,0,E100-J100)," ")</f>
        <v> </v>
      </c>
      <c r="L100" s="50"/>
      <c r="M100" s="66" t="n">
        <v>0</v>
      </c>
      <c r="N100" s="50"/>
      <c r="O100" s="47"/>
      <c r="P100" s="48"/>
      <c r="Q100" s="47"/>
      <c r="R100" s="47" t="str">
        <f aca="false">IF(E100&gt;0,E100*R$4/100*(1-M100),"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IF(E101&gt;0,IF(V101&gt;0,0,E101-J101)," ")</f>
        <v> </v>
      </c>
      <c r="L101" s="50"/>
      <c r="M101" s="66" t="n">
        <v>0</v>
      </c>
      <c r="N101" s="50"/>
      <c r="O101" s="47"/>
      <c r="P101" s="48"/>
      <c r="Q101" s="47"/>
      <c r="R101" s="47" t="str">
        <f aca="false">IF(E101&gt;0,E101*R$4/100*(1-M101),"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28</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IF(E103&gt;0,IF(V103&gt;0,0,E103-J103),"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IF(E104&gt;0,IF(V104&gt;0,0,E104-J104),"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IF(E105&gt;0,IF(V105&gt;0,0,E105-J105),"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IF(E106&gt;0,IF(V106&gt;0,0,E106-J106),"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IF(E107&gt;0,IF(V107&gt;0,0,E107-J107),"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40</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41</v>
      </c>
      <c r="C110" s="43"/>
      <c r="D110" s="86" t="n">
        <f aca="false">F59</f>
        <v>46691</v>
      </c>
      <c r="E110" s="73" t="n">
        <f aca="false">E64+E75+E83+E94+E108</f>
        <v>52500</v>
      </c>
      <c r="F110" s="73" t="n">
        <f aca="false">F64+F75+F83+F94+F108</f>
        <v>0</v>
      </c>
      <c r="G110" s="73" t="n">
        <f aca="false">G64+G75+G83+G94+G108</f>
        <v>0</v>
      </c>
      <c r="H110" s="58"/>
      <c r="I110" s="73" t="n">
        <f aca="false">I64+I75+I83+I94+I108</f>
        <v>5250</v>
      </c>
      <c r="J110" s="73" t="n">
        <f aca="false">J64+J75+J83+J94+J108</f>
        <v>5250</v>
      </c>
      <c r="K110" s="73" t="n">
        <f aca="false">K64+K75+K83+K94+K108</f>
        <v>47250</v>
      </c>
      <c r="L110" s="50"/>
      <c r="M110" s="58"/>
      <c r="N110" s="50"/>
      <c r="O110" s="73" t="n">
        <f aca="false">O64+O75+O83+O94+O108</f>
        <v>0</v>
      </c>
      <c r="P110" s="62"/>
      <c r="Q110" s="73" t="n">
        <f aca="false">Q64+Q75+Q83+Q94+Q108</f>
        <v>52500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42</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43</v>
      </c>
      <c r="C4" s="101"/>
      <c r="D4" s="102"/>
      <c r="E4" s="110" t="s">
        <v>8</v>
      </c>
      <c r="F4" s="104"/>
      <c r="G4" s="111" t="s">
        <v>44</v>
      </c>
      <c r="H4" s="111"/>
      <c r="I4" s="111"/>
      <c r="J4" s="104"/>
      <c r="K4" s="110" t="s">
        <v>45</v>
      </c>
      <c r="L4" s="104"/>
      <c r="M4" s="112" t="s">
        <v>46</v>
      </c>
      <c r="N4" s="112"/>
      <c r="O4" s="106"/>
      <c r="P4" s="7"/>
      <c r="Q4" s="7"/>
      <c r="R4" s="7"/>
      <c r="S4" s="7"/>
      <c r="T4" s="2"/>
      <c r="U4" s="5"/>
      <c r="V4" s="5"/>
      <c r="W4" s="7"/>
      <c r="X4" s="7"/>
    </row>
    <row r="5" s="1" customFormat="true" ht="15" hidden="false" customHeight="true" outlineLevel="0" collapsed="false">
      <c r="A5" s="99"/>
      <c r="B5" s="100" t="s">
        <v>47</v>
      </c>
      <c r="C5" s="101"/>
      <c r="D5" s="102"/>
      <c r="E5" s="104"/>
      <c r="F5" s="104"/>
      <c r="G5" s="100" t="s">
        <v>48</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32</v>
      </c>
      <c r="C6" s="113"/>
      <c r="D6" s="113"/>
      <c r="E6" s="114" t="n">
        <f aca="false">Schedule!E64</f>
        <v>0</v>
      </c>
      <c r="F6" s="104"/>
      <c r="G6" s="113" t="s">
        <v>49</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37</v>
      </c>
      <c r="C7" s="113"/>
      <c r="D7" s="113"/>
      <c r="E7" s="114" t="n">
        <f aca="false">Schedule!E75</f>
        <v>52500</v>
      </c>
      <c r="F7" s="104"/>
      <c r="G7" s="113" t="s">
        <v>50</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38</v>
      </c>
      <c r="C8" s="113"/>
      <c r="D8" s="113"/>
      <c r="E8" s="114" t="n">
        <f aca="false">Schedule!E83</f>
        <v>0</v>
      </c>
      <c r="F8" s="104"/>
      <c r="G8" s="113" t="s">
        <v>51</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39</v>
      </c>
      <c r="C9" s="113"/>
      <c r="D9" s="113"/>
      <c r="E9" s="114" t="n">
        <f aca="false">Schedule!E94</f>
        <v>0</v>
      </c>
      <c r="F9" s="104"/>
      <c r="G9" s="113" t="s">
        <v>52</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40</v>
      </c>
      <c r="C10" s="113"/>
      <c r="D10" s="113"/>
      <c r="E10" s="114" t="n">
        <f aca="false">Schedule!E108</f>
        <v>0</v>
      </c>
      <c r="F10" s="104"/>
      <c r="G10" s="113" t="s">
        <v>53</v>
      </c>
      <c r="H10" s="113"/>
      <c r="I10" s="113"/>
      <c r="J10" s="113"/>
      <c r="K10" s="114" t="n">
        <f aca="false">Schedule!V55+Schedule!V108</f>
        <v>12500</v>
      </c>
      <c r="L10" s="104"/>
      <c r="M10" s="112"/>
      <c r="N10" s="112"/>
      <c r="O10" s="106"/>
      <c r="P10" s="7"/>
      <c r="Q10" s="7"/>
      <c r="R10" s="7"/>
      <c r="S10" s="7"/>
      <c r="T10" s="2"/>
      <c r="U10" s="5"/>
      <c r="V10" s="5"/>
      <c r="W10" s="7"/>
      <c r="X10" s="7"/>
    </row>
    <row r="11" s="1" customFormat="true" ht="15" hidden="false" customHeight="true" outlineLevel="0" collapsed="false">
      <c r="A11" s="99"/>
      <c r="B11" s="115" t="s">
        <v>54</v>
      </c>
      <c r="C11" s="115"/>
      <c r="D11" s="115"/>
      <c r="E11" s="116" t="n">
        <f aca="false">SUM(E6:E10)</f>
        <v>52500</v>
      </c>
      <c r="F11" s="104"/>
      <c r="G11" s="117" t="s">
        <v>54</v>
      </c>
      <c r="H11" s="117"/>
      <c r="I11" s="117"/>
      <c r="J11" s="117"/>
      <c r="K11" s="116" t="n">
        <f aca="false">SUM(K6:K10)</f>
        <v>12500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55</v>
      </c>
      <c r="C13" s="115"/>
      <c r="D13" s="115"/>
      <c r="E13" s="116" t="n">
        <f aca="false">[2]Oct!$AI$2</f>
        <v>52500</v>
      </c>
      <c r="F13" s="104"/>
      <c r="G13" s="117" t="s">
        <v>56</v>
      </c>
      <c r="H13" s="117"/>
      <c r="I13" s="117"/>
      <c r="J13" s="117"/>
      <c r="K13" s="116" t="n">
        <f aca="false">[3]Oct!$U$2</f>
        <v>12500</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str">
        <f aca="false">IF(E15&gt;0,"Purchases exceed Assets listed on Schedule",IF(E15&lt;0,"Assets listed on Schedule exceed Purchase values","Purchases reconcile with Fixed asset Schedule"))</f>
        <v>Purchases reconcile with Fixed asset Schedule</v>
      </c>
      <c r="C15" s="118"/>
      <c r="D15" s="118"/>
      <c r="E15" s="119" t="n">
        <f aca="false">E13-E11</f>
        <v>0</v>
      </c>
      <c r="F15" s="104"/>
      <c r="G15" s="118" t="str">
        <f aca="false">IF(K15&gt;0,"Sales exceed Assets listed on Schedule",IF(K15&lt;0,"Assets listed on Schedule exceed Sales values","Sales reconcile with Fixed asset Schedule"))</f>
        <v>Sales reconcile with Fixed asset Schedule</v>
      </c>
      <c r="H15" s="118"/>
      <c r="I15" s="118"/>
      <c r="J15" s="118"/>
      <c r="K15" s="119" t="n">
        <f aca="false">K13-K11</f>
        <v>0</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57</v>
      </c>
      <c r="D2" s="133"/>
      <c r="E2" s="134" t="n">
        <f aca="false">SUM(E8:E26)</f>
        <v>20000</v>
      </c>
      <c r="F2" s="135"/>
      <c r="G2" s="136" t="s">
        <v>58</v>
      </c>
      <c r="H2" s="136"/>
      <c r="I2" s="136"/>
      <c r="J2" s="136"/>
      <c r="K2" s="136"/>
      <c r="L2" s="48"/>
      <c r="M2" s="129"/>
    </row>
    <row r="3" customFormat="false" ht="18" hidden="false" customHeight="true" outlineLevel="0" collapsed="false">
      <c r="A3" s="129"/>
      <c r="B3" s="137" t="s">
        <v>59</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60</v>
      </c>
      <c r="C5" s="21" t="s">
        <v>61</v>
      </c>
      <c r="D5" s="21" t="s">
        <v>62</v>
      </c>
      <c r="E5" s="141" t="s">
        <v>63</v>
      </c>
      <c r="F5" s="141" t="s">
        <v>64</v>
      </c>
      <c r="G5" s="141" t="s">
        <v>65</v>
      </c>
      <c r="H5" s="21" t="s">
        <v>66</v>
      </c>
      <c r="I5" s="141" t="s">
        <v>67</v>
      </c>
      <c r="J5" s="141"/>
      <c r="K5" s="141"/>
      <c r="L5" s="21" t="s">
        <v>68</v>
      </c>
      <c r="M5" s="140"/>
    </row>
    <row r="6" s="142" customFormat="true" ht="30.75" hidden="false" customHeight="true" outlineLevel="0" collapsed="false">
      <c r="A6" s="140"/>
      <c r="B6" s="10"/>
      <c r="C6" s="10"/>
      <c r="D6" s="10"/>
      <c r="E6" s="10"/>
      <c r="F6" s="10"/>
      <c r="G6" s="10"/>
      <c r="H6" s="10"/>
      <c r="I6" s="141" t="s">
        <v>69</v>
      </c>
      <c r="J6" s="141" t="s">
        <v>70</v>
      </c>
      <c r="K6" s="141" t="s">
        <v>71</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t="n">
        <v>46023</v>
      </c>
      <c r="C8" s="56" t="s">
        <v>72</v>
      </c>
      <c r="D8" s="56" t="s">
        <v>73</v>
      </c>
      <c r="E8" s="134" t="n">
        <v>13000</v>
      </c>
      <c r="F8" s="134" t="n">
        <v>200</v>
      </c>
      <c r="G8" s="134" t="n">
        <v>1800</v>
      </c>
      <c r="H8" s="143" t="n">
        <v>20</v>
      </c>
      <c r="I8" s="135" t="n">
        <f aca="false">IF(E8&gt;0,(E8+F8+G8)/H8," ")</f>
        <v>750</v>
      </c>
      <c r="J8" s="135" t="n">
        <f aca="false">IF(H8&gt;0,I8-K8," ")</f>
        <v>660</v>
      </c>
      <c r="K8" s="135" t="n">
        <f aca="false">IF(H8&gt;0,G8/H8," ")</f>
        <v>90</v>
      </c>
      <c r="L8" s="56" t="s">
        <v>34</v>
      </c>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t="n">
        <v>46113</v>
      </c>
      <c r="C10" s="56" t="s">
        <v>72</v>
      </c>
      <c r="D10" s="56" t="s">
        <v>74</v>
      </c>
      <c r="E10" s="134" t="n">
        <v>7000</v>
      </c>
      <c r="F10" s="134" t="n">
        <v>100</v>
      </c>
      <c r="G10" s="134" t="n">
        <v>1000</v>
      </c>
      <c r="H10" s="143" t="n">
        <v>20</v>
      </c>
      <c r="I10" s="135" t="n">
        <f aca="false">IF(E10&gt;0,(E10+F10+G10)/H10," ")</f>
        <v>405</v>
      </c>
      <c r="J10" s="135" t="n">
        <f aca="false">IF(H10&gt;0,I10-K10," ")</f>
        <v>355</v>
      </c>
      <c r="K10" s="135" t="n">
        <f aca="false">IF(H10&gt;0,G10/H10," ")</f>
        <v>50</v>
      </c>
      <c r="L10" s="56" t="s">
        <v>34</v>
      </c>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str">
        <f aca="false">IF(E12&gt;0,(E12+F12+G12)/H12," ")</f>
        <v> </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str">
        <f aca="false">IF(E14&gt;0,(E14+F14+G14)/H14," ")</f>
        <v> </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str">
        <f aca="false">IF(E16&gt;0,(E16+F16+G16)/H16," ")</f>
        <v> </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str">
        <f aca="false">IF(E18&gt;0,(E18+F18+G18)/H18," ")</f>
        <v> </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str">
        <f aca="false">IF(E20&gt;0,(E20+F20+G20)/H20," ")</f>
        <v> </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str">
        <f aca="false">IF(E22&gt;0,(E22+F22+G22)/H22," ")</f>
        <v> </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str">
        <f aca="false">IF(E24&gt;0,(E24+F24+G24)/H24," ")</f>
        <v> </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str">
        <f aca="false">IF(E26&gt;0,(E26+F26+G26)/H26," ")</f>
        <v> </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75</v>
      </c>
      <c r="C29" s="62"/>
      <c r="D29" s="138"/>
      <c r="E29" s="132"/>
      <c r="F29" s="132"/>
      <c r="G29" s="132"/>
      <c r="H29" s="62" t="s">
        <v>76</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60</v>
      </c>
      <c r="C31" s="21" t="s">
        <v>61</v>
      </c>
      <c r="D31" s="21" t="s">
        <v>62</v>
      </c>
      <c r="E31" s="141" t="s">
        <v>63</v>
      </c>
      <c r="F31" s="141" t="s">
        <v>64</v>
      </c>
      <c r="G31" s="141" t="s">
        <v>65</v>
      </c>
      <c r="H31" s="21" t="s">
        <v>66</v>
      </c>
      <c r="I31" s="141" t="s">
        <v>67</v>
      </c>
      <c r="J31" s="141"/>
      <c r="K31" s="141"/>
      <c r="L31" s="21" t="s">
        <v>68</v>
      </c>
      <c r="M31" s="140"/>
    </row>
    <row r="32" s="142" customFormat="true" ht="30.75" hidden="false" customHeight="true" outlineLevel="0" collapsed="false">
      <c r="A32" s="140"/>
      <c r="B32" s="10"/>
      <c r="C32" s="10"/>
      <c r="D32" s="10"/>
      <c r="E32" s="10"/>
      <c r="F32" s="10"/>
      <c r="G32" s="10"/>
      <c r="H32" s="10"/>
      <c r="I32" s="141" t="s">
        <v>69</v>
      </c>
      <c r="J32" s="141" t="s">
        <v>70</v>
      </c>
      <c r="K32" s="141" t="s">
        <v>71</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str">
        <f aca="false">IF(E36&gt;0,(E36+F36+G36)/H36," ")</f>
        <v> </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str">
        <f aca="false">IF(E38&gt;0,(E38+F38+G38)/H38," ")</f>
        <v> </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str">
        <f aca="false">IF(E40&gt;0,(E40+F40+G40)/H40," ")</f>
        <v> </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str">
        <f aca="false">IF(E42&gt;0,(E42+F42+G42)/H42," ")</f>
        <v> </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str">
        <f aca="false">IF(E44&gt;0,(E44+F44+G44)/H44," ")</f>
        <v> </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str">
        <f aca="false">IF(E46&gt;0,(E46+F46+G46)/H46," ")</f>
        <v> </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str">
        <f aca="false">IF(E48&gt;0,(E48+F48+G48)/H48," ")</f>
        <v> </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str">
        <f aca="false">IF(E50&gt;0,(E50+F50+G50)/H50," ")</f>
        <v> </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str">
        <f aca="false">IF(E52&gt;0,(E52+F52+G52)/H52," ")</f>
        <v> </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