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<sst xmlns="http://schemas.openxmlformats.org/spreadsheetml/2006/main" count="2052" uniqueCount="438">
  <si>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</si>
  <si>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</si>
  <si>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</si>
  <si>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</si>
  <si>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</si>
  <si>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</si>
  <si>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</si>
  <si>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</si>
  <si>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</si>
  <si>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</si>
  <si>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</si>
  <si>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</si>
  <si>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</si>
  <si>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</si>
  <si>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</si>
  <si>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</si>
  <si>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</si>
  <si>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</si>
  <si>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</si>
  <si>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</si>
  <si>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</si>
  <si>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</si>
  <si>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</si>
  <si>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</si>
  <si>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</si>
  <si>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</si>
  <si>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</si>
  <si>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</si>
  <si>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</si>
  <si>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</si>
  <si>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</si>
  <si>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</si>
  <si>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</si>
  <si>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</si>
  <si>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</si>
  <si>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</si>
  <si>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</si>
  <si>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</si>
  <si>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</si>
  <si>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</si>
  <si>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</si>
  <si>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</si>
  <si>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</si>
  <si>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</si>
  <si>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</si>
  <si>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</si>
  <si>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</si>
  <si>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</si>
  <si>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</si>
  <si>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</si>
  <si>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</si>
  <si>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</si>
  <si>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</si>
  <si>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</si>
  <si>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</si>
  <si>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</si>
  <si>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</si>
  <si>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</si>
  <si>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</si>
  <si>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</si>
  <si>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</si>
  <si>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</si>
  <si>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</si>
  <si>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</si>
  <si>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</si>
  <si>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</si>
  <si>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</si>
  <si>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</si>
  <si>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</si>
  <si>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</si>
  <si>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</si>
  <si>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</si>
  <si>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</si>
  <si>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</si>
  <si>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</si>
  <si>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</si>
  <si>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</si>
  <si>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</si>
  <si>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</si>
  <si>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</si>
  <si>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</si>
  <si>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</si>
  <si>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</si>
  <si>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</si>
  <si>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</si>
  <si>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</si>
  <si>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</si>
  <si>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</si>
  <si>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</si>
  <si>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</si>
  <si>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</si>
  <si>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</si>
  <si>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</si>
  <si>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</si>
  <si>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</si>
  <si>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</si>
  <si>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</si>
  <si>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</si>
  <si>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</si>
  <si>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</si>
  <si>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</si>
  <si>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</si>
  <si>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</si>
  <si>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</si>
  <si>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</si>
  <si>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</si>
  <si>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</si>
  <si>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</si>
  <si>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</si>
  <si>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</si>
  <si>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</si>
  <si>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</si>
  <si>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</si>
  <si>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</si>
  <si>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</si>
  <si>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</si>
  <si>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</si>
  <si>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</si>
  <si>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</si>
  <si>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</si>
  <si>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</si>
  <si>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</si>
  <si>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</si>
  <si>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</si>
  <si>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</si>
  <si>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</si>
  <si>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</si>
  <si>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</si>
  <si>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</si>
  <si>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</si>
  <si>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</si>
  <si>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</si>
  <si>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</si>
  <si>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</si>
  <si>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</si>
  <si>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</si>
  <si>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</si>
  <si>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</si>
  <si>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</si>
  <si>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</si>
  <si>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</si>
  <si>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</si>
  <si>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</si>
  <si>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</si>
  <si>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</si>
  <si>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</si>
  <si>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</si>
  <si>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</si>
  <si>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</si>
  <si>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</si>
  <si>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</si>
  <si>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</si>
  <si>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</si>
  <si>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</si>
  <si>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</si>
  <si>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</si>
  <si>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</si>
  <si>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</si>
  <si>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</si>
  <si>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</si>
  <si>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</si>
  <si>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</si>
  <si>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</si>
  <si>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</si>
  <si>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</si>
  <si>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</si>
  <si>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</si>
  <si>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</si>
  <si>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</si>
  <si>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</si>
  <si>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</si>
  <si>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</si>
  <si>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</si>
  <si>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</si>
  <si>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</si>
  <si>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</si>
  <si>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</si>
  <si>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</si>
  <si>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</si>
  <si>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</si>
  <si>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</si>
  <si>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</si>
  <si>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</si>
  <si>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</si>
  <si>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</si>
  <si>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</si>
  <si>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</si>
  <si>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</si>
  <si>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</si>
  <si>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</si>
  <si>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</si>
  <si>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</si>
  <si>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</si>
  <si>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</si>
  <si>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</si>
  <si>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</si>
  <si>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</si>
  <si>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</si>
  <si>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</si>
  <si>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</si>
  <si>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</si>
  <si>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</si>
  <si>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</si>
  <si>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</si>
  <si>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</si>
  <si>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</si>
  <si>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</si>
  <si>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</si>
  <si>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</si>
  <si>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</si>
  <si>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</si>
  <si>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</si>
  <si>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</si>
  <si>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</si>
  <si>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</si>
  <si>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</si>
  <si>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</si>
  <si>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</si>
  <si>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</si>
  <si>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</si>
  <si>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</si>
  <si>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</si>
  <si>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</si>
  <si>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</si>
  <si>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</si>
  <si>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</si>
  <si>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</si>
  <si>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</si>
  <si>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</si>
  <si>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</si>
  <si>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</si>
  <si>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</si>
  <si>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</si>
  <si>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</si>
  <si>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</si>
  <si>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</si>
  <si>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</si>
  <si>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</si>
  <si>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</si>
  <si>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</si>
  <si>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</si>
  <si>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</si>
  <si>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</si>
  <si>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</si>
  <si>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</si>
  <si>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</si>
  <si>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</si>
  <si>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</si>
  <si>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</si>
  <si>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</si>
  <si>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</si>
  <si>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</si>
  <si>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</si>
  <si>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</si>
  <si>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</si>
  <si>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</si>
  <si>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</si>
  <si>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</si>
  <si>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</si>
  <si>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</si>
  <si>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</si>
  <si>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</si>
  <si>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</si>
  <si>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</si>
  <si>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</si>
  <si>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</si>
  <si>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</si>
  <si>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</si>
  <si>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</si>
  <si>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</si>
  <si>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</si>
  <si>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</si>
  <si>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</si>
  <si>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</si>
  <si>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</si>
  <si>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</si>
  <si>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</si>
  <si>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</si>
  <si>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</si>
  <si>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</si>
  <si>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</si>
  <si>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</si>
  <si>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</si>
  <si>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</si>
  <si>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</si>
  <si>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</si>
  <si>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</si>
  <si>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</si>
  <si>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</si>
  <si>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</si>
  <si>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</si>
  <si>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</si>
  <si>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</si>
  <si>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</si>
  <si>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</si>
  <si>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</si>
  <si>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</si>
  <si>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</si>
  <si>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</si>
  <si>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</si>
  <si>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</si>
  <si>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</si>
  <si>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</si>
  <si>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</si>
  <si>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</si>
  <si>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</si>
  <si>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</si>
  <si>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</si>
  <si>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</si>
  <si>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</si>
  <si>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</si>
  <si>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</si>
  <si>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</si>
  <si>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</si>
  <si>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</si>
  <si>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</si>
  <si>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</si>
  <si>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</si>
  <si>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</si>
  <si>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</si>
  <si>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</si>
  <si>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</si>
  <si>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</si>
  <si>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</si>
  <si>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</si>
  <si>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</si>
  <si>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</si>
  <si>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</si>
  <si>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</si>
  <si>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</si>
  <si>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</si>
  <si>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</si>
  <si>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</si>
  <si>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</si>
  <si>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</si>
  <si>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</si>
  <si>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</si>
  <si>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</si>
  <si>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</si>
  <si>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</si>
  <si>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</si>
  <si>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</si>
  <si>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</si>
  <si>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</si>
  <si>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</si>
  <si>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</si>
  <si>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</si>
  <si>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</si>
  <si>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Alice Johnson</t>
  </si>
  <si>
    <t xml:space="preserve">e</t>
  </si>
  <si>
    <t xml:space="preserve">Bob Williams</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</si>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</sst>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c r="D3" s="326"/>
      <c r="E3" s="329" t="s">
        <v>241</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242</v>
      </c>
      <c r="C5" s="332" t="n">
        <v>7200</v>
      </c>
      <c r="D5" s="326"/>
      <c r="E5" s="331" t="s">
        <v>242</v>
      </c>
      <c r="F5" s="330" t="n">
        <v>8000</v>
      </c>
      <c r="G5" s="326"/>
    </row>
    <row r="6" customFormat="false" ht="12.75" hidden="false" customHeight="false" outlineLevel="0" collapsed="false">
      <c r="A6" s="326"/>
      <c r="B6" s="327" t="s">
        <v>243</v>
      </c>
      <c r="C6" s="328" t="n">
        <v>1200</v>
      </c>
      <c r="D6" s="326"/>
      <c r="E6" s="327" t="s">
        <v>244</v>
      </c>
      <c r="F6" s="328" t="n">
        <v>2400</v>
      </c>
      <c r="G6" s="326"/>
    </row>
    <row r="7" customFormat="false" ht="12.75" hidden="false" customHeight="false" outlineLevel="0" collapsed="false">
      <c r="A7" s="326"/>
      <c r="B7" s="331" t="s">
        <v>245</v>
      </c>
      <c r="C7" s="330" t="n">
        <v>2400</v>
      </c>
      <c r="D7" s="326"/>
      <c r="E7" s="331"/>
      <c r="F7" s="330"/>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14757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14759.25</v>
      </c>
      <c r="G11" s="326"/>
    </row>
    <row r="12" customFormat="false" ht="12.75" hidden="false" customHeight="false" outlineLevel="0" collapsed="false">
      <c r="A12" s="326"/>
      <c r="B12" s="327" t="s">
        <v>246</v>
      </c>
      <c r="C12" s="328" t="n">
        <v>1200</v>
      </c>
      <c r="D12" s="326"/>
      <c r="E12" s="327" t="s">
        <v>246</v>
      </c>
      <c r="F12" s="328" t="n">
        <v>1200</v>
      </c>
      <c r="G12" s="326"/>
    </row>
    <row r="13" customFormat="false" ht="12.75" hidden="false" customHeight="false" outlineLevel="0" collapsed="false">
      <c r="A13" s="326"/>
      <c r="B13" s="331" t="s">
        <v>247</v>
      </c>
      <c r="C13" s="330" t="n">
        <v>300</v>
      </c>
      <c r="D13" s="326"/>
      <c r="E13" s="331" t="s">
        <v>247</v>
      </c>
      <c r="F13" s="330" t="n">
        <v>300</v>
      </c>
      <c r="G13" s="326"/>
    </row>
    <row r="14" customFormat="false" ht="12.75" hidden="false" customHeight="false" outlineLevel="0" collapsed="false">
      <c r="A14" s="326"/>
      <c r="B14" s="327" t="s">
        <v>248</v>
      </c>
      <c r="C14" s="328" t="n">
        <v>600</v>
      </c>
      <c r="D14" s="326"/>
      <c r="E14" s="327" t="s">
        <v>249</v>
      </c>
      <c r="F14" s="328" t="n">
        <v>60</v>
      </c>
      <c r="G14" s="326"/>
    </row>
    <row r="15" customFormat="false" ht="12.75" hidden="false" customHeight="false" outlineLevel="0" collapsed="false">
      <c r="A15" s="326"/>
      <c r="B15" s="331" t="s">
        <v>250</v>
      </c>
      <c r="C15" s="330" t="n">
        <v>120</v>
      </c>
      <c r="D15" s="326"/>
      <c r="E15" s="331" t="s">
        <v>250</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48705.75</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12618</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15151.5</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10211.25</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10096.5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9426.5</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251</v>
      </c>
      <c r="C29" s="334" t="n">
        <f aca="false">SUM(C3:C28)</f>
        <v>286820</v>
      </c>
      <c r="D29" s="321"/>
      <c r="E29" s="333" t="s">
        <v>252</v>
      </c>
      <c r="F29" s="334" t="n">
        <f aca="false">SUM(F3:F28)</f>
        <v>147835.75</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33400</v>
      </c>
      <c r="G1" s="345" t="n">
        <f aca="false">SUM(G4:G300)</f>
        <v>0</v>
      </c>
      <c r="H1" s="347" t="n">
        <f aca="false">SUM(H4:H300)</f>
        <v>33400</v>
      </c>
      <c r="I1" s="348" t="n">
        <f aca="true">TODAY()</f>
        <v>46263</v>
      </c>
      <c r="J1" s="345" t="n">
        <f aca="false">SUM(J4:J300)</f>
        <v>0</v>
      </c>
      <c r="K1" s="349" t="n">
        <f aca="false">J1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45748</v>
      </c>
      <c r="B4" s="336" t="s">
        <v>243</v>
      </c>
      <c r="F4" s="336" t="n">
        <v>1200</v>
      </c>
      <c r="H4" s="340" t="n">
        <f aca="false">IF((F4&lt;&gt;0),IF((D4&gt;0)," ",F4)," ")</f>
        <v>1200</v>
      </c>
      <c r="I4" s="341" t="n">
        <f aca="false">IF((F4&lt;&gt;0),IF((D4&gt;0)," ",(I$1-A4))," ")</f>
        <v>515</v>
      </c>
    </row>
    <row r="5" customFormat="false" ht="12.75" hidden="false" customHeight="false" outlineLevel="0" collapsed="false">
      <c r="A5" s="357" t="n">
        <v>45750</v>
      </c>
      <c r="B5" s="336" t="s">
        <v>266</v>
      </c>
      <c r="F5" s="336" t="n">
        <v>360</v>
      </c>
      <c r="H5" s="340" t="n">
        <f aca="false">IF((F5&lt;&gt;0),IF((D5&gt;0)," ",F5)," ")</f>
        <v>360</v>
      </c>
      <c r="I5" s="341" t="n">
        <f aca="false">IF((F5&lt;&gt;0),IF((D5&gt;0)," ",(I$1-A5))," ")</f>
        <v>513</v>
      </c>
    </row>
    <row r="6" customFormat="false" ht="12.75" hidden="false" customHeight="false" outlineLevel="0" collapsed="false">
      <c r="A6" s="357" t="n">
        <v>45752</v>
      </c>
      <c r="B6" s="336" t="s">
        <v>267</v>
      </c>
      <c r="F6" s="336" t="n">
        <v>600</v>
      </c>
      <c r="H6" s="340" t="n">
        <f aca="false">IF((F6&lt;&gt;0),IF((D6&gt;0)," ",F6)," ")</f>
        <v>600</v>
      </c>
      <c r="I6" s="341" t="n">
        <f aca="false">IF((F6&lt;&gt;0),IF((D6&gt;0)," ",(I$1-A6))," ")</f>
        <v>511</v>
      </c>
    </row>
    <row r="7" customFormat="false" ht="12.75" hidden="false" customHeight="false" outlineLevel="0" collapsed="false">
      <c r="A7" s="357" t="n">
        <v>45755</v>
      </c>
      <c r="B7" s="336" t="s">
        <v>268</v>
      </c>
      <c r="F7" s="336" t="n">
        <v>480</v>
      </c>
      <c r="H7" s="340" t="n">
        <f aca="false">IF((F7&lt;&gt;0),IF((D7&gt;0)," ",F7)," ")</f>
        <v>480</v>
      </c>
      <c r="I7" s="341" t="n">
        <f aca="false">IF((F7&lt;&gt;0),IF((D7&gt;0)," ",(I$1-A7))," ")</f>
        <v>508</v>
      </c>
    </row>
    <row r="8" customFormat="false" ht="12.75" hidden="false" customHeight="false" outlineLevel="0" collapsed="false">
      <c r="A8" s="357" t="n">
        <v>45757</v>
      </c>
      <c r="B8" s="336" t="s">
        <v>269</v>
      </c>
      <c r="F8" s="336" t="n">
        <v>720</v>
      </c>
      <c r="H8" s="340" t="n">
        <f aca="false">IF((F8&lt;&gt;0),IF((D8&gt;0)," ",F8)," ")</f>
        <v>720</v>
      </c>
      <c r="I8" s="341" t="n">
        <f aca="false">IF((F8&lt;&gt;0),IF((D8&gt;0)," ",(I$1-A8))," ")</f>
        <v>506</v>
      </c>
    </row>
    <row r="9" customFormat="false" ht="12.75" hidden="false" customHeight="false" outlineLevel="0" collapsed="false">
      <c r="A9" s="357" t="n">
        <v>45762</v>
      </c>
      <c r="B9" s="336" t="s">
        <v>242</v>
      </c>
      <c r="F9" s="336" t="n">
        <v>25000</v>
      </c>
      <c r="H9" s="340" t="n">
        <f aca="false">IF((F9&lt;&gt;0),IF((D9&gt;0)," ",F9)," ")</f>
        <v>25000</v>
      </c>
      <c r="I9" s="341" t="n">
        <f aca="false">IF((F9&lt;&gt;0),IF((D9&gt;0)," ",(I$1-A9))," ")</f>
        <v>501</v>
      </c>
    </row>
    <row r="10" customFormat="false" ht="12.75" hidden="false" customHeight="false" outlineLevel="0" collapsed="false">
      <c r="A10" s="357" t="n">
        <v>45765</v>
      </c>
      <c r="B10" s="336" t="s">
        <v>244</v>
      </c>
      <c r="F10" s="336" t="n">
        <v>2400</v>
      </c>
      <c r="H10" s="340" t="n">
        <f aca="false">IF((F10&lt;&gt;0),IF((D10&gt;0)," ",F10)," ")</f>
        <v>2400</v>
      </c>
      <c r="I10" s="341" t="n">
        <f aca="false">IF((F10&lt;&gt;0),IF((D10&gt;0)," ",(I$1-A10))," ")</f>
        <v>498</v>
      </c>
    </row>
    <row r="11" customFormat="false" ht="12.75" hidden="false" customHeight="false" outlineLevel="0" collapsed="false">
      <c r="A11" s="357" t="n">
        <v>45767</v>
      </c>
      <c r="B11" s="336" t="s">
        <v>270</v>
      </c>
      <c r="F11" s="336" t="n">
        <v>1800</v>
      </c>
      <c r="H11" s="340" t="n">
        <f aca="false">IF((F11&lt;&gt;0),IF((D11&gt;0)," ",F11)," ")</f>
        <v>1800</v>
      </c>
      <c r="I11" s="341" t="n">
        <f aca="false">IF((F11&lt;&gt;0),IF((D11&gt;0)," ",(I$1-A11))," ")</f>
        <v>496</v>
      </c>
    </row>
    <row r="12" customFormat="false" ht="12.75" hidden="false" customHeight="false" outlineLevel="0" collapsed="false">
      <c r="A12" s="357" t="n">
        <v>45775</v>
      </c>
      <c r="B12" s="336" t="s">
        <v>271</v>
      </c>
      <c r="F12" s="336" t="n">
        <v>840</v>
      </c>
      <c r="H12" s="340" t="n">
        <f aca="false">IF((F12&lt;&gt;0),IF((D12&gt;0)," ",F12)," ")</f>
        <v>840</v>
      </c>
      <c r="I12" s="341" t="n">
        <f aca="false">IF((F12&lt;&gt;0),IF((D12&gt;0)," ",(I$1-A12))," ")</f>
        <v>488</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273</v>
      </c>
      <c r="C1" s="346" t="n">
        <f aca="false">F1+SalesApr!$E$1</f>
        <v>0</v>
      </c>
      <c r="D1" s="371" t="s">
        <v>255</v>
      </c>
      <c r="E1" s="373" t="str">
        <f aca="false">IF((G1-SUM(J1:W1)&lt;&gt;0),(G1-SUM(J1:W1))," ")</f>
        <v> </v>
      </c>
      <c r="F1" s="346" t="n">
        <f aca="false">SUM(F5:F300)</f>
        <v>0</v>
      </c>
      <c r="G1" s="345" t="n">
        <f aca="false">SUM(G4:G300)</f>
        <v>10811.25</v>
      </c>
      <c r="H1" s="374" t="n">
        <f aca="false">SUM(H5:H300)</f>
        <v>10811.25</v>
      </c>
      <c r="I1" s="375" t="n">
        <f aca="true">TODAY()</f>
        <v>46263</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278</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390" t="n">
        <f aca="false">IF((C1&lt;Admin!$F$22),(C1*Admin!$G$21),(C1*Admin!$G$21-(C1-Admin!$F$21)*(Admin!$G$21-Admin!$G$22)))</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45748</v>
      </c>
      <c r="B5" s="365" t="s">
        <v>246</v>
      </c>
      <c r="E5" s="367" t="s">
        <v>315</v>
      </c>
      <c r="G5" s="368" t="n">
        <v>1200</v>
      </c>
      <c r="H5" s="340" t="n">
        <f aca="false">IF((G5&lt;&gt;0),IF((D5&gt;0)," ",G5)," ")</f>
        <v>1200</v>
      </c>
      <c r="I5" s="369" t="n">
        <f aca="false">IF((G5&lt;&gt;0),IF((D5&gt;0)," ",(I$1-A5))," ")</f>
        <v>515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45748</v>
      </c>
      <c r="B6" s="365" t="s">
        <v>316</v>
      </c>
      <c r="E6" s="367" t="s">
        <v>317</v>
      </c>
      <c r="G6" s="368" t="n">
        <v>30</v>
      </c>
      <c r="H6" s="340" t="n">
        <f aca="false">IF((G6&lt;&gt;0),IF((D6&gt;0)," ",G6)," ")</f>
        <v>30</v>
      </c>
      <c r="I6" s="369" t="n">
        <f aca="false">IF((G6&lt;&gt;0),IF((D6&gt;0)," ",(I$1-A6))," ")</f>
        <v>515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318</v>
      </c>
      <c r="E7" s="367" t="s">
        <v>317</v>
      </c>
      <c r="G7" s="368" t="n">
        <v>15</v>
      </c>
      <c r="H7" s="340" t="n">
        <f aca="false">IF((G7&lt;&gt;0),IF((D7&gt;0)," ",G7)," ")</f>
        <v>15</v>
      </c>
      <c r="I7" s="369" t="n">
        <f aca="false">IF((G7&lt;&gt;0),IF((D7&gt;0)," ",(I$1-A7))," ")</f>
        <v>515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45748</v>
      </c>
      <c r="B8" s="365" t="s">
        <v>319</v>
      </c>
      <c r="E8" s="367" t="s">
        <v>320</v>
      </c>
      <c r="G8" s="368" t="n">
        <v>45</v>
      </c>
      <c r="H8" s="340" t="n">
        <f aca="false">IF((G8&lt;&gt;0),IF((D8&gt;0)," ",G8)," ")</f>
        <v>45</v>
      </c>
      <c r="I8" s="369" t="n">
        <f aca="false">IF((G8&lt;&gt;0),IF((D8&gt;0)," ",(I$1-A8))," ")</f>
        <v>515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45748</v>
      </c>
      <c r="B9" s="365" t="s">
        <v>321</v>
      </c>
      <c r="E9" s="367" t="s">
        <v>320</v>
      </c>
      <c r="G9" s="368" t="n">
        <v>1440</v>
      </c>
      <c r="H9" s="340" t="n">
        <f aca="false">IF((G9&lt;&gt;0),IF((D9&gt;0)," ",G9)," ")</f>
        <v>1440</v>
      </c>
      <c r="I9" s="369" t="n">
        <f aca="false">IF((G9&lt;&gt;0),IF((D9&gt;0)," ",(I$1-A9))," ")</f>
        <v>515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row>
    <row r="10" customFormat="false" ht="12.75" hidden="false" customHeight="false" outlineLevel="0" collapsed="false">
      <c r="A10" s="357" t="n">
        <v>45748</v>
      </c>
      <c r="B10" s="365" t="s">
        <v>322</v>
      </c>
      <c r="E10" s="367" t="s">
        <v>320</v>
      </c>
      <c r="G10" s="368" t="n">
        <v>24</v>
      </c>
      <c r="H10" s="340" t="n">
        <f aca="false">IF((G10&lt;&gt;0),IF((D10&gt;0)," ",G10)," ")</f>
        <v>24</v>
      </c>
      <c r="I10" s="369" t="n">
        <f aca="false">IF((G10&lt;&gt;0),IF((D10&gt;0)," ",(I$1-A10))," ")</f>
        <v>515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45748</v>
      </c>
      <c r="B11" s="365" t="s">
        <v>323</v>
      </c>
      <c r="E11" s="367" t="s">
        <v>317</v>
      </c>
      <c r="G11" s="368" t="n">
        <v>18</v>
      </c>
      <c r="H11" s="340" t="n">
        <f aca="false">IF((G11&lt;&gt;0),IF((D11&gt;0)," ",G11)," ")</f>
        <v>18</v>
      </c>
      <c r="I11" s="369" t="n">
        <f aca="false">IF((G11&lt;&gt;0),IF((D11&gt;0)," ",(I$1-A11))," ")</f>
        <v>515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45750</v>
      </c>
      <c r="B12" s="365" t="s">
        <v>324</v>
      </c>
      <c r="E12" s="367" t="s">
        <v>320</v>
      </c>
      <c r="G12" s="368" t="n">
        <v>180</v>
      </c>
      <c r="H12" s="340" t="n">
        <f aca="false">IF((G12&lt;&gt;0),IF((D12&gt;0)," ",G12)," ")</f>
        <v>180</v>
      </c>
      <c r="I12" s="369" t="n">
        <f aca="false">IF((G12&lt;&gt;0),IF((D12&gt;0)," ",(I$1-A12))," ")</f>
        <v>513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45750</v>
      </c>
      <c r="B13" s="365" t="s">
        <v>325</v>
      </c>
      <c r="E13" s="367" t="s">
        <v>320</v>
      </c>
      <c r="G13" s="368" t="n">
        <v>22</v>
      </c>
      <c r="H13" s="340" t="n">
        <f aca="false">IF((G13&lt;&gt;0),IF((D13&gt;0)," ",G13)," ")</f>
        <v>22</v>
      </c>
      <c r="I13" s="369" t="n">
        <f aca="false">IF((G13&lt;&gt;0),IF((D13&gt;0)," ",(I$1-A13))," ")</f>
        <v>513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45752</v>
      </c>
      <c r="B14" s="365" t="s">
        <v>326</v>
      </c>
      <c r="E14" s="367" t="s">
        <v>320</v>
      </c>
      <c r="G14" s="368" t="n">
        <v>24</v>
      </c>
      <c r="H14" s="340" t="n">
        <f aca="false">IF((G14&lt;&gt;0),IF((D14&gt;0)," ",G14)," ")</f>
        <v>24</v>
      </c>
      <c r="I14" s="369" t="n">
        <f aca="false">IF((G14&lt;&gt;0),IF((D14&gt;0)," ",(I$1-A14))," ")</f>
        <v>511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45752</v>
      </c>
      <c r="B15" s="365" t="s">
        <v>327</v>
      </c>
      <c r="E15" s="367" t="s">
        <v>298</v>
      </c>
      <c r="G15" s="368" t="n">
        <v>180</v>
      </c>
      <c r="H15" s="340" t="n">
        <f aca="false">IF((G15&lt;&gt;0),IF((D15&gt;0)," ",G15)," ")</f>
        <v>180</v>
      </c>
      <c r="I15" s="369" t="n">
        <f aca="false">IF((G15&lt;&gt;0),IF((D15&gt;0)," ",(I$1-A15))," ")</f>
        <v>511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45752</v>
      </c>
      <c r="B16" s="365" t="s">
        <v>328</v>
      </c>
      <c r="E16" s="367" t="s">
        <v>320</v>
      </c>
      <c r="G16" s="368" t="n">
        <v>36</v>
      </c>
      <c r="H16" s="340" t="n">
        <f aca="false">IF((G16&lt;&gt;0),IF((D16&gt;0)," ",G16)," ")</f>
        <v>36</v>
      </c>
      <c r="I16" s="369" t="n">
        <f aca="false">IF((G16&lt;&gt;0),IF((D16&gt;0)," ",(I$1-A16))," ")</f>
        <v>511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45755</v>
      </c>
      <c r="B17" s="365" t="s">
        <v>329</v>
      </c>
      <c r="E17" s="367" t="s">
        <v>330</v>
      </c>
      <c r="G17" s="368" t="n">
        <v>48</v>
      </c>
      <c r="H17" s="340" t="n">
        <f aca="false">IF((G17&lt;&gt;0),IF((D17&gt;0)," ",G17)," ")</f>
        <v>48</v>
      </c>
      <c r="I17" s="369" t="n">
        <f aca="false">IF((G17&lt;&gt;0),IF((D17&gt;0)," ",(I$1-A17))," ")</f>
        <v>508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45757</v>
      </c>
      <c r="B18" s="365" t="s">
        <v>331</v>
      </c>
      <c r="E18" s="367" t="s">
        <v>320</v>
      </c>
      <c r="G18" s="368" t="n">
        <v>36</v>
      </c>
      <c r="H18" s="340" t="n">
        <f aca="false">IF((G18&lt;&gt;0),IF((D18&gt;0)," ",G18)," ")</f>
        <v>36</v>
      </c>
      <c r="I18" s="369" t="n">
        <f aca="false">IF((G18&lt;&gt;0),IF((D18&gt;0)," ",(I$1-A18))," ")</f>
        <v>506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45757</v>
      </c>
      <c r="B19" s="365" t="s">
        <v>332</v>
      </c>
      <c r="E19" s="367" t="s">
        <v>320</v>
      </c>
      <c r="G19" s="368" t="n">
        <v>180</v>
      </c>
      <c r="H19" s="340" t="n">
        <f aca="false">IF((G19&lt;&gt;0),IF((D19&gt;0)," ",G19)," ")</f>
        <v>180</v>
      </c>
      <c r="I19" s="369" t="n">
        <f aca="false">IF((G19&lt;&gt;0),IF((D19&gt;0)," ",(I$1-A19))," ")</f>
        <v>506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45757</v>
      </c>
      <c r="B20" s="365" t="s">
        <v>333</v>
      </c>
      <c r="E20" s="367" t="s">
        <v>334</v>
      </c>
      <c r="G20" s="368" t="n">
        <v>600</v>
      </c>
      <c r="H20" s="340" t="n">
        <f aca="false">IF((G20&lt;&gt;0),IF((D20&gt;0)," ",G20)," ")</f>
        <v>600</v>
      </c>
      <c r="I20" s="369" t="n">
        <f aca="false">IF((G20&lt;&gt;0),IF((D20&gt;0)," ",(I$1-A20))," ")</f>
        <v>506</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45759</v>
      </c>
      <c r="B21" s="365" t="s">
        <v>335</v>
      </c>
      <c r="D21" s="365"/>
      <c r="E21" s="367" t="s">
        <v>298</v>
      </c>
      <c r="G21" s="368" t="n">
        <v>18</v>
      </c>
      <c r="H21" s="340" t="n">
        <f aca="false">IF((G21&lt;&gt;0),IF((D21&gt;0)," ",G21)," ")</f>
        <v>18</v>
      </c>
      <c r="I21" s="369" t="n">
        <f aca="false">IF((G21&lt;&gt;0),IF((D21&gt;0)," ",(I$1-A21))," ")</f>
        <v>504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45761</v>
      </c>
      <c r="B22" s="365" t="s">
        <v>336</v>
      </c>
      <c r="D22" s="395"/>
      <c r="E22" s="367" t="s">
        <v>320</v>
      </c>
      <c r="G22" s="368" t="n">
        <v>42</v>
      </c>
      <c r="H22" s="340" t="n">
        <f aca="false">IF((G22&lt;&gt;0),IF((D22&gt;0)," ",G22)," ")</f>
        <v>42</v>
      </c>
      <c r="I22" s="369" t="n">
        <f aca="false">IF((G22&lt;&gt;0),IF((D22&gt;0)," ",(I$1-A22))," ")</f>
        <v>502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row>
    <row r="23" customFormat="false" ht="12.75" hidden="false" customHeight="false" outlineLevel="0" collapsed="false">
      <c r="A23" s="357" t="n">
        <v>45761</v>
      </c>
      <c r="B23" s="365" t="s">
        <v>337</v>
      </c>
      <c r="E23" s="367" t="s">
        <v>330</v>
      </c>
      <c r="G23" s="368" t="n">
        <v>24</v>
      </c>
      <c r="H23" s="340" t="n">
        <f aca="false">IF((G23&lt;&gt;0),IF((D23&gt;0)," ",G23)," ")</f>
        <v>24</v>
      </c>
      <c r="I23" s="369" t="n">
        <f aca="false">IF((G23&lt;&gt;0),IF((D23&gt;0)," ",(I$1-A23))," ")</f>
        <v>502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45761</v>
      </c>
      <c r="B24" s="365" t="s">
        <v>338</v>
      </c>
      <c r="E24" s="367" t="s">
        <v>330</v>
      </c>
      <c r="G24" s="368" t="n">
        <v>12</v>
      </c>
      <c r="H24" s="340" t="n">
        <f aca="false">IF((G24&lt;&gt;0),IF((D24&gt;0)," ",G24)," ")</f>
        <v>12</v>
      </c>
      <c r="I24" s="369" t="n">
        <f aca="false">IF((G24&lt;&gt;0),IF((D24&gt;0)," ",(I$1-A24))," ")</f>
        <v>502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45762</v>
      </c>
      <c r="B25" s="365" t="s">
        <v>250</v>
      </c>
      <c r="E25" s="367" t="s">
        <v>298</v>
      </c>
      <c r="G25" s="368" t="n">
        <v>150</v>
      </c>
      <c r="H25" s="340" t="n">
        <f aca="false">IF((G25&lt;&gt;0),IF((D25&gt;0)," ",G25)," ")</f>
        <v>150</v>
      </c>
      <c r="I25" s="369" t="n">
        <f aca="false">IF((G25&lt;&gt;0),IF((D25&gt;0)," ",(I$1-A25))," ")</f>
        <v>501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45762</v>
      </c>
      <c r="B26" s="365" t="s">
        <v>339</v>
      </c>
      <c r="E26" s="367" t="s">
        <v>317</v>
      </c>
      <c r="G26" s="368" t="n">
        <v>12</v>
      </c>
      <c r="H26" s="340" t="n">
        <f aca="false">IF((G26&lt;&gt;0),IF((D26&gt;0)," ",G26)," ")</f>
        <v>12</v>
      </c>
      <c r="I26" s="369" t="n">
        <f aca="false">IF((G26&lt;&gt;0),IF((D26&gt;0)," ",(I$1-A26))," ")</f>
        <v>501</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45765</v>
      </c>
      <c r="B27" s="365" t="s">
        <v>340</v>
      </c>
      <c r="E27" s="367" t="s">
        <v>298</v>
      </c>
      <c r="G27" s="368" t="n">
        <v>96</v>
      </c>
      <c r="H27" s="340" t="n">
        <f aca="false">IF((G27&lt;&gt;0),IF((D27&gt;0)," ",G27)," ")</f>
        <v>96</v>
      </c>
      <c r="I27" s="369" t="n">
        <f aca="false">IF((G27&lt;&gt;0),IF((D27&gt;0)," ",(I$1-A27))," ")</f>
        <v>498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45767</v>
      </c>
      <c r="B28" s="365" t="s">
        <v>249</v>
      </c>
      <c r="E28" s="367" t="s">
        <v>317</v>
      </c>
      <c r="G28" s="368" t="n">
        <v>60</v>
      </c>
      <c r="H28" s="340" t="n">
        <f aca="false">IF((G28&lt;&gt;0),IF((D28&gt;0)," ",G28)," ")</f>
        <v>60</v>
      </c>
      <c r="I28" s="369" t="n">
        <f aca="false">IF((G28&lt;&gt;0),IF((D28&gt;0)," ",(I$1-A28))," ")</f>
        <v>496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45767</v>
      </c>
      <c r="B29" s="365" t="s">
        <v>341</v>
      </c>
      <c r="E29" s="367" t="s">
        <v>342</v>
      </c>
      <c r="G29" s="368" t="n">
        <v>120</v>
      </c>
      <c r="H29" s="340" t="n">
        <f aca="false">IF((G29&lt;&gt;0),IF((D29&gt;0)," ",G29)," ")</f>
        <v>120</v>
      </c>
      <c r="I29" s="369" t="n">
        <f aca="false">IF((G29&lt;&gt;0),IF((D29&gt;0)," ",(I$1-A29))," ")</f>
        <v>496</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45768</v>
      </c>
      <c r="B30" s="365" t="s">
        <v>343</v>
      </c>
      <c r="E30" s="367" t="s">
        <v>330</v>
      </c>
      <c r="G30" s="368" t="n">
        <v>8</v>
      </c>
      <c r="H30" s="340" t="n">
        <f aca="false">IF((G30&lt;&gt;0),IF((D30&gt;0)," ",G30)," ")</f>
        <v>8</v>
      </c>
      <c r="I30" s="369" t="n">
        <f aca="false">IF((G30&lt;&gt;0),IF((D30&gt;0)," ",(I$1-A30))," ")</f>
        <v>495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45769</v>
      </c>
      <c r="B31" s="365" t="s">
        <v>344</v>
      </c>
      <c r="E31" s="367" t="s">
        <v>320</v>
      </c>
      <c r="G31" s="368" t="n">
        <v>18</v>
      </c>
      <c r="H31" s="340" t="n">
        <f aca="false">IF((G31&lt;&gt;0),IF((D31&gt;0)," ",G31)," ")</f>
        <v>18</v>
      </c>
      <c r="I31" s="369" t="n">
        <f aca="false">IF((G31&lt;&gt;0),IF((D31&gt;0)," ",(I$1-A31))," ")</f>
        <v>494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45772</v>
      </c>
      <c r="B32" s="365" t="s">
        <v>345</v>
      </c>
      <c r="E32" s="367" t="s">
        <v>320</v>
      </c>
      <c r="G32" s="368" t="n">
        <v>15</v>
      </c>
      <c r="H32" s="340" t="n">
        <f aca="false">IF((G32&lt;&gt;0),IF((D32&gt;0)," ",G32)," ")</f>
        <v>15</v>
      </c>
      <c r="I32" s="369" t="n">
        <f aca="false">IF((G32&lt;&gt;0),IF((D32&gt;0)," ",(I$1-A32))," ")</f>
        <v>491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45772</v>
      </c>
      <c r="B33" s="365" t="s">
        <v>346</v>
      </c>
      <c r="E33" s="367" t="s">
        <v>298</v>
      </c>
      <c r="G33" s="368" t="n">
        <v>38.25</v>
      </c>
      <c r="H33" s="340" t="n">
        <f aca="false">IF((G33&lt;&gt;0),IF((D33&gt;0)," ",G33)," ")</f>
        <v>38.25</v>
      </c>
      <c r="I33" s="369" t="n">
        <f aca="false">IF((G33&lt;&gt;0),IF((D33&gt;0)," ",(I$1-A33))," ")</f>
        <v>491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38.25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45775</v>
      </c>
      <c r="B34" s="365" t="s">
        <v>250</v>
      </c>
      <c r="E34" s="367" t="s">
        <v>298</v>
      </c>
      <c r="G34" s="368" t="n">
        <v>120</v>
      </c>
      <c r="H34" s="340" t="n">
        <f aca="false">IF((G34&lt;&gt;0),IF((D34&gt;0)," ",G34)," ")</f>
        <v>120</v>
      </c>
      <c r="I34" s="369" t="n">
        <f aca="false">IF((G34&lt;&gt;0),IF((D34&gt;0)," ",(I$1-A34))," ")</f>
        <v>488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45777</v>
      </c>
      <c r="B35" s="365" t="s">
        <v>247</v>
      </c>
      <c r="E35" s="367" t="s">
        <v>347</v>
      </c>
      <c r="G35" s="368" t="n">
        <v>300</v>
      </c>
      <c r="H35" s="340" t="n">
        <f aca="false">IF((G35&lt;&gt;0),IF((D35&gt;0)," ",G35)," ")</f>
        <v>300</v>
      </c>
      <c r="I35" s="369" t="n">
        <f aca="false">IF((G35&lt;&gt;0),IF((D35&gt;0)," ",(I$1-A35))," ")</f>
        <v>486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45777</v>
      </c>
      <c r="B36" s="365" t="s">
        <v>348</v>
      </c>
      <c r="E36" s="367" t="s">
        <v>349</v>
      </c>
      <c r="G36" s="368" t="n">
        <v>3500</v>
      </c>
      <c r="H36" s="340" t="n">
        <f aca="false">IF((G36&lt;&gt;0),IF((D36&gt;0)," ",G36)," ")</f>
        <v>3500</v>
      </c>
      <c r="I36" s="369" t="n">
        <f aca="false">IF((G36&lt;&gt;0),IF((D36&gt;0)," ",(I$1-A36))," ")</f>
        <v>486</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45777</v>
      </c>
      <c r="B37" s="365" t="s">
        <v>350</v>
      </c>
      <c r="E37" s="367" t="s">
        <v>349</v>
      </c>
      <c r="G37" s="368" t="n">
        <v>2200</v>
      </c>
      <c r="H37" s="340" t="n">
        <f aca="false">IF((G37&lt;&gt;0),IF((D37&gt;0)," ",G37)," ")</f>
        <v>2200</v>
      </c>
      <c r="I37" s="369" t="n">
        <f aca="false">IF((G37&lt;&gt;0),IF((D37&gt;0)," ",(I$1-A37))," ")</f>
        <v>486</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32920</v>
      </c>
      <c r="G1" s="345" t="n">
        <f aca="false">SUM(G4:G300)</f>
        <v>0</v>
      </c>
      <c r="H1" s="347" t="n">
        <f aca="false">SUM(H4:H300)</f>
        <v>32920</v>
      </c>
      <c r="I1" s="348" t="n">
        <f aca="true">TODAY()</f>
        <v>46263</v>
      </c>
      <c r="J1" s="345" t="n">
        <f aca="false">SUM(J4:J300)</f>
        <v>0</v>
      </c>
      <c r="K1" s="349" t="n">
        <f aca="false">J1+SalesApr!K1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45780</v>
      </c>
      <c r="B4" s="336" t="s">
        <v>266</v>
      </c>
      <c r="F4" s="336" t="n">
        <v>360</v>
      </c>
      <c r="H4" s="340" t="n">
        <f aca="false">IF((F4&lt;&gt;0),IF((D4&gt;0)," ",F4)," ")</f>
        <v>360</v>
      </c>
      <c r="I4" s="341" t="n">
        <f aca="false">IF((F4&lt;&gt;0),IF((D4&gt;0)," ",(I$1-A4))," ")</f>
        <v>483</v>
      </c>
    </row>
    <row r="5" customFormat="false" ht="12.75" hidden="false" customHeight="false" outlineLevel="0" collapsed="false">
      <c r="A5" s="357" t="n">
        <v>45782</v>
      </c>
      <c r="B5" s="336" t="s">
        <v>267</v>
      </c>
      <c r="F5" s="336" t="n">
        <v>600</v>
      </c>
      <c r="H5" s="340" t="n">
        <f aca="false">IF((F5&lt;&gt;0),IF((D5&gt;0)," ",F5)," ")</f>
        <v>600</v>
      </c>
      <c r="I5" s="341" t="n">
        <f aca="false">IF((F5&lt;&gt;0),IF((D5&gt;0)," ",(I$1-A5))," ")</f>
        <v>481</v>
      </c>
    </row>
    <row r="6" customFormat="false" ht="12.75" hidden="false" customHeight="false" outlineLevel="0" collapsed="false">
      <c r="A6" s="357" t="n">
        <v>45785</v>
      </c>
      <c r="B6" s="336" t="s">
        <v>268</v>
      </c>
      <c r="F6" s="336" t="n">
        <v>480</v>
      </c>
      <c r="H6" s="340" t="n">
        <f aca="false">IF((F6&lt;&gt;0),IF((D6&gt;0)," ",F6)," ")</f>
        <v>480</v>
      </c>
      <c r="I6" s="341" t="n">
        <f aca="false">IF((F6&lt;&gt;0),IF((D6&gt;0)," ",(I$1-A6))," ")</f>
        <v>478</v>
      </c>
    </row>
    <row r="7" customFormat="false" ht="12.75" hidden="false" customHeight="false" outlineLevel="0" collapsed="false">
      <c r="A7" s="357" t="n">
        <v>45787</v>
      </c>
      <c r="B7" s="336" t="s">
        <v>269</v>
      </c>
      <c r="F7" s="336" t="n">
        <v>720</v>
      </c>
      <c r="H7" s="340" t="n">
        <f aca="false">IF((F7&lt;&gt;0),IF((D7&gt;0)," ",F7)," ")</f>
        <v>720</v>
      </c>
      <c r="I7" s="341" t="n">
        <f aca="false">IF((F7&lt;&gt;0),IF((D7&gt;0)," ",(I$1-A7))," ")</f>
        <v>476</v>
      </c>
    </row>
    <row r="8" customFormat="false" ht="12.75" hidden="false" customHeight="false" outlineLevel="0" collapsed="false">
      <c r="A8" s="357" t="n">
        <v>45789</v>
      </c>
      <c r="B8" s="336" t="s">
        <v>351</v>
      </c>
      <c r="F8" s="336" t="n">
        <v>960</v>
      </c>
      <c r="H8" s="340" t="n">
        <f aca="false">IF((F8&lt;&gt;0),IF((D8&gt;0)," ",F8)," ")</f>
        <v>960</v>
      </c>
      <c r="I8" s="341" t="n">
        <f aca="false">IF((F8&lt;&gt;0),IF((D8&gt;0)," ",(I$1-A8))," ")</f>
        <v>474</v>
      </c>
    </row>
    <row r="9" customFormat="false" ht="12.75" hidden="false" customHeight="false" outlineLevel="0" collapsed="false">
      <c r="A9" s="357" t="n">
        <v>45792</v>
      </c>
      <c r="B9" s="336" t="s">
        <v>242</v>
      </c>
      <c r="F9" s="336" t="n">
        <v>25000</v>
      </c>
      <c r="H9" s="340" t="n">
        <f aca="false">IF((F9&lt;&gt;0),IF((D9&gt;0)," ",F9)," ")</f>
        <v>25000</v>
      </c>
      <c r="I9" s="341" t="n">
        <f aca="false">IF((F9&lt;&gt;0),IF((D9&gt;0)," ",(I$1-A9))," ")</f>
        <v>471</v>
      </c>
    </row>
    <row r="10" customFormat="false" ht="12.75" hidden="false" customHeight="false" outlineLevel="0" collapsed="false">
      <c r="A10" s="357" t="n">
        <v>45793</v>
      </c>
      <c r="B10" s="336" t="s">
        <v>352</v>
      </c>
      <c r="F10" s="336" t="n">
        <v>1200</v>
      </c>
      <c r="H10" s="340" t="n">
        <f aca="false">IF((F10&lt;&gt;0),IF((D10&gt;0)," ",F10)," ")</f>
        <v>1200</v>
      </c>
      <c r="I10" s="341" t="n">
        <f aca="false">IF((F10&lt;&gt;0),IF((D10&gt;0)," ",(I$1-A10))," ")</f>
        <v>470</v>
      </c>
    </row>
    <row r="11" customFormat="false" ht="12.75" hidden="false" customHeight="false" outlineLevel="0" collapsed="false">
      <c r="A11" s="357" t="n">
        <v>45795</v>
      </c>
      <c r="B11" s="336" t="s">
        <v>244</v>
      </c>
      <c r="F11" s="336" t="n">
        <v>2400</v>
      </c>
      <c r="H11" s="340" t="n">
        <f aca="false">IF((F11&lt;&gt;0),IF((D11&gt;0)," ",F11)," ")</f>
        <v>2400</v>
      </c>
      <c r="I11" s="341" t="n">
        <f aca="false">IF((F11&lt;&gt;0),IF((D11&gt;0)," ",(I$1-A11))," ")</f>
        <v>468</v>
      </c>
    </row>
    <row r="12" customFormat="false" ht="12.75" hidden="false" customHeight="false" outlineLevel="0" collapsed="false">
      <c r="A12" s="357" t="n">
        <v>45802</v>
      </c>
      <c r="B12" s="336" t="s">
        <v>353</v>
      </c>
      <c r="F12" s="336" t="n">
        <v>1200</v>
      </c>
      <c r="H12" s="340" t="n">
        <f aca="false">IF((F12&lt;&gt;0),IF((D12&gt;0)," ",F12)," ")</f>
        <v>1200</v>
      </c>
      <c r="I12" s="341" t="n">
        <f aca="false">IF((F12&lt;&gt;0),IF((D12&gt;0)," ",(I$1-A12))," ")</f>
        <v>461</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273</v>
      </c>
      <c r="C1" s="346" t="n">
        <f aca="false">PurchasesApr!C1+PurchasesMay!F1+SalesMay!$E$1</f>
        <v>0</v>
      </c>
      <c r="D1" s="371" t="s">
        <v>255</v>
      </c>
      <c r="E1" s="373" t="str">
        <f aca="false">IF((G1-SUM(J1:W1)&lt;&gt;0),(G1-SUM(J1:W1))," ")</f>
        <v> </v>
      </c>
      <c r="F1" s="346" t="n">
        <f aca="false">SUM(F5:F300)</f>
        <v>0</v>
      </c>
      <c r="G1" s="345" t="n">
        <f aca="false">SUM(G4:G300)</f>
        <v>12075</v>
      </c>
      <c r="H1" s="374" t="n">
        <f aca="false">SUM(H5:H300)</f>
        <v>12075</v>
      </c>
      <c r="I1" s="375" t="n">
        <f aca="true">TODAY()</f>
        <v>46263</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IF((C1&lt;Admin!$F$22),((C1-PurchasesApr!C1)*Admin!$G$21),(C1*Admin!$G$21-(C1-Admin!$F$21)*(Admin!$G$21-Admin!$G$22)-PurchasesApr!A1))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45778</v>
      </c>
      <c r="B5" s="365" t="s">
        <v>246</v>
      </c>
      <c r="E5" s="367" t="s">
        <v>315</v>
      </c>
      <c r="G5" s="368" t="n">
        <v>1200</v>
      </c>
      <c r="H5" s="340" t="n">
        <f aca="false">IF((G5&lt;&gt;0),IF((D5&gt;0)," ",G5)," ")</f>
        <v>1200</v>
      </c>
      <c r="I5" s="369" t="n">
        <f aca="false">IF((G5&lt;&gt;0),IF((D5&gt;0)," ",(I$1-A5))," ")</f>
        <v>485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316</v>
      </c>
      <c r="E6" s="367" t="s">
        <v>317</v>
      </c>
      <c r="G6" s="368" t="n">
        <v>30</v>
      </c>
      <c r="H6" s="340" t="n">
        <f aca="false">IF((G6&lt;&gt;0),IF((D6&gt;0)," ",G6)," ")</f>
        <v>30</v>
      </c>
      <c r="I6" s="369" t="n">
        <f aca="false">IF((G6&lt;&gt;0),IF((D6&gt;0)," ",(I$1-A6))," ")</f>
        <v>485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45778</v>
      </c>
      <c r="B7" s="365" t="s">
        <v>318</v>
      </c>
      <c r="E7" s="367" t="s">
        <v>317</v>
      </c>
      <c r="G7" s="368" t="n">
        <v>15</v>
      </c>
      <c r="H7" s="340" t="n">
        <f aca="false">IF((G7&lt;&gt;0),IF((D7&gt;0)," ",G7)," ")</f>
        <v>15</v>
      </c>
      <c r="I7" s="369" t="n">
        <f aca="false">IF((G7&lt;&gt;0),IF((D7&gt;0)," ",(I$1-A7))," ")</f>
        <v>485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319</v>
      </c>
      <c r="E8" s="367" t="s">
        <v>320</v>
      </c>
      <c r="G8" s="368" t="n">
        <v>45</v>
      </c>
      <c r="H8" s="340" t="n">
        <f aca="false">IF((G8&lt;&gt;0),IF((D8&gt;0)," ",G8)," ")</f>
        <v>45</v>
      </c>
      <c r="I8" s="369" t="n">
        <f aca="false">IF((G8&lt;&gt;0),IF((D8&gt;0)," ",(I$1-A8))," ")</f>
        <v>485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45778</v>
      </c>
      <c r="B9" s="365" t="s">
        <v>322</v>
      </c>
      <c r="E9" s="367" t="s">
        <v>320</v>
      </c>
      <c r="G9" s="368" t="n">
        <v>24</v>
      </c>
      <c r="H9" s="340" t="n">
        <f aca="false">IF((G9&lt;&gt;0),IF((D9&gt;0)," ",G9)," ")</f>
        <v>24</v>
      </c>
      <c r="I9" s="369" t="n">
        <f aca="false">IF((G9&lt;&gt;0),IF((D9&gt;0)," ",(I$1-A9))," ")</f>
        <v>485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45778</v>
      </c>
      <c r="B10" s="365" t="s">
        <v>323</v>
      </c>
      <c r="E10" s="367" t="s">
        <v>317</v>
      </c>
      <c r="G10" s="368" t="n">
        <v>18</v>
      </c>
      <c r="H10" s="340" t="n">
        <f aca="false">IF((G10&lt;&gt;0),IF((D10&gt;0)," ",G10)," ")</f>
        <v>18</v>
      </c>
      <c r="I10" s="369" t="n">
        <f aca="false">IF((G10&lt;&gt;0),IF((D10&gt;0)," ",(I$1-A10))," ")</f>
        <v>485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45780</v>
      </c>
      <c r="B11" s="365" t="s">
        <v>324</v>
      </c>
      <c r="E11" s="367" t="s">
        <v>320</v>
      </c>
      <c r="G11" s="368" t="n">
        <v>180</v>
      </c>
      <c r="H11" s="340" t="n">
        <f aca="false">IF((G11&lt;&gt;0),IF((D11&gt;0)," ",G11)," ")</f>
        <v>180</v>
      </c>
      <c r="I11" s="369" t="n">
        <f aca="false">IF((G11&lt;&gt;0),IF((D11&gt;0)," ",(I$1-A11))," ")</f>
        <v>483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45780</v>
      </c>
      <c r="B12" s="365" t="s">
        <v>325</v>
      </c>
      <c r="E12" s="367" t="s">
        <v>320</v>
      </c>
      <c r="G12" s="368" t="n">
        <v>22</v>
      </c>
      <c r="H12" s="340" t="n">
        <f aca="false">IF((G12&lt;&gt;0),IF((D12&gt;0)," ",G12)," ")</f>
        <v>22</v>
      </c>
      <c r="I12" s="369" t="n">
        <f aca="false">IF((G12&lt;&gt;0),IF((D12&gt;0)," ",(I$1-A12))," ")</f>
        <v>483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45782</v>
      </c>
      <c r="B13" s="365" t="s">
        <v>326</v>
      </c>
      <c r="E13" s="367" t="s">
        <v>320</v>
      </c>
      <c r="G13" s="368" t="n">
        <v>24</v>
      </c>
      <c r="H13" s="340" t="n">
        <f aca="false">IF((G13&lt;&gt;0),IF((D13&gt;0)," ",G13)," ")</f>
        <v>24</v>
      </c>
      <c r="I13" s="369" t="n">
        <f aca="false">IF((G13&lt;&gt;0),IF((D13&gt;0)," ",(I$1-A13))," ")</f>
        <v>481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45782</v>
      </c>
      <c r="B14" s="365" t="s">
        <v>327</v>
      </c>
      <c r="E14" s="367" t="s">
        <v>298</v>
      </c>
      <c r="G14" s="368" t="n">
        <v>180</v>
      </c>
      <c r="H14" s="340" t="n">
        <f aca="false">IF((G14&lt;&gt;0),IF((D14&gt;0)," ",G14)," ")</f>
        <v>180</v>
      </c>
      <c r="I14" s="369" t="n">
        <f aca="false">IF((G14&lt;&gt;0),IF((D14&gt;0)," ",(I$1-A14))," ")</f>
        <v>481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45783</v>
      </c>
      <c r="B15" s="365" t="s">
        <v>355</v>
      </c>
      <c r="E15" s="367" t="s">
        <v>330</v>
      </c>
      <c r="G15" s="368" t="n">
        <v>60</v>
      </c>
      <c r="H15" s="340" t="n">
        <f aca="false">IF((G15&lt;&gt;0),IF((D15&gt;0)," ",G15)," ")</f>
        <v>60</v>
      </c>
      <c r="I15" s="369" t="n">
        <f aca="false">IF((G15&lt;&gt;0),IF((D15&gt;0)," ",(I$1-A15))," ")</f>
        <v>480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45785</v>
      </c>
      <c r="B16" s="365" t="s">
        <v>329</v>
      </c>
      <c r="E16" s="367" t="s">
        <v>330</v>
      </c>
      <c r="G16" s="368" t="n">
        <v>48</v>
      </c>
      <c r="H16" s="340" t="n">
        <f aca="false">IF((G16&lt;&gt;0),IF((D16&gt;0)," ",G16)," ")</f>
        <v>48</v>
      </c>
      <c r="I16" s="369" t="n">
        <f aca="false">IF((G16&lt;&gt;0),IF((D16&gt;0)," ",(I$1-A16))," ")</f>
        <v>478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45785</v>
      </c>
      <c r="B17" s="365" t="s">
        <v>356</v>
      </c>
      <c r="E17" s="367" t="s">
        <v>320</v>
      </c>
      <c r="G17" s="368" t="n">
        <v>240</v>
      </c>
      <c r="H17" s="340" t="n">
        <f aca="false">IF((G17&lt;&gt;0),IF((D17&gt;0)," ",G17)," ")</f>
        <v>240</v>
      </c>
      <c r="I17" s="369" t="n">
        <f aca="false">IF((G17&lt;&gt;0),IF((D17&gt;0)," ",(I$1-A17))," ")</f>
        <v>478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row>
    <row r="18" customFormat="false" ht="12.75" hidden="false" customHeight="false" outlineLevel="0" collapsed="false">
      <c r="A18" s="357" t="n">
        <v>45787</v>
      </c>
      <c r="B18" s="365" t="s">
        <v>331</v>
      </c>
      <c r="E18" s="367" t="s">
        <v>320</v>
      </c>
      <c r="G18" s="368" t="n">
        <v>36</v>
      </c>
      <c r="H18" s="340" t="n">
        <f aca="false">IF((G18&lt;&gt;0),IF((D18&gt;0)," ",G18)," ")</f>
        <v>36</v>
      </c>
      <c r="I18" s="369" t="n">
        <f aca="false">IF((G18&lt;&gt;0),IF((D18&gt;0)," ",(I$1-A18))," ")</f>
        <v>476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45787</v>
      </c>
      <c r="B19" s="365" t="s">
        <v>357</v>
      </c>
      <c r="E19" s="367" t="s">
        <v>358</v>
      </c>
      <c r="G19" s="368" t="n">
        <v>600</v>
      </c>
      <c r="H19" s="340" t="n">
        <f aca="false">IF((G19&lt;&gt;0),IF((D19&gt;0)," ",G19)," ")</f>
        <v>600</v>
      </c>
      <c r="I19" s="369" t="n">
        <f aca="false">IF((G19&lt;&gt;0),IF((D19&gt;0)," ",(I$1-A19))," ")</f>
        <v>476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45789</v>
      </c>
      <c r="B20" s="365" t="s">
        <v>335</v>
      </c>
      <c r="E20" s="367" t="s">
        <v>298</v>
      </c>
      <c r="G20" s="368" t="n">
        <v>18</v>
      </c>
      <c r="H20" s="340" t="n">
        <f aca="false">IF((G20&lt;&gt;0),IF((D20&gt;0)," ",G20)," ")</f>
        <v>18</v>
      </c>
      <c r="I20" s="369" t="n">
        <f aca="false">IF((G20&lt;&gt;0),IF((D20&gt;0)," ",(I$1-A20))," ")</f>
        <v>474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45791</v>
      </c>
      <c r="B21" s="365" t="s">
        <v>337</v>
      </c>
      <c r="D21" s="365"/>
      <c r="E21" s="367" t="s">
        <v>330</v>
      </c>
      <c r="G21" s="368" t="n">
        <v>24</v>
      </c>
      <c r="H21" s="340" t="n">
        <f aca="false">IF((G21&lt;&gt;0),IF((D21&gt;0)," ",G21)," ")</f>
        <v>24</v>
      </c>
      <c r="I21" s="369" t="n">
        <f aca="false">IF((G21&lt;&gt;0),IF((D21&gt;0)," ",(I$1-A21))," ")</f>
        <v>472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45791</v>
      </c>
      <c r="B22" s="365" t="s">
        <v>338</v>
      </c>
      <c r="D22" s="395"/>
      <c r="E22" s="367" t="s">
        <v>330</v>
      </c>
      <c r="G22" s="368" t="n">
        <v>12</v>
      </c>
      <c r="H22" s="340" t="n">
        <f aca="false">IF((G22&lt;&gt;0),IF((D22&gt;0)," ",G22)," ")</f>
        <v>12</v>
      </c>
      <c r="I22" s="369" t="n">
        <f aca="false">IF((G22&lt;&gt;0),IF((D22&gt;0)," ",(I$1-A22))," ")</f>
        <v>472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45792</v>
      </c>
      <c r="B23" s="365" t="s">
        <v>250</v>
      </c>
      <c r="E23" s="367" t="s">
        <v>298</v>
      </c>
      <c r="G23" s="368" t="n">
        <v>150</v>
      </c>
      <c r="H23" s="340" t="n">
        <f aca="false">IF((G23&lt;&gt;0),IF((D23&gt;0)," ",G23)," ")</f>
        <v>150</v>
      </c>
      <c r="I23" s="369" t="n">
        <f aca="false">IF((G23&lt;&gt;0),IF((D23&gt;0)," ",(I$1-A23))," ")</f>
        <v>471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45792</v>
      </c>
      <c r="B24" s="365" t="s">
        <v>339</v>
      </c>
      <c r="E24" s="367" t="s">
        <v>317</v>
      </c>
      <c r="G24" s="368" t="n">
        <v>12</v>
      </c>
      <c r="H24" s="340" t="n">
        <f aca="false">IF((G24&lt;&gt;0),IF((D24&gt;0)," ",G24)," ")</f>
        <v>12</v>
      </c>
      <c r="I24" s="369" t="n">
        <f aca="false">IF((G24&lt;&gt;0),IF((D24&gt;0)," ",(I$1-A24))," ")</f>
        <v>471</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45792</v>
      </c>
      <c r="B25" s="365" t="s">
        <v>359</v>
      </c>
      <c r="E25" s="367" t="s">
        <v>334</v>
      </c>
      <c r="G25" s="368" t="n">
        <v>480</v>
      </c>
      <c r="H25" s="340" t="n">
        <f aca="false">IF((G25&lt;&gt;0),IF((D25&gt;0)," ",G25)," ")</f>
        <v>480</v>
      </c>
      <c r="I25" s="369" t="n">
        <f aca="false">IF((G25&lt;&gt;0),IF((D25&gt;0)," ",(I$1-A25))," ")</f>
        <v>471</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45792</v>
      </c>
      <c r="B26" s="365" t="s">
        <v>360</v>
      </c>
      <c r="E26" s="367" t="s">
        <v>361</v>
      </c>
      <c r="G26" s="368" t="n">
        <v>1800</v>
      </c>
      <c r="H26" s="340" t="n">
        <f aca="false">IF((G26&lt;&gt;0),IF((D26&gt;0)," ",G26)," ")</f>
        <v>1800</v>
      </c>
      <c r="I26" s="369" t="n">
        <f aca="false">IF((G26&lt;&gt;0),IF((D26&gt;0)," ",(I$1-A26))," ")</f>
        <v>471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row>
    <row r="27" customFormat="false" ht="12.75" hidden="false" customHeight="false" outlineLevel="0" collapsed="false">
      <c r="A27" s="357" t="n">
        <v>45793</v>
      </c>
      <c r="B27" s="365" t="s">
        <v>362</v>
      </c>
      <c r="E27" s="367" t="s">
        <v>317</v>
      </c>
      <c r="G27" s="368" t="n">
        <v>18</v>
      </c>
      <c r="H27" s="340" t="n">
        <f aca="false">IF((G27&lt;&gt;0),IF((D27&gt;0)," ",G27)," ")</f>
        <v>18</v>
      </c>
      <c r="I27" s="369" t="n">
        <f aca="false">IF((G27&lt;&gt;0),IF((D27&gt;0)," ",(I$1-A27))," ")</f>
        <v>470</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45795</v>
      </c>
      <c r="B28" s="365" t="s">
        <v>340</v>
      </c>
      <c r="E28" s="367" t="s">
        <v>298</v>
      </c>
      <c r="G28" s="368" t="n">
        <v>96</v>
      </c>
      <c r="H28" s="340" t="n">
        <f aca="false">IF((G28&lt;&gt;0),IF((D28&gt;0)," ",G28)," ")</f>
        <v>96</v>
      </c>
      <c r="I28" s="369" t="n">
        <f aca="false">IF((G28&lt;&gt;0),IF((D28&gt;0)," ",(I$1-A28))," ")</f>
        <v>468</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45797</v>
      </c>
      <c r="B29" s="365" t="s">
        <v>249</v>
      </c>
      <c r="E29" s="367" t="s">
        <v>317</v>
      </c>
      <c r="G29" s="368" t="n">
        <v>60</v>
      </c>
      <c r="H29" s="340" t="n">
        <f aca="false">IF((G29&lt;&gt;0),IF((D29&gt;0)," ",G29)," ")</f>
        <v>60</v>
      </c>
      <c r="I29" s="369" t="n">
        <f aca="false">IF((G29&lt;&gt;0),IF((D29&gt;0)," ",(I$1-A29))," ")</f>
        <v>466</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45797</v>
      </c>
      <c r="B30" s="365" t="s">
        <v>363</v>
      </c>
      <c r="E30" s="367" t="s">
        <v>320</v>
      </c>
      <c r="G30" s="368" t="n">
        <v>180</v>
      </c>
      <c r="H30" s="340" t="n">
        <f aca="false">IF((G30&lt;&gt;0),IF((D30&gt;0)," ",G30)," ")</f>
        <v>180</v>
      </c>
      <c r="I30" s="369" t="n">
        <f aca="false">IF((G30&lt;&gt;0),IF((D30&gt;0)," ",(I$1-A30))," ")</f>
        <v>466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row>
    <row r="31" customFormat="false" ht="12.75" hidden="false" customHeight="false" outlineLevel="0" collapsed="false">
      <c r="A31" s="357" t="n">
        <v>45797</v>
      </c>
      <c r="B31" s="365" t="s">
        <v>364</v>
      </c>
      <c r="E31" s="367" t="s">
        <v>334</v>
      </c>
      <c r="G31" s="368" t="n">
        <v>240</v>
      </c>
      <c r="H31" s="340" t="n">
        <f aca="false">IF((G31&lt;&gt;0),IF((D31&gt;0)," ",G31)," ")</f>
        <v>240</v>
      </c>
      <c r="I31" s="369" t="n">
        <f aca="false">IF((G31&lt;&gt;0),IF((D31&gt;0)," ",(I$1-A31))," ")</f>
        <v>466</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45798</v>
      </c>
      <c r="B32" s="365" t="s">
        <v>343</v>
      </c>
      <c r="E32" s="367" t="s">
        <v>330</v>
      </c>
      <c r="G32" s="368" t="n">
        <v>8</v>
      </c>
      <c r="H32" s="340" t="n">
        <f aca="false">IF((G32&lt;&gt;0),IF((D32&gt;0)," ",G32)," ")</f>
        <v>8</v>
      </c>
      <c r="I32" s="369" t="n">
        <f aca="false">IF((G32&lt;&gt;0),IF((D32&gt;0)," ",(I$1-A32))," ")</f>
        <v>465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45799</v>
      </c>
      <c r="B33" s="365" t="s">
        <v>344</v>
      </c>
      <c r="E33" s="367" t="s">
        <v>320</v>
      </c>
      <c r="G33" s="368" t="n">
        <v>18</v>
      </c>
      <c r="H33" s="340" t="n">
        <f aca="false">IF((G33&lt;&gt;0),IF((D33&gt;0)," ",G33)," ")</f>
        <v>18</v>
      </c>
      <c r="I33" s="369" t="n">
        <f aca="false">IF((G33&lt;&gt;0),IF((D33&gt;0)," ",(I$1-A33))," ")</f>
        <v>464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45799</v>
      </c>
      <c r="B34" s="365" t="s">
        <v>365</v>
      </c>
      <c r="E34" s="367" t="s">
        <v>298</v>
      </c>
      <c r="G34" s="368" t="n">
        <v>48</v>
      </c>
      <c r="H34" s="340" t="n">
        <f aca="false">IF((G34&lt;&gt;0),IF((D34&gt;0)," ",G34)," ")</f>
        <v>48</v>
      </c>
      <c r="I34" s="369" t="n">
        <f aca="false">IF((G34&lt;&gt;0),IF((D34&gt;0)," ",(I$1-A34))," ")</f>
        <v>464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45802</v>
      </c>
      <c r="B35" s="365" t="s">
        <v>345</v>
      </c>
      <c r="E35" s="367" t="s">
        <v>320</v>
      </c>
      <c r="G35" s="368" t="n">
        <v>15</v>
      </c>
      <c r="H35" s="340" t="n">
        <f aca="false">IF((G35&lt;&gt;0),IF((D35&gt;0)," ",G35)," ")</f>
        <v>15</v>
      </c>
      <c r="I35" s="369" t="n">
        <f aca="false">IF((G35&lt;&gt;0),IF((D35&gt;0)," ",(I$1-A35))," ")</f>
        <v>461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45802</v>
      </c>
      <c r="B36" s="365" t="s">
        <v>346</v>
      </c>
      <c r="E36" s="367" t="s">
        <v>298</v>
      </c>
      <c r="G36" s="368" t="n">
        <v>54</v>
      </c>
      <c r="H36" s="340" t="n">
        <f aca="false">IF((G36&lt;&gt;0),IF((D36&gt;0)," ",G36)," ")</f>
        <v>54</v>
      </c>
      <c r="I36" s="369" t="n">
        <f aca="false">IF((G36&lt;&gt;0),IF((D36&gt;0)," ",(I$1-A36))," ")</f>
        <v>461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54</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45805</v>
      </c>
      <c r="B37" s="365" t="s">
        <v>250</v>
      </c>
      <c r="E37" s="367" t="s">
        <v>298</v>
      </c>
      <c r="G37" s="368" t="n">
        <v>120</v>
      </c>
      <c r="H37" s="340" t="n">
        <f aca="false">IF((G37&lt;&gt;0),IF((D37&gt;0)," ",G37)," ")</f>
        <v>120</v>
      </c>
      <c r="I37" s="369" t="n">
        <f aca="false">IF((G37&lt;&gt;0),IF((D37&gt;0)," ",(I$1-A37))," ")</f>
        <v>458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45808</v>
      </c>
      <c r="B38" s="365" t="s">
        <v>247</v>
      </c>
      <c r="E38" s="367" t="s">
        <v>347</v>
      </c>
      <c r="G38" s="368" t="n">
        <v>300</v>
      </c>
      <c r="H38" s="340" t="n">
        <f aca="false">IF((G38&lt;&gt;0),IF((D38&gt;0)," ",G38)," ")</f>
        <v>300</v>
      </c>
      <c r="I38" s="369" t="n">
        <f aca="false">IF((G38&lt;&gt;0),IF((D38&gt;0)," ",(I$1-A38))," ")</f>
        <v>455</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45808</v>
      </c>
      <c r="B39" s="365" t="s">
        <v>348</v>
      </c>
      <c r="E39" s="367" t="s">
        <v>349</v>
      </c>
      <c r="G39" s="368" t="n">
        <v>3500</v>
      </c>
      <c r="H39" s="340" t="n">
        <f aca="false">IF((G39&lt;&gt;0),IF((D39&gt;0)," ",G39)," ")</f>
        <v>3500</v>
      </c>
      <c r="I39" s="369" t="n">
        <f aca="false">IF((G39&lt;&gt;0),IF((D39&gt;0)," ",(I$1-A39))," ")</f>
        <v>455</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45808</v>
      </c>
      <c r="B40" s="365" t="s">
        <v>350</v>
      </c>
      <c r="E40" s="367" t="s">
        <v>349</v>
      </c>
      <c r="G40" s="368" t="n">
        <v>2200</v>
      </c>
      <c r="H40" s="340" t="n">
        <f aca="false">IF((G40&lt;&gt;0),IF((D40&gt;0)," ",G40)," ")</f>
        <v>2200</v>
      </c>
      <c r="I40" s="369" t="n">
        <f aca="false">IF((G40&lt;&gt;0),IF((D40&gt;0)," ",(I$1-A40))," ")</f>
        <v>455</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35200</v>
      </c>
      <c r="G1" s="345" t="n">
        <f aca="false">SUM(G4:G300)</f>
        <v>0</v>
      </c>
      <c r="H1" s="347" t="n">
        <f aca="false">SUM(H4:H300)</f>
        <v>35200</v>
      </c>
      <c r="I1" s="348" t="n">
        <f aca="true">TODAY()</f>
        <v>46263</v>
      </c>
      <c r="J1" s="345" t="n">
        <f aca="false">SUM(J4:J300)</f>
        <v>0</v>
      </c>
      <c r="K1" s="349" t="n">
        <f aca="false">J1+SalesMay!K1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45811</v>
      </c>
      <c r="B4" s="336" t="s">
        <v>266</v>
      </c>
      <c r="F4" s="336" t="n">
        <v>360</v>
      </c>
      <c r="H4" s="340" t="n">
        <f aca="false">IF((F4&lt;&gt;0),IF((D4&gt;0)," ",F4)," ")</f>
        <v>360</v>
      </c>
      <c r="I4" s="341" t="n">
        <f aca="false">IF((F4&lt;&gt;0),IF((D4&gt;0)," ",(I$1-A4))," ")</f>
        <v>452</v>
      </c>
    </row>
    <row r="5" customFormat="false" ht="12.75" hidden="false" customHeight="false" outlineLevel="0" collapsed="false">
      <c r="A5" s="357" t="n">
        <v>45813</v>
      </c>
      <c r="B5" s="336" t="s">
        <v>267</v>
      </c>
      <c r="F5" s="336" t="n">
        <v>600</v>
      </c>
      <c r="H5" s="340" t="n">
        <f aca="false">IF((F5&lt;&gt;0),IF((D5&gt;0)," ",F5)," ")</f>
        <v>600</v>
      </c>
      <c r="I5" s="341" t="n">
        <f aca="false">IF((F5&lt;&gt;0),IF((D5&gt;0)," ",(I$1-A5))," ")</f>
        <v>450</v>
      </c>
    </row>
    <row r="6" customFormat="false" ht="12.75" hidden="false" customHeight="false" outlineLevel="0" collapsed="false">
      <c r="A6" s="357" t="n">
        <v>45816</v>
      </c>
      <c r="B6" s="336" t="s">
        <v>268</v>
      </c>
      <c r="F6" s="336" t="n">
        <v>480</v>
      </c>
      <c r="H6" s="340" t="n">
        <f aca="false">IF((F6&lt;&gt;0),IF((D6&gt;0)," ",F6)," ")</f>
        <v>480</v>
      </c>
      <c r="I6" s="341" t="n">
        <f aca="false">IF((F6&lt;&gt;0),IF((D6&gt;0)," ",(I$1-A6))," ")</f>
        <v>447</v>
      </c>
    </row>
    <row r="7" customFormat="false" ht="12.75" hidden="false" customHeight="false" outlineLevel="0" collapsed="false">
      <c r="A7" s="357" t="n">
        <v>45818</v>
      </c>
      <c r="B7" s="336" t="s">
        <v>269</v>
      </c>
      <c r="F7" s="336" t="n">
        <v>720</v>
      </c>
      <c r="H7" s="340" t="n">
        <f aca="false">IF((F7&lt;&gt;0),IF((D7&gt;0)," ",F7)," ")</f>
        <v>720</v>
      </c>
      <c r="I7" s="341" t="n">
        <f aca="false">IF((F7&lt;&gt;0),IF((D7&gt;0)," ",(I$1-A7))," ")</f>
        <v>445</v>
      </c>
    </row>
    <row r="8" customFormat="false" ht="12.75" hidden="false" customHeight="false" outlineLevel="0" collapsed="false">
      <c r="A8" s="357" t="n">
        <v>45823</v>
      </c>
      <c r="B8" s="336" t="s">
        <v>242</v>
      </c>
      <c r="F8" s="336" t="n">
        <v>25000</v>
      </c>
      <c r="H8" s="340" t="n">
        <f aca="false">IF((F8&lt;&gt;0),IF((D8&gt;0)," ",F8)," ")</f>
        <v>25000</v>
      </c>
      <c r="I8" s="341" t="n">
        <f aca="false">IF((F8&lt;&gt;0),IF((D8&gt;0)," ",(I$1-A8))," ")</f>
        <v>440</v>
      </c>
    </row>
    <row r="9" customFormat="false" ht="12.75" hidden="false" customHeight="false" outlineLevel="0" collapsed="false">
      <c r="A9" s="357" t="n">
        <v>45826</v>
      </c>
      <c r="B9" s="336" t="s">
        <v>244</v>
      </c>
      <c r="F9" s="336" t="n">
        <v>2400</v>
      </c>
      <c r="H9" s="340" t="n">
        <f aca="false">IF((F9&lt;&gt;0),IF((D9&gt;0)," ",F9)," ")</f>
        <v>2400</v>
      </c>
      <c r="I9" s="341" t="n">
        <f aca="false">IF((F9&lt;&gt;0),IF((D9&gt;0)," ",(I$1-A9))," ")</f>
        <v>437</v>
      </c>
    </row>
    <row r="10" customFormat="false" ht="12.75" hidden="false" customHeight="false" outlineLevel="0" collapsed="false">
      <c r="A10" s="357" t="n">
        <v>45828</v>
      </c>
      <c r="B10" s="336" t="s">
        <v>270</v>
      </c>
      <c r="F10" s="336" t="n">
        <v>1800</v>
      </c>
      <c r="H10" s="340" t="n">
        <f aca="false">IF((F10&lt;&gt;0),IF((D10&gt;0)," ",F10)," ")</f>
        <v>1800</v>
      </c>
      <c r="I10" s="341" t="n">
        <f aca="false">IF((F10&lt;&gt;0),IF((D10&gt;0)," ",(I$1-A10))," ")</f>
        <v>435</v>
      </c>
    </row>
    <row r="11" customFormat="false" ht="12.75" hidden="false" customHeight="false" outlineLevel="0" collapsed="false">
      <c r="A11" s="357" t="n">
        <v>45828</v>
      </c>
      <c r="B11" s="336" t="s">
        <v>245</v>
      </c>
      <c r="F11" s="336" t="n">
        <v>2400</v>
      </c>
      <c r="H11" s="340" t="n">
        <f aca="false">IF((F11&lt;&gt;0),IF((D11&gt;0)," ",F11)," ")</f>
        <v>2400</v>
      </c>
      <c r="I11" s="341" t="n">
        <f aca="false">IF((F11&lt;&gt;0),IF((D11&gt;0)," ",(I$1-A11))," ")</f>
        <v>435</v>
      </c>
    </row>
    <row r="12" customFormat="false" ht="12.75" hidden="false" customHeight="false" outlineLevel="0" collapsed="false">
      <c r="A12" s="357" t="n">
        <v>45830</v>
      </c>
      <c r="B12" s="336" t="s">
        <v>366</v>
      </c>
      <c r="F12" s="336" t="n">
        <v>1440</v>
      </c>
      <c r="H12" s="340" t="n">
        <f aca="false">IF((F12&lt;&gt;0),IF((D12&gt;0)," ",F12)," ")</f>
        <v>1440</v>
      </c>
      <c r="I12" s="341" t="n">
        <f aca="false">IF((F12&lt;&gt;0),IF((D12&gt;0)," ",(I$1-A12))," ")</f>
        <v>433</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273</v>
      </c>
      <c r="C1" s="346" t="n">
        <f aca="false">PurchasesMay!C1+PurchasesJun!F1+SalesJun!$E$1</f>
        <v>0</v>
      </c>
      <c r="D1" s="371" t="s">
        <v>255</v>
      </c>
      <c r="E1" s="373" t="str">
        <f aca="false">IF((G1-SUM(J1:W1)&lt;&gt;0),(G1-SUM(J1:W1))," ")</f>
        <v> </v>
      </c>
      <c r="F1" s="346" t="n">
        <f aca="false">SUM(F5:F300)</f>
        <v>0</v>
      </c>
      <c r="G1" s="345" t="n">
        <f aca="false">SUM(G4:G300)</f>
        <v>14757</v>
      </c>
      <c r="H1" s="374" t="n">
        <f aca="false">SUM(H5:H300)</f>
        <v>14757</v>
      </c>
      <c r="I1" s="375" t="n">
        <f aca="true">TODAY()</f>
        <v>46263</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IF((C1&lt;Admin!$F$22),((C1-PurchasesMay!C1)*Admin!$G$21),(C1*Admin!$G$21-(C1-Admin!$F$21)*(Admin!$G$21-Admin!$G$22)-PurchasesMay!A1))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45809</v>
      </c>
      <c r="B5" s="365" t="s">
        <v>246</v>
      </c>
      <c r="E5" s="367" t="s">
        <v>315</v>
      </c>
      <c r="G5" s="368" t="n">
        <v>1200</v>
      </c>
      <c r="H5" s="340" t="n">
        <f aca="false">IF((G5&lt;&gt;0),IF((D5&gt;0)," ",G5)," ")</f>
        <v>1200</v>
      </c>
      <c r="I5" s="369" t="n">
        <f aca="false">IF((G5&lt;&gt;0),IF((D5&gt;0)," ",(I$1-A5))," ")</f>
        <v>454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45809</v>
      </c>
      <c r="B6" s="365" t="s">
        <v>316</v>
      </c>
      <c r="E6" s="367" t="s">
        <v>317</v>
      </c>
      <c r="G6" s="368" t="n">
        <v>30</v>
      </c>
      <c r="H6" s="340" t="n">
        <f aca="false">IF((G6&lt;&gt;0),IF((D6&gt;0)," ",G6)," ")</f>
        <v>30</v>
      </c>
      <c r="I6" s="369" t="n">
        <f aca="false">IF((G6&lt;&gt;0),IF((D6&gt;0)," ",(I$1-A6))," ")</f>
        <v>454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318</v>
      </c>
      <c r="E7" s="367" t="s">
        <v>317</v>
      </c>
      <c r="G7" s="368" t="n">
        <v>15</v>
      </c>
      <c r="H7" s="340" t="n">
        <f aca="false">IF((G7&lt;&gt;0),IF((D7&gt;0)," ",G7)," ")</f>
        <v>15</v>
      </c>
      <c r="I7" s="369" t="n">
        <f aca="false">IF((G7&lt;&gt;0),IF((D7&gt;0)," ",(I$1-A7))," ")</f>
        <v>454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45809</v>
      </c>
      <c r="B8" s="365" t="s">
        <v>319</v>
      </c>
      <c r="E8" s="367" t="s">
        <v>320</v>
      </c>
      <c r="G8" s="368" t="n">
        <v>45</v>
      </c>
      <c r="H8" s="340" t="n">
        <f aca="false">IF((G8&lt;&gt;0),IF((D8&gt;0)," ",G8)," ")</f>
        <v>45</v>
      </c>
      <c r="I8" s="369" t="n">
        <f aca="false">IF((G8&lt;&gt;0),IF((D8&gt;0)," ",(I$1-A8))," ")</f>
        <v>454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45809</v>
      </c>
      <c r="B9" s="365" t="s">
        <v>322</v>
      </c>
      <c r="E9" s="367" t="s">
        <v>320</v>
      </c>
      <c r="G9" s="368" t="n">
        <v>24</v>
      </c>
      <c r="H9" s="340" t="n">
        <f aca="false">IF((G9&lt;&gt;0),IF((D9&gt;0)," ",G9)," ")</f>
        <v>24</v>
      </c>
      <c r="I9" s="369" t="n">
        <f aca="false">IF((G9&lt;&gt;0),IF((D9&gt;0)," ",(I$1-A9))," ")</f>
        <v>454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45809</v>
      </c>
      <c r="B10" s="365" t="s">
        <v>323</v>
      </c>
      <c r="E10" s="367" t="s">
        <v>317</v>
      </c>
      <c r="G10" s="368" t="n">
        <v>18</v>
      </c>
      <c r="H10" s="340" t="n">
        <f aca="false">IF((G10&lt;&gt;0),IF((D10&gt;0)," ",G10)," ")</f>
        <v>18</v>
      </c>
      <c r="I10" s="369" t="n">
        <f aca="false">IF((G10&lt;&gt;0),IF((D10&gt;0)," ",(I$1-A10))," ")</f>
        <v>454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45811</v>
      </c>
      <c r="B11" s="365" t="s">
        <v>324</v>
      </c>
      <c r="E11" s="367" t="s">
        <v>320</v>
      </c>
      <c r="G11" s="368" t="n">
        <v>180</v>
      </c>
      <c r="H11" s="340" t="n">
        <f aca="false">IF((G11&lt;&gt;0),IF((D11&gt;0)," ",G11)," ")</f>
        <v>180</v>
      </c>
      <c r="I11" s="369" t="n">
        <f aca="false">IF((G11&lt;&gt;0),IF((D11&gt;0)," ",(I$1-A11))," ")</f>
        <v>452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45811</v>
      </c>
      <c r="B12" s="365" t="s">
        <v>325</v>
      </c>
      <c r="E12" s="367" t="s">
        <v>320</v>
      </c>
      <c r="G12" s="368" t="n">
        <v>22</v>
      </c>
      <c r="H12" s="340" t="n">
        <f aca="false">IF((G12&lt;&gt;0),IF((D12&gt;0)," ",G12)," ")</f>
        <v>22</v>
      </c>
      <c r="I12" s="369" t="n">
        <f aca="false">IF((G12&lt;&gt;0),IF((D12&gt;0)," ",(I$1-A12))," ")</f>
        <v>452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45813</v>
      </c>
      <c r="B13" s="365" t="s">
        <v>326</v>
      </c>
      <c r="E13" s="367" t="s">
        <v>320</v>
      </c>
      <c r="G13" s="368" t="n">
        <v>24</v>
      </c>
      <c r="H13" s="340" t="n">
        <f aca="false">IF((G13&lt;&gt;0),IF((D13&gt;0)," ",G13)," ")</f>
        <v>24</v>
      </c>
      <c r="I13" s="369" t="n">
        <f aca="false">IF((G13&lt;&gt;0),IF((D13&gt;0)," ",(I$1-A13))," ")</f>
        <v>450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45813</v>
      </c>
      <c r="B14" s="365" t="s">
        <v>327</v>
      </c>
      <c r="E14" s="367" t="s">
        <v>298</v>
      </c>
      <c r="G14" s="368" t="n">
        <v>180</v>
      </c>
      <c r="H14" s="340" t="n">
        <f aca="false">IF((G14&lt;&gt;0),IF((D14&gt;0)," ",G14)," ")</f>
        <v>180</v>
      </c>
      <c r="I14" s="369" t="n">
        <f aca="false">IF((G14&lt;&gt;0),IF((D14&gt;0)," ",(I$1-A14))," ")</f>
        <v>450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45813</v>
      </c>
      <c r="B15" s="365" t="s">
        <v>328</v>
      </c>
      <c r="E15" s="367" t="s">
        <v>320</v>
      </c>
      <c r="G15" s="368" t="n">
        <v>36</v>
      </c>
      <c r="H15" s="340" t="n">
        <f aca="false">IF((G15&lt;&gt;0),IF((D15&gt;0)," ",G15)," ")</f>
        <v>36</v>
      </c>
      <c r="I15" s="369" t="n">
        <f aca="false">IF((G15&lt;&gt;0),IF((D15&gt;0)," ",(I$1-A15))," ")</f>
        <v>450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45816</v>
      </c>
      <c r="B16" s="365" t="s">
        <v>329</v>
      </c>
      <c r="E16" s="367" t="s">
        <v>330</v>
      </c>
      <c r="G16" s="368" t="n">
        <v>48</v>
      </c>
      <c r="H16" s="340" t="n">
        <f aca="false">IF((G16&lt;&gt;0),IF((D16&gt;0)," ",G16)," ")</f>
        <v>48</v>
      </c>
      <c r="I16" s="369" t="n">
        <f aca="false">IF((G16&lt;&gt;0),IF((D16&gt;0)," ",(I$1-A16))," ")</f>
        <v>447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45818</v>
      </c>
      <c r="B17" s="365" t="s">
        <v>331</v>
      </c>
      <c r="E17" s="367" t="s">
        <v>320</v>
      </c>
      <c r="G17" s="368" t="n">
        <v>36</v>
      </c>
      <c r="H17" s="340" t="n">
        <f aca="false">IF((G17&lt;&gt;0),IF((D17&gt;0)," ",G17)," ")</f>
        <v>36</v>
      </c>
      <c r="I17" s="369" t="n">
        <f aca="false">IF((G17&lt;&gt;0),IF((D17&gt;0)," ",(I$1-A17))," ")</f>
        <v>445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45818</v>
      </c>
      <c r="B18" s="365" t="s">
        <v>367</v>
      </c>
      <c r="E18" s="367" t="s">
        <v>317</v>
      </c>
      <c r="G18" s="368" t="n">
        <v>96</v>
      </c>
      <c r="H18" s="340" t="n">
        <f aca="false">IF((G18&lt;&gt;0),IF((D18&gt;0)," ",G18)," ")</f>
        <v>96</v>
      </c>
      <c r="I18" s="369" t="n">
        <f aca="false">IF((G18&lt;&gt;0),IF((D18&gt;0)," ",(I$1-A18))," ")</f>
        <v>445</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45820</v>
      </c>
      <c r="B19" s="365" t="s">
        <v>335</v>
      </c>
      <c r="E19" s="367" t="s">
        <v>298</v>
      </c>
      <c r="G19" s="368" t="n">
        <v>18</v>
      </c>
      <c r="H19" s="340" t="n">
        <f aca="false">IF((G19&lt;&gt;0),IF((D19&gt;0)," ",G19)," ")</f>
        <v>18</v>
      </c>
      <c r="I19" s="369" t="n">
        <f aca="false">IF((G19&lt;&gt;0),IF((D19&gt;0)," ",(I$1-A19))," ")</f>
        <v>443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45822</v>
      </c>
      <c r="B20" s="365" t="s">
        <v>336</v>
      </c>
      <c r="E20" s="367" t="s">
        <v>320</v>
      </c>
      <c r="G20" s="368" t="n">
        <v>30</v>
      </c>
      <c r="H20" s="340" t="n">
        <f aca="false">IF((G20&lt;&gt;0),IF((D20&gt;0)," ",G20)," ")</f>
        <v>30</v>
      </c>
      <c r="I20" s="369" t="n">
        <f aca="false">IF((G20&lt;&gt;0),IF((D20&gt;0)," ",(I$1-A20))," ")</f>
        <v>441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row>
    <row r="21" customFormat="false" ht="12.75" hidden="false" customHeight="false" outlineLevel="0" collapsed="false">
      <c r="A21" s="357" t="n">
        <v>45822</v>
      </c>
      <c r="B21" s="365" t="s">
        <v>337</v>
      </c>
      <c r="D21" s="365"/>
      <c r="E21" s="367" t="s">
        <v>330</v>
      </c>
      <c r="G21" s="368" t="n">
        <v>24</v>
      </c>
      <c r="H21" s="340" t="n">
        <f aca="false">IF((G21&lt;&gt;0),IF((D21&gt;0)," ",G21)," ")</f>
        <v>24</v>
      </c>
      <c r="I21" s="369" t="n">
        <f aca="false">IF((G21&lt;&gt;0),IF((D21&gt;0)," ",(I$1-A21))," ")</f>
        <v>441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45822</v>
      </c>
      <c r="B22" s="365" t="s">
        <v>338</v>
      </c>
      <c r="D22" s="395"/>
      <c r="E22" s="367" t="s">
        <v>330</v>
      </c>
      <c r="G22" s="368" t="n">
        <v>12</v>
      </c>
      <c r="H22" s="340" t="n">
        <f aca="false">IF((G22&lt;&gt;0),IF((D22&gt;0)," ",G22)," ")</f>
        <v>12</v>
      </c>
      <c r="I22" s="369" t="n">
        <f aca="false">IF((G22&lt;&gt;0),IF((D22&gt;0)," ",(I$1-A22))," ")</f>
        <v>441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45823</v>
      </c>
      <c r="B23" s="365" t="s">
        <v>250</v>
      </c>
      <c r="E23" s="367" t="s">
        <v>298</v>
      </c>
      <c r="G23" s="368" t="n">
        <v>150</v>
      </c>
      <c r="H23" s="340" t="n">
        <f aca="false">IF((G23&lt;&gt;0),IF((D23&gt;0)," ",G23)," ")</f>
        <v>150</v>
      </c>
      <c r="I23" s="369" t="n">
        <f aca="false">IF((G23&lt;&gt;0),IF((D23&gt;0)," ",(I$1-A23))," ")</f>
        <v>440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45823</v>
      </c>
      <c r="B24" s="365" t="s">
        <v>339</v>
      </c>
      <c r="E24" s="367" t="s">
        <v>317</v>
      </c>
      <c r="G24" s="368" t="n">
        <v>12</v>
      </c>
      <c r="H24" s="340" t="n">
        <f aca="false">IF((G24&lt;&gt;0),IF((D24&gt;0)," ",G24)," ")</f>
        <v>12</v>
      </c>
      <c r="I24" s="369" t="n">
        <f aca="false">IF((G24&lt;&gt;0),IF((D24&gt;0)," ",(I$1-A24))," ")</f>
        <v>440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45823</v>
      </c>
      <c r="B25" s="365" t="s">
        <v>368</v>
      </c>
      <c r="E25" s="367" t="s">
        <v>369</v>
      </c>
      <c r="G25" s="368" t="n">
        <v>5000</v>
      </c>
      <c r="H25" s="340" t="n">
        <f aca="false">IF((G25&lt;&gt;0),IF((D25&gt;0)," ",G25)," ")</f>
        <v>5000</v>
      </c>
      <c r="I25" s="369" t="n">
        <f aca="false">IF((G25&lt;&gt;0),IF((D25&gt;0)," ",(I$1-A25))," ")</f>
        <v>440</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45826</v>
      </c>
      <c r="B26" s="365" t="s">
        <v>370</v>
      </c>
      <c r="E26" s="367" t="s">
        <v>330</v>
      </c>
      <c r="G26" s="368" t="n">
        <v>180</v>
      </c>
      <c r="H26" s="340" t="n">
        <f aca="false">IF((G26&lt;&gt;0),IF((D26&gt;0)," ",G26)," ")</f>
        <v>180</v>
      </c>
      <c r="I26" s="369" t="n">
        <f aca="false">IF((G26&lt;&gt;0),IF((D26&gt;0)," ",(I$1-A26))," ")</f>
        <v>437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45826</v>
      </c>
      <c r="B27" s="365" t="s">
        <v>371</v>
      </c>
      <c r="E27" s="367" t="s">
        <v>334</v>
      </c>
      <c r="G27" s="368" t="n">
        <v>360</v>
      </c>
      <c r="H27" s="340" t="n">
        <f aca="false">IF((G27&lt;&gt;0),IF((D27&gt;0)," ",G27)," ")</f>
        <v>360</v>
      </c>
      <c r="I27" s="369" t="n">
        <f aca="false">IF((G27&lt;&gt;0),IF((D27&gt;0)," ",(I$1-A27))," ")</f>
        <v>437</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45826</v>
      </c>
      <c r="B28" s="365" t="s">
        <v>340</v>
      </c>
      <c r="E28" s="367" t="s">
        <v>298</v>
      </c>
      <c r="G28" s="368" t="n">
        <v>96</v>
      </c>
      <c r="H28" s="340" t="n">
        <f aca="false">IF((G28&lt;&gt;0),IF((D28&gt;0)," ",G28)," ")</f>
        <v>96</v>
      </c>
      <c r="I28" s="369" t="n">
        <f aca="false">IF((G28&lt;&gt;0),IF((D28&gt;0)," ",(I$1-A28))," ")</f>
        <v>437</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45828</v>
      </c>
      <c r="B29" s="365" t="s">
        <v>249</v>
      </c>
      <c r="E29" s="367" t="s">
        <v>317</v>
      </c>
      <c r="G29" s="368" t="n">
        <v>60</v>
      </c>
      <c r="H29" s="340" t="n">
        <f aca="false">IF((G29&lt;&gt;0),IF((D29&gt;0)," ",G29)," ")</f>
        <v>60</v>
      </c>
      <c r="I29" s="369" t="n">
        <f aca="false">IF((G29&lt;&gt;0),IF((D29&gt;0)," ",(I$1-A29))," ")</f>
        <v>435</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45829</v>
      </c>
      <c r="B30" s="365" t="s">
        <v>343</v>
      </c>
      <c r="E30" s="367" t="s">
        <v>330</v>
      </c>
      <c r="G30" s="368" t="n">
        <v>8</v>
      </c>
      <c r="H30" s="340" t="n">
        <f aca="false">IF((G30&lt;&gt;0),IF((D30&gt;0)," ",G30)," ")</f>
        <v>8</v>
      </c>
      <c r="I30" s="369" t="n">
        <f aca="false">IF((G30&lt;&gt;0),IF((D30&gt;0)," ",(I$1-A30))," ")</f>
        <v>434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45830</v>
      </c>
      <c r="B31" s="365" t="s">
        <v>344</v>
      </c>
      <c r="E31" s="367" t="s">
        <v>320</v>
      </c>
      <c r="G31" s="368" t="n">
        <v>18</v>
      </c>
      <c r="H31" s="340" t="n">
        <f aca="false">IF((G31&lt;&gt;0),IF((D31&gt;0)," ",G31)," ")</f>
        <v>18</v>
      </c>
      <c r="I31" s="369" t="n">
        <f aca="false">IF((G31&lt;&gt;0),IF((D31&gt;0)," ",(I$1-A31))," ")</f>
        <v>433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45833</v>
      </c>
      <c r="B32" s="365" t="s">
        <v>372</v>
      </c>
      <c r="E32" s="367" t="s">
        <v>315</v>
      </c>
      <c r="G32" s="368" t="n">
        <v>360</v>
      </c>
      <c r="H32" s="340" t="n">
        <f aca="false">IF((G32&lt;&gt;0),IF((D32&gt;0)," ",G32)," ")</f>
        <v>360</v>
      </c>
      <c r="I32" s="369" t="n">
        <f aca="false">IF((G32&lt;&gt;0),IF((D32&gt;0)," ",(I$1-A32))," ")</f>
        <v>430</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45833</v>
      </c>
      <c r="B33" s="365" t="s">
        <v>345</v>
      </c>
      <c r="E33" s="367" t="s">
        <v>320</v>
      </c>
      <c r="G33" s="368" t="n">
        <v>15</v>
      </c>
      <c r="H33" s="340" t="n">
        <f aca="false">IF((G33&lt;&gt;0),IF((D33&gt;0)," ",G33)," ")</f>
        <v>15</v>
      </c>
      <c r="I33" s="369" t="n">
        <f aca="false">IF((G33&lt;&gt;0),IF((D33&gt;0)," ",(I$1-A33))," ")</f>
        <v>430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45833</v>
      </c>
      <c r="B34" s="365" t="s">
        <v>346</v>
      </c>
      <c r="E34" s="367" t="s">
        <v>298</v>
      </c>
      <c r="G34" s="368" t="n">
        <v>90</v>
      </c>
      <c r="H34" s="340" t="n">
        <f aca="false">IF((G34&lt;&gt;0),IF((D34&gt;0)," ",G34)," ")</f>
        <v>90</v>
      </c>
      <c r="I34" s="369" t="n">
        <f aca="false">IF((G34&lt;&gt;0),IF((D34&gt;0)," ",(I$1-A34))," ")</f>
        <v>430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90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45836</v>
      </c>
      <c r="B35" s="365" t="s">
        <v>250</v>
      </c>
      <c r="E35" s="367" t="s">
        <v>298</v>
      </c>
      <c r="G35" s="368" t="n">
        <v>120</v>
      </c>
      <c r="H35" s="340" t="n">
        <f aca="false">IF((G35&lt;&gt;0),IF((D35&gt;0)," ",G35)," ")</f>
        <v>120</v>
      </c>
      <c r="I35" s="369" t="n">
        <f aca="false">IF((G35&lt;&gt;0),IF((D35&gt;0)," ",(I$1-A35))," ")</f>
        <v>427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45838</v>
      </c>
      <c r="B36" s="365" t="s">
        <v>247</v>
      </c>
      <c r="E36" s="367" t="s">
        <v>347</v>
      </c>
      <c r="G36" s="368" t="n">
        <v>300</v>
      </c>
      <c r="H36" s="340" t="n">
        <f aca="false">IF((G36&lt;&gt;0),IF((D36&gt;0)," ",G36)," ")</f>
        <v>300</v>
      </c>
      <c r="I36" s="369" t="n">
        <f aca="false">IF((G36&lt;&gt;0),IF((D36&gt;0)," ",(I$1-A36))," ")</f>
        <v>425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45838</v>
      </c>
      <c r="B37" s="365" t="s">
        <v>373</v>
      </c>
      <c r="E37" s="367" t="s">
        <v>374</v>
      </c>
      <c r="G37" s="368" t="n">
        <v>250</v>
      </c>
      <c r="H37" s="340" t="n">
        <f aca="false">IF((G37&lt;&gt;0),IF((D37&gt;0)," ",G37)," ")</f>
        <v>250</v>
      </c>
      <c r="I37" s="369" t="n">
        <f aca="false">IF((G37&lt;&gt;0),IF((D37&gt;0)," ",(I$1-A37))," ")</f>
        <v>425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row>
    <row r="38" customFormat="false" ht="12.75" hidden="false" customHeight="false" outlineLevel="0" collapsed="false">
      <c r="A38" s="357" t="n">
        <v>45838</v>
      </c>
      <c r="B38" s="365" t="s">
        <v>348</v>
      </c>
      <c r="E38" s="367" t="s">
        <v>349</v>
      </c>
      <c r="G38" s="368" t="n">
        <v>3500</v>
      </c>
      <c r="H38" s="340" t="n">
        <f aca="false">IF((G38&lt;&gt;0),IF((D38&gt;0)," ",G38)," ")</f>
        <v>3500</v>
      </c>
      <c r="I38" s="369" t="n">
        <f aca="false">IF((G38&lt;&gt;0),IF((D38&gt;0)," ",(I$1-A38))," ")</f>
        <v>425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45838</v>
      </c>
      <c r="B39" s="365" t="s">
        <v>350</v>
      </c>
      <c r="E39" s="367" t="s">
        <v>349</v>
      </c>
      <c r="G39" s="368" t="n">
        <v>2200</v>
      </c>
      <c r="H39" s="340" t="n">
        <f aca="false">IF((G39&lt;&gt;0),IF((D39&gt;0)," ",G39)," ")</f>
        <v>2200</v>
      </c>
      <c r="I39" s="369" t="n">
        <f aca="false">IF((G39&lt;&gt;0),IF((D39&gt;0)," ",(I$1-A39))," ")</f>
        <v>425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33760</v>
      </c>
      <c r="G1" s="345" t="n">
        <f aca="false">SUM(G4:G300)</f>
        <v>0</v>
      </c>
      <c r="H1" s="347" t="n">
        <f aca="false">SUM(H4:H300)</f>
        <v>33760</v>
      </c>
      <c r="I1" s="348" t="n">
        <f aca="true">TODAY()</f>
        <v>46263</v>
      </c>
      <c r="J1" s="345" t="n">
        <f aca="false">SUM(J4:J300)</f>
        <v>0</v>
      </c>
      <c r="K1" s="349" t="n">
        <f aca="false">J1+SalesJun!K1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45839</v>
      </c>
      <c r="B4" s="336" t="s">
        <v>243</v>
      </c>
      <c r="F4" s="336" t="n">
        <v>1200</v>
      </c>
      <c r="H4" s="340" t="n">
        <f aca="false">IF((F4&lt;&gt;0),IF((D4&gt;0)," ",F4)," ")</f>
        <v>1200</v>
      </c>
      <c r="I4" s="341" t="n">
        <f aca="false">IF((F4&lt;&gt;0),IF((D4&gt;0)," ",(I$1-A4))," ")</f>
        <v>424</v>
      </c>
    </row>
    <row r="5" customFormat="false" ht="12.75" hidden="false" customHeight="false" outlineLevel="0" collapsed="false">
      <c r="A5" s="357" t="n">
        <v>45841</v>
      </c>
      <c r="B5" s="336" t="s">
        <v>266</v>
      </c>
      <c r="F5" s="336" t="n">
        <v>360</v>
      </c>
      <c r="H5" s="340" t="n">
        <f aca="false">IF((F5&lt;&gt;0),IF((D5&gt;0)," ",F5)," ")</f>
        <v>360</v>
      </c>
      <c r="I5" s="341" t="n">
        <f aca="false">IF((F5&lt;&gt;0),IF((D5&gt;0)," ",(I$1-A5))," ")</f>
        <v>422</v>
      </c>
    </row>
    <row r="6" customFormat="false" ht="12.75" hidden="false" customHeight="false" outlineLevel="0" collapsed="false">
      <c r="A6" s="357" t="n">
        <v>45843</v>
      </c>
      <c r="B6" s="336" t="s">
        <v>267</v>
      </c>
      <c r="F6" s="336" t="n">
        <v>600</v>
      </c>
      <c r="H6" s="340" t="n">
        <f aca="false">IF((F6&lt;&gt;0),IF((D6&gt;0)," ",F6)," ")</f>
        <v>600</v>
      </c>
      <c r="I6" s="341" t="n">
        <f aca="false">IF((F6&lt;&gt;0),IF((D6&gt;0)," ",(I$1-A6))," ")</f>
        <v>420</v>
      </c>
    </row>
    <row r="7" customFormat="false" ht="12.75" hidden="false" customHeight="false" outlineLevel="0" collapsed="false">
      <c r="A7" s="357" t="n">
        <v>45846</v>
      </c>
      <c r="B7" s="336" t="s">
        <v>268</v>
      </c>
      <c r="F7" s="336" t="n">
        <v>480</v>
      </c>
      <c r="H7" s="340" t="n">
        <f aca="false">IF((F7&lt;&gt;0),IF((D7&gt;0)," ",F7)," ")</f>
        <v>480</v>
      </c>
      <c r="I7" s="341" t="n">
        <f aca="false">IF((F7&lt;&gt;0),IF((D7&gt;0)," ",(I$1-A7))," ")</f>
        <v>417</v>
      </c>
    </row>
    <row r="8" customFormat="false" ht="12.75" hidden="false" customHeight="false" outlineLevel="0" collapsed="false">
      <c r="A8" s="357" t="n">
        <v>45848</v>
      </c>
      <c r="B8" s="336" t="s">
        <v>269</v>
      </c>
      <c r="F8" s="336" t="n">
        <v>720</v>
      </c>
      <c r="H8" s="340" t="n">
        <f aca="false">IF((F8&lt;&gt;0),IF((D8&gt;0)," ",F8)," ")</f>
        <v>720</v>
      </c>
      <c r="I8" s="341" t="n">
        <f aca="false">IF((F8&lt;&gt;0),IF((D8&gt;0)," ",(I$1-A8))," ")</f>
        <v>415</v>
      </c>
    </row>
    <row r="9" customFormat="false" ht="12.75" hidden="false" customHeight="false" outlineLevel="0" collapsed="false">
      <c r="A9" s="357" t="n">
        <v>45852</v>
      </c>
      <c r="B9" s="336" t="s">
        <v>375</v>
      </c>
      <c r="F9" s="336" t="n">
        <v>2160</v>
      </c>
      <c r="H9" s="340" t="n">
        <f aca="false">IF((F9&lt;&gt;0),IF((D9&gt;0)," ",F9)," ")</f>
        <v>2160</v>
      </c>
      <c r="I9" s="341" t="n">
        <f aca="false">IF((F9&lt;&gt;0),IF((D9&gt;0)," ",(I$1-A9))," ")</f>
        <v>411</v>
      </c>
    </row>
    <row r="10" customFormat="false" ht="12.75" hidden="false" customHeight="false" outlineLevel="0" collapsed="false">
      <c r="A10" s="357" t="n">
        <v>45853</v>
      </c>
      <c r="B10" s="336" t="s">
        <v>242</v>
      </c>
      <c r="F10" s="336" t="n">
        <v>25000</v>
      </c>
      <c r="H10" s="340" t="n">
        <f aca="false">IF((F10&lt;&gt;0),IF((D10&gt;0)," ",F10)," ")</f>
        <v>25000</v>
      </c>
      <c r="I10" s="341" t="n">
        <f aca="false">IF((F10&lt;&gt;0),IF((D10&gt;0)," ",(I$1-A10))," ")</f>
        <v>410</v>
      </c>
    </row>
    <row r="11" customFormat="false" ht="12.75" hidden="false" customHeight="false" outlineLevel="0" collapsed="false">
      <c r="A11" s="357" t="n">
        <v>45856</v>
      </c>
      <c r="B11" s="336" t="s">
        <v>244</v>
      </c>
      <c r="F11" s="336" t="n">
        <v>2400</v>
      </c>
      <c r="H11" s="340" t="n">
        <f aca="false">IF((F11&lt;&gt;0),IF((D11&gt;0)," ",F11)," ")</f>
        <v>2400</v>
      </c>
      <c r="I11" s="341" t="n">
        <f aca="false">IF((F11&lt;&gt;0),IF((D11&gt;0)," ",(I$1-A11))," ")</f>
        <v>407</v>
      </c>
    </row>
    <row r="12" customFormat="false" ht="12.75" hidden="false" customHeight="false" outlineLevel="0" collapsed="false">
      <c r="A12" s="357" t="n">
        <v>45866</v>
      </c>
      <c r="B12" s="336" t="s">
        <v>271</v>
      </c>
      <c r="F12" s="336" t="n">
        <v>840</v>
      </c>
      <c r="H12" s="340" t="n">
        <f aca="false">IF((F12&lt;&gt;0),IF((D12&gt;0)," ",F12)," ")</f>
        <v>840</v>
      </c>
      <c r="I12" s="341" t="n">
        <f aca="false">IF((F12&lt;&gt;0),IF((D12&gt;0)," ",(I$1-A12))," ")</f>
        <v>397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273</v>
      </c>
      <c r="C1" s="346" t="n">
        <f aca="false">PurchasesJun!C1+PurchasesJul!F1+SalesJul!$E$1</f>
        <v>0</v>
      </c>
      <c r="D1" s="371" t="s">
        <v>255</v>
      </c>
      <c r="E1" s="373" t="str">
        <f aca="false">IF((G1-SUM(J1:W1)&lt;&gt;0),(G1-SUM(J1:W1))," ")</f>
        <v> </v>
      </c>
      <c r="F1" s="346" t="n">
        <f aca="false">SUM(F5:F300)</f>
        <v>0</v>
      </c>
      <c r="G1" s="345" t="n">
        <f aca="false">SUM(G4:G300)</f>
        <v>14759.25</v>
      </c>
      <c r="H1" s="374" t="n">
        <f aca="false">SUM(H5:H300)</f>
        <v>14759.25</v>
      </c>
      <c r="I1" s="375" t="n">
        <f aca="true">TODAY()</f>
        <v>46263</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IF((C1&lt;Admin!$F$22),((C1-PurchasesJun!C1)*Admin!$G$21),(C1*Admin!$G$21-(C1-Admin!$F$21)*(Admin!$G$21-Admin!$G$22)-PurchasesJun!A1))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true" outlineLevel="0" collapsed="false">
      <c r="A5" s="357" t="n">
        <v>45839</v>
      </c>
      <c r="B5" s="365" t="s">
        <v>246</v>
      </c>
      <c r="E5" s="367" t="s">
        <v>315</v>
      </c>
      <c r="G5" s="368" t="n">
        <v>1200</v>
      </c>
      <c r="H5" s="340" t="n">
        <f aca="false">IF((G5&lt;&gt;0),IF((D5&gt;0)," ",G5)," ")</f>
        <v>1200</v>
      </c>
      <c r="I5" s="369" t="n">
        <f aca="false">IF((G5&lt;&gt;0),IF((D5&gt;0)," ",(I$1-A5))," ")</f>
        <v>424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45839</v>
      </c>
      <c r="B6" s="365" t="s">
        <v>316</v>
      </c>
      <c r="E6" s="367" t="s">
        <v>317</v>
      </c>
      <c r="G6" s="368" t="n">
        <v>30</v>
      </c>
      <c r="H6" s="340" t="n">
        <f aca="false">IF((G6&lt;&gt;0),IF((D6&gt;0)," ",G6)," ")</f>
        <v>30</v>
      </c>
      <c r="I6" s="369" t="n">
        <f aca="false">IF((G6&lt;&gt;0),IF((D6&gt;0)," ",(I$1-A6))," ")</f>
        <v>424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318</v>
      </c>
      <c r="E7" s="367" t="s">
        <v>317</v>
      </c>
      <c r="G7" s="368" t="n">
        <v>15</v>
      </c>
      <c r="H7" s="340" t="n">
        <f aca="false">IF((G7&lt;&gt;0),IF((D7&gt;0)," ",G7)," ")</f>
        <v>15</v>
      </c>
      <c r="I7" s="369" t="n">
        <f aca="false">IF((G7&lt;&gt;0),IF((D7&gt;0)," ",(I$1-A7))," ")</f>
        <v>424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45839</v>
      </c>
      <c r="B8" s="365" t="s">
        <v>319</v>
      </c>
      <c r="E8" s="367" t="s">
        <v>320</v>
      </c>
      <c r="G8" s="368" t="n">
        <v>45</v>
      </c>
      <c r="H8" s="340" t="n">
        <f aca="false">IF((G8&lt;&gt;0),IF((D8&gt;0)," ",G8)," ")</f>
        <v>45</v>
      </c>
      <c r="I8" s="369" t="n">
        <f aca="false">IF((G8&lt;&gt;0),IF((D8&gt;0)," ",(I$1-A8))," ")</f>
        <v>424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45839</v>
      </c>
      <c r="B9" s="365" t="s">
        <v>376</v>
      </c>
      <c r="E9" s="367" t="s">
        <v>320</v>
      </c>
      <c r="G9" s="368" t="n">
        <v>3000</v>
      </c>
      <c r="H9" s="340" t="n">
        <f aca="false">IF((G9&lt;&gt;0),IF((D9&gt;0)," ",G9)," ")</f>
        <v>3000</v>
      </c>
      <c r="I9" s="369" t="n">
        <f aca="false">IF((G9&lt;&gt;0),IF((D9&gt;0)," ",(I$1-A9))," ")</f>
        <v>424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row>
    <row r="10" customFormat="false" ht="12.75" hidden="false" customHeight="false" outlineLevel="0" collapsed="false">
      <c r="A10" s="357" t="n">
        <v>45839</v>
      </c>
      <c r="B10" s="365" t="s">
        <v>322</v>
      </c>
      <c r="E10" s="367" t="s">
        <v>320</v>
      </c>
      <c r="G10" s="368" t="n">
        <v>24</v>
      </c>
      <c r="H10" s="340" t="n">
        <f aca="false">IF((G10&lt;&gt;0),IF((D10&gt;0)," ",G10)," ")</f>
        <v>24</v>
      </c>
      <c r="I10" s="369" t="n">
        <f aca="false">IF((G10&lt;&gt;0),IF((D10&gt;0)," ",(I$1-A10))," ")</f>
        <v>424</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45839</v>
      </c>
      <c r="B11" s="365" t="s">
        <v>323</v>
      </c>
      <c r="E11" s="367" t="s">
        <v>317</v>
      </c>
      <c r="G11" s="368" t="n">
        <v>18</v>
      </c>
      <c r="H11" s="340" t="n">
        <f aca="false">IF((G11&lt;&gt;0),IF((D11&gt;0)," ",G11)," ")</f>
        <v>18</v>
      </c>
      <c r="I11" s="369" t="n">
        <f aca="false">IF((G11&lt;&gt;0),IF((D11&gt;0)," ",(I$1-A11))," ")</f>
        <v>424</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45841</v>
      </c>
      <c r="B12" s="365" t="s">
        <v>324</v>
      </c>
      <c r="E12" s="367" t="s">
        <v>320</v>
      </c>
      <c r="G12" s="368" t="n">
        <v>180</v>
      </c>
      <c r="H12" s="340" t="n">
        <f aca="false">IF((G12&lt;&gt;0),IF((D12&gt;0)," ",G12)," ")</f>
        <v>180</v>
      </c>
      <c r="I12" s="369" t="n">
        <f aca="false">IF((G12&lt;&gt;0),IF((D12&gt;0)," ",(I$1-A12))," ")</f>
        <v>422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45841</v>
      </c>
      <c r="B13" s="365" t="s">
        <v>325</v>
      </c>
      <c r="E13" s="367" t="s">
        <v>320</v>
      </c>
      <c r="G13" s="368" t="n">
        <v>22</v>
      </c>
      <c r="H13" s="340" t="n">
        <f aca="false">IF((G13&lt;&gt;0),IF((D13&gt;0)," ",G13)," ")</f>
        <v>22</v>
      </c>
      <c r="I13" s="369" t="n">
        <f aca="false">IF((G13&lt;&gt;0),IF((D13&gt;0)," ",(I$1-A13))," ")</f>
        <v>422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45843</v>
      </c>
      <c r="B14" s="365" t="s">
        <v>326</v>
      </c>
      <c r="E14" s="367" t="s">
        <v>320</v>
      </c>
      <c r="G14" s="368" t="n">
        <v>24</v>
      </c>
      <c r="H14" s="340" t="n">
        <f aca="false">IF((G14&lt;&gt;0),IF((D14&gt;0)," ",G14)," ")</f>
        <v>24</v>
      </c>
      <c r="I14" s="369" t="n">
        <f aca="false">IF((G14&lt;&gt;0),IF((D14&gt;0)," ",(I$1-A14))," ")</f>
        <v>420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45843</v>
      </c>
      <c r="B15" s="365" t="s">
        <v>377</v>
      </c>
      <c r="E15" s="367" t="s">
        <v>358</v>
      </c>
      <c r="G15" s="368" t="n">
        <v>480</v>
      </c>
      <c r="H15" s="340" t="n">
        <f aca="false">IF((G15&lt;&gt;0),IF((D15&gt;0)," ",G15)," ")</f>
        <v>480</v>
      </c>
      <c r="I15" s="369" t="n">
        <f aca="false">IF((G15&lt;&gt;0),IF((D15&gt;0)," ",(I$1-A15))," ")</f>
        <v>420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45843</v>
      </c>
      <c r="B16" s="365" t="s">
        <v>327</v>
      </c>
      <c r="E16" s="367" t="s">
        <v>298</v>
      </c>
      <c r="G16" s="368" t="n">
        <v>180</v>
      </c>
      <c r="H16" s="340" t="n">
        <f aca="false">IF((G16&lt;&gt;0),IF((D16&gt;0)," ",G16)," ")</f>
        <v>180</v>
      </c>
      <c r="I16" s="369" t="n">
        <f aca="false">IF((G16&lt;&gt;0),IF((D16&gt;0)," ",(I$1-A16))," ")</f>
        <v>420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45846</v>
      </c>
      <c r="B17" s="365" t="s">
        <v>329</v>
      </c>
      <c r="E17" s="367" t="s">
        <v>330</v>
      </c>
      <c r="G17" s="368" t="n">
        <v>48</v>
      </c>
      <c r="H17" s="340" t="n">
        <f aca="false">IF((G17&lt;&gt;0),IF((D17&gt;0)," ",G17)," ")</f>
        <v>48</v>
      </c>
      <c r="I17" s="369" t="n">
        <f aca="false">IF((G17&lt;&gt;0),IF((D17&gt;0)," ",(I$1-A17))," ")</f>
        <v>417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45848</v>
      </c>
      <c r="B18" s="365" t="s">
        <v>331</v>
      </c>
      <c r="E18" s="367" t="s">
        <v>320</v>
      </c>
      <c r="G18" s="368" t="n">
        <v>36</v>
      </c>
      <c r="H18" s="340" t="n">
        <f aca="false">IF((G18&lt;&gt;0),IF((D18&gt;0)," ",G18)," ")</f>
        <v>36</v>
      </c>
      <c r="I18" s="369" t="n">
        <f aca="false">IF((G18&lt;&gt;0),IF((D18&gt;0)," ",(I$1-A18))," ")</f>
        <v>415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45848</v>
      </c>
      <c r="B19" s="365" t="s">
        <v>332</v>
      </c>
      <c r="E19" s="367" t="s">
        <v>320</v>
      </c>
      <c r="G19" s="368" t="n">
        <v>180</v>
      </c>
      <c r="H19" s="340" t="n">
        <f aca="false">IF((G19&lt;&gt;0),IF((D19&gt;0)," ",G19)," ")</f>
        <v>180</v>
      </c>
      <c r="I19" s="369" t="n">
        <f aca="false">IF((G19&lt;&gt;0),IF((D19&gt;0)," ",(I$1-A19))," ")</f>
        <v>415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45848</v>
      </c>
      <c r="B20" s="365" t="s">
        <v>333</v>
      </c>
      <c r="E20" s="367" t="s">
        <v>334</v>
      </c>
      <c r="G20" s="368" t="n">
        <v>720</v>
      </c>
      <c r="H20" s="340" t="n">
        <f aca="false">IF((G20&lt;&gt;0),IF((D20&gt;0)," ",G20)," ")</f>
        <v>720</v>
      </c>
      <c r="I20" s="369" t="n">
        <f aca="false">IF((G20&lt;&gt;0),IF((D20&gt;0)," ",(I$1-A20))," ")</f>
        <v>415</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45850</v>
      </c>
      <c r="B21" s="365" t="s">
        <v>335</v>
      </c>
      <c r="D21" s="365"/>
      <c r="E21" s="367" t="s">
        <v>298</v>
      </c>
      <c r="G21" s="368" t="n">
        <v>18</v>
      </c>
      <c r="H21" s="340" t="n">
        <f aca="false">IF((G21&lt;&gt;0),IF((D21&gt;0)," ",G21)," ")</f>
        <v>18</v>
      </c>
      <c r="I21" s="369" t="n">
        <f aca="false">IF((G21&lt;&gt;0),IF((D21&gt;0)," ",(I$1-A21))," ")</f>
        <v>413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45850</v>
      </c>
      <c r="B22" s="365" t="s">
        <v>378</v>
      </c>
      <c r="D22" s="395"/>
      <c r="E22" s="367" t="s">
        <v>320</v>
      </c>
      <c r="G22" s="368" t="n">
        <v>480</v>
      </c>
      <c r="H22" s="340" t="n">
        <f aca="false">IF((G22&lt;&gt;0),IF((D22&gt;0)," ",G22)," ")</f>
        <v>480</v>
      </c>
      <c r="I22" s="369" t="n">
        <f aca="false">IF((G22&lt;&gt;0),IF((D22&gt;0)," ",(I$1-A22))," ")</f>
        <v>413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row>
    <row r="23" customFormat="false" ht="12.75" hidden="false" customHeight="false" outlineLevel="0" collapsed="false">
      <c r="A23" s="357" t="n">
        <v>45852</v>
      </c>
      <c r="B23" s="365" t="s">
        <v>337</v>
      </c>
      <c r="E23" s="367" t="s">
        <v>330</v>
      </c>
      <c r="G23" s="368" t="n">
        <v>24</v>
      </c>
      <c r="H23" s="340" t="n">
        <f aca="false">IF((G23&lt;&gt;0),IF((D23&gt;0)," ",G23)," ")</f>
        <v>24</v>
      </c>
      <c r="I23" s="369" t="n">
        <f aca="false">IF((G23&lt;&gt;0),IF((D23&gt;0)," ",(I$1-A23))," ")</f>
        <v>411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45852</v>
      </c>
      <c r="B24" s="365" t="s">
        <v>338</v>
      </c>
      <c r="E24" s="367" t="s">
        <v>330</v>
      </c>
      <c r="G24" s="368" t="n">
        <v>12</v>
      </c>
      <c r="H24" s="340" t="n">
        <f aca="false">IF((G24&lt;&gt;0),IF((D24&gt;0)," ",G24)," ")</f>
        <v>12</v>
      </c>
      <c r="I24" s="369" t="n">
        <f aca="false">IF((G24&lt;&gt;0),IF((D24&gt;0)," ",(I$1-A24))," ")</f>
        <v>411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45853</v>
      </c>
      <c r="B25" s="365" t="s">
        <v>250</v>
      </c>
      <c r="E25" s="367" t="s">
        <v>298</v>
      </c>
      <c r="G25" s="368" t="n">
        <v>150</v>
      </c>
      <c r="H25" s="340" t="n">
        <f aca="false">IF((G25&lt;&gt;0),IF((D25&gt;0)," ",G25)," ")</f>
        <v>150</v>
      </c>
      <c r="I25" s="369" t="n">
        <f aca="false">IF((G25&lt;&gt;0),IF((D25&gt;0)," ",(I$1-A25))," ")</f>
        <v>410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45853</v>
      </c>
      <c r="B26" s="365" t="s">
        <v>339</v>
      </c>
      <c r="E26" s="367" t="s">
        <v>317</v>
      </c>
      <c r="G26" s="368" t="n">
        <v>12</v>
      </c>
      <c r="H26" s="340" t="n">
        <f aca="false">IF((G26&lt;&gt;0),IF((D26&gt;0)," ",G26)," ")</f>
        <v>12</v>
      </c>
      <c r="I26" s="369" t="n">
        <f aca="false">IF((G26&lt;&gt;0),IF((D26&gt;0)," ",(I$1-A26))," ")</f>
        <v>410</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45853</v>
      </c>
      <c r="B27" s="365" t="s">
        <v>379</v>
      </c>
      <c r="E27" s="367" t="s">
        <v>361</v>
      </c>
      <c r="G27" s="368" t="n">
        <v>1200</v>
      </c>
      <c r="H27" s="340" t="n">
        <f aca="false">IF((G27&lt;&gt;0),IF((D27&gt;0)," ",G27)," ")</f>
        <v>1200</v>
      </c>
      <c r="I27" s="369" t="n">
        <f aca="false">IF((G27&lt;&gt;0),IF((D27&gt;0)," ",(I$1-A27))," ")</f>
        <v>410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row>
    <row r="28" customFormat="false" ht="12.75" hidden="false" customHeight="false" outlineLevel="0" collapsed="false">
      <c r="A28" s="357" t="n">
        <v>45854</v>
      </c>
      <c r="B28" s="365" t="s">
        <v>362</v>
      </c>
      <c r="E28" s="367" t="s">
        <v>317</v>
      </c>
      <c r="G28" s="368" t="n">
        <v>24</v>
      </c>
      <c r="H28" s="340" t="n">
        <f aca="false">IF((G28&lt;&gt;0),IF((D28&gt;0)," ",G28)," ")</f>
        <v>24</v>
      </c>
      <c r="I28" s="369" t="n">
        <f aca="false">IF((G28&lt;&gt;0),IF((D28&gt;0)," ",(I$1-A28))," ")</f>
        <v>409</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45856</v>
      </c>
      <c r="B29" s="365" t="s">
        <v>340</v>
      </c>
      <c r="E29" s="367" t="s">
        <v>298</v>
      </c>
      <c r="G29" s="368" t="n">
        <v>96</v>
      </c>
      <c r="H29" s="340" t="n">
        <f aca="false">IF((G29&lt;&gt;0),IF((D29&gt;0)," ",G29)," ")</f>
        <v>96</v>
      </c>
      <c r="I29" s="369" t="n">
        <f aca="false">IF((G29&lt;&gt;0),IF((D29&gt;0)," ",(I$1-A29))," ")</f>
        <v>407</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45858</v>
      </c>
      <c r="B30" s="365" t="s">
        <v>249</v>
      </c>
      <c r="E30" s="367" t="s">
        <v>317</v>
      </c>
      <c r="G30" s="368" t="n">
        <v>60</v>
      </c>
      <c r="H30" s="340" t="n">
        <f aca="false">IF((G30&lt;&gt;0),IF((D30&gt;0)," ",G30)," ")</f>
        <v>60</v>
      </c>
      <c r="I30" s="369" t="n">
        <f aca="false">IF((G30&lt;&gt;0),IF((D30&gt;0)," ",(I$1-A30))," ")</f>
        <v>405</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45858</v>
      </c>
      <c r="B31" s="365" t="s">
        <v>380</v>
      </c>
      <c r="E31" s="367" t="s">
        <v>320</v>
      </c>
      <c r="G31" s="368" t="n">
        <v>120</v>
      </c>
      <c r="H31" s="340" t="n">
        <f aca="false">IF((G31&lt;&gt;0),IF((D31&gt;0)," ",G31)," ")</f>
        <v>120</v>
      </c>
      <c r="I31" s="369" t="n">
        <f aca="false">IF((G31&lt;&gt;0),IF((D31&gt;0)," ",(I$1-A31))," ")</f>
        <v>405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row>
    <row r="32" customFormat="false" ht="12.75" hidden="false" customHeight="false" outlineLevel="0" collapsed="false">
      <c r="A32" s="357" t="n">
        <v>45858</v>
      </c>
      <c r="B32" s="365" t="s">
        <v>341</v>
      </c>
      <c r="E32" s="367" t="s">
        <v>342</v>
      </c>
      <c r="G32" s="368" t="n">
        <v>180</v>
      </c>
      <c r="H32" s="340" t="n">
        <f aca="false">IF((G32&lt;&gt;0),IF((D32&gt;0)," ",G32)," ")</f>
        <v>180</v>
      </c>
      <c r="I32" s="369" t="n">
        <f aca="false">IF((G32&lt;&gt;0),IF((D32&gt;0)," ",(I$1-A32))," ")</f>
        <v>405</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45859</v>
      </c>
      <c r="B33" s="365" t="s">
        <v>343</v>
      </c>
      <c r="E33" s="367" t="s">
        <v>330</v>
      </c>
      <c r="G33" s="368" t="n">
        <v>8</v>
      </c>
      <c r="H33" s="340" t="n">
        <f aca="false">IF((G33&lt;&gt;0),IF((D33&gt;0)," ",G33)," ")</f>
        <v>8</v>
      </c>
      <c r="I33" s="369" t="n">
        <f aca="false">IF((G33&lt;&gt;0),IF((D33&gt;0)," ",(I$1-A33))," ")</f>
        <v>404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45860</v>
      </c>
      <c r="B34" s="365" t="s">
        <v>344</v>
      </c>
      <c r="E34" s="367" t="s">
        <v>320</v>
      </c>
      <c r="G34" s="368" t="n">
        <v>18</v>
      </c>
      <c r="H34" s="340" t="n">
        <f aca="false">IF((G34&lt;&gt;0),IF((D34&gt;0)," ",G34)," ")</f>
        <v>18</v>
      </c>
      <c r="I34" s="369" t="n">
        <f aca="false">IF((G34&lt;&gt;0),IF((D34&gt;0)," ",(I$1-A34))," ")</f>
        <v>403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45863</v>
      </c>
      <c r="B35" s="365" t="s">
        <v>345</v>
      </c>
      <c r="E35" s="367" t="s">
        <v>320</v>
      </c>
      <c r="G35" s="368" t="n">
        <v>15</v>
      </c>
      <c r="H35" s="340" t="n">
        <f aca="false">IF((G35&lt;&gt;0),IF((D35&gt;0)," ",G35)," ")</f>
        <v>15</v>
      </c>
      <c r="I35" s="369" t="n">
        <f aca="false">IF((G35&lt;&gt;0),IF((D35&gt;0)," ",(I$1-A35))," ")</f>
        <v>400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45863</v>
      </c>
      <c r="B36" s="365" t="s">
        <v>346</v>
      </c>
      <c r="E36" s="367" t="s">
        <v>298</v>
      </c>
      <c r="G36" s="368" t="n">
        <v>20.25</v>
      </c>
      <c r="H36" s="340" t="n">
        <f aca="false">IF((G36&lt;&gt;0),IF((D36&gt;0)," ",G36)," ")</f>
        <v>20.25</v>
      </c>
      <c r="I36" s="369" t="n">
        <f aca="false">IF((G36&lt;&gt;0),IF((D36&gt;0)," ",(I$1-A36))," ")</f>
        <v>400</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20.25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45866</v>
      </c>
      <c r="B37" s="365" t="s">
        <v>250</v>
      </c>
      <c r="E37" s="367" t="s">
        <v>298</v>
      </c>
      <c r="G37" s="368" t="n">
        <v>120</v>
      </c>
      <c r="H37" s="340" t="n">
        <f aca="false">IF((G37&lt;&gt;0),IF((D37&gt;0)," ",G37)," ")</f>
        <v>120</v>
      </c>
      <c r="I37" s="369" t="n">
        <f aca="false">IF((G37&lt;&gt;0),IF((D37&gt;0)," ",(I$1-A37))," ")</f>
        <v>397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45869</v>
      </c>
      <c r="B38" s="365" t="s">
        <v>247</v>
      </c>
      <c r="E38" s="367" t="s">
        <v>347</v>
      </c>
      <c r="G38" s="368" t="n">
        <v>300</v>
      </c>
      <c r="H38" s="340" t="n">
        <f aca="false">IF((G38&lt;&gt;0),IF((D38&gt;0)," ",G38)," ")</f>
        <v>300</v>
      </c>
      <c r="I38" s="369" t="n">
        <f aca="false">IF((G38&lt;&gt;0),IF((D38&gt;0)," ",(I$1-A38))," ")</f>
        <v>394</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45869</v>
      </c>
      <c r="B39" s="365" t="s">
        <v>348</v>
      </c>
      <c r="E39" s="367" t="s">
        <v>349</v>
      </c>
      <c r="G39" s="368" t="n">
        <v>3500</v>
      </c>
      <c r="H39" s="340" t="n">
        <f aca="false">IF((G39&lt;&gt;0),IF((D39&gt;0)," ",G39)," ")</f>
        <v>3500</v>
      </c>
      <c r="I39" s="369" t="n">
        <f aca="false">IF((G39&lt;&gt;0),IF((D39&gt;0)," ",(I$1-A39))," ")</f>
        <v>394</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45869</v>
      </c>
      <c r="B40" s="365" t="s">
        <v>350</v>
      </c>
      <c r="E40" s="367" t="s">
        <v>349</v>
      </c>
      <c r="G40" s="368" t="n">
        <v>2200</v>
      </c>
      <c r="H40" s="340" t="n">
        <f aca="false">IF((G40&lt;&gt;0),IF((D40&gt;0)," ",G40)," ")</f>
        <v>2200</v>
      </c>
      <c r="I40" s="369" t="n">
        <f aca="false">IF((G40&lt;&gt;0),IF((D40&gt;0)," ",(I$1-A40))," ")</f>
        <v>394</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36020</v>
      </c>
      <c r="G1" s="345" t="n">
        <f aca="false">SUM(G4:G300)</f>
        <v>0</v>
      </c>
      <c r="H1" s="347" t="n">
        <f aca="false">SUM(H4:H300)</f>
        <v>36020</v>
      </c>
      <c r="I1" s="348" t="n">
        <f aca="true">TODAY()</f>
        <v>46263</v>
      </c>
      <c r="J1" s="345" t="n">
        <f aca="false">SUM(J4:J300)</f>
        <v>0</v>
      </c>
      <c r="K1" s="349" t="n">
        <f aca="false">J1+SalesJul!K1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45870</v>
      </c>
      <c r="B4" s="336" t="s">
        <v>381</v>
      </c>
      <c r="F4" s="336" t="n">
        <v>2500</v>
      </c>
      <c r="H4" s="340" t="n">
        <f aca="false">IF((F4&lt;&gt;0),IF((D4&gt;0)," ",F4)," ")</f>
        <v>2500</v>
      </c>
      <c r="I4" s="341" t="n">
        <f aca="false">IF((F4&lt;&gt;0),IF((D4&gt;0)," ",(I$1-A4))," ")</f>
        <v>393</v>
      </c>
    </row>
    <row r="5" customFormat="false" ht="12.75" hidden="false" customHeight="false" outlineLevel="0" collapsed="false">
      <c r="A5" s="357" t="n">
        <v>45872</v>
      </c>
      <c r="B5" s="336" t="s">
        <v>266</v>
      </c>
      <c r="F5" s="336" t="n">
        <v>360</v>
      </c>
      <c r="H5" s="340" t="n">
        <f aca="false">IF((F5&lt;&gt;0),IF((D5&gt;0)," ",F5)," ")</f>
        <v>360</v>
      </c>
      <c r="I5" s="341" t="n">
        <f aca="false">IF((F5&lt;&gt;0),IF((D5&gt;0)," ",(I$1-A5))," ")</f>
        <v>391</v>
      </c>
    </row>
    <row r="6" customFormat="false" ht="12.75" hidden="false" customHeight="false" outlineLevel="0" collapsed="false">
      <c r="A6" s="357" t="n">
        <v>45874</v>
      </c>
      <c r="B6" s="336" t="s">
        <v>267</v>
      </c>
      <c r="F6" s="336" t="n">
        <v>600</v>
      </c>
      <c r="H6" s="340" t="n">
        <f aca="false">IF((F6&lt;&gt;0),IF((D6&gt;0)," ",F6)," ")</f>
        <v>600</v>
      </c>
      <c r="I6" s="341" t="n">
        <f aca="false">IF((F6&lt;&gt;0),IF((D6&gt;0)," ",(I$1-A6))," ")</f>
        <v>389</v>
      </c>
    </row>
    <row r="7" customFormat="false" ht="12.75" hidden="false" customHeight="false" outlineLevel="0" collapsed="false">
      <c r="A7" s="357" t="n">
        <v>45877</v>
      </c>
      <c r="B7" s="336" t="s">
        <v>268</v>
      </c>
      <c r="F7" s="336" t="n">
        <v>480</v>
      </c>
      <c r="H7" s="340" t="n">
        <f aca="false">IF((F7&lt;&gt;0),IF((D7&gt;0)," ",F7)," ")</f>
        <v>480</v>
      </c>
      <c r="I7" s="341" t="n">
        <f aca="false">IF((F7&lt;&gt;0),IF((D7&gt;0)," ",(I$1-A7))," ")</f>
        <v>386</v>
      </c>
    </row>
    <row r="8" customFormat="false" ht="12.75" hidden="false" customHeight="false" outlineLevel="0" collapsed="false">
      <c r="A8" s="357" t="n">
        <v>45879</v>
      </c>
      <c r="B8" s="336" t="s">
        <v>269</v>
      </c>
      <c r="F8" s="336" t="n">
        <v>720</v>
      </c>
      <c r="H8" s="340" t="n">
        <f aca="false">IF((F8&lt;&gt;0),IF((D8&gt;0)," ",F8)," ")</f>
        <v>720</v>
      </c>
      <c r="I8" s="341" t="n">
        <f aca="false">IF((F8&lt;&gt;0),IF((D8&gt;0)," ",(I$1-A8))," ")</f>
        <v>384</v>
      </c>
    </row>
    <row r="9" customFormat="false" ht="12.75" hidden="false" customHeight="false" outlineLevel="0" collapsed="false">
      <c r="A9" s="357" t="n">
        <v>45881</v>
      </c>
      <c r="B9" s="336" t="s">
        <v>351</v>
      </c>
      <c r="F9" s="336" t="n">
        <v>960</v>
      </c>
      <c r="H9" s="340" t="n">
        <f aca="false">IF((F9&lt;&gt;0),IF((D9&gt;0)," ",F9)," ")</f>
        <v>960</v>
      </c>
      <c r="I9" s="341" t="n">
        <f aca="false">IF((F9&lt;&gt;0),IF((D9&gt;0)," ",(I$1-A9))," ")</f>
        <v>382</v>
      </c>
    </row>
    <row r="10" customFormat="false" ht="12.75" hidden="false" customHeight="false" outlineLevel="0" collapsed="false">
      <c r="A10" s="357" t="n">
        <v>45884</v>
      </c>
      <c r="B10" s="336" t="s">
        <v>242</v>
      </c>
      <c r="F10" s="336" t="n">
        <v>25000</v>
      </c>
      <c r="H10" s="340" t="n">
        <f aca="false">IF((F10&lt;&gt;0),IF((D10&gt;0)," ",F10)," ")</f>
        <v>25000</v>
      </c>
      <c r="I10" s="341" t="n">
        <f aca="false">IF((F10&lt;&gt;0),IF((D10&gt;0)," ",(I$1-A10))," ")</f>
        <v>379</v>
      </c>
    </row>
    <row r="11" customFormat="false" ht="12.75" hidden="false" customHeight="false" outlineLevel="0" collapsed="false">
      <c r="A11" s="357" t="n">
        <v>45887</v>
      </c>
      <c r="B11" s="336" t="s">
        <v>244</v>
      </c>
      <c r="F11" s="336" t="n">
        <v>2400</v>
      </c>
      <c r="H11" s="340" t="n">
        <f aca="false">IF((F11&lt;&gt;0),IF((D11&gt;0)," ",F11)," ")</f>
        <v>2400</v>
      </c>
      <c r="I11" s="341" t="n">
        <f aca="false">IF((F11&lt;&gt;0),IF((D11&gt;0)," ",(I$1-A11))," ")</f>
        <v>376</v>
      </c>
    </row>
    <row r="12" customFormat="false" ht="12.75" hidden="false" customHeight="false" outlineLevel="0" collapsed="false">
      <c r="A12" s="357" t="n">
        <v>45889</v>
      </c>
      <c r="B12" s="336" t="s">
        <v>270</v>
      </c>
      <c r="F12" s="336" t="n">
        <v>1800</v>
      </c>
      <c r="H12" s="340" t="n">
        <f aca="false">IF((F12&lt;&gt;0),IF((D12&gt;0)," ",F12)," ")</f>
        <v>1800</v>
      </c>
      <c r="I12" s="341" t="n">
        <f aca="false">IF((F12&lt;&gt;0),IF((D12&gt;0)," ",(I$1-A12))," ")</f>
        <v>374</v>
      </c>
    </row>
    <row r="13" customFormat="false" ht="12.75" hidden="false" customHeight="false" outlineLevel="0" collapsed="false">
      <c r="A13" s="357" t="n">
        <v>45894</v>
      </c>
      <c r="B13" s="336" t="s">
        <v>353</v>
      </c>
      <c r="F13" s="336" t="n">
        <v>1200</v>
      </c>
      <c r="H13" s="340" t="n">
        <f aca="false">IF((F13&lt;&gt;0),IF((D13&gt;0)," ",F13)," ")</f>
        <v>1200</v>
      </c>
      <c r="I13" s="341" t="n">
        <f aca="false">IF((F13&lt;&gt;0),IF((D13&gt;0)," ",(I$1-A13))," ")</f>
        <v>369</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273</v>
      </c>
      <c r="C1" s="346" t="n">
        <f aca="false">PurchasesJul!C1+PurchasesAug!F1+SalesAug!$E$1</f>
        <v>0</v>
      </c>
      <c r="D1" s="371" t="s">
        <v>255</v>
      </c>
      <c r="E1" s="373" t="str">
        <f aca="false">IF((G1-SUM(J1:W1)&lt;&gt;0),(G1-SUM(J1:W1))," ")</f>
        <v> </v>
      </c>
      <c r="F1" s="346" t="n">
        <f aca="false">SUM(F5:F300)</f>
        <v>0</v>
      </c>
      <c r="G1" s="345" t="n">
        <f aca="false">SUM(G4:G300)</f>
        <v>10105.25</v>
      </c>
      <c r="H1" s="374" t="n">
        <f aca="false">SUM(H5:H300)</f>
        <v>10105.25</v>
      </c>
      <c r="I1" s="375" t="n">
        <f aca="true">TODAY()</f>
        <v>46263</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IF((C1&lt;Admin!$F$22),((C1-PurchasesJul!C1)*Admin!$G$21),(C1*Admin!$G$21-(C1-Admin!$F$21)*(Admin!$G$21-Admin!$G$22)-PurchasesJul!A1))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45870</v>
      </c>
      <c r="B5" s="365" t="s">
        <v>246</v>
      </c>
      <c r="E5" s="367" t="s">
        <v>315</v>
      </c>
      <c r="G5" s="368" t="n">
        <v>1200</v>
      </c>
      <c r="H5" s="340" t="n">
        <f aca="false">IF((G5&lt;&gt;0),IF((D5&gt;0)," ",G5)," ")</f>
        <v>1200</v>
      </c>
      <c r="I5" s="369" t="n">
        <f aca="false">IF((G5&lt;&gt;0),IF((D5&gt;0)," ",(I$1-A5))," ")</f>
        <v>393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316</v>
      </c>
      <c r="E6" s="367" t="s">
        <v>317</v>
      </c>
      <c r="G6" s="368" t="n">
        <v>30</v>
      </c>
      <c r="H6" s="340" t="n">
        <f aca="false">IF((G6&lt;&gt;0),IF((D6&gt;0)," ",G6)," ")</f>
        <v>30</v>
      </c>
      <c r="I6" s="369" t="n">
        <f aca="false">IF((G6&lt;&gt;0),IF((D6&gt;0)," ",(I$1-A6))," ")</f>
        <v>393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45870</v>
      </c>
      <c r="B7" s="365" t="s">
        <v>318</v>
      </c>
      <c r="E7" s="367" t="s">
        <v>317</v>
      </c>
      <c r="G7" s="368" t="n">
        <v>15</v>
      </c>
      <c r="H7" s="340" t="n">
        <f aca="false">IF((G7&lt;&gt;0),IF((D7&gt;0)," ",G7)," ")</f>
        <v>15</v>
      </c>
      <c r="I7" s="369" t="n">
        <f aca="false">IF((G7&lt;&gt;0),IF((D7&gt;0)," ",(I$1-A7))," ")</f>
        <v>393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45870</v>
      </c>
      <c r="B8" s="365" t="s">
        <v>319</v>
      </c>
      <c r="E8" s="367" t="s">
        <v>320</v>
      </c>
      <c r="G8" s="368" t="n">
        <v>45</v>
      </c>
      <c r="H8" s="340" t="n">
        <f aca="false">IF((G8&lt;&gt;0),IF((D8&gt;0)," ",G8)," ")</f>
        <v>45</v>
      </c>
      <c r="I8" s="369" t="n">
        <f aca="false">IF((G8&lt;&gt;0),IF((D8&gt;0)," ",(I$1-A8))," ")</f>
        <v>393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45870</v>
      </c>
      <c r="B9" s="365" t="s">
        <v>322</v>
      </c>
      <c r="E9" s="367" t="s">
        <v>320</v>
      </c>
      <c r="G9" s="368" t="n">
        <v>24</v>
      </c>
      <c r="H9" s="340" t="n">
        <f aca="false">IF((G9&lt;&gt;0),IF((D9&gt;0)," ",G9)," ")</f>
        <v>24</v>
      </c>
      <c r="I9" s="369" t="n">
        <f aca="false">IF((G9&lt;&gt;0),IF((D9&gt;0)," ",(I$1-A9))," ")</f>
        <v>393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45870</v>
      </c>
      <c r="B10" s="365" t="s">
        <v>323</v>
      </c>
      <c r="E10" s="367" t="s">
        <v>317</v>
      </c>
      <c r="G10" s="368" t="n">
        <v>18</v>
      </c>
      <c r="H10" s="340" t="n">
        <f aca="false">IF((G10&lt;&gt;0),IF((D10&gt;0)," ",G10)," ")</f>
        <v>18</v>
      </c>
      <c r="I10" s="369" t="n">
        <f aca="false">IF((G10&lt;&gt;0),IF((D10&gt;0)," ",(I$1-A10))," ")</f>
        <v>393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45872</v>
      </c>
      <c r="B11" s="365" t="s">
        <v>324</v>
      </c>
      <c r="E11" s="367" t="s">
        <v>320</v>
      </c>
      <c r="G11" s="368" t="n">
        <v>180</v>
      </c>
      <c r="H11" s="340" t="n">
        <f aca="false">IF((G11&lt;&gt;0),IF((D11&gt;0)," ",G11)," ")</f>
        <v>180</v>
      </c>
      <c r="I11" s="369" t="n">
        <f aca="false">IF((G11&lt;&gt;0),IF((D11&gt;0)," ",(I$1-A11))," ")</f>
        <v>391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45872</v>
      </c>
      <c r="B12" s="365" t="s">
        <v>325</v>
      </c>
      <c r="E12" s="367" t="s">
        <v>320</v>
      </c>
      <c r="G12" s="368" t="n">
        <v>22</v>
      </c>
      <c r="H12" s="340" t="n">
        <f aca="false">IF((G12&lt;&gt;0),IF((D12&gt;0)," ",G12)," ")</f>
        <v>22</v>
      </c>
      <c r="I12" s="369" t="n">
        <f aca="false">IF((G12&lt;&gt;0),IF((D12&gt;0)," ",(I$1-A12))," ")</f>
        <v>391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45874</v>
      </c>
      <c r="B13" s="365" t="s">
        <v>326</v>
      </c>
      <c r="E13" s="367" t="s">
        <v>320</v>
      </c>
      <c r="G13" s="368" t="n">
        <v>24</v>
      </c>
      <c r="H13" s="340" t="n">
        <f aca="false">IF((G13&lt;&gt;0),IF((D13&gt;0)," ",G13)," ")</f>
        <v>24</v>
      </c>
      <c r="I13" s="369" t="n">
        <f aca="false">IF((G13&lt;&gt;0),IF((D13&gt;0)," ",(I$1-A13))," ")</f>
        <v>389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45874</v>
      </c>
      <c r="B14" s="365" t="s">
        <v>327</v>
      </c>
      <c r="E14" s="367" t="s">
        <v>298</v>
      </c>
      <c r="G14" s="368" t="n">
        <v>180</v>
      </c>
      <c r="H14" s="340" t="n">
        <f aca="false">IF((G14&lt;&gt;0),IF((D14&gt;0)," ",G14)," ")</f>
        <v>180</v>
      </c>
      <c r="I14" s="369" t="n">
        <f aca="false">IF((G14&lt;&gt;0),IF((D14&gt;0)," ",(I$1-A14))," ")</f>
        <v>389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45874</v>
      </c>
      <c r="B15" s="365" t="s">
        <v>328</v>
      </c>
      <c r="E15" s="367" t="s">
        <v>320</v>
      </c>
      <c r="G15" s="368" t="n">
        <v>36</v>
      </c>
      <c r="H15" s="340" t="n">
        <f aca="false">IF((G15&lt;&gt;0),IF((D15&gt;0)," ",G15)," ")</f>
        <v>36</v>
      </c>
      <c r="I15" s="369" t="n">
        <f aca="false">IF((G15&lt;&gt;0),IF((D15&gt;0)," ",(I$1-A15))," ")</f>
        <v>389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45875</v>
      </c>
      <c r="B16" s="365" t="s">
        <v>355</v>
      </c>
      <c r="E16" s="367" t="s">
        <v>330</v>
      </c>
      <c r="G16" s="368" t="n">
        <v>48</v>
      </c>
      <c r="H16" s="340" t="n">
        <f aca="false">IF((G16&lt;&gt;0),IF((D16&gt;0)," ",G16)," ")</f>
        <v>48</v>
      </c>
      <c r="I16" s="369" t="n">
        <f aca="false">IF((G16&lt;&gt;0),IF((D16&gt;0)," ",(I$1-A16))," ")</f>
        <v>388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45877</v>
      </c>
      <c r="B17" s="365" t="s">
        <v>329</v>
      </c>
      <c r="E17" s="367" t="s">
        <v>330</v>
      </c>
      <c r="G17" s="368" t="n">
        <v>48</v>
      </c>
      <c r="H17" s="340" t="n">
        <f aca="false">IF((G17&lt;&gt;0),IF((D17&gt;0)," ",G17)," ")</f>
        <v>48</v>
      </c>
      <c r="I17" s="369" t="n">
        <f aca="false">IF((G17&lt;&gt;0),IF((D17&gt;0)," ",(I$1-A17))," ")</f>
        <v>386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45879</v>
      </c>
      <c r="B18" s="365" t="s">
        <v>331</v>
      </c>
      <c r="E18" s="367" t="s">
        <v>320</v>
      </c>
      <c r="G18" s="368" t="n">
        <v>36</v>
      </c>
      <c r="H18" s="340" t="n">
        <f aca="false">IF((G18&lt;&gt;0),IF((D18&gt;0)," ",G18)," ")</f>
        <v>36</v>
      </c>
      <c r="I18" s="369" t="n">
        <f aca="false">IF((G18&lt;&gt;0),IF((D18&gt;0)," ",(I$1-A18))," ")</f>
        <v>384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45881</v>
      </c>
      <c r="B19" s="365" t="s">
        <v>335</v>
      </c>
      <c r="E19" s="367" t="s">
        <v>298</v>
      </c>
      <c r="G19" s="368" t="n">
        <v>18</v>
      </c>
      <c r="H19" s="340" t="n">
        <f aca="false">IF((G19&lt;&gt;0),IF((D19&gt;0)," ",G19)," ")</f>
        <v>18</v>
      </c>
      <c r="I19" s="369" t="n">
        <f aca="false">IF((G19&lt;&gt;0),IF((D19&gt;0)," ",(I$1-A19))," ")</f>
        <v>382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45883</v>
      </c>
      <c r="B20" s="365" t="s">
        <v>336</v>
      </c>
      <c r="E20" s="367" t="s">
        <v>320</v>
      </c>
      <c r="G20" s="368" t="n">
        <v>48</v>
      </c>
      <c r="H20" s="340" t="n">
        <f aca="false">IF((G20&lt;&gt;0),IF((D20&gt;0)," ",G20)," ")</f>
        <v>48</v>
      </c>
      <c r="I20" s="369" t="n">
        <f aca="false">IF((G20&lt;&gt;0),IF((D20&gt;0)," ",(I$1-A20))," ")</f>
        <v>380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row>
    <row r="21" customFormat="false" ht="12.75" hidden="false" customHeight="false" outlineLevel="0" collapsed="false">
      <c r="A21" s="357" t="n">
        <v>45883</v>
      </c>
      <c r="B21" s="365" t="s">
        <v>337</v>
      </c>
      <c r="D21" s="365"/>
      <c r="E21" s="367" t="s">
        <v>330</v>
      </c>
      <c r="G21" s="368" t="n">
        <v>24</v>
      </c>
      <c r="H21" s="340" t="n">
        <f aca="false">IF((G21&lt;&gt;0),IF((D21&gt;0)," ",G21)," ")</f>
        <v>24</v>
      </c>
      <c r="I21" s="369" t="n">
        <f aca="false">IF((G21&lt;&gt;0),IF((D21&gt;0)," ",(I$1-A21))," ")</f>
        <v>380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45883</v>
      </c>
      <c r="B22" s="365" t="s">
        <v>338</v>
      </c>
      <c r="D22" s="395"/>
      <c r="E22" s="367" t="s">
        <v>330</v>
      </c>
      <c r="G22" s="368" t="n">
        <v>12</v>
      </c>
      <c r="H22" s="340" t="n">
        <f aca="false">IF((G22&lt;&gt;0),IF((D22&gt;0)," ",G22)," ")</f>
        <v>12</v>
      </c>
      <c r="I22" s="369" t="n">
        <f aca="false">IF((G22&lt;&gt;0),IF((D22&gt;0)," ",(I$1-A22))," ")</f>
        <v>380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45884</v>
      </c>
      <c r="B23" s="365" t="s">
        <v>250</v>
      </c>
      <c r="E23" s="367" t="s">
        <v>298</v>
      </c>
      <c r="G23" s="368" t="n">
        <v>150</v>
      </c>
      <c r="H23" s="340" t="n">
        <f aca="false">IF((G23&lt;&gt;0),IF((D23&gt;0)," ",G23)," ")</f>
        <v>150</v>
      </c>
      <c r="I23" s="369" t="n">
        <f aca="false">IF((G23&lt;&gt;0),IF((D23&gt;0)," ",(I$1-A23))," ")</f>
        <v>379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45884</v>
      </c>
      <c r="B24" s="365" t="s">
        <v>339</v>
      </c>
      <c r="E24" s="367" t="s">
        <v>317</v>
      </c>
      <c r="G24" s="368" t="n">
        <v>12</v>
      </c>
      <c r="H24" s="340" t="n">
        <f aca="false">IF((G24&lt;&gt;0),IF((D24&gt;0)," ",G24)," ")</f>
        <v>12</v>
      </c>
      <c r="I24" s="369" t="n">
        <f aca="false">IF((G24&lt;&gt;0),IF((D24&gt;0)," ",(I$1-A24))," ")</f>
        <v>379</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45884</v>
      </c>
      <c r="B25" s="365" t="s">
        <v>359</v>
      </c>
      <c r="E25" s="367" t="s">
        <v>334</v>
      </c>
      <c r="G25" s="368" t="n">
        <v>360</v>
      </c>
      <c r="H25" s="340" t="n">
        <f aca="false">IF((G25&lt;&gt;0),IF((D25&gt;0)," ",G25)," ")</f>
        <v>360</v>
      </c>
      <c r="I25" s="369" t="n">
        <f aca="false">IF((G25&lt;&gt;0),IF((D25&gt;0)," ",(I$1-A25))," ")</f>
        <v>379</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45887</v>
      </c>
      <c r="B26" s="365" t="s">
        <v>382</v>
      </c>
      <c r="E26" s="367" t="s">
        <v>342</v>
      </c>
      <c r="G26" s="368" t="n">
        <v>240</v>
      </c>
      <c r="H26" s="340" t="n">
        <f aca="false">IF((G26&lt;&gt;0),IF((D26&gt;0)," ",G26)," ")</f>
        <v>240</v>
      </c>
      <c r="I26" s="369" t="n">
        <f aca="false">IF((G26&lt;&gt;0),IF((D26&gt;0)," ",(I$1-A26))," ")</f>
        <v>376</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45887</v>
      </c>
      <c r="B27" s="365" t="s">
        <v>340</v>
      </c>
      <c r="E27" s="367" t="s">
        <v>298</v>
      </c>
      <c r="G27" s="368" t="n">
        <v>96</v>
      </c>
      <c r="H27" s="340" t="n">
        <f aca="false">IF((G27&lt;&gt;0),IF((D27&gt;0)," ",G27)," ")</f>
        <v>96</v>
      </c>
      <c r="I27" s="369" t="n">
        <f aca="false">IF((G27&lt;&gt;0),IF((D27&gt;0)," ",(I$1-A27))," ")</f>
        <v>376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45889</v>
      </c>
      <c r="B28" s="365" t="s">
        <v>249</v>
      </c>
      <c r="E28" s="367" t="s">
        <v>317</v>
      </c>
      <c r="G28" s="368" t="n">
        <v>60</v>
      </c>
      <c r="H28" s="340" t="n">
        <f aca="false">IF((G28&lt;&gt;0),IF((D28&gt;0)," ",G28)," ")</f>
        <v>60</v>
      </c>
      <c r="I28" s="369" t="n">
        <f aca="false">IF((G28&lt;&gt;0),IF((D28&gt;0)," ",(I$1-A28))," ")</f>
        <v>374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45889</v>
      </c>
      <c r="B29" s="365" t="s">
        <v>383</v>
      </c>
      <c r="E29" s="367" t="s">
        <v>349</v>
      </c>
      <c r="G29" s="368" t="n">
        <v>800</v>
      </c>
      <c r="H29" s="340" t="n">
        <f aca="false">IF((G29&lt;&gt;0),IF((D29&gt;0)," ",G29)," ")</f>
        <v>800</v>
      </c>
      <c r="I29" s="369" t="n">
        <f aca="false">IF((G29&lt;&gt;0),IF((D29&gt;0)," ",(I$1-A29))," ")</f>
        <v>374</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45889</v>
      </c>
      <c r="B30" s="365" t="s">
        <v>364</v>
      </c>
      <c r="E30" s="367" t="s">
        <v>334</v>
      </c>
      <c r="G30" s="368" t="n">
        <v>180</v>
      </c>
      <c r="H30" s="340" t="n">
        <f aca="false">IF((G30&lt;&gt;0),IF((D30&gt;0)," ",G30)," ")</f>
        <v>180</v>
      </c>
      <c r="I30" s="369" t="n">
        <f aca="false">IF((G30&lt;&gt;0),IF((D30&gt;0)," ",(I$1-A30))," ")</f>
        <v>374</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45890</v>
      </c>
      <c r="B31" s="365" t="s">
        <v>343</v>
      </c>
      <c r="E31" s="367" t="s">
        <v>330</v>
      </c>
      <c r="G31" s="368" t="n">
        <v>8</v>
      </c>
      <c r="H31" s="340" t="n">
        <f aca="false">IF((G31&lt;&gt;0),IF((D31&gt;0)," ",G31)," ")</f>
        <v>8</v>
      </c>
      <c r="I31" s="369" t="n">
        <f aca="false">IF((G31&lt;&gt;0),IF((D31&gt;0)," ",(I$1-A31))," ")</f>
        <v>373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45891</v>
      </c>
      <c r="B32" s="365" t="s">
        <v>344</v>
      </c>
      <c r="E32" s="367" t="s">
        <v>320</v>
      </c>
      <c r="G32" s="368" t="n">
        <v>18</v>
      </c>
      <c r="H32" s="340" t="n">
        <f aca="false">IF((G32&lt;&gt;0),IF((D32&gt;0)," ",G32)," ")</f>
        <v>18</v>
      </c>
      <c r="I32" s="369" t="n">
        <f aca="false">IF((G32&lt;&gt;0),IF((D32&gt;0)," ",(I$1-A32))," ")</f>
        <v>372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45894</v>
      </c>
      <c r="B33" s="365" t="s">
        <v>345</v>
      </c>
      <c r="E33" s="367" t="s">
        <v>320</v>
      </c>
      <c r="G33" s="368" t="n">
        <v>15</v>
      </c>
      <c r="H33" s="340" t="n">
        <f aca="false">IF((G33&lt;&gt;0),IF((D33&gt;0)," ",G33)," ")</f>
        <v>15</v>
      </c>
      <c r="I33" s="369" t="n">
        <f aca="false">IF((G33&lt;&gt;0),IF((D33&gt;0)," ",(I$1-A33))," ")</f>
        <v>369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45894</v>
      </c>
      <c r="B34" s="365" t="s">
        <v>346</v>
      </c>
      <c r="E34" s="367" t="s">
        <v>298</v>
      </c>
      <c r="G34" s="368" t="n">
        <v>38.25</v>
      </c>
      <c r="H34" s="340" t="n">
        <f aca="false">IF((G34&lt;&gt;0),IF((D34&gt;0)," ",G34)," ")</f>
        <v>38.25</v>
      </c>
      <c r="I34" s="369" t="n">
        <f aca="false">IF((G34&lt;&gt;0),IF((D34&gt;0)," ",(I$1-A34))," ")</f>
        <v>369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38.25</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45897</v>
      </c>
      <c r="B35" s="365" t="s">
        <v>250</v>
      </c>
      <c r="E35" s="367" t="s">
        <v>298</v>
      </c>
      <c r="G35" s="368" t="n">
        <v>120</v>
      </c>
      <c r="H35" s="340" t="n">
        <f aca="false">IF((G35&lt;&gt;0),IF((D35&gt;0)," ",G35)," ")</f>
        <v>120</v>
      </c>
      <c r="I35" s="369" t="n">
        <f aca="false">IF((G35&lt;&gt;0),IF((D35&gt;0)," ",(I$1-A35))," ")</f>
        <v>366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45900</v>
      </c>
      <c r="B36" s="365" t="s">
        <v>247</v>
      </c>
      <c r="E36" s="367" t="s">
        <v>347</v>
      </c>
      <c r="G36" s="368" t="n">
        <v>300</v>
      </c>
      <c r="H36" s="340" t="n">
        <f aca="false">IF((G36&lt;&gt;0),IF((D36&gt;0)," ",G36)," ")</f>
        <v>300</v>
      </c>
      <c r="I36" s="369" t="n">
        <f aca="false">IF((G36&lt;&gt;0),IF((D36&gt;0)," ",(I$1-A36))," ")</f>
        <v>363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45900</v>
      </c>
      <c r="B37" s="365" t="s">
        <v>348</v>
      </c>
      <c r="E37" s="367" t="s">
        <v>349</v>
      </c>
      <c r="G37" s="368" t="n">
        <v>3500</v>
      </c>
      <c r="H37" s="340" t="n">
        <f aca="false">IF((G37&lt;&gt;0),IF((D37&gt;0)," ",G37)," ")</f>
        <v>3500</v>
      </c>
      <c r="I37" s="369" t="n">
        <f aca="false">IF((G37&lt;&gt;0),IF((D37&gt;0)," ",(I$1-A37))," ")</f>
        <v>363</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45900</v>
      </c>
      <c r="B38" s="365" t="s">
        <v>350</v>
      </c>
      <c r="E38" s="367" t="s">
        <v>349</v>
      </c>
      <c r="G38" s="368" t="n">
        <v>2200</v>
      </c>
      <c r="H38" s="340" t="n">
        <f aca="false">IF((G38&lt;&gt;0),IF((D38&gt;0)," ",G38)," ")</f>
        <v>2200</v>
      </c>
      <c r="I38" s="369" t="n">
        <f aca="false">IF((G38&lt;&gt;0),IF((D38&gt;0)," ",(I$1-A38))," ")</f>
        <v>363</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33760</v>
      </c>
      <c r="G1" s="345" t="n">
        <f aca="false">SUM(G4:G300)</f>
        <v>0</v>
      </c>
      <c r="H1" s="347" t="n">
        <f aca="false">SUM(H4:H300)</f>
        <v>33760</v>
      </c>
      <c r="I1" s="348" t="n">
        <f aca="true">TODAY()</f>
        <v>46263</v>
      </c>
      <c r="J1" s="345" t="n">
        <f aca="false">SUM(J4:J300)</f>
        <v>0</v>
      </c>
      <c r="K1" s="349" t="n">
        <f aca="false">J1+SalesAug!K1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45903</v>
      </c>
      <c r="B4" s="336" t="s">
        <v>266</v>
      </c>
      <c r="F4" s="336" t="n">
        <v>360</v>
      </c>
      <c r="H4" s="340" t="n">
        <f aca="false">IF((F4&lt;&gt;0),IF((D4&gt;0)," ",F4)," ")</f>
        <v>360</v>
      </c>
      <c r="I4" s="341" t="n">
        <f aca="false">IF((F4&lt;&gt;0),IF((D4&gt;0)," ",(I$1-A4))," ")</f>
        <v>360</v>
      </c>
    </row>
    <row r="5" customFormat="false" ht="12.75" hidden="false" customHeight="false" outlineLevel="0" collapsed="false">
      <c r="A5" s="357" t="n">
        <v>45905</v>
      </c>
      <c r="B5" s="336" t="s">
        <v>267</v>
      </c>
      <c r="F5" s="336" t="n">
        <v>600</v>
      </c>
      <c r="H5" s="340" t="n">
        <f aca="false">IF((F5&lt;&gt;0),IF((D5&gt;0)," ",F5)," ")</f>
        <v>600</v>
      </c>
      <c r="I5" s="341" t="n">
        <f aca="false">IF((F5&lt;&gt;0),IF((D5&gt;0)," ",(I$1-A5))," ")</f>
        <v>358</v>
      </c>
    </row>
    <row r="6" customFormat="false" ht="12.75" hidden="false" customHeight="false" outlineLevel="0" collapsed="false">
      <c r="A6" s="357" t="n">
        <v>45908</v>
      </c>
      <c r="B6" s="336" t="s">
        <v>268</v>
      </c>
      <c r="F6" s="336" t="n">
        <v>480</v>
      </c>
      <c r="H6" s="340" t="n">
        <f aca="false">IF((F6&lt;&gt;0),IF((D6&gt;0)," ",F6)," ")</f>
        <v>480</v>
      </c>
      <c r="I6" s="341" t="n">
        <f aca="false">IF((F6&lt;&gt;0),IF((D6&gt;0)," ",(I$1-A6))," ")</f>
        <v>355</v>
      </c>
    </row>
    <row r="7" customFormat="false" ht="12.75" hidden="false" customHeight="false" outlineLevel="0" collapsed="false">
      <c r="A7" s="357" t="n">
        <v>45910</v>
      </c>
      <c r="B7" s="336" t="s">
        <v>269</v>
      </c>
      <c r="F7" s="336" t="n">
        <v>720</v>
      </c>
      <c r="H7" s="340" t="n">
        <f aca="false">IF((F7&lt;&gt;0),IF((D7&gt;0)," ",F7)," ")</f>
        <v>720</v>
      </c>
      <c r="I7" s="341" t="n">
        <f aca="false">IF((F7&lt;&gt;0),IF((D7&gt;0)," ",(I$1-A7))," ")</f>
        <v>353</v>
      </c>
    </row>
    <row r="8" customFormat="false" ht="12.75" hidden="false" customHeight="false" outlineLevel="0" collapsed="false">
      <c r="A8" s="357" t="n">
        <v>45915</v>
      </c>
      <c r="B8" s="336" t="s">
        <v>242</v>
      </c>
      <c r="F8" s="336" t="n">
        <v>25000</v>
      </c>
      <c r="H8" s="340" t="n">
        <f aca="false">IF((F8&lt;&gt;0),IF((D8&gt;0)," ",F8)," ")</f>
        <v>25000</v>
      </c>
      <c r="I8" s="341" t="n">
        <f aca="false">IF((F8&lt;&gt;0),IF((D8&gt;0)," ",(I$1-A8))," ")</f>
        <v>348</v>
      </c>
    </row>
    <row r="9" customFormat="false" ht="12.75" hidden="false" customHeight="false" outlineLevel="0" collapsed="false">
      <c r="A9" s="357" t="n">
        <v>45916</v>
      </c>
      <c r="B9" s="336" t="s">
        <v>352</v>
      </c>
      <c r="F9" s="336" t="n">
        <v>1200</v>
      </c>
      <c r="H9" s="340" t="n">
        <f aca="false">IF((F9&lt;&gt;0),IF((D9&gt;0)," ",F9)," ")</f>
        <v>1200</v>
      </c>
      <c r="I9" s="341" t="n">
        <f aca="false">IF((F9&lt;&gt;0),IF((D9&gt;0)," ",(I$1-A9))," ")</f>
        <v>347</v>
      </c>
    </row>
    <row r="10" customFormat="false" ht="12.75" hidden="false" customHeight="false" outlineLevel="0" collapsed="false">
      <c r="A10" s="357" t="n">
        <v>45918</v>
      </c>
      <c r="B10" s="336" t="s">
        <v>244</v>
      </c>
      <c r="F10" s="336" t="n">
        <v>2400</v>
      </c>
      <c r="H10" s="340" t="n">
        <f aca="false">IF((F10&lt;&gt;0),IF((D10&gt;0)," ",F10)," ")</f>
        <v>2400</v>
      </c>
      <c r="I10" s="341" t="n">
        <f aca="false">IF((F10&lt;&gt;0),IF((D10&gt;0)," ",(I$1-A10))," ")</f>
        <v>345</v>
      </c>
    </row>
    <row r="11" customFormat="false" ht="12.75" hidden="false" customHeight="false" outlineLevel="0" collapsed="false">
      <c r="A11" s="357" t="n">
        <v>45920</v>
      </c>
      <c r="B11" s="336" t="s">
        <v>384</v>
      </c>
      <c r="F11" s="336" t="n">
        <v>960</v>
      </c>
      <c r="H11" s="340" t="n">
        <f aca="false">IF((F11&lt;&gt;0),IF((D11&gt;0)," ",F11)," ")</f>
        <v>960</v>
      </c>
      <c r="I11" s="341" t="n">
        <f aca="false">IF((F11&lt;&gt;0),IF((D11&gt;0)," ",(I$1-A11))," ")</f>
        <v>343</v>
      </c>
    </row>
    <row r="12" customFormat="false" ht="12.75" hidden="false" customHeight="false" outlineLevel="0" collapsed="false">
      <c r="A12" s="357" t="n">
        <v>45922</v>
      </c>
      <c r="B12" s="336" t="s">
        <v>366</v>
      </c>
      <c r="F12" s="336" t="n">
        <v>1440</v>
      </c>
      <c r="H12" s="340" t="n">
        <f aca="false">IF((F12&lt;&gt;0),IF((D12&gt;0)," ",F12)," ")</f>
        <v>1440</v>
      </c>
      <c r="I12" s="341" t="n">
        <f aca="false">IF((F12&lt;&gt;0),IF((D12&gt;0)," ",(I$1-A12))," ")</f>
        <v>341</v>
      </c>
    </row>
    <row r="13" customFormat="false" ht="12.75" hidden="false" customHeight="false" outlineLevel="0" collapsed="false">
      <c r="A13" s="357" t="n">
        <v>45925</v>
      </c>
      <c r="B13" s="336" t="s">
        <v>385</v>
      </c>
      <c r="F13" s="336" t="n">
        <v>600</v>
      </c>
      <c r="H13" s="340" t="n">
        <f aca="false">IF((F13&lt;&gt;0),IF((D13&gt;0)," ",F13)," ")</f>
        <v>600</v>
      </c>
      <c r="I13" s="341" t="n">
        <f aca="false">IF((F13&lt;&gt;0),IF((D13&gt;0)," ",(I$1-A13))," ")</f>
        <v>338</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273</v>
      </c>
      <c r="C1" s="346" t="n">
        <f aca="false">PurchasesAug!C1+PurchasesSep!F1+SalesSep!$E$1</f>
        <v>0</v>
      </c>
      <c r="D1" s="371" t="s">
        <v>255</v>
      </c>
      <c r="E1" s="373" t="str">
        <f aca="false">IF((G1-SUM(J1:W1)&lt;&gt;0),(G1-SUM(J1:W1))," ")</f>
        <v> </v>
      </c>
      <c r="F1" s="346" t="n">
        <f aca="false">SUM(F5:F300)</f>
        <v>0</v>
      </c>
      <c r="G1" s="345" t="n">
        <f aca="false">SUM(G4:G300)</f>
        <v>10675</v>
      </c>
      <c r="H1" s="374" t="n">
        <f aca="false">SUM(H5:H300)</f>
        <v>10675</v>
      </c>
      <c r="I1" s="375" t="n">
        <f aca="true">TODAY()</f>
        <v>46263</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IF((C1&lt;Admin!$F$22),((C1-PurchasesAug!C1)*Admin!$G$21),(C1*Admin!$G$21-(C1-Admin!$F$21)*(Admin!$G$21-Admin!$G$22)-PurchasesAug!A1))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45901</v>
      </c>
      <c r="B5" s="365" t="s">
        <v>246</v>
      </c>
      <c r="E5" s="367" t="s">
        <v>315</v>
      </c>
      <c r="G5" s="368" t="n">
        <v>1200</v>
      </c>
      <c r="H5" s="340" t="n">
        <f aca="false">IF((G5&lt;&gt;0),IF((D5&gt;0)," ",G5)," ")</f>
        <v>1200</v>
      </c>
      <c r="I5" s="369" t="n">
        <f aca="false">IF((G5&lt;&gt;0),IF((D5&gt;0)," ",(I$1-A5))," ")</f>
        <v>362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45901</v>
      </c>
      <c r="B6" s="365" t="s">
        <v>316</v>
      </c>
      <c r="E6" s="367" t="s">
        <v>317</v>
      </c>
      <c r="G6" s="368" t="n">
        <v>30</v>
      </c>
      <c r="H6" s="340" t="n">
        <f aca="false">IF((G6&lt;&gt;0),IF((D6&gt;0)," ",G6)," ")</f>
        <v>30</v>
      </c>
      <c r="I6" s="369" t="n">
        <f aca="false">IF((G6&lt;&gt;0),IF((D6&gt;0)," ",(I$1-A6))," ")</f>
        <v>362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318</v>
      </c>
      <c r="E7" s="367" t="s">
        <v>317</v>
      </c>
      <c r="G7" s="368" t="n">
        <v>15</v>
      </c>
      <c r="H7" s="340" t="n">
        <f aca="false">IF((G7&lt;&gt;0),IF((D7&gt;0)," ",G7)," ")</f>
        <v>15</v>
      </c>
      <c r="I7" s="369" t="n">
        <f aca="false">IF((G7&lt;&gt;0),IF((D7&gt;0)," ",(I$1-A7))," ")</f>
        <v>362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45901</v>
      </c>
      <c r="B8" s="365" t="s">
        <v>319</v>
      </c>
      <c r="E8" s="367" t="s">
        <v>320</v>
      </c>
      <c r="G8" s="368" t="n">
        <v>45</v>
      </c>
      <c r="H8" s="340" t="n">
        <f aca="false">IF((G8&lt;&gt;0),IF((D8&gt;0)," ",G8)," ")</f>
        <v>45</v>
      </c>
      <c r="I8" s="369" t="n">
        <f aca="false">IF((G8&lt;&gt;0),IF((D8&gt;0)," ",(I$1-A8))," ")</f>
        <v>362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45901</v>
      </c>
      <c r="B9" s="365" t="s">
        <v>322</v>
      </c>
      <c r="E9" s="367" t="s">
        <v>320</v>
      </c>
      <c r="G9" s="368" t="n">
        <v>24</v>
      </c>
      <c r="H9" s="340" t="n">
        <f aca="false">IF((G9&lt;&gt;0),IF((D9&gt;0)," ",G9)," ")</f>
        <v>24</v>
      </c>
      <c r="I9" s="369" t="n">
        <f aca="false">IF((G9&lt;&gt;0),IF((D9&gt;0)," ",(I$1-A9))," ")</f>
        <v>362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45901</v>
      </c>
      <c r="B10" s="365" t="s">
        <v>323</v>
      </c>
      <c r="E10" s="367" t="s">
        <v>317</v>
      </c>
      <c r="G10" s="368" t="n">
        <v>18</v>
      </c>
      <c r="H10" s="340" t="n">
        <f aca="false">IF((G10&lt;&gt;0),IF((D10&gt;0)," ",G10)," ")</f>
        <v>18</v>
      </c>
      <c r="I10" s="369" t="n">
        <f aca="false">IF((G10&lt;&gt;0),IF((D10&gt;0)," ",(I$1-A10))," ")</f>
        <v>362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45903</v>
      </c>
      <c r="B11" s="365" t="s">
        <v>324</v>
      </c>
      <c r="E11" s="367" t="s">
        <v>320</v>
      </c>
      <c r="G11" s="368" t="n">
        <v>180</v>
      </c>
      <c r="H11" s="340" t="n">
        <f aca="false">IF((G11&lt;&gt;0),IF((D11&gt;0)," ",G11)," ")</f>
        <v>180</v>
      </c>
      <c r="I11" s="369" t="n">
        <f aca="false">IF((G11&lt;&gt;0),IF((D11&gt;0)," ",(I$1-A11))," ")</f>
        <v>360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45903</v>
      </c>
      <c r="B12" s="365" t="s">
        <v>325</v>
      </c>
      <c r="E12" s="367" t="s">
        <v>320</v>
      </c>
      <c r="G12" s="368" t="n">
        <v>22</v>
      </c>
      <c r="H12" s="340" t="n">
        <f aca="false">IF((G12&lt;&gt;0),IF((D12&gt;0)," ",G12)," ")</f>
        <v>22</v>
      </c>
      <c r="I12" s="369" t="n">
        <f aca="false">IF((G12&lt;&gt;0),IF((D12&gt;0)," ",(I$1-A12))," ")</f>
        <v>360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45905</v>
      </c>
      <c r="B13" s="365" t="s">
        <v>326</v>
      </c>
      <c r="E13" s="367" t="s">
        <v>320</v>
      </c>
      <c r="G13" s="368" t="n">
        <v>24</v>
      </c>
      <c r="H13" s="340" t="n">
        <f aca="false">IF((G13&lt;&gt;0),IF((D13&gt;0)," ",G13)," ")</f>
        <v>24</v>
      </c>
      <c r="I13" s="369" t="n">
        <f aca="false">IF((G13&lt;&gt;0),IF((D13&gt;0)," ",(I$1-A13))," ")</f>
        <v>358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45905</v>
      </c>
      <c r="B14" s="365" t="s">
        <v>327</v>
      </c>
      <c r="E14" s="367" t="s">
        <v>298</v>
      </c>
      <c r="G14" s="368" t="n">
        <v>180</v>
      </c>
      <c r="H14" s="340" t="n">
        <f aca="false">IF((G14&lt;&gt;0),IF((D14&gt;0)," ",G14)," ")</f>
        <v>180</v>
      </c>
      <c r="I14" s="369" t="n">
        <f aca="false">IF((G14&lt;&gt;0),IF((D14&gt;0)," ",(I$1-A14))," ")</f>
        <v>358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45908</v>
      </c>
      <c r="B15" s="365" t="s">
        <v>329</v>
      </c>
      <c r="E15" s="367" t="s">
        <v>330</v>
      </c>
      <c r="G15" s="368" t="n">
        <v>48</v>
      </c>
      <c r="H15" s="340" t="n">
        <f aca="false">IF((G15&lt;&gt;0),IF((D15&gt;0)," ",G15)," ")</f>
        <v>48</v>
      </c>
      <c r="I15" s="369" t="n">
        <f aca="false">IF((G15&lt;&gt;0),IF((D15&gt;0)," ",(I$1-A15))," ")</f>
        <v>355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45908</v>
      </c>
      <c r="B16" s="365" t="s">
        <v>356</v>
      </c>
      <c r="E16" s="367" t="s">
        <v>320</v>
      </c>
      <c r="G16" s="368" t="n">
        <v>360</v>
      </c>
      <c r="H16" s="340" t="n">
        <f aca="false">IF((G16&lt;&gt;0),IF((D16&gt;0)," ",G16)," ")</f>
        <v>360</v>
      </c>
      <c r="I16" s="369" t="n">
        <f aca="false">IF((G16&lt;&gt;0),IF((D16&gt;0)," ",(I$1-A16))," ")</f>
        <v>355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row>
    <row r="17" customFormat="false" ht="12.75" hidden="false" customHeight="false" outlineLevel="0" collapsed="false">
      <c r="A17" s="357" t="n">
        <v>45910</v>
      </c>
      <c r="B17" s="365" t="s">
        <v>331</v>
      </c>
      <c r="E17" s="367" t="s">
        <v>320</v>
      </c>
      <c r="G17" s="368" t="n">
        <v>36</v>
      </c>
      <c r="H17" s="340" t="n">
        <f aca="false">IF((G17&lt;&gt;0),IF((D17&gt;0)," ",G17)," ")</f>
        <v>36</v>
      </c>
      <c r="I17" s="369" t="n">
        <f aca="false">IF((G17&lt;&gt;0),IF((D17&gt;0)," ",(I$1-A17))," ")</f>
        <v>353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45910</v>
      </c>
      <c r="B18" s="365" t="s">
        <v>339</v>
      </c>
      <c r="E18" s="367" t="s">
        <v>320</v>
      </c>
      <c r="G18" s="368" t="n">
        <v>96</v>
      </c>
      <c r="H18" s="340" t="n">
        <f aca="false">IF((G18&lt;&gt;0),IF((D18&gt;0)," ",G18)," ")</f>
        <v>96</v>
      </c>
      <c r="I18" s="369" t="n">
        <f aca="false">IF((G18&lt;&gt;0),IF((D18&gt;0)," ",(I$1-A18))," ")</f>
        <v>353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row>
    <row r="19" customFormat="false" ht="12.75" hidden="false" customHeight="false" outlineLevel="0" collapsed="false">
      <c r="A19" s="357" t="n">
        <v>45912</v>
      </c>
      <c r="B19" s="365" t="s">
        <v>335</v>
      </c>
      <c r="E19" s="367" t="s">
        <v>298</v>
      </c>
      <c r="G19" s="368" t="n">
        <v>18</v>
      </c>
      <c r="H19" s="340" t="n">
        <f aca="false">IF((G19&lt;&gt;0),IF((D19&gt;0)," ",G19)," ")</f>
        <v>18</v>
      </c>
      <c r="I19" s="369" t="n">
        <f aca="false">IF((G19&lt;&gt;0),IF((D19&gt;0)," ",(I$1-A19))," ")</f>
        <v>351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45914</v>
      </c>
      <c r="B20" s="365" t="s">
        <v>337</v>
      </c>
      <c r="E20" s="367" t="s">
        <v>330</v>
      </c>
      <c r="G20" s="368" t="n">
        <v>24</v>
      </c>
      <c r="H20" s="340" t="n">
        <f aca="false">IF((G20&lt;&gt;0),IF((D20&gt;0)," ",G20)," ")</f>
        <v>24</v>
      </c>
      <c r="I20" s="369" t="n">
        <f aca="false">IF((G20&lt;&gt;0),IF((D20&gt;0)," ",(I$1-A20))," ")</f>
        <v>349</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45914</v>
      </c>
      <c r="B21" s="365" t="s">
        <v>338</v>
      </c>
      <c r="D21" s="365"/>
      <c r="E21" s="367" t="s">
        <v>330</v>
      </c>
      <c r="G21" s="368" t="n">
        <v>12</v>
      </c>
      <c r="H21" s="340" t="n">
        <f aca="false">IF((G21&lt;&gt;0),IF((D21&gt;0)," ",G21)," ")</f>
        <v>12</v>
      </c>
      <c r="I21" s="369" t="n">
        <f aca="false">IF((G21&lt;&gt;0),IF((D21&gt;0)," ",(I$1-A21))," ")</f>
        <v>349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45915</v>
      </c>
      <c r="B22" s="365" t="s">
        <v>250</v>
      </c>
      <c r="D22" s="395"/>
      <c r="E22" s="367" t="s">
        <v>298</v>
      </c>
      <c r="G22" s="368" t="n">
        <v>150</v>
      </c>
      <c r="H22" s="340" t="n">
        <f aca="false">IF((G22&lt;&gt;0),IF((D22&gt;0)," ",G22)," ")</f>
        <v>150</v>
      </c>
      <c r="I22" s="369" t="n">
        <f aca="false">IF((G22&lt;&gt;0),IF((D22&gt;0)," ",(I$1-A22))," ")</f>
        <v>348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45915</v>
      </c>
      <c r="B23" s="365" t="s">
        <v>339</v>
      </c>
      <c r="E23" s="367" t="s">
        <v>317</v>
      </c>
      <c r="G23" s="368" t="n">
        <v>12</v>
      </c>
      <c r="H23" s="340" t="n">
        <f aca="false">IF((G23&lt;&gt;0),IF((D23&gt;0)," ",G23)," ")</f>
        <v>12</v>
      </c>
      <c r="I23" s="369" t="n">
        <f aca="false">IF((G23&lt;&gt;0),IF((D23&gt;0)," ",(I$1-A23))," ")</f>
        <v>348</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45915</v>
      </c>
      <c r="B24" s="365" t="s">
        <v>386</v>
      </c>
      <c r="E24" s="367" t="s">
        <v>347</v>
      </c>
      <c r="G24" s="368" t="n">
        <v>960</v>
      </c>
      <c r="H24" s="340" t="n">
        <f aca="false">IF((G24&lt;&gt;0),IF((D24&gt;0)," ",G24)," ")</f>
        <v>960</v>
      </c>
      <c r="I24" s="369" t="n">
        <f aca="false">IF((G24&lt;&gt;0),IF((D24&gt;0)," ",(I$1-A24))," ")</f>
        <v>348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45916</v>
      </c>
      <c r="B25" s="365" t="s">
        <v>362</v>
      </c>
      <c r="E25" s="367" t="s">
        <v>317</v>
      </c>
      <c r="G25" s="368" t="n">
        <v>12</v>
      </c>
      <c r="H25" s="340" t="n">
        <f aca="false">IF((G25&lt;&gt;0),IF((D25&gt;0)," ",G25)," ")</f>
        <v>12</v>
      </c>
      <c r="I25" s="369" t="n">
        <f aca="false">IF((G25&lt;&gt;0),IF((D25&gt;0)," ",(I$1-A25))," ")</f>
        <v>347</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45918</v>
      </c>
      <c r="B26" s="365" t="s">
        <v>371</v>
      </c>
      <c r="E26" s="367" t="s">
        <v>334</v>
      </c>
      <c r="G26" s="368" t="n">
        <v>240</v>
      </c>
      <c r="H26" s="340" t="n">
        <f aca="false">IF((G26&lt;&gt;0),IF((D26&gt;0)," ",G26)," ")</f>
        <v>240</v>
      </c>
      <c r="I26" s="369" t="n">
        <f aca="false">IF((G26&lt;&gt;0),IF((D26&gt;0)," ",(I$1-A26))," ")</f>
        <v>345</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45918</v>
      </c>
      <c r="B27" s="365" t="s">
        <v>340</v>
      </c>
      <c r="E27" s="367" t="s">
        <v>298</v>
      </c>
      <c r="G27" s="368" t="n">
        <v>96</v>
      </c>
      <c r="H27" s="340" t="n">
        <f aca="false">IF((G27&lt;&gt;0),IF((D27&gt;0)," ",G27)," ")</f>
        <v>96</v>
      </c>
      <c r="I27" s="369" t="n">
        <f aca="false">IF((G27&lt;&gt;0),IF((D27&gt;0)," ",(I$1-A27))," ")</f>
        <v>345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45920</v>
      </c>
      <c r="B28" s="365" t="s">
        <v>249</v>
      </c>
      <c r="E28" s="367" t="s">
        <v>317</v>
      </c>
      <c r="G28" s="368" t="n">
        <v>60</v>
      </c>
      <c r="H28" s="340" t="n">
        <f aca="false">IF((G28&lt;&gt;0),IF((D28&gt;0)," ",G28)," ")</f>
        <v>60</v>
      </c>
      <c r="I28" s="369" t="n">
        <f aca="false">IF((G28&lt;&gt;0),IF((D28&gt;0)," ",(I$1-A28))," ")</f>
        <v>343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45921</v>
      </c>
      <c r="B29" s="365" t="s">
        <v>343</v>
      </c>
      <c r="E29" s="367" t="s">
        <v>330</v>
      </c>
      <c r="G29" s="368" t="n">
        <v>8</v>
      </c>
      <c r="H29" s="340" t="n">
        <f aca="false">IF((G29&lt;&gt;0),IF((D29&gt;0)," ",G29)," ")</f>
        <v>8</v>
      </c>
      <c r="I29" s="369" t="n">
        <f aca="false">IF((G29&lt;&gt;0),IF((D29&gt;0)," ",(I$1-A29))," ")</f>
        <v>342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45922</v>
      </c>
      <c r="B30" s="365" t="s">
        <v>344</v>
      </c>
      <c r="E30" s="367" t="s">
        <v>320</v>
      </c>
      <c r="G30" s="368" t="n">
        <v>18</v>
      </c>
      <c r="H30" s="340" t="n">
        <f aca="false">IF((G30&lt;&gt;0),IF((D30&gt;0)," ",G30)," ")</f>
        <v>18</v>
      </c>
      <c r="I30" s="369" t="n">
        <f aca="false">IF((G30&lt;&gt;0),IF((D30&gt;0)," ",(I$1-A30))," ")</f>
        <v>341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45922</v>
      </c>
      <c r="B31" s="365" t="s">
        <v>365</v>
      </c>
      <c r="E31" s="367" t="s">
        <v>298</v>
      </c>
      <c r="G31" s="368" t="n">
        <v>72</v>
      </c>
      <c r="H31" s="340" t="n">
        <f aca="false">IF((G31&lt;&gt;0),IF((D31&gt;0)," ",G31)," ")</f>
        <v>72</v>
      </c>
      <c r="I31" s="369" t="n">
        <f aca="false">IF((G31&lt;&gt;0),IF((D31&gt;0)," ",(I$1-A31))," ")</f>
        <v>341</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45925</v>
      </c>
      <c r="B32" s="365" t="s">
        <v>372</v>
      </c>
      <c r="E32" s="367" t="s">
        <v>315</v>
      </c>
      <c r="G32" s="368" t="n">
        <v>300</v>
      </c>
      <c r="H32" s="340" t="n">
        <f aca="false">IF((G32&lt;&gt;0),IF((D32&gt;0)," ",G32)," ")</f>
        <v>300</v>
      </c>
      <c r="I32" s="369" t="n">
        <f aca="false">IF((G32&lt;&gt;0),IF((D32&gt;0)," ",(I$1-A32))," ")</f>
        <v>338</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45925</v>
      </c>
      <c r="B33" s="365" t="s">
        <v>345</v>
      </c>
      <c r="E33" s="367" t="s">
        <v>320</v>
      </c>
      <c r="G33" s="368" t="n">
        <v>15</v>
      </c>
      <c r="H33" s="340" t="n">
        <f aca="false">IF((G33&lt;&gt;0),IF((D33&gt;0)," ",G33)," ")</f>
        <v>15</v>
      </c>
      <c r="I33" s="369" t="n">
        <f aca="false">IF((G33&lt;&gt;0),IF((D33&gt;0)," ",(I$1-A33))," ")</f>
        <v>338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45925</v>
      </c>
      <c r="B34" s="365" t="s">
        <v>346</v>
      </c>
      <c r="E34" s="367" t="s">
        <v>298</v>
      </c>
      <c r="G34" s="368" t="n">
        <v>72</v>
      </c>
      <c r="H34" s="340" t="n">
        <f aca="false">IF((G34&lt;&gt;0),IF((D34&gt;0)," ",G34)," ")</f>
        <v>72</v>
      </c>
      <c r="I34" s="369" t="n">
        <f aca="false">IF((G34&lt;&gt;0),IF((D34&gt;0)," ",(I$1-A34))," ")</f>
        <v>338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72</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45928</v>
      </c>
      <c r="B35" s="365" t="s">
        <v>250</v>
      </c>
      <c r="E35" s="367" t="s">
        <v>298</v>
      </c>
      <c r="G35" s="368" t="n">
        <v>120</v>
      </c>
      <c r="H35" s="340" t="n">
        <f aca="false">IF((G35&lt;&gt;0),IF((D35&gt;0)," ",G35)," ")</f>
        <v>120</v>
      </c>
      <c r="I35" s="369" t="n">
        <f aca="false">IF((G35&lt;&gt;0),IF((D35&gt;0)," ",(I$1-A35))," ")</f>
        <v>335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45930</v>
      </c>
      <c r="B36" s="365" t="s">
        <v>247</v>
      </c>
      <c r="E36" s="367" t="s">
        <v>347</v>
      </c>
      <c r="G36" s="368" t="n">
        <v>300</v>
      </c>
      <c r="H36" s="340" t="n">
        <f aca="false">IF((G36&lt;&gt;0),IF((D36&gt;0)," ",G36)," ")</f>
        <v>300</v>
      </c>
      <c r="I36" s="369" t="n">
        <f aca="false">IF((G36&lt;&gt;0),IF((D36&gt;0)," ",(I$1-A36))," ")</f>
        <v>333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45930</v>
      </c>
      <c r="B37" s="365" t="s">
        <v>373</v>
      </c>
      <c r="E37" s="367" t="s">
        <v>374</v>
      </c>
      <c r="G37" s="368" t="n">
        <v>208</v>
      </c>
      <c r="H37" s="340" t="n">
        <f aca="false">IF((G37&lt;&gt;0),IF((D37&gt;0)," ",G37)," ")</f>
        <v>208</v>
      </c>
      <c r="I37" s="369" t="n">
        <f aca="false">IF((G37&lt;&gt;0),IF((D37&gt;0)," ",(I$1-A37))," ")</f>
        <v>333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row>
    <row r="38" customFormat="false" ht="12.75" hidden="false" customHeight="false" outlineLevel="0" collapsed="false">
      <c r="A38" s="357" t="n">
        <v>45930</v>
      </c>
      <c r="B38" s="365" t="s">
        <v>348</v>
      </c>
      <c r="E38" s="367" t="s">
        <v>349</v>
      </c>
      <c r="G38" s="368" t="n">
        <v>3500</v>
      </c>
      <c r="H38" s="340" t="n">
        <f aca="false">IF((G38&lt;&gt;0),IF((D38&gt;0)," ",G38)," ")</f>
        <v>3500</v>
      </c>
      <c r="I38" s="369" t="n">
        <f aca="false">IF((G38&lt;&gt;0),IF((D38&gt;0)," ",(I$1-A38))," ")</f>
        <v>333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45930</v>
      </c>
      <c r="B39" s="365" t="s">
        <v>350</v>
      </c>
      <c r="E39" s="367" t="s">
        <v>349</v>
      </c>
      <c r="G39" s="368" t="n">
        <v>2200</v>
      </c>
      <c r="H39" s="340" t="n">
        <f aca="false">IF((G39&lt;&gt;0),IF((D39&gt;0)," ",G39)," ")</f>
        <v>2200</v>
      </c>
      <c r="I39" s="369" t="n">
        <f aca="false">IF((G39&lt;&gt;0),IF((D39&gt;0)," ",(I$1-A39))," ")</f>
        <v>333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35560</v>
      </c>
      <c r="G1" s="345" t="n">
        <f aca="false">SUM(G4:G300)</f>
        <v>0</v>
      </c>
      <c r="H1" s="347" t="n">
        <f aca="false">SUM(H4:H300)</f>
        <v>35560</v>
      </c>
      <c r="I1" s="348" t="n">
        <f aca="true">TODAY()</f>
        <v>46263</v>
      </c>
      <c r="J1" s="345" t="n">
        <f aca="false">SUM(J4:J300)</f>
        <v>0</v>
      </c>
      <c r="K1" s="349" t="n">
        <f aca="false">J1+SalesSep!K1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45931</v>
      </c>
      <c r="B4" s="336" t="s">
        <v>243</v>
      </c>
      <c r="F4" s="336" t="n">
        <v>1200</v>
      </c>
      <c r="H4" s="340" t="n">
        <f aca="false">IF((F4&lt;&gt;0),IF((D4&gt;0)," ",F4)," ")</f>
        <v>1200</v>
      </c>
      <c r="I4" s="341" t="n">
        <f aca="false">IF((F4&lt;&gt;0),IF((D4&gt;0)," ",(I$1-A4))," ")</f>
        <v>332</v>
      </c>
    </row>
    <row r="5" customFormat="false" ht="12.75" hidden="false" customHeight="false" outlineLevel="0" collapsed="false">
      <c r="A5" s="357" t="n">
        <v>45933</v>
      </c>
      <c r="B5" s="336" t="s">
        <v>266</v>
      </c>
      <c r="F5" s="336" t="n">
        <v>360</v>
      </c>
      <c r="H5" s="340" t="n">
        <f aca="false">IF((F5&lt;&gt;0),IF((D5&gt;0)," ",F5)," ")</f>
        <v>360</v>
      </c>
      <c r="I5" s="341" t="n">
        <f aca="false">IF((F5&lt;&gt;0),IF((D5&gt;0)," ",(I$1-A5))," ")</f>
        <v>330</v>
      </c>
    </row>
    <row r="6" customFormat="false" ht="12.75" hidden="false" customHeight="false" outlineLevel="0" collapsed="false">
      <c r="A6" s="357" t="n">
        <v>45935</v>
      </c>
      <c r="B6" s="336" t="s">
        <v>267</v>
      </c>
      <c r="F6" s="336" t="n">
        <v>600</v>
      </c>
      <c r="H6" s="340" t="n">
        <f aca="false">IF((F6&lt;&gt;0),IF((D6&gt;0)," ",F6)," ")</f>
        <v>600</v>
      </c>
      <c r="I6" s="341" t="n">
        <f aca="false">IF((F6&lt;&gt;0),IF((D6&gt;0)," ",(I$1-A6))," ")</f>
        <v>328</v>
      </c>
    </row>
    <row r="7" customFormat="false" ht="12.75" hidden="false" customHeight="false" outlineLevel="0" collapsed="false">
      <c r="A7" s="357" t="n">
        <v>45938</v>
      </c>
      <c r="B7" s="336" t="s">
        <v>268</v>
      </c>
      <c r="F7" s="336" t="n">
        <v>480</v>
      </c>
      <c r="H7" s="340" t="n">
        <f aca="false">IF((F7&lt;&gt;0),IF((D7&gt;0)," ",F7)," ")</f>
        <v>480</v>
      </c>
      <c r="I7" s="341" t="n">
        <f aca="false">IF((F7&lt;&gt;0),IF((D7&gt;0)," ",(I$1-A7))," ")</f>
        <v>325</v>
      </c>
    </row>
    <row r="8" customFormat="false" ht="12.75" hidden="false" customHeight="false" outlineLevel="0" collapsed="false">
      <c r="A8" s="357" t="n">
        <v>45940</v>
      </c>
      <c r="B8" s="336" t="s">
        <v>269</v>
      </c>
      <c r="F8" s="336" t="n">
        <v>720</v>
      </c>
      <c r="H8" s="340" t="n">
        <f aca="false">IF((F8&lt;&gt;0),IF((D8&gt;0)," ",F8)," ")</f>
        <v>720</v>
      </c>
      <c r="I8" s="341" t="n">
        <f aca="false">IF((F8&lt;&gt;0),IF((D8&gt;0)," ",(I$1-A8))," ")</f>
        <v>323</v>
      </c>
    </row>
    <row r="9" customFormat="false" ht="12.75" hidden="false" customHeight="false" outlineLevel="0" collapsed="false">
      <c r="A9" s="357" t="n">
        <v>45944</v>
      </c>
      <c r="B9" s="336" t="s">
        <v>375</v>
      </c>
      <c r="F9" s="336" t="n">
        <v>2160</v>
      </c>
      <c r="H9" s="340" t="n">
        <f aca="false">IF((F9&lt;&gt;0),IF((D9&gt;0)," ",F9)," ")</f>
        <v>2160</v>
      </c>
      <c r="I9" s="341" t="n">
        <f aca="false">IF((F9&lt;&gt;0),IF((D9&gt;0)," ",(I$1-A9))," ")</f>
        <v>319</v>
      </c>
    </row>
    <row r="10" customFormat="false" ht="12.75" hidden="false" customHeight="false" outlineLevel="0" collapsed="false">
      <c r="A10" s="357" t="n">
        <v>45945</v>
      </c>
      <c r="B10" s="336" t="s">
        <v>242</v>
      </c>
      <c r="F10" s="336" t="n">
        <v>25000</v>
      </c>
      <c r="H10" s="340" t="n">
        <f aca="false">IF((F10&lt;&gt;0),IF((D10&gt;0)," ",F10)," ")</f>
        <v>25000</v>
      </c>
      <c r="I10" s="341" t="n">
        <f aca="false">IF((F10&lt;&gt;0),IF((D10&gt;0)," ",(I$1-A10))," ")</f>
        <v>318</v>
      </c>
    </row>
    <row r="11" customFormat="false" ht="12.75" hidden="false" customHeight="false" outlineLevel="0" collapsed="false">
      <c r="A11" s="357" t="n">
        <v>45948</v>
      </c>
      <c r="B11" s="336" t="s">
        <v>244</v>
      </c>
      <c r="F11" s="336" t="n">
        <v>2400</v>
      </c>
      <c r="H11" s="340" t="n">
        <f aca="false">IF((F11&lt;&gt;0),IF((D11&gt;0)," ",F11)," ")</f>
        <v>2400</v>
      </c>
      <c r="I11" s="341" t="n">
        <f aca="false">IF((F11&lt;&gt;0),IF((D11&gt;0)," ",(I$1-A11))," ")</f>
        <v>315</v>
      </c>
    </row>
    <row r="12" customFormat="false" ht="12.75" hidden="false" customHeight="false" outlineLevel="0" collapsed="false">
      <c r="A12" s="357" t="n">
        <v>45950</v>
      </c>
      <c r="B12" s="336" t="s">
        <v>270</v>
      </c>
      <c r="F12" s="336" t="n">
        <v>1800</v>
      </c>
      <c r="H12" s="340" t="n">
        <f aca="false">IF((F12&lt;&gt;0),IF((D12&gt;0)," ",F12)," ")</f>
        <v>1800</v>
      </c>
      <c r="I12" s="341" t="n">
        <f aca="false">IF((F12&lt;&gt;0),IF((D12&gt;0)," ",(I$1-A12))," ")</f>
        <v>313</v>
      </c>
    </row>
    <row r="13" customFormat="false" ht="12.75" hidden="false" customHeight="false" outlineLevel="0" collapsed="false">
      <c r="A13" s="357" t="n">
        <v>45958</v>
      </c>
      <c r="B13" s="336" t="s">
        <v>271</v>
      </c>
      <c r="F13" s="336" t="n">
        <v>840</v>
      </c>
      <c r="H13" s="340" t="n">
        <f aca="false">IF((F13&lt;&gt;0),IF((D13&gt;0)," ",F13)," ")</f>
        <v>840</v>
      </c>
      <c r="I13" s="341" t="n">
        <f aca="false">IF((F13&lt;&gt;0),IF((D13&gt;0)," ",(I$1-A13))," ")</f>
        <v>305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273</v>
      </c>
      <c r="C1" s="346" t="n">
        <f aca="false">PurchasesSep!C1+PurchasesOct!F1+SalesOct!$E$1</f>
        <v>0</v>
      </c>
      <c r="D1" s="371" t="s">
        <v>255</v>
      </c>
      <c r="E1" s="373" t="str">
        <f aca="false">IF((G1-SUM(J1:W1)&lt;&gt;0),(G1-SUM(J1:W1))," ")</f>
        <v> </v>
      </c>
      <c r="F1" s="346" t="n">
        <f aca="false">SUM(F5:F300)</f>
        <v>0</v>
      </c>
      <c r="G1" s="345" t="n">
        <f aca="false">SUM(G4:G300)</f>
        <v>48705.75</v>
      </c>
      <c r="H1" s="374" t="n">
        <f aca="false">SUM(H5:H300)</f>
        <v>48705.75</v>
      </c>
      <c r="I1" s="375" t="n">
        <f aca="true">TODAY()</f>
        <v>46263</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IF((C1&lt;Admin!$F$22),((C1-PurchasesSep!C1)*Admin!$G$21),(C1*Admin!$G$21-(C1-Admin!$F$21)*(Admin!$G$21-Admin!$G$22)-PurchasesSep!A1))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45931</v>
      </c>
      <c r="B5" s="365" t="s">
        <v>246</v>
      </c>
      <c r="E5" s="367" t="s">
        <v>315</v>
      </c>
      <c r="G5" s="368" t="n">
        <v>1200</v>
      </c>
      <c r="H5" s="340" t="n">
        <f aca="false">IF((G5&lt;&gt;0),IF((D5&gt;0)," ",G5)," ")</f>
        <v>1200</v>
      </c>
      <c r="I5" s="369" t="n">
        <f aca="false">IF((G5&lt;&gt;0),IF((D5&gt;0)," ",(I$1-A5))," ")</f>
        <v>332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45931</v>
      </c>
      <c r="B6" s="365" t="s">
        <v>316</v>
      </c>
      <c r="E6" s="367" t="s">
        <v>317</v>
      </c>
      <c r="G6" s="368" t="n">
        <v>30</v>
      </c>
      <c r="H6" s="340" t="n">
        <f aca="false">IF((G6&lt;&gt;0),IF((D6&gt;0)," ",G6)," ")</f>
        <v>30</v>
      </c>
      <c r="I6" s="369" t="n">
        <f aca="false">IF((G6&lt;&gt;0),IF((D6&gt;0)," ",(I$1-A6))," ")</f>
        <v>332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318</v>
      </c>
      <c r="E7" s="367" t="s">
        <v>317</v>
      </c>
      <c r="G7" s="368" t="n">
        <v>15</v>
      </c>
      <c r="H7" s="340" t="n">
        <f aca="false">IF((G7&lt;&gt;0),IF((D7&gt;0)," ",G7)," ")</f>
        <v>15</v>
      </c>
      <c r="I7" s="369" t="n">
        <f aca="false">IF((G7&lt;&gt;0),IF((D7&gt;0)," ",(I$1-A7))," ")</f>
        <v>332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45931</v>
      </c>
      <c r="B8" s="365" t="s">
        <v>319</v>
      </c>
      <c r="E8" s="367" t="s">
        <v>320</v>
      </c>
      <c r="G8" s="368" t="n">
        <v>45</v>
      </c>
      <c r="H8" s="340" t="n">
        <f aca="false">IF((G8&lt;&gt;0),IF((D8&gt;0)," ",G8)," ")</f>
        <v>45</v>
      </c>
      <c r="I8" s="369" t="n">
        <f aca="false">IF((G8&lt;&gt;0),IF((D8&gt;0)," ",(I$1-A8))," ")</f>
        <v>332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45931</v>
      </c>
      <c r="B9" s="365" t="s">
        <v>387</v>
      </c>
      <c r="E9" s="367" t="s">
        <v>320</v>
      </c>
      <c r="G9" s="368" t="n">
        <v>360</v>
      </c>
      <c r="H9" s="340" t="n">
        <f aca="false">IF((G9&lt;&gt;0),IF((D9&gt;0)," ",G9)," ")</f>
        <v>360</v>
      </c>
      <c r="I9" s="369" t="n">
        <f aca="false">IF((G9&lt;&gt;0),IF((D9&gt;0)," ",(I$1-A9))," ")</f>
        <v>332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row>
    <row r="10" customFormat="false" ht="12.75" hidden="false" customHeight="false" outlineLevel="0" collapsed="false">
      <c r="A10" s="357" t="n">
        <v>45931</v>
      </c>
      <c r="B10" s="365" t="s">
        <v>322</v>
      </c>
      <c r="E10" s="367" t="s">
        <v>320</v>
      </c>
      <c r="G10" s="368" t="n">
        <v>24</v>
      </c>
      <c r="H10" s="340" t="n">
        <f aca="false">IF((G10&lt;&gt;0),IF((D10&gt;0)," ",G10)," ")</f>
        <v>24</v>
      </c>
      <c r="I10" s="369" t="n">
        <f aca="false">IF((G10&lt;&gt;0),IF((D10&gt;0)," ",(I$1-A10))," ")</f>
        <v>332</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45931</v>
      </c>
      <c r="B11" s="365" t="s">
        <v>323</v>
      </c>
      <c r="E11" s="367" t="s">
        <v>317</v>
      </c>
      <c r="G11" s="368" t="n">
        <v>18</v>
      </c>
      <c r="H11" s="340" t="n">
        <f aca="false">IF((G11&lt;&gt;0),IF((D11&gt;0)," ",G11)," ")</f>
        <v>18</v>
      </c>
      <c r="I11" s="369" t="n">
        <f aca="false">IF((G11&lt;&gt;0),IF((D11&gt;0)," ",(I$1-A11))," ")</f>
        <v>332</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45933</v>
      </c>
      <c r="B12" s="365" t="s">
        <v>324</v>
      </c>
      <c r="E12" s="367" t="s">
        <v>320</v>
      </c>
      <c r="G12" s="368" t="n">
        <v>180</v>
      </c>
      <c r="H12" s="340" t="n">
        <f aca="false">IF((G12&lt;&gt;0),IF((D12&gt;0)," ",G12)," ")</f>
        <v>180</v>
      </c>
      <c r="I12" s="369" t="n">
        <f aca="false">IF((G12&lt;&gt;0),IF((D12&gt;0)," ",(I$1-A12))," ")</f>
        <v>330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45933</v>
      </c>
      <c r="B13" s="365" t="s">
        <v>325</v>
      </c>
      <c r="E13" s="367" t="s">
        <v>320</v>
      </c>
      <c r="G13" s="368" t="n">
        <v>22</v>
      </c>
      <c r="H13" s="340" t="n">
        <f aca="false">IF((G13&lt;&gt;0),IF((D13&gt;0)," ",G13)," ")</f>
        <v>22</v>
      </c>
      <c r="I13" s="369" t="n">
        <f aca="false">IF((G13&lt;&gt;0),IF((D13&gt;0)," ",(I$1-A13))," ")</f>
        <v>330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45935</v>
      </c>
      <c r="B14" s="365" t="s">
        <v>326</v>
      </c>
      <c r="E14" s="367" t="s">
        <v>320</v>
      </c>
      <c r="G14" s="368" t="n">
        <v>24</v>
      </c>
      <c r="H14" s="340" t="n">
        <f aca="false">IF((G14&lt;&gt;0),IF((D14&gt;0)," ",G14)," ")</f>
        <v>24</v>
      </c>
      <c r="I14" s="369" t="n">
        <f aca="false">IF((G14&lt;&gt;0),IF((D14&gt;0)," ",(I$1-A14))," ")</f>
        <v>328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45935</v>
      </c>
      <c r="B15" s="365" t="s">
        <v>327</v>
      </c>
      <c r="E15" s="367" t="s">
        <v>298</v>
      </c>
      <c r="G15" s="368" t="n">
        <v>180</v>
      </c>
      <c r="H15" s="340" t="n">
        <f aca="false">IF((G15&lt;&gt;0),IF((D15&gt;0)," ",G15)," ")</f>
        <v>180</v>
      </c>
      <c r="I15" s="369" t="n">
        <f aca="false">IF((G15&lt;&gt;0),IF((D15&gt;0)," ",(I$1-A15))," ")</f>
        <v>328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45935</v>
      </c>
      <c r="B16" s="365" t="s">
        <v>328</v>
      </c>
      <c r="E16" s="367" t="s">
        <v>320</v>
      </c>
      <c r="G16" s="368" t="n">
        <v>36</v>
      </c>
      <c r="H16" s="340" t="n">
        <f aca="false">IF((G16&lt;&gt;0),IF((D16&gt;0)," ",G16)," ")</f>
        <v>36</v>
      </c>
      <c r="I16" s="369" t="n">
        <f aca="false">IF((G16&lt;&gt;0),IF((D16&gt;0)," ",(I$1-A16))," ")</f>
        <v>328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45938</v>
      </c>
      <c r="B17" s="365" t="s">
        <v>329</v>
      </c>
      <c r="E17" s="367" t="s">
        <v>330</v>
      </c>
      <c r="G17" s="368" t="n">
        <v>48</v>
      </c>
      <c r="H17" s="340" t="n">
        <f aca="false">IF((G17&lt;&gt;0),IF((D17&gt;0)," ",G17)," ")</f>
        <v>48</v>
      </c>
      <c r="I17" s="369" t="n">
        <f aca="false">IF((G17&lt;&gt;0),IF((D17&gt;0)," ",(I$1-A17))," ")</f>
        <v>325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45940</v>
      </c>
      <c r="B18" s="365" t="s">
        <v>331</v>
      </c>
      <c r="E18" s="367" t="s">
        <v>320</v>
      </c>
      <c r="G18" s="368" t="n">
        <v>36</v>
      </c>
      <c r="H18" s="340" t="n">
        <f aca="false">IF((G18&lt;&gt;0),IF((D18&gt;0)," ",G18)," ")</f>
        <v>36</v>
      </c>
      <c r="I18" s="369" t="n">
        <f aca="false">IF((G18&lt;&gt;0),IF((D18&gt;0)," ",(I$1-A18))," ")</f>
        <v>323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45940</v>
      </c>
      <c r="B19" s="365" t="s">
        <v>332</v>
      </c>
      <c r="E19" s="367" t="s">
        <v>320</v>
      </c>
      <c r="G19" s="368" t="n">
        <v>180</v>
      </c>
      <c r="H19" s="340" t="n">
        <f aca="false">IF((G19&lt;&gt;0),IF((D19&gt;0)," ",G19)," ")</f>
        <v>180</v>
      </c>
      <c r="I19" s="369" t="n">
        <f aca="false">IF((G19&lt;&gt;0),IF((D19&gt;0)," ",(I$1-A19))," ")</f>
        <v>323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45940</v>
      </c>
      <c r="B20" s="365" t="s">
        <v>333</v>
      </c>
      <c r="E20" s="367" t="s">
        <v>334</v>
      </c>
      <c r="G20" s="368" t="n">
        <v>480</v>
      </c>
      <c r="H20" s="340" t="n">
        <f aca="false">IF((G20&lt;&gt;0),IF((D20&gt;0)," ",G20)," ")</f>
        <v>480</v>
      </c>
      <c r="I20" s="369" t="n">
        <f aca="false">IF((G20&lt;&gt;0),IF((D20&gt;0)," ",(I$1-A20))," ")</f>
        <v>323</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45940</v>
      </c>
      <c r="B21" s="365" t="s">
        <v>357</v>
      </c>
      <c r="D21" s="365"/>
      <c r="E21" s="367" t="s">
        <v>358</v>
      </c>
      <c r="G21" s="368" t="n">
        <v>1800</v>
      </c>
      <c r="H21" s="340" t="n">
        <f aca="false">IF((G21&lt;&gt;0),IF((D21&gt;0)," ",G21)," ")</f>
        <v>1800</v>
      </c>
      <c r="I21" s="369" t="n">
        <f aca="false">IF((G21&lt;&gt;0),IF((D21&gt;0)," ",(I$1-A21))," ")</f>
        <v>323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45942</v>
      </c>
      <c r="B22" s="365" t="s">
        <v>335</v>
      </c>
      <c r="D22" s="395"/>
      <c r="E22" s="367" t="s">
        <v>298</v>
      </c>
      <c r="G22" s="368" t="n">
        <v>18</v>
      </c>
      <c r="H22" s="340" t="n">
        <f aca="false">IF((G22&lt;&gt;0),IF((D22&gt;0)," ",G22)," ")</f>
        <v>18</v>
      </c>
      <c r="I22" s="369" t="n">
        <f aca="false">IF((G22&lt;&gt;0),IF((D22&gt;0)," ",(I$1-A22))," ")</f>
        <v>321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45944</v>
      </c>
      <c r="B23" s="365" t="s">
        <v>336</v>
      </c>
      <c r="E23" s="367" t="s">
        <v>320</v>
      </c>
      <c r="G23" s="368" t="n">
        <v>36</v>
      </c>
      <c r="H23" s="340" t="n">
        <f aca="false">IF((G23&lt;&gt;0),IF((D23&gt;0)," ",G23)," ")</f>
        <v>36</v>
      </c>
      <c r="I23" s="369" t="n">
        <f aca="false">IF((G23&lt;&gt;0),IF((D23&gt;0)," ",(I$1-A23))," ")</f>
        <v>319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row>
    <row r="24" customFormat="false" ht="12.75" hidden="false" customHeight="false" outlineLevel="0" collapsed="false">
      <c r="A24" s="357" t="n">
        <v>45944</v>
      </c>
      <c r="B24" s="365" t="s">
        <v>337</v>
      </c>
      <c r="E24" s="367" t="s">
        <v>330</v>
      </c>
      <c r="G24" s="368" t="n">
        <v>24</v>
      </c>
      <c r="H24" s="340" t="n">
        <f aca="false">IF((G24&lt;&gt;0),IF((D24&gt;0)," ",G24)," ")</f>
        <v>24</v>
      </c>
      <c r="I24" s="369" t="n">
        <f aca="false">IF((G24&lt;&gt;0),IF((D24&gt;0)," ",(I$1-A24))," ")</f>
        <v>319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45944</v>
      </c>
      <c r="B25" s="365" t="s">
        <v>338</v>
      </c>
      <c r="E25" s="367" t="s">
        <v>330</v>
      </c>
      <c r="G25" s="368" t="n">
        <v>12</v>
      </c>
      <c r="H25" s="340" t="n">
        <f aca="false">IF((G25&lt;&gt;0),IF((D25&gt;0)," ",G25)," ")</f>
        <v>12</v>
      </c>
      <c r="I25" s="369" t="n">
        <f aca="false">IF((G25&lt;&gt;0),IF((D25&gt;0)," ",(I$1-A25))," ")</f>
        <v>319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45945</v>
      </c>
      <c r="B26" s="365" t="s">
        <v>250</v>
      </c>
      <c r="E26" s="367" t="s">
        <v>298</v>
      </c>
      <c r="G26" s="368" t="n">
        <v>150</v>
      </c>
      <c r="H26" s="340" t="n">
        <f aca="false">IF((G26&lt;&gt;0),IF((D26&gt;0)," ",G26)," ")</f>
        <v>150</v>
      </c>
      <c r="I26" s="369" t="n">
        <f aca="false">IF((G26&lt;&gt;0),IF((D26&gt;0)," ",(I$1-A26))," ")</f>
        <v>318</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45945</v>
      </c>
      <c r="B27" s="365" t="s">
        <v>339</v>
      </c>
      <c r="E27" s="367" t="s">
        <v>317</v>
      </c>
      <c r="G27" s="368" t="n">
        <v>12</v>
      </c>
      <c r="H27" s="340" t="n">
        <f aca="false">IF((G27&lt;&gt;0),IF((D27&gt;0)," ",G27)," ")</f>
        <v>12</v>
      </c>
      <c r="I27" s="369" t="n">
        <f aca="false">IF((G27&lt;&gt;0),IF((D27&gt;0)," ",(I$1-A27))," ")</f>
        <v>318</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45945</v>
      </c>
      <c r="B28" s="365" t="s">
        <v>388</v>
      </c>
      <c r="E28" s="367" t="s">
        <v>358</v>
      </c>
      <c r="G28" s="368" t="n">
        <v>1200</v>
      </c>
      <c r="H28" s="340" t="n">
        <f aca="false">IF((G28&lt;&gt;0),IF((D28&gt;0)," ",G28)," ")</f>
        <v>1200</v>
      </c>
      <c r="I28" s="369" t="n">
        <f aca="false">IF((G28&lt;&gt;0),IF((D28&gt;0)," ",(I$1-A28))," ")</f>
        <v>318</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45948</v>
      </c>
      <c r="B29" s="365" t="s">
        <v>370</v>
      </c>
      <c r="E29" s="367" t="s">
        <v>330</v>
      </c>
      <c r="G29" s="368" t="n">
        <v>120</v>
      </c>
      <c r="H29" s="340" t="n">
        <f aca="false">IF((G29&lt;&gt;0),IF((D29&gt;0)," ",G29)," ")</f>
        <v>120</v>
      </c>
      <c r="I29" s="369" t="n">
        <f aca="false">IF((G29&lt;&gt;0),IF((D29&gt;0)," ",(I$1-A29))," ")</f>
        <v>315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45948</v>
      </c>
      <c r="B30" s="365" t="s">
        <v>340</v>
      </c>
      <c r="E30" s="367" t="s">
        <v>298</v>
      </c>
      <c r="G30" s="368" t="n">
        <v>96</v>
      </c>
      <c r="H30" s="340" t="n">
        <f aca="false">IF((G30&lt;&gt;0),IF((D30&gt;0)," ",G30)," ")</f>
        <v>96</v>
      </c>
      <c r="I30" s="369" t="n">
        <f aca="false">IF((G30&lt;&gt;0),IF((D30&gt;0)," ",(I$1-A30))," ")</f>
        <v>315</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45950</v>
      </c>
      <c r="B31" s="365" t="s">
        <v>249</v>
      </c>
      <c r="E31" s="367" t="s">
        <v>317</v>
      </c>
      <c r="G31" s="368" t="n">
        <v>60</v>
      </c>
      <c r="H31" s="340" t="n">
        <f aca="false">IF((G31&lt;&gt;0),IF((D31&gt;0)," ",G31)," ")</f>
        <v>60</v>
      </c>
      <c r="I31" s="369" t="n">
        <f aca="false">IF((G31&lt;&gt;0),IF((D31&gt;0)," ",(I$1-A31))," ")</f>
        <v>313</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45950</v>
      </c>
      <c r="B32" s="365" t="s">
        <v>341</v>
      </c>
      <c r="E32" s="367" t="s">
        <v>342</v>
      </c>
      <c r="G32" s="368" t="n">
        <v>96</v>
      </c>
      <c r="H32" s="340" t="n">
        <f aca="false">IF((G32&lt;&gt;0),IF((D32&gt;0)," ",G32)," ")</f>
        <v>96</v>
      </c>
      <c r="I32" s="369" t="n">
        <f aca="false">IF((G32&lt;&gt;0),IF((D32&gt;0)," ",(I$1-A32))," ")</f>
        <v>313</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45951</v>
      </c>
      <c r="B33" s="365" t="s">
        <v>343</v>
      </c>
      <c r="E33" s="367" t="s">
        <v>330</v>
      </c>
      <c r="G33" s="368" t="n">
        <v>8</v>
      </c>
      <c r="H33" s="340" t="n">
        <f aca="false">IF((G33&lt;&gt;0),IF((D33&gt;0)," ",G33)," ")</f>
        <v>8</v>
      </c>
      <c r="I33" s="369" t="n">
        <f aca="false">IF((G33&lt;&gt;0),IF((D33&gt;0)," ",(I$1-A33))," ")</f>
        <v>312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45952</v>
      </c>
      <c r="B34" s="365" t="s">
        <v>344</v>
      </c>
      <c r="E34" s="367" t="s">
        <v>320</v>
      </c>
      <c r="G34" s="368" t="n">
        <v>18</v>
      </c>
      <c r="H34" s="340" t="n">
        <f aca="false">IF((G34&lt;&gt;0),IF((D34&gt;0)," ",G34)," ")</f>
        <v>18</v>
      </c>
      <c r="I34" s="369" t="n">
        <f aca="false">IF((G34&lt;&gt;0),IF((D34&gt;0)," ",(I$1-A34))," ")</f>
        <v>311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45955</v>
      </c>
      <c r="B35" s="365" t="s">
        <v>345</v>
      </c>
      <c r="E35" s="367" t="s">
        <v>320</v>
      </c>
      <c r="G35" s="368" t="n">
        <v>15</v>
      </c>
      <c r="H35" s="340" t="n">
        <f aca="false">IF((G35&lt;&gt;0),IF((D35&gt;0)," ",G35)," ")</f>
        <v>15</v>
      </c>
      <c r="I35" s="369" t="n">
        <f aca="false">IF((G35&lt;&gt;0),IF((D35&gt;0)," ",(I$1-A35))," ")</f>
        <v>308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45955</v>
      </c>
      <c r="B36" s="365" t="s">
        <v>346</v>
      </c>
      <c r="E36" s="367" t="s">
        <v>298</v>
      </c>
      <c r="G36" s="368" t="n">
        <v>42.75</v>
      </c>
      <c r="H36" s="340" t="n">
        <f aca="false">IF((G36&lt;&gt;0),IF((D36&gt;0)," ",G36)," ")</f>
        <v>42.75</v>
      </c>
      <c r="I36" s="369" t="n">
        <f aca="false">IF((G36&lt;&gt;0),IF((D36&gt;0)," ",(I$1-A36))," ")</f>
        <v>308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42.75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45955</v>
      </c>
      <c r="B37" s="365" t="s">
        <v>389</v>
      </c>
      <c r="E37" s="367" t="s">
        <v>361</v>
      </c>
      <c r="G37" s="368" t="n">
        <v>36000</v>
      </c>
      <c r="H37" s="340" t="n">
        <f aca="false">IF((G37&lt;&gt;0),IF((D37&gt;0)," ",G37)," ")</f>
        <v>36000</v>
      </c>
      <c r="I37" s="369" t="n">
        <f aca="false">IF((G37&lt;&gt;0),IF((D37&gt;0)," ",(I$1-A37))," ")</f>
        <v>308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row>
    <row r="38" customFormat="false" ht="12.75" hidden="false" customHeight="false" outlineLevel="0" collapsed="false">
      <c r="A38" s="357" t="n">
        <v>45958</v>
      </c>
      <c r="B38" s="365" t="s">
        <v>250</v>
      </c>
      <c r="E38" s="367" t="s">
        <v>298</v>
      </c>
      <c r="G38" s="368" t="n">
        <v>120</v>
      </c>
      <c r="H38" s="340" t="n">
        <f aca="false">IF((G38&lt;&gt;0),IF((D38&gt;0)," ",G38)," ")</f>
        <v>120</v>
      </c>
      <c r="I38" s="369" t="n">
        <f aca="false">IF((G38&lt;&gt;0),IF((D38&gt;0)," ",(I$1-A38))," ")</f>
        <v>305</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45961</v>
      </c>
      <c r="B39" s="365" t="s">
        <v>247</v>
      </c>
      <c r="E39" s="367" t="s">
        <v>347</v>
      </c>
      <c r="G39" s="368" t="n">
        <v>300</v>
      </c>
      <c r="H39" s="340" t="n">
        <f aca="false">IF((G39&lt;&gt;0),IF((D39&gt;0)," ",G39)," ")</f>
        <v>300</v>
      </c>
      <c r="I39" s="369" t="n">
        <f aca="false">IF((G39&lt;&gt;0),IF((D39&gt;0)," ",(I$1-A39))," ")</f>
        <v>302</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t="n">
        <v>45961</v>
      </c>
      <c r="B40" s="365" t="s">
        <v>348</v>
      </c>
      <c r="E40" s="367" t="s">
        <v>349</v>
      </c>
      <c r="G40" s="368" t="n">
        <v>3500</v>
      </c>
      <c r="H40" s="340" t="n">
        <f aca="false">IF((G40&lt;&gt;0),IF((D40&gt;0)," ",G40)," ")</f>
        <v>3500</v>
      </c>
      <c r="I40" s="369" t="n">
        <f aca="false">IF((G40&lt;&gt;0),IF((D40&gt;0)," ",(I$1-A40))," ")</f>
        <v>302</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t="n">
        <v>45961</v>
      </c>
      <c r="B41" s="365" t="s">
        <v>350</v>
      </c>
      <c r="E41" s="367" t="s">
        <v>349</v>
      </c>
      <c r="G41" s="368" t="n">
        <v>2200</v>
      </c>
      <c r="H41" s="340" t="n">
        <f aca="false">IF((G41&lt;&gt;0),IF((D41&gt;0)," ",G41)," ")</f>
        <v>2200</v>
      </c>
      <c r="I41" s="369" t="n">
        <f aca="false">IF((G41&lt;&gt;0),IF((D41&gt;0)," ",(I$1-A41))," ")</f>
        <v>302</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35320</v>
      </c>
      <c r="G1" s="345" t="n">
        <f aca="false">SUM(G4:G300)</f>
        <v>0</v>
      </c>
      <c r="H1" s="347" t="n">
        <f aca="false">SUM(H4:H300)</f>
        <v>35320</v>
      </c>
      <c r="I1" s="348" t="n">
        <f aca="true">TODAY()</f>
        <v>46263</v>
      </c>
      <c r="J1" s="345" t="n">
        <f aca="false">SUM(J4:J300)</f>
        <v>0</v>
      </c>
      <c r="K1" s="349" t="n">
        <f aca="false">J1+SalesOct!K1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45964</v>
      </c>
      <c r="B4" s="336" t="s">
        <v>266</v>
      </c>
      <c r="F4" s="336" t="n">
        <v>360</v>
      </c>
      <c r="H4" s="340" t="n">
        <f aca="false">IF((F4&lt;&gt;0),IF((D4&gt;0)," ",F4)," ")</f>
        <v>360</v>
      </c>
      <c r="I4" s="341" t="n">
        <f aca="false">IF((F4&lt;&gt;0),IF((D4&gt;0)," ",(I$1-A4))," ")</f>
        <v>299</v>
      </c>
    </row>
    <row r="5" customFormat="false" ht="12.75" hidden="false" customHeight="false" outlineLevel="0" collapsed="false">
      <c r="A5" s="357" t="n">
        <v>45966</v>
      </c>
      <c r="B5" s="336" t="s">
        <v>267</v>
      </c>
      <c r="F5" s="336" t="n">
        <v>600</v>
      </c>
      <c r="H5" s="340" t="n">
        <f aca="false">IF((F5&lt;&gt;0),IF((D5&gt;0)," ",F5)," ")</f>
        <v>600</v>
      </c>
      <c r="I5" s="341" t="n">
        <f aca="false">IF((F5&lt;&gt;0),IF((D5&gt;0)," ",(I$1-A5))," ")</f>
        <v>297</v>
      </c>
    </row>
    <row r="6" customFormat="false" ht="12.75" hidden="false" customHeight="false" outlineLevel="0" collapsed="false">
      <c r="A6" s="357" t="n">
        <v>45969</v>
      </c>
      <c r="B6" s="336" t="s">
        <v>268</v>
      </c>
      <c r="F6" s="336" t="n">
        <v>480</v>
      </c>
      <c r="H6" s="340" t="n">
        <f aca="false">IF((F6&lt;&gt;0),IF((D6&gt;0)," ",F6)," ")</f>
        <v>480</v>
      </c>
      <c r="I6" s="341" t="n">
        <f aca="false">IF((F6&lt;&gt;0),IF((D6&gt;0)," ",(I$1-A6))," ")</f>
        <v>294</v>
      </c>
    </row>
    <row r="7" customFormat="false" ht="12.75" hidden="false" customHeight="false" outlineLevel="0" collapsed="false">
      <c r="A7" s="357" t="n">
        <v>45971</v>
      </c>
      <c r="B7" s="336" t="s">
        <v>269</v>
      </c>
      <c r="F7" s="336" t="n">
        <v>720</v>
      </c>
      <c r="H7" s="340" t="n">
        <f aca="false">IF((F7&lt;&gt;0),IF((D7&gt;0)," ",F7)," ")</f>
        <v>720</v>
      </c>
      <c r="I7" s="341" t="n">
        <f aca="false">IF((F7&lt;&gt;0),IF((D7&gt;0)," ",(I$1-A7))," ")</f>
        <v>292</v>
      </c>
    </row>
    <row r="8" customFormat="false" ht="12.75" hidden="false" customHeight="false" outlineLevel="0" collapsed="false">
      <c r="A8" s="357" t="n">
        <v>45973</v>
      </c>
      <c r="B8" s="336" t="s">
        <v>351</v>
      </c>
      <c r="F8" s="336" t="n">
        <v>960</v>
      </c>
      <c r="H8" s="340" t="n">
        <f aca="false">IF((F8&lt;&gt;0),IF((D8&gt;0)," ",F8)," ")</f>
        <v>960</v>
      </c>
      <c r="I8" s="341" t="n">
        <f aca="false">IF((F8&lt;&gt;0),IF((D8&gt;0)," ",(I$1-A8))," ")</f>
        <v>290</v>
      </c>
    </row>
    <row r="9" customFormat="false" ht="12.75" hidden="false" customHeight="false" outlineLevel="0" collapsed="false">
      <c r="A9" s="357" t="n">
        <v>45976</v>
      </c>
      <c r="B9" s="336" t="s">
        <v>242</v>
      </c>
      <c r="F9" s="336" t="n">
        <v>25000</v>
      </c>
      <c r="H9" s="340" t="n">
        <f aca="false">IF((F9&lt;&gt;0),IF((D9&gt;0)," ",F9)," ")</f>
        <v>25000</v>
      </c>
      <c r="I9" s="341" t="n">
        <f aca="false">IF((F9&lt;&gt;0),IF((D9&gt;0)," ",(I$1-A9))," ")</f>
        <v>287</v>
      </c>
    </row>
    <row r="10" customFormat="false" ht="12.75" hidden="false" customHeight="false" outlineLevel="0" collapsed="false">
      <c r="A10" s="357" t="n">
        <v>45979</v>
      </c>
      <c r="B10" s="336" t="s">
        <v>244</v>
      </c>
      <c r="F10" s="336" t="n">
        <v>2400</v>
      </c>
      <c r="H10" s="340" t="n">
        <f aca="false">IF((F10&lt;&gt;0),IF((D10&gt;0)," ",F10)," ")</f>
        <v>2400</v>
      </c>
      <c r="I10" s="341" t="n">
        <f aca="false">IF((F10&lt;&gt;0),IF((D10&gt;0)," ",(I$1-A10))," ")</f>
        <v>284</v>
      </c>
    </row>
    <row r="11" customFormat="false" ht="12.75" hidden="false" customHeight="false" outlineLevel="0" collapsed="false">
      <c r="A11" s="357" t="n">
        <v>45981</v>
      </c>
      <c r="B11" s="336" t="s">
        <v>390</v>
      </c>
      <c r="F11" s="336" t="n">
        <v>3600</v>
      </c>
      <c r="H11" s="340" t="n">
        <f aca="false">IF((F11&lt;&gt;0),IF((D11&gt;0)," ",F11)," ")</f>
        <v>3600</v>
      </c>
      <c r="I11" s="341" t="n">
        <f aca="false">IF((F11&lt;&gt;0),IF((D11&gt;0)," ",(I$1-A11))," ")</f>
        <v>282</v>
      </c>
    </row>
    <row r="12" customFormat="false" ht="12.75" hidden="false" customHeight="false" outlineLevel="0" collapsed="false">
      <c r="A12" s="357" t="n">
        <v>45986</v>
      </c>
      <c r="B12" s="336" t="s">
        <v>353</v>
      </c>
      <c r="F12" s="336" t="n">
        <v>1200</v>
      </c>
      <c r="H12" s="340" t="n">
        <f aca="false">IF((F12&lt;&gt;0),IF((D12&gt;0)," ",F12)," ")</f>
        <v>1200</v>
      </c>
      <c r="I12" s="341" t="n">
        <f aca="false">IF((F12&lt;&gt;0),IF((D12&gt;0)," ",(I$1-A12))," ")</f>
        <v>277</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273</v>
      </c>
      <c r="C1" s="346" t="n">
        <f aca="false">PurchasesOct!C1+PurchasesNov!F1+SalesNov!$E$1</f>
        <v>0</v>
      </c>
      <c r="D1" s="371" t="s">
        <v>255</v>
      </c>
      <c r="E1" s="373" t="str">
        <f aca="false">IF((G1-SUM(J1:W1)&lt;&gt;0),(G1-SUM(J1:W1))," ")</f>
        <v> </v>
      </c>
      <c r="F1" s="346" t="n">
        <f aca="false">SUM(F5:F300)</f>
        <v>0</v>
      </c>
      <c r="G1" s="345" t="n">
        <f aca="false">SUM(G4:G300)</f>
        <v>12618</v>
      </c>
      <c r="H1" s="374" t="n">
        <f aca="false">SUM(H5:H300)</f>
        <v>12618</v>
      </c>
      <c r="I1" s="375" t="n">
        <f aca="true">TODAY()</f>
        <v>46263</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IF((C1&lt;Admin!$F$22),((C1-PurchasesOct!C1)*Admin!$G$21),(C1*Admin!$G$21-(C1-Admin!$F$21)*(Admin!$G$21-Admin!$G$22)-PurchasesOct!A1))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45962</v>
      </c>
      <c r="B5" s="365" t="s">
        <v>246</v>
      </c>
      <c r="E5" s="367" t="s">
        <v>315</v>
      </c>
      <c r="G5" s="368" t="n">
        <v>1200</v>
      </c>
      <c r="H5" s="340" t="n">
        <f aca="false">IF((G5&lt;&gt;0),IF((D5&gt;0)," ",G5)," ")</f>
        <v>1200</v>
      </c>
      <c r="I5" s="369" t="n">
        <f aca="false">IF((G5&lt;&gt;0),IF((D5&gt;0)," ",(I$1-A5))," ")</f>
        <v>301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316</v>
      </c>
      <c r="E6" s="367" t="s">
        <v>317</v>
      </c>
      <c r="G6" s="368" t="n">
        <v>30</v>
      </c>
      <c r="H6" s="340" t="n">
        <f aca="false">IF((G6&lt;&gt;0),IF((D6&gt;0)," ",G6)," ")</f>
        <v>30</v>
      </c>
      <c r="I6" s="369" t="n">
        <f aca="false">IF((G6&lt;&gt;0),IF((D6&gt;0)," ",(I$1-A6))," ")</f>
        <v>301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45962</v>
      </c>
      <c r="B7" s="365" t="s">
        <v>318</v>
      </c>
      <c r="E7" s="367" t="s">
        <v>317</v>
      </c>
      <c r="G7" s="368" t="n">
        <v>15</v>
      </c>
      <c r="H7" s="340" t="n">
        <f aca="false">IF((G7&lt;&gt;0),IF((D7&gt;0)," ",G7)," ")</f>
        <v>15</v>
      </c>
      <c r="I7" s="369" t="n">
        <f aca="false">IF((G7&lt;&gt;0),IF((D7&gt;0)," ",(I$1-A7))," ")</f>
        <v>301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45962</v>
      </c>
      <c r="B8" s="365" t="s">
        <v>319</v>
      </c>
      <c r="E8" s="367" t="s">
        <v>320</v>
      </c>
      <c r="G8" s="368" t="n">
        <v>45</v>
      </c>
      <c r="H8" s="340" t="n">
        <f aca="false">IF((G8&lt;&gt;0),IF((D8&gt;0)," ",G8)," ")</f>
        <v>45</v>
      </c>
      <c r="I8" s="369" t="n">
        <f aca="false">IF((G8&lt;&gt;0),IF((D8&gt;0)," ",(I$1-A8))," ")</f>
        <v>301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45962</v>
      </c>
      <c r="B9" s="365" t="s">
        <v>322</v>
      </c>
      <c r="E9" s="367" t="s">
        <v>320</v>
      </c>
      <c r="G9" s="368" t="n">
        <v>24</v>
      </c>
      <c r="H9" s="340" t="n">
        <f aca="false">IF((G9&lt;&gt;0),IF((D9&gt;0)," ",G9)," ")</f>
        <v>24</v>
      </c>
      <c r="I9" s="369" t="n">
        <f aca="false">IF((G9&lt;&gt;0),IF((D9&gt;0)," ",(I$1-A9))," ")</f>
        <v>301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45962</v>
      </c>
      <c r="B10" s="365" t="s">
        <v>323</v>
      </c>
      <c r="E10" s="367" t="s">
        <v>317</v>
      </c>
      <c r="G10" s="368" t="n">
        <v>18</v>
      </c>
      <c r="H10" s="340" t="n">
        <f aca="false">IF((G10&lt;&gt;0),IF((D10&gt;0)," ",G10)," ")</f>
        <v>18</v>
      </c>
      <c r="I10" s="369" t="n">
        <f aca="false">IF((G10&lt;&gt;0),IF((D10&gt;0)," ",(I$1-A10))," ")</f>
        <v>301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45964</v>
      </c>
      <c r="B11" s="365" t="s">
        <v>324</v>
      </c>
      <c r="E11" s="367" t="s">
        <v>320</v>
      </c>
      <c r="G11" s="368" t="n">
        <v>180</v>
      </c>
      <c r="H11" s="340" t="n">
        <f aca="false">IF((G11&lt;&gt;0),IF((D11&gt;0)," ",G11)," ")</f>
        <v>180</v>
      </c>
      <c r="I11" s="369" t="n">
        <f aca="false">IF((G11&lt;&gt;0),IF((D11&gt;0)," ",(I$1-A11))," ")</f>
        <v>299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45964</v>
      </c>
      <c r="B12" s="365" t="s">
        <v>325</v>
      </c>
      <c r="E12" s="367" t="s">
        <v>320</v>
      </c>
      <c r="G12" s="368" t="n">
        <v>22</v>
      </c>
      <c r="H12" s="340" t="n">
        <f aca="false">IF((G12&lt;&gt;0),IF((D12&gt;0)," ",G12)," ")</f>
        <v>22</v>
      </c>
      <c r="I12" s="369" t="n">
        <f aca="false">IF((G12&lt;&gt;0),IF((D12&gt;0)," ",(I$1-A12))," ")</f>
        <v>299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45966</v>
      </c>
      <c r="B13" s="365" t="s">
        <v>326</v>
      </c>
      <c r="E13" s="367" t="s">
        <v>320</v>
      </c>
      <c r="G13" s="368" t="n">
        <v>24</v>
      </c>
      <c r="H13" s="340" t="n">
        <f aca="false">IF((G13&lt;&gt;0),IF((D13&gt;0)," ",G13)," ")</f>
        <v>24</v>
      </c>
      <c r="I13" s="369" t="n">
        <f aca="false">IF((G13&lt;&gt;0),IF((D13&gt;0)," ",(I$1-A13))," ")</f>
        <v>297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45966</v>
      </c>
      <c r="B14" s="365" t="s">
        <v>327</v>
      </c>
      <c r="E14" s="367" t="s">
        <v>298</v>
      </c>
      <c r="G14" s="368" t="n">
        <v>180</v>
      </c>
      <c r="H14" s="340" t="n">
        <f aca="false">IF((G14&lt;&gt;0),IF((D14&gt;0)," ",G14)," ")</f>
        <v>180</v>
      </c>
      <c r="I14" s="369" t="n">
        <f aca="false">IF((G14&lt;&gt;0),IF((D14&gt;0)," ",(I$1-A14))," ")</f>
        <v>297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45967</v>
      </c>
      <c r="B15" s="365" t="s">
        <v>355</v>
      </c>
      <c r="E15" s="367" t="s">
        <v>330</v>
      </c>
      <c r="G15" s="368" t="n">
        <v>72</v>
      </c>
      <c r="H15" s="340" t="n">
        <f aca="false">IF((G15&lt;&gt;0),IF((D15&gt;0)," ",G15)," ")</f>
        <v>72</v>
      </c>
      <c r="I15" s="369" t="n">
        <f aca="false">IF((G15&lt;&gt;0),IF((D15&gt;0)," ",(I$1-A15))," ")</f>
        <v>296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45969</v>
      </c>
      <c r="B16" s="365" t="s">
        <v>329</v>
      </c>
      <c r="E16" s="367" t="s">
        <v>330</v>
      </c>
      <c r="G16" s="368" t="n">
        <v>48</v>
      </c>
      <c r="H16" s="340" t="n">
        <f aca="false">IF((G16&lt;&gt;0),IF((D16&gt;0)," ",G16)," ")</f>
        <v>48</v>
      </c>
      <c r="I16" s="369" t="n">
        <f aca="false">IF((G16&lt;&gt;0),IF((D16&gt;0)," ",(I$1-A16))," ")</f>
        <v>294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45971</v>
      </c>
      <c r="B17" s="365" t="s">
        <v>331</v>
      </c>
      <c r="E17" s="367" t="s">
        <v>320</v>
      </c>
      <c r="G17" s="368" t="n">
        <v>36</v>
      </c>
      <c r="H17" s="340" t="n">
        <f aca="false">IF((G17&lt;&gt;0),IF((D17&gt;0)," ",G17)," ")</f>
        <v>36</v>
      </c>
      <c r="I17" s="369" t="n">
        <f aca="false">IF((G17&lt;&gt;0),IF((D17&gt;0)," ",(I$1-A17))," ")</f>
        <v>292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45973</v>
      </c>
      <c r="B18" s="365" t="s">
        <v>335</v>
      </c>
      <c r="E18" s="367" t="s">
        <v>298</v>
      </c>
      <c r="G18" s="368" t="n">
        <v>18</v>
      </c>
      <c r="H18" s="340" t="n">
        <f aca="false">IF((G18&lt;&gt;0),IF((D18&gt;0)," ",G18)," ")</f>
        <v>18</v>
      </c>
      <c r="I18" s="369" t="n">
        <f aca="false">IF((G18&lt;&gt;0),IF((D18&gt;0)," ",(I$1-A18))," ")</f>
        <v>290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45975</v>
      </c>
      <c r="B19" s="365" t="s">
        <v>337</v>
      </c>
      <c r="E19" s="367" t="s">
        <v>330</v>
      </c>
      <c r="G19" s="368" t="n">
        <v>24</v>
      </c>
      <c r="H19" s="340" t="n">
        <f aca="false">IF((G19&lt;&gt;0),IF((D19&gt;0)," ",G19)," ")</f>
        <v>24</v>
      </c>
      <c r="I19" s="369" t="n">
        <f aca="false">IF((G19&lt;&gt;0),IF((D19&gt;0)," ",(I$1-A19))," ")</f>
        <v>288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45975</v>
      </c>
      <c r="B20" s="365" t="s">
        <v>338</v>
      </c>
      <c r="E20" s="367" t="s">
        <v>330</v>
      </c>
      <c r="G20" s="368" t="n">
        <v>12</v>
      </c>
      <c r="H20" s="340" t="n">
        <f aca="false">IF((G20&lt;&gt;0),IF((D20&gt;0)," ",G20)," ")</f>
        <v>12</v>
      </c>
      <c r="I20" s="369" t="n">
        <f aca="false">IF((G20&lt;&gt;0),IF((D20&gt;0)," ",(I$1-A20))," ")</f>
        <v>288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45976</v>
      </c>
      <c r="B21" s="365" t="s">
        <v>250</v>
      </c>
      <c r="D21" s="365"/>
      <c r="E21" s="367" t="s">
        <v>298</v>
      </c>
      <c r="G21" s="368" t="n">
        <v>150</v>
      </c>
      <c r="H21" s="340" t="n">
        <f aca="false">IF((G21&lt;&gt;0),IF((D21&gt;0)," ",G21)," ")</f>
        <v>150</v>
      </c>
      <c r="I21" s="369" t="n">
        <f aca="false">IF((G21&lt;&gt;0),IF((D21&gt;0)," ",(I$1-A21))," ")</f>
        <v>287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45976</v>
      </c>
      <c r="B22" s="365" t="s">
        <v>339</v>
      </c>
      <c r="D22" s="395"/>
      <c r="E22" s="367" t="s">
        <v>317</v>
      </c>
      <c r="G22" s="368" t="n">
        <v>12</v>
      </c>
      <c r="H22" s="340" t="n">
        <f aca="false">IF((G22&lt;&gt;0),IF((D22&gt;0)," ",G22)," ")</f>
        <v>12</v>
      </c>
      <c r="I22" s="369" t="n">
        <f aca="false">IF((G22&lt;&gt;0),IF((D22&gt;0)," ",(I$1-A22))," ")</f>
        <v>287</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45976</v>
      </c>
      <c r="B23" s="365" t="s">
        <v>359</v>
      </c>
      <c r="E23" s="367" t="s">
        <v>334</v>
      </c>
      <c r="G23" s="368" t="n">
        <v>540</v>
      </c>
      <c r="H23" s="340" t="n">
        <f aca="false">IF((G23&lt;&gt;0),IF((D23&gt;0)," ",G23)," ")</f>
        <v>540</v>
      </c>
      <c r="I23" s="369" t="n">
        <f aca="false">IF((G23&lt;&gt;0),IF((D23&gt;0)," ",(I$1-A23))," ")</f>
        <v>287</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45976</v>
      </c>
      <c r="B24" s="365" t="s">
        <v>368</v>
      </c>
      <c r="E24" s="367" t="s">
        <v>369</v>
      </c>
      <c r="G24" s="368" t="n">
        <v>3000</v>
      </c>
      <c r="H24" s="340" t="n">
        <f aca="false">IF((G24&lt;&gt;0),IF((D24&gt;0)," ",G24)," ")</f>
        <v>3000</v>
      </c>
      <c r="I24" s="369" t="n">
        <f aca="false">IF((G24&lt;&gt;0),IF((D24&gt;0)," ",(I$1-A24))," ")</f>
        <v>287</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45977</v>
      </c>
      <c r="B25" s="365" t="s">
        <v>362</v>
      </c>
      <c r="E25" s="367" t="s">
        <v>317</v>
      </c>
      <c r="G25" s="368" t="n">
        <v>30</v>
      </c>
      <c r="H25" s="340" t="n">
        <f aca="false">IF((G25&lt;&gt;0),IF((D25&gt;0)," ",G25)," ")</f>
        <v>30</v>
      </c>
      <c r="I25" s="369" t="n">
        <f aca="false">IF((G25&lt;&gt;0),IF((D25&gt;0)," ",(I$1-A25))," ")</f>
        <v>286</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45979</v>
      </c>
      <c r="B26" s="365" t="s">
        <v>340</v>
      </c>
      <c r="E26" s="367" t="s">
        <v>298</v>
      </c>
      <c r="G26" s="368" t="n">
        <v>96</v>
      </c>
      <c r="H26" s="340" t="n">
        <f aca="false">IF((G26&lt;&gt;0),IF((D26&gt;0)," ",G26)," ")</f>
        <v>96</v>
      </c>
      <c r="I26" s="369" t="n">
        <f aca="false">IF((G26&lt;&gt;0),IF((D26&gt;0)," ",(I$1-A26))," ")</f>
        <v>284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45981</v>
      </c>
      <c r="B27" s="365" t="s">
        <v>249</v>
      </c>
      <c r="E27" s="367" t="s">
        <v>317</v>
      </c>
      <c r="G27" s="368" t="n">
        <v>60</v>
      </c>
      <c r="H27" s="340" t="n">
        <f aca="false">IF((G27&lt;&gt;0),IF((D27&gt;0)," ",G27)," ")</f>
        <v>60</v>
      </c>
      <c r="I27" s="369" t="n">
        <f aca="false">IF((G27&lt;&gt;0),IF((D27&gt;0)," ",(I$1-A27))," ")</f>
        <v>282</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45981</v>
      </c>
      <c r="B28" s="365" t="s">
        <v>363</v>
      </c>
      <c r="E28" s="367" t="s">
        <v>320</v>
      </c>
      <c r="G28" s="368" t="n">
        <v>240</v>
      </c>
      <c r="H28" s="340" t="n">
        <f aca="false">IF((G28&lt;&gt;0),IF((D28&gt;0)," ",G28)," ")</f>
        <v>240</v>
      </c>
      <c r="I28" s="369" t="n">
        <f aca="false">IF((G28&lt;&gt;0),IF((D28&gt;0)," ",(I$1-A28))," ")</f>
        <v>282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row>
    <row r="29" customFormat="false" ht="12.75" hidden="false" customHeight="false" outlineLevel="0" collapsed="false">
      <c r="A29" s="357" t="n">
        <v>45981</v>
      </c>
      <c r="B29" s="365" t="s">
        <v>364</v>
      </c>
      <c r="E29" s="367" t="s">
        <v>334</v>
      </c>
      <c r="G29" s="368" t="n">
        <v>300</v>
      </c>
      <c r="H29" s="340" t="n">
        <f aca="false">IF((G29&lt;&gt;0),IF((D29&gt;0)," ",G29)," ")</f>
        <v>300</v>
      </c>
      <c r="I29" s="369" t="n">
        <f aca="false">IF((G29&lt;&gt;0),IF((D29&gt;0)," ",(I$1-A29))," ")</f>
        <v>282</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45982</v>
      </c>
      <c r="B30" s="365" t="s">
        <v>343</v>
      </c>
      <c r="E30" s="367" t="s">
        <v>330</v>
      </c>
      <c r="G30" s="368" t="n">
        <v>8</v>
      </c>
      <c r="H30" s="340" t="n">
        <f aca="false">IF((G30&lt;&gt;0),IF((D30&gt;0)," ",G30)," ")</f>
        <v>8</v>
      </c>
      <c r="I30" s="369" t="n">
        <f aca="false">IF((G30&lt;&gt;0),IF((D30&gt;0)," ",(I$1-A30))," ")</f>
        <v>281</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45983</v>
      </c>
      <c r="B31" s="365" t="s">
        <v>344</v>
      </c>
      <c r="E31" s="367" t="s">
        <v>320</v>
      </c>
      <c r="G31" s="368" t="n">
        <v>18</v>
      </c>
      <c r="H31" s="340" t="n">
        <f aca="false">IF((G31&lt;&gt;0),IF((D31&gt;0)," ",G31)," ")</f>
        <v>18</v>
      </c>
      <c r="I31" s="369" t="n">
        <f aca="false">IF((G31&lt;&gt;0),IF((D31&gt;0)," ",(I$1-A31))," ")</f>
        <v>280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45986</v>
      </c>
      <c r="B32" s="365" t="s">
        <v>345</v>
      </c>
      <c r="E32" s="367" t="s">
        <v>320</v>
      </c>
      <c r="G32" s="368" t="n">
        <v>15</v>
      </c>
      <c r="H32" s="340" t="n">
        <f aca="false">IF((G32&lt;&gt;0),IF((D32&gt;0)," ",G32)," ")</f>
        <v>15</v>
      </c>
      <c r="I32" s="369" t="n">
        <f aca="false">IF((G32&lt;&gt;0),IF((D32&gt;0)," ",(I$1-A32))," ")</f>
        <v>277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45986</v>
      </c>
      <c r="B33" s="365" t="s">
        <v>346</v>
      </c>
      <c r="E33" s="367" t="s">
        <v>298</v>
      </c>
      <c r="G33" s="368" t="n">
        <v>81</v>
      </c>
      <c r="H33" s="340" t="n">
        <f aca="false">IF((G33&lt;&gt;0),IF((D33&gt;0)," ",G33)," ")</f>
        <v>81</v>
      </c>
      <c r="I33" s="369" t="n">
        <f aca="false">IF((G33&lt;&gt;0),IF((D33&gt;0)," ",(I$1-A33))," ")</f>
        <v>277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81</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45989</v>
      </c>
      <c r="B34" s="365" t="s">
        <v>250</v>
      </c>
      <c r="E34" s="367" t="s">
        <v>298</v>
      </c>
      <c r="G34" s="368" t="n">
        <v>120</v>
      </c>
      <c r="H34" s="340" t="n">
        <f aca="false">IF((G34&lt;&gt;0),IF((D34&gt;0)," ",G34)," ")</f>
        <v>120</v>
      </c>
      <c r="I34" s="369" t="n">
        <f aca="false">IF((G34&lt;&gt;0),IF((D34&gt;0)," ",(I$1-A34))," ")</f>
        <v>274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45991</v>
      </c>
      <c r="B35" s="365" t="s">
        <v>247</v>
      </c>
      <c r="E35" s="367" t="s">
        <v>347</v>
      </c>
      <c r="G35" s="368" t="n">
        <v>300</v>
      </c>
      <c r="H35" s="340" t="n">
        <f aca="false">IF((G35&lt;&gt;0),IF((D35&gt;0)," ",G35)," ")</f>
        <v>300</v>
      </c>
      <c r="I35" s="369" t="n">
        <f aca="false">IF((G35&lt;&gt;0),IF((D35&gt;0)," ",(I$1-A35))," ")</f>
        <v>272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45991</v>
      </c>
      <c r="B36" s="365" t="s">
        <v>348</v>
      </c>
      <c r="E36" s="367" t="s">
        <v>349</v>
      </c>
      <c r="G36" s="368" t="n">
        <v>3500</v>
      </c>
      <c r="H36" s="340" t="n">
        <f aca="false">IF((G36&lt;&gt;0),IF((D36&gt;0)," ",G36)," ")</f>
        <v>3500</v>
      </c>
      <c r="I36" s="369" t="n">
        <f aca="false">IF((G36&lt;&gt;0),IF((D36&gt;0)," ",(I$1-A36))," ")</f>
        <v>272</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45991</v>
      </c>
      <c r="B37" s="365" t="s">
        <v>350</v>
      </c>
      <c r="E37" s="367" t="s">
        <v>349</v>
      </c>
      <c r="G37" s="368" t="n">
        <v>2200</v>
      </c>
      <c r="H37" s="340" t="n">
        <f aca="false">IF((G37&lt;&gt;0),IF((D37&gt;0)," ",G37)," ")</f>
        <v>2200</v>
      </c>
      <c r="I37" s="369" t="n">
        <f aca="false">IF((G37&lt;&gt;0),IF((D37&gt;0)," ",(I$1-A37))," ")</f>
        <v>272</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32800</v>
      </c>
      <c r="G1" s="345" t="n">
        <f aca="false">SUM(G4:G300)</f>
        <v>0</v>
      </c>
      <c r="H1" s="347" t="n">
        <f aca="false">SUM(H4:H300)</f>
        <v>32800</v>
      </c>
      <c r="I1" s="348" t="n">
        <f aca="true">TODAY()</f>
        <v>46263</v>
      </c>
      <c r="J1" s="345" t="n">
        <f aca="false">SUM(J4:J300)</f>
        <v>0</v>
      </c>
      <c r="K1" s="349" t="n">
        <f aca="false">J1+SalesNov!K1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45994</v>
      </c>
      <c r="B4" s="336" t="s">
        <v>266</v>
      </c>
      <c r="F4" s="336" t="n">
        <v>360</v>
      </c>
      <c r="H4" s="340" t="n">
        <f aca="false">IF((F4&lt;&gt;0),IF((D4&gt;0)," ",F4)," ")</f>
        <v>360</v>
      </c>
      <c r="I4" s="341" t="n">
        <f aca="false">IF((F4&lt;&gt;0),IF((D4&gt;0)," ",(I$1-A4))," ")</f>
        <v>269</v>
      </c>
    </row>
    <row r="5" customFormat="false" ht="12.75" hidden="false" customHeight="false" outlineLevel="0" collapsed="false">
      <c r="A5" s="357" t="n">
        <v>45996</v>
      </c>
      <c r="B5" s="336" t="s">
        <v>267</v>
      </c>
      <c r="F5" s="336" t="n">
        <v>600</v>
      </c>
      <c r="H5" s="340" t="n">
        <f aca="false">IF((F5&lt;&gt;0),IF((D5&gt;0)," ",F5)," ")</f>
        <v>600</v>
      </c>
      <c r="I5" s="341" t="n">
        <f aca="false">IF((F5&lt;&gt;0),IF((D5&gt;0)," ",(I$1-A5))," ")</f>
        <v>267</v>
      </c>
    </row>
    <row r="6" customFormat="false" ht="12.75" hidden="false" customHeight="false" outlineLevel="0" collapsed="false">
      <c r="A6" s="357" t="n">
        <v>45999</v>
      </c>
      <c r="B6" s="336" t="s">
        <v>268</v>
      </c>
      <c r="F6" s="336" t="n">
        <v>480</v>
      </c>
      <c r="H6" s="340" t="n">
        <f aca="false">IF((F6&lt;&gt;0),IF((D6&gt;0)," ",F6)," ")</f>
        <v>480</v>
      </c>
      <c r="I6" s="341" t="n">
        <f aca="false">IF((F6&lt;&gt;0),IF((D6&gt;0)," ",(I$1-A6))," ")</f>
        <v>264</v>
      </c>
    </row>
    <row r="7" customFormat="false" ht="12.75" hidden="false" customHeight="false" outlineLevel="0" collapsed="false">
      <c r="A7" s="357" t="n">
        <v>46001</v>
      </c>
      <c r="B7" s="336" t="s">
        <v>269</v>
      </c>
      <c r="F7" s="336" t="n">
        <v>720</v>
      </c>
      <c r="H7" s="340" t="n">
        <f aca="false">IF((F7&lt;&gt;0),IF((D7&gt;0)," ",F7)," ")</f>
        <v>720</v>
      </c>
      <c r="I7" s="341" t="n">
        <f aca="false">IF((F7&lt;&gt;0),IF((D7&gt;0)," ",(I$1-A7))," ")</f>
        <v>262</v>
      </c>
    </row>
    <row r="8" customFormat="false" ht="12.75" hidden="false" customHeight="false" outlineLevel="0" collapsed="false">
      <c r="A8" s="357" t="n">
        <v>46006</v>
      </c>
      <c r="B8" s="336" t="s">
        <v>242</v>
      </c>
      <c r="F8" s="336" t="n">
        <v>25000</v>
      </c>
      <c r="H8" s="340" t="n">
        <f aca="false">IF((F8&lt;&gt;0),IF((D8&gt;0)," ",F8)," ")</f>
        <v>25000</v>
      </c>
      <c r="I8" s="341" t="n">
        <f aca="false">IF((F8&lt;&gt;0),IF((D8&gt;0)," ",(I$1-A8))," ")</f>
        <v>257</v>
      </c>
    </row>
    <row r="9" customFormat="false" ht="12.75" hidden="false" customHeight="false" outlineLevel="0" collapsed="false">
      <c r="A9" s="357" t="n">
        <v>46009</v>
      </c>
      <c r="B9" s="336" t="s">
        <v>244</v>
      </c>
      <c r="F9" s="336" t="n">
        <v>2400</v>
      </c>
      <c r="H9" s="340" t="n">
        <f aca="false">IF((F9&lt;&gt;0),IF((D9&gt;0)," ",F9)," ")</f>
        <v>2400</v>
      </c>
      <c r="I9" s="341" t="n">
        <f aca="false">IF((F9&lt;&gt;0),IF((D9&gt;0)," ",(I$1-A9))," ")</f>
        <v>254</v>
      </c>
    </row>
    <row r="10" customFormat="false" ht="12.75" hidden="false" customHeight="false" outlineLevel="0" collapsed="false">
      <c r="A10" s="357" t="n">
        <v>46011</v>
      </c>
      <c r="B10" s="336" t="s">
        <v>270</v>
      </c>
      <c r="F10" s="336" t="n">
        <v>1800</v>
      </c>
      <c r="H10" s="340" t="n">
        <f aca="false">IF((F10&lt;&gt;0),IF((D10&gt;0)," ",F10)," ")</f>
        <v>1800</v>
      </c>
      <c r="I10" s="341" t="n">
        <f aca="false">IF((F10&lt;&gt;0),IF((D10&gt;0)," ",(I$1-A10))," ")</f>
        <v>252</v>
      </c>
    </row>
    <row r="11" customFormat="false" ht="12.75" hidden="false" customHeight="false" outlineLevel="0" collapsed="false">
      <c r="A11" s="357" t="n">
        <v>46013</v>
      </c>
      <c r="B11" s="336" t="s">
        <v>366</v>
      </c>
      <c r="F11" s="336" t="n">
        <v>1440</v>
      </c>
      <c r="H11" s="340" t="n">
        <f aca="false">IF((F11&lt;&gt;0),IF((D11&gt;0)," ",F11)," ")</f>
        <v>1440</v>
      </c>
      <c r="I11" s="341" t="n">
        <f aca="false">IF((F11&lt;&gt;0),IF((D11&gt;0)," ",(I$1-A11))," ")</f>
        <v>250</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273</v>
      </c>
      <c r="C1" s="346" t="n">
        <f aca="false">PurchasesNov!C1+PurchasesDec!F1+SalesDec!$E$1</f>
        <v>0</v>
      </c>
      <c r="D1" s="371" t="s">
        <v>255</v>
      </c>
      <c r="E1" s="373" t="str">
        <f aca="false">IF((G1-SUM(J1:W1)&lt;&gt;0),(G1-SUM(J1:W1))," ")</f>
        <v> </v>
      </c>
      <c r="F1" s="346" t="n">
        <f aca="false">SUM(F5:F300)</f>
        <v>0</v>
      </c>
      <c r="G1" s="345" t="n">
        <f aca="false">SUM(G4:G300)</f>
        <v>15151.5</v>
      </c>
      <c r="H1" s="374" t="n">
        <f aca="false">SUM(H5:H300)</f>
        <v>15151.5</v>
      </c>
      <c r="I1" s="375" t="n">
        <f aca="true">TODAY()</f>
        <v>46263</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IF((C1&lt;Admin!$F$22),((C1-PurchasesNov!C1)*Admin!$G$21),(C1*Admin!$G$21-(C1-Admin!$F$21)*(Admin!$G$21-Admin!$G$22)-PurchasesNov!A1))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45992</v>
      </c>
      <c r="B5" s="365" t="s">
        <v>246</v>
      </c>
      <c r="E5" s="367" t="s">
        <v>315</v>
      </c>
      <c r="G5" s="368" t="n">
        <v>1200</v>
      </c>
      <c r="H5" s="340" t="n">
        <f aca="false">IF((G5&lt;&gt;0),IF((D5&gt;0)," ",G5)," ")</f>
        <v>1200</v>
      </c>
      <c r="I5" s="369" t="n">
        <f aca="false">IF((G5&lt;&gt;0),IF((D5&gt;0)," ",(I$1-A5))," ")</f>
        <v>271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45992</v>
      </c>
      <c r="B6" s="365" t="s">
        <v>316</v>
      </c>
      <c r="E6" s="367" t="s">
        <v>317</v>
      </c>
      <c r="G6" s="368" t="n">
        <v>30</v>
      </c>
      <c r="H6" s="340" t="n">
        <f aca="false">IF((G6&lt;&gt;0),IF((D6&gt;0)," ",G6)," ")</f>
        <v>30</v>
      </c>
      <c r="I6" s="369" t="n">
        <f aca="false">IF((G6&lt;&gt;0),IF((D6&gt;0)," ",(I$1-A6))," ")</f>
        <v>271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318</v>
      </c>
      <c r="E7" s="367" t="s">
        <v>317</v>
      </c>
      <c r="G7" s="368" t="n">
        <v>15</v>
      </c>
      <c r="H7" s="340" t="n">
        <f aca="false">IF((G7&lt;&gt;0),IF((D7&gt;0)," ",G7)," ")</f>
        <v>15</v>
      </c>
      <c r="I7" s="369" t="n">
        <f aca="false">IF((G7&lt;&gt;0),IF((D7&gt;0)," ",(I$1-A7))," ")</f>
        <v>271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45992</v>
      </c>
      <c r="B8" s="365" t="s">
        <v>319</v>
      </c>
      <c r="E8" s="367" t="s">
        <v>320</v>
      </c>
      <c r="G8" s="368" t="n">
        <v>45</v>
      </c>
      <c r="H8" s="340" t="n">
        <f aca="false">IF((G8&lt;&gt;0),IF((D8&gt;0)," ",G8)," ")</f>
        <v>45</v>
      </c>
      <c r="I8" s="369" t="n">
        <f aca="false">IF((G8&lt;&gt;0),IF((D8&gt;0)," ",(I$1-A8))," ")</f>
        <v>271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45992</v>
      </c>
      <c r="B9" s="365" t="s">
        <v>322</v>
      </c>
      <c r="E9" s="367" t="s">
        <v>320</v>
      </c>
      <c r="G9" s="368" t="n">
        <v>24</v>
      </c>
      <c r="H9" s="340" t="n">
        <f aca="false">IF((G9&lt;&gt;0),IF((D9&gt;0)," ",G9)," ")</f>
        <v>24</v>
      </c>
      <c r="I9" s="369" t="n">
        <f aca="false">IF((G9&lt;&gt;0),IF((D9&gt;0)," ",(I$1-A9))," ")</f>
        <v>271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45992</v>
      </c>
      <c r="B10" s="365" t="s">
        <v>323</v>
      </c>
      <c r="E10" s="367" t="s">
        <v>317</v>
      </c>
      <c r="G10" s="368" t="n">
        <v>18</v>
      </c>
      <c r="H10" s="340" t="n">
        <f aca="false">IF((G10&lt;&gt;0),IF((D10&gt;0)," ",G10)," ")</f>
        <v>18</v>
      </c>
      <c r="I10" s="369" t="n">
        <f aca="false">IF((G10&lt;&gt;0),IF((D10&gt;0)," ",(I$1-A10))," ")</f>
        <v>271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45994</v>
      </c>
      <c r="B11" s="365" t="s">
        <v>324</v>
      </c>
      <c r="E11" s="367" t="s">
        <v>320</v>
      </c>
      <c r="G11" s="368" t="n">
        <v>180</v>
      </c>
      <c r="H11" s="340" t="n">
        <f aca="false">IF((G11&lt;&gt;0),IF((D11&gt;0)," ",G11)," ")</f>
        <v>180</v>
      </c>
      <c r="I11" s="369" t="n">
        <f aca="false">IF((G11&lt;&gt;0),IF((D11&gt;0)," ",(I$1-A11))," ")</f>
        <v>269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45994</v>
      </c>
      <c r="B12" s="365" t="s">
        <v>325</v>
      </c>
      <c r="E12" s="367" t="s">
        <v>320</v>
      </c>
      <c r="G12" s="368" t="n">
        <v>22</v>
      </c>
      <c r="H12" s="340" t="n">
        <f aca="false">IF((G12&lt;&gt;0),IF((D12&gt;0)," ",G12)," ")</f>
        <v>22</v>
      </c>
      <c r="I12" s="369" t="n">
        <f aca="false">IF((G12&lt;&gt;0),IF((D12&gt;0)," ",(I$1-A12))," ")</f>
        <v>269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45996</v>
      </c>
      <c r="B13" s="365" t="s">
        <v>326</v>
      </c>
      <c r="E13" s="367" t="s">
        <v>320</v>
      </c>
      <c r="G13" s="368" t="n">
        <v>24</v>
      </c>
      <c r="H13" s="340" t="n">
        <f aca="false">IF((G13&lt;&gt;0),IF((D13&gt;0)," ",G13)," ")</f>
        <v>24</v>
      </c>
      <c r="I13" s="369" t="n">
        <f aca="false">IF((G13&lt;&gt;0),IF((D13&gt;0)," ",(I$1-A13))," ")</f>
        <v>267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45996</v>
      </c>
      <c r="B14" s="365" t="s">
        <v>327</v>
      </c>
      <c r="E14" s="367" t="s">
        <v>298</v>
      </c>
      <c r="G14" s="368" t="n">
        <v>180</v>
      </c>
      <c r="H14" s="340" t="n">
        <f aca="false">IF((G14&lt;&gt;0),IF((D14&gt;0)," ",G14)," ")</f>
        <v>180</v>
      </c>
      <c r="I14" s="369" t="n">
        <f aca="false">IF((G14&lt;&gt;0),IF((D14&gt;0)," ",(I$1-A14))," ")</f>
        <v>267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45996</v>
      </c>
      <c r="B15" s="365" t="s">
        <v>328</v>
      </c>
      <c r="E15" s="367" t="s">
        <v>320</v>
      </c>
      <c r="G15" s="368" t="n">
        <v>36</v>
      </c>
      <c r="H15" s="340" t="n">
        <f aca="false">IF((G15&lt;&gt;0),IF((D15&gt;0)," ",G15)," ")</f>
        <v>36</v>
      </c>
      <c r="I15" s="369" t="n">
        <f aca="false">IF((G15&lt;&gt;0),IF((D15&gt;0)," ",(I$1-A15))," ")</f>
        <v>267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45999</v>
      </c>
      <c r="B16" s="365" t="s">
        <v>329</v>
      </c>
      <c r="E16" s="367" t="s">
        <v>330</v>
      </c>
      <c r="G16" s="368" t="n">
        <v>48</v>
      </c>
      <c r="H16" s="340" t="n">
        <f aca="false">IF((G16&lt;&gt;0),IF((D16&gt;0)," ",G16)," ")</f>
        <v>48</v>
      </c>
      <c r="I16" s="369" t="n">
        <f aca="false">IF((G16&lt;&gt;0),IF((D16&gt;0)," ",(I$1-A16))," ")</f>
        <v>264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46001</v>
      </c>
      <c r="B17" s="365" t="s">
        <v>331</v>
      </c>
      <c r="E17" s="367" t="s">
        <v>320</v>
      </c>
      <c r="G17" s="368" t="n">
        <v>36</v>
      </c>
      <c r="H17" s="340" t="n">
        <f aca="false">IF((G17&lt;&gt;0),IF((D17&gt;0)," ",G17)," ")</f>
        <v>36</v>
      </c>
      <c r="I17" s="369" t="n">
        <f aca="false">IF((G17&lt;&gt;0),IF((D17&gt;0)," ",(I$1-A17))," ")</f>
        <v>262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46001</v>
      </c>
      <c r="B18" s="365" t="s">
        <v>367</v>
      </c>
      <c r="E18" s="367" t="s">
        <v>317</v>
      </c>
      <c r="G18" s="368" t="n">
        <v>120</v>
      </c>
      <c r="H18" s="340" t="n">
        <f aca="false">IF((G18&lt;&gt;0),IF((D18&gt;0)," ",G18)," ")</f>
        <v>120</v>
      </c>
      <c r="I18" s="369" t="n">
        <f aca="false">IF((G18&lt;&gt;0),IF((D18&gt;0)," ",(I$1-A18))," ")</f>
        <v>262</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46003</v>
      </c>
      <c r="B19" s="365" t="s">
        <v>335</v>
      </c>
      <c r="E19" s="367" t="s">
        <v>298</v>
      </c>
      <c r="G19" s="368" t="n">
        <v>18</v>
      </c>
      <c r="H19" s="340" t="n">
        <f aca="false">IF((G19&lt;&gt;0),IF((D19&gt;0)," ",G19)," ")</f>
        <v>18</v>
      </c>
      <c r="I19" s="369" t="n">
        <f aca="false">IF((G19&lt;&gt;0),IF((D19&gt;0)," ",(I$1-A19))," ")</f>
        <v>260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46005</v>
      </c>
      <c r="B20" s="365" t="s">
        <v>336</v>
      </c>
      <c r="E20" s="367" t="s">
        <v>320</v>
      </c>
      <c r="G20" s="368" t="n">
        <v>24</v>
      </c>
      <c r="H20" s="340" t="n">
        <f aca="false">IF((G20&lt;&gt;0),IF((D20&gt;0)," ",G20)," ")</f>
        <v>24</v>
      </c>
      <c r="I20" s="369" t="n">
        <f aca="false">IF((G20&lt;&gt;0),IF((D20&gt;0)," ",(I$1-A20))," ")</f>
        <v>258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row>
    <row r="21" customFormat="false" ht="12.75" hidden="false" customHeight="false" outlineLevel="0" collapsed="false">
      <c r="A21" s="357" t="n">
        <v>46005</v>
      </c>
      <c r="B21" s="365" t="s">
        <v>337</v>
      </c>
      <c r="D21" s="365"/>
      <c r="E21" s="367" t="s">
        <v>330</v>
      </c>
      <c r="G21" s="368" t="n">
        <v>24</v>
      </c>
      <c r="H21" s="340" t="n">
        <f aca="false">IF((G21&lt;&gt;0),IF((D21&gt;0)," ",G21)," ")</f>
        <v>24</v>
      </c>
      <c r="I21" s="369" t="n">
        <f aca="false">IF((G21&lt;&gt;0),IF((D21&gt;0)," ",(I$1-A21))," ")</f>
        <v>258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46005</v>
      </c>
      <c r="B22" s="365" t="s">
        <v>338</v>
      </c>
      <c r="D22" s="395"/>
      <c r="E22" s="367" t="s">
        <v>330</v>
      </c>
      <c r="G22" s="368" t="n">
        <v>12</v>
      </c>
      <c r="H22" s="340" t="n">
        <f aca="false">IF((G22&lt;&gt;0),IF((D22&gt;0)," ",G22)," ")</f>
        <v>12</v>
      </c>
      <c r="I22" s="369" t="n">
        <f aca="false">IF((G22&lt;&gt;0),IF((D22&gt;0)," ",(I$1-A22))," ")</f>
        <v>258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46006</v>
      </c>
      <c r="B23" s="365" t="s">
        <v>250</v>
      </c>
      <c r="E23" s="367" t="s">
        <v>298</v>
      </c>
      <c r="G23" s="368" t="n">
        <v>150</v>
      </c>
      <c r="H23" s="340" t="n">
        <f aca="false">IF((G23&lt;&gt;0),IF((D23&gt;0)," ",G23)," ")</f>
        <v>150</v>
      </c>
      <c r="I23" s="369" t="n">
        <f aca="false">IF((G23&lt;&gt;0),IF((D23&gt;0)," ",(I$1-A23))," ")</f>
        <v>257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46006</v>
      </c>
      <c r="B24" s="365" t="s">
        <v>339</v>
      </c>
      <c r="E24" s="367" t="s">
        <v>317</v>
      </c>
      <c r="G24" s="368" t="n">
        <v>12</v>
      </c>
      <c r="H24" s="340" t="n">
        <f aca="false">IF((G24&lt;&gt;0),IF((D24&gt;0)," ",G24)," ")</f>
        <v>12</v>
      </c>
      <c r="I24" s="369" t="n">
        <f aca="false">IF((G24&lt;&gt;0),IF((D24&gt;0)," ",(I$1-A24))," ")</f>
        <v>257</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46006</v>
      </c>
      <c r="B25" s="365" t="s">
        <v>391</v>
      </c>
      <c r="E25" s="367" t="s">
        <v>392</v>
      </c>
      <c r="G25" s="368" t="n">
        <v>500</v>
      </c>
      <c r="H25" s="340" t="n">
        <f aca="false">IF((G25&lt;&gt;0),IF((D25&gt;0)," ",G25)," ")</f>
        <v>500</v>
      </c>
      <c r="I25" s="369" t="n">
        <f aca="false">IF((G25&lt;&gt;0),IF((D25&gt;0)," ",(I$1-A25))," ")</f>
        <v>257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row>
    <row r="26" customFormat="false" ht="12.75" hidden="false" customHeight="false" outlineLevel="0" collapsed="false">
      <c r="A26" s="357" t="n">
        <v>46009</v>
      </c>
      <c r="B26" s="365" t="s">
        <v>371</v>
      </c>
      <c r="E26" s="367" t="s">
        <v>334</v>
      </c>
      <c r="G26" s="368" t="n">
        <v>480</v>
      </c>
      <c r="H26" s="340" t="n">
        <f aca="false">IF((G26&lt;&gt;0),IF((D26&gt;0)," ",G26)," ")</f>
        <v>480</v>
      </c>
      <c r="I26" s="369" t="n">
        <f aca="false">IF((G26&lt;&gt;0),IF((D26&gt;0)," ",(I$1-A26))," ")</f>
        <v>254</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46009</v>
      </c>
      <c r="B27" s="365" t="s">
        <v>340</v>
      </c>
      <c r="E27" s="367" t="s">
        <v>298</v>
      </c>
      <c r="G27" s="368" t="n">
        <v>96</v>
      </c>
      <c r="H27" s="340" t="n">
        <f aca="false">IF((G27&lt;&gt;0),IF((D27&gt;0)," ",G27)," ")</f>
        <v>96</v>
      </c>
      <c r="I27" s="369" t="n">
        <f aca="false">IF((G27&lt;&gt;0),IF((D27&gt;0)," ",(I$1-A27))," ")</f>
        <v>254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46011</v>
      </c>
      <c r="B28" s="365" t="s">
        <v>249</v>
      </c>
      <c r="E28" s="367" t="s">
        <v>317</v>
      </c>
      <c r="G28" s="368" t="n">
        <v>60</v>
      </c>
      <c r="H28" s="340" t="n">
        <f aca="false">IF((G28&lt;&gt;0),IF((D28&gt;0)," ",G28)," ")</f>
        <v>60</v>
      </c>
      <c r="I28" s="369" t="n">
        <f aca="false">IF((G28&lt;&gt;0),IF((D28&gt;0)," ",(I$1-A28))," ")</f>
        <v>252</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46012</v>
      </c>
      <c r="B29" s="365" t="s">
        <v>343</v>
      </c>
      <c r="E29" s="367" t="s">
        <v>330</v>
      </c>
      <c r="G29" s="368" t="n">
        <v>8</v>
      </c>
      <c r="H29" s="340" t="n">
        <f aca="false">IF((G29&lt;&gt;0),IF((D29&gt;0)," ",G29)," ")</f>
        <v>8</v>
      </c>
      <c r="I29" s="369" t="n">
        <f aca="false">IF((G29&lt;&gt;0),IF((D29&gt;0)," ",(I$1-A29))," ")</f>
        <v>251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46013</v>
      </c>
      <c r="B30" s="365" t="s">
        <v>344</v>
      </c>
      <c r="E30" s="367" t="s">
        <v>320</v>
      </c>
      <c r="G30" s="368" t="n">
        <v>18</v>
      </c>
      <c r="H30" s="340" t="n">
        <f aca="false">IF((G30&lt;&gt;0),IF((D30&gt;0)," ",G30)," ")</f>
        <v>18</v>
      </c>
      <c r="I30" s="369" t="n">
        <f aca="false">IF((G30&lt;&gt;0),IF((D30&gt;0)," ",(I$1-A30))," ")</f>
        <v>250</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46016</v>
      </c>
      <c r="B31" s="365" t="s">
        <v>372</v>
      </c>
      <c r="E31" s="367" t="s">
        <v>315</v>
      </c>
      <c r="G31" s="368" t="n">
        <v>420</v>
      </c>
      <c r="H31" s="340" t="n">
        <f aca="false">IF((G31&lt;&gt;0),IF((D31&gt;0)," ",G31)," ")</f>
        <v>420</v>
      </c>
      <c r="I31" s="369" t="n">
        <f aca="false">IF((G31&lt;&gt;0),IF((D31&gt;0)," ",(I$1-A31))," ")</f>
        <v>247</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46016</v>
      </c>
      <c r="B32" s="365" t="s">
        <v>345</v>
      </c>
      <c r="E32" s="367" t="s">
        <v>320</v>
      </c>
      <c r="G32" s="368" t="n">
        <v>15</v>
      </c>
      <c r="H32" s="340" t="n">
        <f aca="false">IF((G32&lt;&gt;0),IF((D32&gt;0)," ",G32)," ")</f>
        <v>15</v>
      </c>
      <c r="I32" s="369" t="n">
        <f aca="false">IF((G32&lt;&gt;0),IF((D32&gt;0)," ",(I$1-A32))," ")</f>
        <v>247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46016</v>
      </c>
      <c r="B33" s="365" t="s">
        <v>346</v>
      </c>
      <c r="E33" s="367" t="s">
        <v>298</v>
      </c>
      <c r="G33" s="368" t="n">
        <v>49.5</v>
      </c>
      <c r="H33" s="340" t="n">
        <f aca="false">IF((G33&lt;&gt;0),IF((D33&gt;0)," ",G33)," ")</f>
        <v>49.5</v>
      </c>
      <c r="I33" s="369" t="n">
        <f aca="false">IF((G33&lt;&gt;0),IF((D33&gt;0)," ",(I$1-A33))," ")</f>
        <v>247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49.5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46019</v>
      </c>
      <c r="B34" s="365" t="s">
        <v>250</v>
      </c>
      <c r="E34" s="367" t="s">
        <v>298</v>
      </c>
      <c r="G34" s="368" t="n">
        <v>120</v>
      </c>
      <c r="H34" s="340" t="n">
        <f aca="false">IF((G34&lt;&gt;0),IF((D34&gt;0)," ",G34)," ")</f>
        <v>120</v>
      </c>
      <c r="I34" s="369" t="n">
        <f aca="false">IF((G34&lt;&gt;0),IF((D34&gt;0)," ",(I$1-A34))," ")</f>
        <v>244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46022</v>
      </c>
      <c r="B35" s="365" t="s">
        <v>247</v>
      </c>
      <c r="E35" s="367" t="s">
        <v>347</v>
      </c>
      <c r="G35" s="368" t="n">
        <v>300</v>
      </c>
      <c r="H35" s="340" t="n">
        <f aca="false">IF((G35&lt;&gt;0),IF((D35&gt;0)," ",G35)," ")</f>
        <v>300</v>
      </c>
      <c r="I35" s="369" t="n">
        <f aca="false">IF((G35&lt;&gt;0),IF((D35&gt;0)," ",(I$1-A35))," ")</f>
        <v>241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46022</v>
      </c>
      <c r="B36" s="365" t="s">
        <v>393</v>
      </c>
      <c r="E36" s="367" t="s">
        <v>320</v>
      </c>
      <c r="G36" s="368" t="n">
        <v>5000</v>
      </c>
      <c r="H36" s="340" t="n">
        <f aca="false">IF((G36&lt;&gt;0),IF((D36&gt;0)," ",G36)," ")</f>
        <v>5000</v>
      </c>
      <c r="I36" s="369" t="n">
        <f aca="false">IF((G36&lt;&gt;0),IF((D36&gt;0)," ",(I$1-A36))," ")</f>
        <v>241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row>
    <row r="37" customFormat="false" ht="12.75" hidden="false" customHeight="false" outlineLevel="0" collapsed="false">
      <c r="A37" s="357" t="n">
        <v>46022</v>
      </c>
      <c r="B37" s="365" t="s">
        <v>373</v>
      </c>
      <c r="E37" s="367" t="s">
        <v>374</v>
      </c>
      <c r="G37" s="368" t="n">
        <v>167</v>
      </c>
      <c r="H37" s="340" t="n">
        <f aca="false">IF((G37&lt;&gt;0),IF((D37&gt;0)," ",G37)," ")</f>
        <v>167</v>
      </c>
      <c r="I37" s="369" t="n">
        <f aca="false">IF((G37&lt;&gt;0),IF((D37&gt;0)," ",(I$1-A37))," ")</f>
        <v>241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row>
    <row r="38" customFormat="false" ht="12.75" hidden="false" customHeight="false" outlineLevel="0" collapsed="false">
      <c r="A38" s="357" t="n">
        <v>46022</v>
      </c>
      <c r="B38" s="365" t="s">
        <v>348</v>
      </c>
      <c r="E38" s="367" t="s">
        <v>349</v>
      </c>
      <c r="G38" s="368" t="n">
        <v>3500</v>
      </c>
      <c r="H38" s="340" t="n">
        <f aca="false">IF((G38&lt;&gt;0),IF((D38&gt;0)," ",G38)," ")</f>
        <v>3500</v>
      </c>
      <c r="I38" s="369" t="n">
        <f aca="false">IF((G38&lt;&gt;0),IF((D38&gt;0)," ",(I$1-A38))," ")</f>
        <v>241</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46022</v>
      </c>
      <c r="B39" s="365" t="s">
        <v>350</v>
      </c>
      <c r="E39" s="367" t="s">
        <v>349</v>
      </c>
      <c r="G39" s="368" t="n">
        <v>2200</v>
      </c>
      <c r="H39" s="340" t="n">
        <f aca="false">IF((G39&lt;&gt;0),IF((D39&gt;0)," ",G39)," ")</f>
        <v>2200</v>
      </c>
      <c r="I39" s="369" t="n">
        <f aca="false">IF((G39&lt;&gt;0),IF((D39&gt;0)," ",(I$1-A39))," ")</f>
        <v>241</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35440</v>
      </c>
      <c r="G1" s="345" t="n">
        <f aca="false">SUM(G4:G300)</f>
        <v>0</v>
      </c>
      <c r="H1" s="347" t="n">
        <f aca="false">SUM(H4:H300)</f>
        <v>35440</v>
      </c>
      <c r="I1" s="348" t="n">
        <f aca="true">TODAY()</f>
        <v>46263</v>
      </c>
      <c r="J1" s="345" t="n">
        <f aca="false">SUM(J4:J300)</f>
        <v>0</v>
      </c>
      <c r="K1" s="349" t="n">
        <f aca="false">J1+SalesDec!K1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46023</v>
      </c>
      <c r="B4" s="336" t="s">
        <v>243</v>
      </c>
      <c r="F4" s="336" t="n">
        <v>1200</v>
      </c>
      <c r="H4" s="340" t="n">
        <f aca="false">IF((F4&lt;&gt;0),IF((D4&gt;0)," ",F4)," ")</f>
        <v>1200</v>
      </c>
      <c r="I4" s="341" t="n">
        <f aca="false">IF((F4&lt;&gt;0),IF((D4&gt;0)," ",(I$1-A4))," ")</f>
        <v>240</v>
      </c>
    </row>
    <row r="5" customFormat="false" ht="12.75" hidden="false" customHeight="false" outlineLevel="0" collapsed="false">
      <c r="A5" s="357" t="n">
        <v>46025</v>
      </c>
      <c r="B5" s="336" t="s">
        <v>266</v>
      </c>
      <c r="F5" s="336" t="n">
        <v>360</v>
      </c>
      <c r="H5" s="340" t="n">
        <f aca="false">IF((F5&lt;&gt;0),IF((D5&gt;0)," ",F5)," ")</f>
        <v>360</v>
      </c>
      <c r="I5" s="341" t="n">
        <f aca="false">IF((F5&lt;&gt;0),IF((D5&gt;0)," ",(I$1-A5))," ")</f>
        <v>238</v>
      </c>
    </row>
    <row r="6" customFormat="false" ht="12.75" hidden="false" customHeight="false" outlineLevel="0" collapsed="false">
      <c r="A6" s="357" t="n">
        <v>46027</v>
      </c>
      <c r="B6" s="336" t="s">
        <v>267</v>
      </c>
      <c r="F6" s="336" t="n">
        <v>600</v>
      </c>
      <c r="H6" s="340" t="n">
        <f aca="false">IF((F6&lt;&gt;0),IF((D6&gt;0)," ",F6)," ")</f>
        <v>600</v>
      </c>
      <c r="I6" s="341" t="n">
        <f aca="false">IF((F6&lt;&gt;0),IF((D6&gt;0)," ",(I$1-A6))," ")</f>
        <v>236</v>
      </c>
    </row>
    <row r="7" customFormat="false" ht="12.75" hidden="false" customHeight="false" outlineLevel="0" collapsed="false">
      <c r="A7" s="357" t="n">
        <v>46030</v>
      </c>
      <c r="B7" s="336" t="s">
        <v>268</v>
      </c>
      <c r="F7" s="336" t="n">
        <v>480</v>
      </c>
      <c r="H7" s="340" t="n">
        <f aca="false">IF((F7&lt;&gt;0),IF((D7&gt;0)," ",F7)," ")</f>
        <v>480</v>
      </c>
      <c r="I7" s="341" t="n">
        <f aca="false">IF((F7&lt;&gt;0),IF((D7&gt;0)," ",(I$1-A7))," ")</f>
        <v>233</v>
      </c>
    </row>
    <row r="8" customFormat="false" ht="12.75" hidden="false" customHeight="false" outlineLevel="0" collapsed="false">
      <c r="A8" s="357" t="n">
        <v>46032</v>
      </c>
      <c r="B8" s="336" t="s">
        <v>269</v>
      </c>
      <c r="F8" s="336" t="n">
        <v>720</v>
      </c>
      <c r="H8" s="340" t="n">
        <f aca="false">IF((F8&lt;&gt;0),IF((D8&gt;0)," ",F8)," ")</f>
        <v>720</v>
      </c>
      <c r="I8" s="341" t="n">
        <f aca="false">IF((F8&lt;&gt;0),IF((D8&gt;0)," ",(I$1-A8))," ")</f>
        <v>231</v>
      </c>
    </row>
    <row r="9" customFormat="false" ht="12.75" hidden="false" customHeight="false" outlineLevel="0" collapsed="false">
      <c r="A9" s="357" t="n">
        <v>46036</v>
      </c>
      <c r="B9" s="336" t="s">
        <v>375</v>
      </c>
      <c r="F9" s="336" t="n">
        <v>2160</v>
      </c>
      <c r="H9" s="340" t="n">
        <f aca="false">IF((F9&lt;&gt;0),IF((D9&gt;0)," ",F9)," ")</f>
        <v>2160</v>
      </c>
      <c r="I9" s="341" t="n">
        <f aca="false">IF((F9&lt;&gt;0),IF((D9&gt;0)," ",(I$1-A9))," ")</f>
        <v>227</v>
      </c>
    </row>
    <row r="10" customFormat="false" ht="12.75" hidden="false" customHeight="false" outlineLevel="0" collapsed="false">
      <c r="A10" s="357" t="n">
        <v>46037</v>
      </c>
      <c r="B10" s="336" t="s">
        <v>242</v>
      </c>
      <c r="F10" s="336" t="n">
        <v>25000</v>
      </c>
      <c r="H10" s="340" t="n">
        <f aca="false">IF((F10&lt;&gt;0),IF((D10&gt;0)," ",F10)," ")</f>
        <v>25000</v>
      </c>
      <c r="I10" s="341" t="n">
        <f aca="false">IF((F10&lt;&gt;0),IF((D10&gt;0)," ",(I$1-A10))," ")</f>
        <v>226</v>
      </c>
    </row>
    <row r="11" customFormat="false" ht="12.75" hidden="false" customHeight="false" outlineLevel="0" collapsed="false">
      <c r="A11" s="357" t="n">
        <v>46038</v>
      </c>
      <c r="B11" s="336" t="s">
        <v>352</v>
      </c>
      <c r="F11" s="336" t="n">
        <v>1200</v>
      </c>
      <c r="H11" s="340" t="n">
        <f aca="false">IF((F11&lt;&gt;0),IF((D11&gt;0)," ",F11)," ")</f>
        <v>1200</v>
      </c>
      <c r="I11" s="341" t="n">
        <f aca="false">IF((F11&lt;&gt;0),IF((D11&gt;0)," ",(I$1-A11))," ")</f>
        <v>225</v>
      </c>
    </row>
    <row r="12" customFormat="false" ht="12.75" hidden="false" customHeight="false" outlineLevel="0" collapsed="false">
      <c r="A12" s="357" t="n">
        <v>46040</v>
      </c>
      <c r="B12" s="336" t="s">
        <v>244</v>
      </c>
      <c r="F12" s="336" t="n">
        <v>2400</v>
      </c>
      <c r="H12" s="340" t="n">
        <f aca="false">IF((F12&lt;&gt;0),IF((D12&gt;0)," ",F12)," ")</f>
        <v>2400</v>
      </c>
      <c r="I12" s="341" t="n">
        <f aca="false">IF((F12&lt;&gt;0),IF((D12&gt;0)," ",(I$1-A12))," ")</f>
        <v>223</v>
      </c>
    </row>
    <row r="13" customFormat="false" ht="12.75" hidden="false" customHeight="false" outlineLevel="0" collapsed="false">
      <c r="A13" s="357" t="n">
        <v>46047</v>
      </c>
      <c r="B13" s="336" t="s">
        <v>394</v>
      </c>
      <c r="F13" s="336" t="n">
        <v>480</v>
      </c>
      <c r="H13" s="340" t="n">
        <f aca="false">IF((F13&lt;&gt;0),IF((D13&gt;0)," ",F13)," ")</f>
        <v>480</v>
      </c>
      <c r="I13" s="341" t="n">
        <f aca="false">IF((F13&lt;&gt;0),IF((D13&gt;0)," ",(I$1-A13))," ")</f>
        <v>216</v>
      </c>
    </row>
    <row r="14" customFormat="false" ht="12.75" hidden="false" customHeight="false" outlineLevel="0" collapsed="false">
      <c r="A14" s="357" t="n">
        <v>46050</v>
      </c>
      <c r="B14" s="336" t="s">
        <v>271</v>
      </c>
      <c r="F14" s="336" t="n">
        <v>840</v>
      </c>
      <c r="H14" s="340" t="n">
        <f aca="false">IF((F14&lt;&gt;0),IF((D14&gt;0)," ",F14)," ")</f>
        <v>840</v>
      </c>
      <c r="I14" s="341" t="n">
        <f aca="false">IF((F14&lt;&gt;0),IF((D14&gt;0)," ",(I$1-A14))," ")</f>
        <v>213</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273</v>
      </c>
      <c r="C1" s="346" t="n">
        <f aca="false">PurchasesDec!C1+PurchasesJan!F1+SalesJan!$E$1</f>
        <v>0</v>
      </c>
      <c r="D1" s="371" t="s">
        <v>255</v>
      </c>
      <c r="E1" s="373" t="str">
        <f aca="false">IF((G1-SUM(J1:W1)&lt;&gt;0),(G1-SUM(J1:W1))," ")</f>
        <v> </v>
      </c>
      <c r="F1" s="346" t="n">
        <f aca="false">SUM(F5:F300)</f>
        <v>0</v>
      </c>
      <c r="G1" s="345" t="n">
        <f aca="false">SUM(G4:G300)</f>
        <v>10211.25</v>
      </c>
      <c r="H1" s="374" t="n">
        <f aca="false">SUM(H5:H300)</f>
        <v>10211.25</v>
      </c>
      <c r="I1" s="375" t="n">
        <f aca="true">TODAY()</f>
        <v>46263</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IF((C1&lt;Admin!$F$22),((C1-PurchasesDec!C1)*Admin!$G$21),(C1*Admin!$G$21-(C1-Admin!$F$21)*(Admin!$G$21-Admin!$G$22)-PurchasesDec!A1))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46023</v>
      </c>
      <c r="B5" s="365" t="s">
        <v>246</v>
      </c>
      <c r="E5" s="367" t="s">
        <v>315</v>
      </c>
      <c r="G5" s="368" t="n">
        <v>1200</v>
      </c>
      <c r="H5" s="340" t="n">
        <f aca="false">IF((G5&lt;&gt;0),IF((D5&gt;0)," ",G5)," ")</f>
        <v>1200</v>
      </c>
      <c r="I5" s="369" t="n">
        <f aca="false">IF((G5&lt;&gt;0),IF((D5&gt;0)," ",(I$1-A5))," ")</f>
        <v>240</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46023</v>
      </c>
      <c r="B6" s="365" t="s">
        <v>316</v>
      </c>
      <c r="E6" s="367" t="s">
        <v>317</v>
      </c>
      <c r="G6" s="368" t="n">
        <v>30</v>
      </c>
      <c r="H6" s="340" t="n">
        <f aca="false">IF((G6&lt;&gt;0),IF((D6&gt;0)," ",G6)," ")</f>
        <v>30</v>
      </c>
      <c r="I6" s="369" t="n">
        <f aca="false">IF((G6&lt;&gt;0),IF((D6&gt;0)," ",(I$1-A6))," ")</f>
        <v>240</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318</v>
      </c>
      <c r="E7" s="367" t="s">
        <v>317</v>
      </c>
      <c r="G7" s="368" t="n">
        <v>15</v>
      </c>
      <c r="H7" s="340" t="n">
        <f aca="false">IF((G7&lt;&gt;0),IF((D7&gt;0)," ",G7)," ")</f>
        <v>15</v>
      </c>
      <c r="I7" s="369" t="n">
        <f aca="false">IF((G7&lt;&gt;0),IF((D7&gt;0)," ",(I$1-A7))," ")</f>
        <v>240</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46023</v>
      </c>
      <c r="B8" s="365" t="s">
        <v>319</v>
      </c>
      <c r="E8" s="367" t="s">
        <v>320</v>
      </c>
      <c r="G8" s="368" t="n">
        <v>45</v>
      </c>
      <c r="H8" s="340" t="n">
        <f aca="false">IF((G8&lt;&gt;0),IF((D8&gt;0)," ",G8)," ")</f>
        <v>45</v>
      </c>
      <c r="I8" s="369" t="n">
        <f aca="false">IF((G8&lt;&gt;0),IF((D8&gt;0)," ",(I$1-A8))," ")</f>
        <v>240</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46023</v>
      </c>
      <c r="B9" s="365" t="s">
        <v>322</v>
      </c>
      <c r="E9" s="367" t="s">
        <v>320</v>
      </c>
      <c r="G9" s="368" t="n">
        <v>24</v>
      </c>
      <c r="H9" s="340" t="n">
        <f aca="false">IF((G9&lt;&gt;0),IF((D9&gt;0)," ",G9)," ")</f>
        <v>24</v>
      </c>
      <c r="I9" s="369" t="n">
        <f aca="false">IF((G9&lt;&gt;0),IF((D9&gt;0)," ",(I$1-A9))," ")</f>
        <v>240</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46023</v>
      </c>
      <c r="B10" s="365" t="s">
        <v>323</v>
      </c>
      <c r="E10" s="367" t="s">
        <v>317</v>
      </c>
      <c r="G10" s="368" t="n">
        <v>18</v>
      </c>
      <c r="H10" s="340" t="n">
        <f aca="false">IF((G10&lt;&gt;0),IF((D10&gt;0)," ",G10)," ")</f>
        <v>18</v>
      </c>
      <c r="I10" s="369" t="n">
        <f aca="false">IF((G10&lt;&gt;0),IF((D10&gt;0)," ",(I$1-A10))," ")</f>
        <v>240</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46025</v>
      </c>
      <c r="B11" s="365" t="s">
        <v>324</v>
      </c>
      <c r="E11" s="367" t="s">
        <v>320</v>
      </c>
      <c r="G11" s="368" t="n">
        <v>180</v>
      </c>
      <c r="H11" s="340" t="n">
        <f aca="false">IF((G11&lt;&gt;0),IF((D11&gt;0)," ",G11)," ")</f>
        <v>180</v>
      </c>
      <c r="I11" s="369" t="n">
        <f aca="false">IF((G11&lt;&gt;0),IF((D11&gt;0)," ",(I$1-A11))," ")</f>
        <v>238</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46025</v>
      </c>
      <c r="B12" s="365" t="s">
        <v>325</v>
      </c>
      <c r="E12" s="367" t="s">
        <v>320</v>
      </c>
      <c r="G12" s="368" t="n">
        <v>22</v>
      </c>
      <c r="H12" s="340" t="n">
        <f aca="false">IF((G12&lt;&gt;0),IF((D12&gt;0)," ",G12)," ")</f>
        <v>22</v>
      </c>
      <c r="I12" s="369" t="n">
        <f aca="false">IF((G12&lt;&gt;0),IF((D12&gt;0)," ",(I$1-A12))," ")</f>
        <v>238</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46027</v>
      </c>
      <c r="B13" s="365" t="s">
        <v>326</v>
      </c>
      <c r="E13" s="367" t="s">
        <v>320</v>
      </c>
      <c r="G13" s="368" t="n">
        <v>24</v>
      </c>
      <c r="H13" s="340" t="n">
        <f aca="false">IF((G13&lt;&gt;0),IF((D13&gt;0)," ",G13)," ")</f>
        <v>24</v>
      </c>
      <c r="I13" s="369" t="n">
        <f aca="false">IF((G13&lt;&gt;0),IF((D13&gt;0)," ",(I$1-A13))," ")</f>
        <v>236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46027</v>
      </c>
      <c r="B14" s="365" t="s">
        <v>377</v>
      </c>
      <c r="E14" s="367" t="s">
        <v>358</v>
      </c>
      <c r="G14" s="368" t="n">
        <v>480</v>
      </c>
      <c r="H14" s="340" t="n">
        <f aca="false">IF((G14&lt;&gt;0),IF((D14&gt;0)," ",G14)," ")</f>
        <v>480</v>
      </c>
      <c r="I14" s="369" t="n">
        <f aca="false">IF((G14&lt;&gt;0),IF((D14&gt;0)," ",(I$1-A14))," ")</f>
        <v>236</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46027</v>
      </c>
      <c r="B15" s="365" t="s">
        <v>327</v>
      </c>
      <c r="E15" s="367" t="s">
        <v>298</v>
      </c>
      <c r="G15" s="368" t="n">
        <v>180</v>
      </c>
      <c r="H15" s="340" t="n">
        <f aca="false">IF((G15&lt;&gt;0),IF((D15&gt;0)," ",G15)," ")</f>
        <v>180</v>
      </c>
      <c r="I15" s="369" t="n">
        <f aca="false">IF((G15&lt;&gt;0),IF((D15&gt;0)," ",(I$1-A15))," ")</f>
        <v>236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46030</v>
      </c>
      <c r="B16" s="365" t="s">
        <v>329</v>
      </c>
      <c r="E16" s="367" t="s">
        <v>330</v>
      </c>
      <c r="G16" s="368" t="n">
        <v>48</v>
      </c>
      <c r="H16" s="340" t="n">
        <f aca="false">IF((G16&lt;&gt;0),IF((D16&gt;0)," ",G16)," ")</f>
        <v>48</v>
      </c>
      <c r="I16" s="369" t="n">
        <f aca="false">IF((G16&lt;&gt;0),IF((D16&gt;0)," ",(I$1-A16))," ")</f>
        <v>233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46030</v>
      </c>
      <c r="B17" s="365" t="s">
        <v>356</v>
      </c>
      <c r="E17" s="367" t="s">
        <v>320</v>
      </c>
      <c r="G17" s="368" t="n">
        <v>180</v>
      </c>
      <c r="H17" s="340" t="n">
        <f aca="false">IF((G17&lt;&gt;0),IF((D17&gt;0)," ",G17)," ")</f>
        <v>180</v>
      </c>
      <c r="I17" s="369" t="n">
        <f aca="false">IF((G17&lt;&gt;0),IF((D17&gt;0)," ",(I$1-A17))," ")</f>
        <v>233</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row>
    <row r="18" customFormat="false" ht="12.75" hidden="false" customHeight="false" outlineLevel="0" collapsed="false">
      <c r="A18" s="357" t="n">
        <v>46032</v>
      </c>
      <c r="B18" s="365" t="s">
        <v>331</v>
      </c>
      <c r="E18" s="367" t="s">
        <v>320</v>
      </c>
      <c r="G18" s="368" t="n">
        <v>36</v>
      </c>
      <c r="H18" s="340" t="n">
        <f aca="false">IF((G18&lt;&gt;0),IF((D18&gt;0)," ",G18)," ")</f>
        <v>36</v>
      </c>
      <c r="I18" s="369" t="n">
        <f aca="false">IF((G18&lt;&gt;0),IF((D18&gt;0)," ",(I$1-A18))," ")</f>
        <v>231</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46032</v>
      </c>
      <c r="B19" s="365" t="s">
        <v>332</v>
      </c>
      <c r="E19" s="367" t="s">
        <v>320</v>
      </c>
      <c r="G19" s="368" t="n">
        <v>180</v>
      </c>
      <c r="H19" s="340" t="n">
        <f aca="false">IF((G19&lt;&gt;0),IF((D19&gt;0)," ",G19)," ")</f>
        <v>180</v>
      </c>
      <c r="I19" s="369" t="n">
        <f aca="false">IF((G19&lt;&gt;0),IF((D19&gt;0)," ",(I$1-A19))," ")</f>
        <v>231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46032</v>
      </c>
      <c r="B20" s="365" t="s">
        <v>333</v>
      </c>
      <c r="E20" s="367" t="s">
        <v>334</v>
      </c>
      <c r="G20" s="368" t="n">
        <v>600</v>
      </c>
      <c r="H20" s="340" t="n">
        <f aca="false">IF((G20&lt;&gt;0),IF((D20&gt;0)," ",G20)," ")</f>
        <v>600</v>
      </c>
      <c r="I20" s="369" t="n">
        <f aca="false">IF((G20&lt;&gt;0),IF((D20&gt;0)," ",(I$1-A20))," ")</f>
        <v>231</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46034</v>
      </c>
      <c r="B21" s="365" t="s">
        <v>335</v>
      </c>
      <c r="D21" s="365"/>
      <c r="E21" s="367" t="s">
        <v>298</v>
      </c>
      <c r="G21" s="368" t="n">
        <v>18</v>
      </c>
      <c r="H21" s="340" t="n">
        <f aca="false">IF((G21&lt;&gt;0),IF((D21&gt;0)," ",G21)," ")</f>
        <v>18</v>
      </c>
      <c r="I21" s="369" t="n">
        <f aca="false">IF((G21&lt;&gt;0),IF((D21&gt;0)," ",(I$1-A21))," ")</f>
        <v>229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46036</v>
      </c>
      <c r="B22" s="365" t="s">
        <v>337</v>
      </c>
      <c r="D22" s="395"/>
      <c r="E22" s="367" t="s">
        <v>330</v>
      </c>
      <c r="G22" s="368" t="n">
        <v>24</v>
      </c>
      <c r="H22" s="340" t="n">
        <f aca="false">IF((G22&lt;&gt;0),IF((D22&gt;0)," ",G22)," ")</f>
        <v>24</v>
      </c>
      <c r="I22" s="369" t="n">
        <f aca="false">IF((G22&lt;&gt;0),IF((D22&gt;0)," ",(I$1-A22))," ")</f>
        <v>227</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46036</v>
      </c>
      <c r="B23" s="365" t="s">
        <v>338</v>
      </c>
      <c r="E23" s="367" t="s">
        <v>330</v>
      </c>
      <c r="G23" s="368" t="n">
        <v>12</v>
      </c>
      <c r="H23" s="340" t="n">
        <f aca="false">IF((G23&lt;&gt;0),IF((D23&gt;0)," ",G23)," ")</f>
        <v>12</v>
      </c>
      <c r="I23" s="369" t="n">
        <f aca="false">IF((G23&lt;&gt;0),IF((D23&gt;0)," ",(I$1-A23))," ")</f>
        <v>227</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46037</v>
      </c>
      <c r="B24" s="365" t="s">
        <v>250</v>
      </c>
      <c r="E24" s="367" t="s">
        <v>298</v>
      </c>
      <c r="G24" s="368" t="n">
        <v>150</v>
      </c>
      <c r="H24" s="340" t="n">
        <f aca="false">IF((G24&lt;&gt;0),IF((D24&gt;0)," ",G24)," ")</f>
        <v>150</v>
      </c>
      <c r="I24" s="369" t="n">
        <f aca="false">IF((G24&lt;&gt;0),IF((D24&gt;0)," ",(I$1-A24))," ")</f>
        <v>226</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46037</v>
      </c>
      <c r="B25" s="365" t="s">
        <v>339</v>
      </c>
      <c r="E25" s="367" t="s">
        <v>317</v>
      </c>
      <c r="G25" s="368" t="n">
        <v>12</v>
      </c>
      <c r="H25" s="340" t="n">
        <f aca="false">IF((G25&lt;&gt;0),IF((D25&gt;0)," ",G25)," ")</f>
        <v>12</v>
      </c>
      <c r="I25" s="369" t="n">
        <f aca="false">IF((G25&lt;&gt;0),IF((D25&gt;0)," ",(I$1-A25))," ")</f>
        <v>226</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46038</v>
      </c>
      <c r="B26" s="365" t="s">
        <v>362</v>
      </c>
      <c r="E26" s="367" t="s">
        <v>317</v>
      </c>
      <c r="G26" s="368" t="n">
        <v>18</v>
      </c>
      <c r="H26" s="340" t="n">
        <f aca="false">IF((G26&lt;&gt;0),IF((D26&gt;0)," ",G26)," ")</f>
        <v>18</v>
      </c>
      <c r="I26" s="369" t="n">
        <f aca="false">IF((G26&lt;&gt;0),IF((D26&gt;0)," ",(I$1-A26))," ")</f>
        <v>225</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46040</v>
      </c>
      <c r="B27" s="365" t="s">
        <v>340</v>
      </c>
      <c r="E27" s="367" t="s">
        <v>298</v>
      </c>
      <c r="G27" s="368" t="n">
        <v>96</v>
      </c>
      <c r="H27" s="340" t="n">
        <f aca="false">IF((G27&lt;&gt;0),IF((D27&gt;0)," ",G27)," ")</f>
        <v>96</v>
      </c>
      <c r="I27" s="369" t="n">
        <f aca="false">IF((G27&lt;&gt;0),IF((D27&gt;0)," ",(I$1-A27))," ")</f>
        <v>223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46042</v>
      </c>
      <c r="B28" s="365" t="s">
        <v>249</v>
      </c>
      <c r="E28" s="367" t="s">
        <v>317</v>
      </c>
      <c r="G28" s="368" t="n">
        <v>60</v>
      </c>
      <c r="H28" s="340" t="n">
        <f aca="false">IF((G28&lt;&gt;0),IF((D28&gt;0)," ",G28)," ")</f>
        <v>60</v>
      </c>
      <c r="I28" s="369" t="n">
        <f aca="false">IF((G28&lt;&gt;0),IF((D28&gt;0)," ",(I$1-A28))," ")</f>
        <v>221</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46042</v>
      </c>
      <c r="B29" s="365" t="s">
        <v>380</v>
      </c>
      <c r="E29" s="367" t="s">
        <v>320</v>
      </c>
      <c r="G29" s="368" t="n">
        <v>180</v>
      </c>
      <c r="H29" s="340" t="n">
        <f aca="false">IF((G29&lt;&gt;0),IF((D29&gt;0)," ",G29)," ")</f>
        <v>180</v>
      </c>
      <c r="I29" s="369" t="n">
        <f aca="false">IF((G29&lt;&gt;0),IF((D29&gt;0)," ",(I$1-A29))," ")</f>
        <v>221</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row>
    <row r="30" customFormat="false" ht="12.75" hidden="false" customHeight="false" outlineLevel="0" collapsed="false">
      <c r="A30" s="357" t="n">
        <v>46042</v>
      </c>
      <c r="B30" s="365" t="s">
        <v>341</v>
      </c>
      <c r="E30" s="367" t="s">
        <v>342</v>
      </c>
      <c r="G30" s="368" t="n">
        <v>144</v>
      </c>
      <c r="H30" s="340" t="n">
        <f aca="false">IF((G30&lt;&gt;0),IF((D30&gt;0)," ",G30)," ")</f>
        <v>144</v>
      </c>
      <c r="I30" s="369" t="n">
        <f aca="false">IF((G30&lt;&gt;0),IF((D30&gt;0)," ",(I$1-A30))," ")</f>
        <v>221</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46043</v>
      </c>
      <c r="B31" s="365" t="s">
        <v>343</v>
      </c>
      <c r="E31" s="367" t="s">
        <v>330</v>
      </c>
      <c r="G31" s="368" t="n">
        <v>8</v>
      </c>
      <c r="H31" s="340" t="n">
        <f aca="false">IF((G31&lt;&gt;0),IF((D31&gt;0)," ",G31)," ")</f>
        <v>8</v>
      </c>
      <c r="I31" s="369" t="n">
        <f aca="false">IF((G31&lt;&gt;0),IF((D31&gt;0)," ",(I$1-A31))," ")</f>
        <v>220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46044</v>
      </c>
      <c r="B32" s="365" t="s">
        <v>344</v>
      </c>
      <c r="E32" s="367" t="s">
        <v>320</v>
      </c>
      <c r="G32" s="368" t="n">
        <v>18</v>
      </c>
      <c r="H32" s="340" t="n">
        <f aca="false">IF((G32&lt;&gt;0),IF((D32&gt;0)," ",G32)," ")</f>
        <v>18</v>
      </c>
      <c r="I32" s="369" t="n">
        <f aca="false">IF((G32&lt;&gt;0),IF((D32&gt;0)," ",(I$1-A32))," ")</f>
        <v>219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46044</v>
      </c>
      <c r="B33" s="365" t="s">
        <v>365</v>
      </c>
      <c r="E33" s="367" t="s">
        <v>298</v>
      </c>
      <c r="G33" s="368" t="n">
        <v>36</v>
      </c>
      <c r="H33" s="340" t="n">
        <f aca="false">IF((G33&lt;&gt;0),IF((D33&gt;0)," ",G33)," ")</f>
        <v>36</v>
      </c>
      <c r="I33" s="369" t="n">
        <f aca="false">IF((G33&lt;&gt;0),IF((D33&gt;0)," ",(I$1-A33))," ")</f>
        <v>219</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46047</v>
      </c>
      <c r="B34" s="365" t="s">
        <v>345</v>
      </c>
      <c r="E34" s="367" t="s">
        <v>320</v>
      </c>
      <c r="G34" s="368" t="n">
        <v>15</v>
      </c>
      <c r="H34" s="340" t="n">
        <f aca="false">IF((G34&lt;&gt;0),IF((D34&gt;0)," ",G34)," ")</f>
        <v>15</v>
      </c>
      <c r="I34" s="369" t="n">
        <f aca="false">IF((G34&lt;&gt;0),IF((D34&gt;0)," ",(I$1-A34))," ")</f>
        <v>216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46047</v>
      </c>
      <c r="B35" s="365" t="s">
        <v>346</v>
      </c>
      <c r="E35" s="367" t="s">
        <v>298</v>
      </c>
      <c r="G35" s="368" t="n">
        <v>38.25</v>
      </c>
      <c r="H35" s="340" t="n">
        <f aca="false">IF((G35&lt;&gt;0),IF((D35&gt;0)," ",G35)," ")</f>
        <v>38.25</v>
      </c>
      <c r="I35" s="369" t="n">
        <f aca="false">IF((G35&lt;&gt;0),IF((D35&gt;0)," ",(I$1-A35))," ")</f>
        <v>216</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38.25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46050</v>
      </c>
      <c r="B36" s="365" t="s">
        <v>250</v>
      </c>
      <c r="E36" s="367" t="s">
        <v>298</v>
      </c>
      <c r="G36" s="368" t="n">
        <v>120</v>
      </c>
      <c r="H36" s="340" t="n">
        <f aca="false">IF((G36&lt;&gt;0),IF((D36&gt;0)," ",G36)," ")</f>
        <v>120</v>
      </c>
      <c r="I36" s="369" t="n">
        <f aca="false">IF((G36&lt;&gt;0),IF((D36&gt;0)," ",(I$1-A36))," ")</f>
        <v>213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46053</v>
      </c>
      <c r="B37" s="365" t="s">
        <v>247</v>
      </c>
      <c r="E37" s="367" t="s">
        <v>347</v>
      </c>
      <c r="G37" s="368" t="n">
        <v>300</v>
      </c>
      <c r="H37" s="340" t="n">
        <f aca="false">IF((G37&lt;&gt;0),IF((D37&gt;0)," ",G37)," ")</f>
        <v>300</v>
      </c>
      <c r="I37" s="369" t="n">
        <f aca="false">IF((G37&lt;&gt;0),IF((D37&gt;0)," ",(I$1-A37))," ")</f>
        <v>210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46053</v>
      </c>
      <c r="B38" s="365" t="s">
        <v>348</v>
      </c>
      <c r="E38" s="367" t="s">
        <v>349</v>
      </c>
      <c r="G38" s="368" t="n">
        <v>3500</v>
      </c>
      <c r="H38" s="340" t="n">
        <f aca="false">IF((G38&lt;&gt;0),IF((D38&gt;0)," ",G38)," ")</f>
        <v>3500</v>
      </c>
      <c r="I38" s="369" t="n">
        <f aca="false">IF((G38&lt;&gt;0),IF((D38&gt;0)," ",(I$1-A38))," ")</f>
        <v>210</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46053</v>
      </c>
      <c r="B39" s="365" t="s">
        <v>350</v>
      </c>
      <c r="E39" s="367" t="s">
        <v>349</v>
      </c>
      <c r="G39" s="368" t="n">
        <v>2200</v>
      </c>
      <c r="H39" s="340" t="n">
        <f aca="false">IF((G39&lt;&gt;0),IF((D39&gt;0)," ",G39)," ")</f>
        <v>2200</v>
      </c>
      <c r="I39" s="369" t="n">
        <f aca="false">IF((G39&lt;&gt;0),IF((D39&gt;0)," ",(I$1-A39))," ")</f>
        <v>210</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34360</v>
      </c>
      <c r="G1" s="345" t="n">
        <f aca="false">SUM(G4:G300)</f>
        <v>0</v>
      </c>
      <c r="H1" s="347" t="n">
        <f aca="false">SUM(H4:H300)</f>
        <v>34360</v>
      </c>
      <c r="I1" s="348" t="n">
        <f aca="true">TODAY()</f>
        <v>46263</v>
      </c>
      <c r="J1" s="345" t="n">
        <f aca="false">SUM(J4:J300)</f>
        <v>0</v>
      </c>
      <c r="K1" s="349" t="n">
        <f aca="false">J1+SalesJan!K1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46056</v>
      </c>
      <c r="B4" s="336" t="s">
        <v>266</v>
      </c>
      <c r="F4" s="336" t="n">
        <v>360</v>
      </c>
      <c r="H4" s="340" t="n">
        <f aca="false">IF((F4&lt;&gt;0),IF((D4&gt;0)," ",F4)," ")</f>
        <v>360</v>
      </c>
      <c r="I4" s="341" t="n">
        <f aca="false">IF((F4&lt;&gt;0),IF((D4&gt;0)," ",(I$1-A4))," ")</f>
        <v>207</v>
      </c>
    </row>
    <row r="5" customFormat="false" ht="12.75" hidden="false" customHeight="false" outlineLevel="0" collapsed="false">
      <c r="A5" s="357" t="n">
        <v>46058</v>
      </c>
      <c r="B5" s="336" t="s">
        <v>267</v>
      </c>
      <c r="F5" s="336" t="n">
        <v>600</v>
      </c>
      <c r="H5" s="340" t="n">
        <f aca="false">IF((F5&lt;&gt;0),IF((D5&gt;0)," ",F5)," ")</f>
        <v>600</v>
      </c>
      <c r="I5" s="341" t="n">
        <f aca="false">IF((F5&lt;&gt;0),IF((D5&gt;0)," ",(I$1-A5))," ")</f>
        <v>205</v>
      </c>
    </row>
    <row r="6" customFormat="false" ht="12.75" hidden="false" customHeight="false" outlineLevel="0" collapsed="false">
      <c r="A6" s="357" t="n">
        <v>46061</v>
      </c>
      <c r="B6" s="336" t="s">
        <v>268</v>
      </c>
      <c r="F6" s="336" t="n">
        <v>480</v>
      </c>
      <c r="H6" s="340" t="n">
        <f aca="false">IF((F6&lt;&gt;0),IF((D6&gt;0)," ",F6)," ")</f>
        <v>480</v>
      </c>
      <c r="I6" s="341" t="n">
        <f aca="false">IF((F6&lt;&gt;0),IF((D6&gt;0)," ",(I$1-A6))," ")</f>
        <v>202</v>
      </c>
    </row>
    <row r="7" customFormat="false" ht="12.75" hidden="false" customHeight="false" outlineLevel="0" collapsed="false">
      <c r="A7" s="357" t="n">
        <v>46063</v>
      </c>
      <c r="B7" s="336" t="s">
        <v>269</v>
      </c>
      <c r="F7" s="336" t="n">
        <v>720</v>
      </c>
      <c r="H7" s="340" t="n">
        <f aca="false">IF((F7&lt;&gt;0),IF((D7&gt;0)," ",F7)," ")</f>
        <v>720</v>
      </c>
      <c r="I7" s="341" t="n">
        <f aca="false">IF((F7&lt;&gt;0),IF((D7&gt;0)," ",(I$1-A7))," ")</f>
        <v>200</v>
      </c>
    </row>
    <row r="8" customFormat="false" ht="12.75" hidden="false" customHeight="false" outlineLevel="0" collapsed="false">
      <c r="A8" s="357" t="n">
        <v>46068</v>
      </c>
      <c r="B8" s="336" t="s">
        <v>242</v>
      </c>
      <c r="F8" s="336" t="n">
        <v>25000</v>
      </c>
      <c r="H8" s="340" t="n">
        <f aca="false">IF((F8&lt;&gt;0),IF((D8&gt;0)," ",F8)," ")</f>
        <v>25000</v>
      </c>
      <c r="I8" s="341" t="n">
        <f aca="false">IF((F8&lt;&gt;0),IF((D8&gt;0)," ",(I$1-A8))," ")</f>
        <v>195</v>
      </c>
    </row>
    <row r="9" customFormat="false" ht="12.75" hidden="false" customHeight="false" outlineLevel="0" collapsed="false">
      <c r="A9" s="357" t="n">
        <v>46071</v>
      </c>
      <c r="B9" s="336" t="s">
        <v>244</v>
      </c>
      <c r="F9" s="336" t="n">
        <v>2400</v>
      </c>
      <c r="H9" s="340" t="n">
        <f aca="false">IF((F9&lt;&gt;0),IF((D9&gt;0)," ",F9)," ")</f>
        <v>2400</v>
      </c>
      <c r="I9" s="341" t="n">
        <f aca="false">IF((F9&lt;&gt;0),IF((D9&gt;0)," ",(I$1-A9))," ")</f>
        <v>192</v>
      </c>
    </row>
    <row r="10" customFormat="false" ht="12.75" hidden="false" customHeight="false" outlineLevel="0" collapsed="false">
      <c r="A10" s="357" t="n">
        <v>46073</v>
      </c>
      <c r="B10" s="336" t="s">
        <v>270</v>
      </c>
      <c r="F10" s="336" t="n">
        <v>1800</v>
      </c>
      <c r="H10" s="340" t="n">
        <f aca="false">IF((F10&lt;&gt;0),IF((D10&gt;0)," ",F10)," ")</f>
        <v>1800</v>
      </c>
      <c r="I10" s="341" t="n">
        <f aca="false">IF((F10&lt;&gt;0),IF((D10&gt;0)," ",(I$1-A10))," ")</f>
        <v>190</v>
      </c>
    </row>
    <row r="11" customFormat="false" ht="12.75" hidden="false" customHeight="false" outlineLevel="0" collapsed="false">
      <c r="A11" s="357" t="n">
        <v>46073</v>
      </c>
      <c r="B11" s="336" t="s">
        <v>395</v>
      </c>
      <c r="F11" s="336" t="n">
        <v>1800</v>
      </c>
      <c r="H11" s="340" t="n">
        <f aca="false">IF((F11&lt;&gt;0),IF((D11&gt;0)," ",F11)," ")</f>
        <v>1800</v>
      </c>
      <c r="I11" s="341" t="n">
        <f aca="false">IF((F11&lt;&gt;0),IF((D11&gt;0)," ",(I$1-A11))," ")</f>
        <v>190</v>
      </c>
    </row>
    <row r="12" customFormat="false" ht="12.75" hidden="false" customHeight="false" outlineLevel="0" collapsed="false">
      <c r="A12" s="357" t="n">
        <v>46078</v>
      </c>
      <c r="B12" s="336" t="s">
        <v>353</v>
      </c>
      <c r="F12" s="336" t="n">
        <v>1200</v>
      </c>
      <c r="H12" s="340" t="n">
        <f aca="false">IF((F12&lt;&gt;0),IF((D12&gt;0)," ",F12)," ")</f>
        <v>1200</v>
      </c>
      <c r="I12" s="341" t="n">
        <f aca="false">IF((F12&lt;&gt;0),IF((D12&gt;0)," ",(I$1-A12))," ")</f>
        <v>185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273</v>
      </c>
      <c r="C1" s="346" t="n">
        <f aca="false">PurchasesJan!C1+PurchasesFeb!F1+SalesFeb!$E$1</f>
        <v>0</v>
      </c>
      <c r="D1" s="371" t="s">
        <v>255</v>
      </c>
      <c r="E1" s="373" t="str">
        <f aca="false">IF((G1-SUM(J1:W1)&lt;&gt;0),(G1-SUM(J1:W1))," ")</f>
        <v> </v>
      </c>
      <c r="F1" s="346" t="n">
        <f aca="false">SUM(F5:F300)</f>
        <v>0</v>
      </c>
      <c r="G1" s="345" t="n">
        <f aca="false">SUM(G4:G300)</f>
        <v>10096.5</v>
      </c>
      <c r="H1" s="374" t="n">
        <f aca="false">SUM(H5:H300)</f>
        <v>10096.5</v>
      </c>
      <c r="I1" s="375" t="n">
        <f aca="true">TODAY()</f>
        <v>46263</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IF((C1&lt;Admin!$F$22),((C1-PurchasesJan!C1)*Admin!$G$21),(C1*Admin!$G$21-(C1-Admin!$F$21)*(Admin!$G$21-Admin!$G$22)-PurchasesJan!A1))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46054</v>
      </c>
      <c r="B5" s="365" t="s">
        <v>246</v>
      </c>
      <c r="E5" s="367" t="s">
        <v>315</v>
      </c>
      <c r="G5" s="368" t="n">
        <v>1200</v>
      </c>
      <c r="H5" s="340" t="n">
        <f aca="false">IF((G5&lt;&gt;0),IF((D5&gt;0)," ",G5)," ")</f>
        <v>1200</v>
      </c>
      <c r="I5" s="369" t="n">
        <f aca="false">IF((G5&lt;&gt;0),IF((D5&gt;0)," ",(I$1-A5))," ")</f>
        <v>209</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316</v>
      </c>
      <c r="E6" s="367" t="s">
        <v>317</v>
      </c>
      <c r="G6" s="368" t="n">
        <v>30</v>
      </c>
      <c r="H6" s="340" t="n">
        <f aca="false">IF((G6&lt;&gt;0),IF((D6&gt;0)," ",G6)," ")</f>
        <v>30</v>
      </c>
      <c r="I6" s="369" t="n">
        <f aca="false">IF((G6&lt;&gt;0),IF((D6&gt;0)," ",(I$1-A6))," ")</f>
        <v>209</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46054</v>
      </c>
      <c r="B7" s="365" t="s">
        <v>318</v>
      </c>
      <c r="E7" s="367" t="s">
        <v>317</v>
      </c>
      <c r="G7" s="368" t="n">
        <v>15</v>
      </c>
      <c r="H7" s="340" t="n">
        <f aca="false">IF((G7&lt;&gt;0),IF((D7&gt;0)," ",G7)," ")</f>
        <v>15</v>
      </c>
      <c r="I7" s="369" t="n">
        <f aca="false">IF((G7&lt;&gt;0),IF((D7&gt;0)," ",(I$1-A7))," ")</f>
        <v>209</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46054</v>
      </c>
      <c r="B8" s="365" t="s">
        <v>319</v>
      </c>
      <c r="E8" s="367" t="s">
        <v>320</v>
      </c>
      <c r="G8" s="368" t="n">
        <v>45</v>
      </c>
      <c r="H8" s="340" t="n">
        <f aca="false">IF((G8&lt;&gt;0),IF((D8&gt;0)," ",G8)," ")</f>
        <v>45</v>
      </c>
      <c r="I8" s="369" t="n">
        <f aca="false">IF((G8&lt;&gt;0),IF((D8&gt;0)," ",(I$1-A8))," ")</f>
        <v>209</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46054</v>
      </c>
      <c r="B9" s="365" t="s">
        <v>322</v>
      </c>
      <c r="E9" s="367" t="s">
        <v>320</v>
      </c>
      <c r="G9" s="368" t="n">
        <v>24</v>
      </c>
      <c r="H9" s="340" t="n">
        <f aca="false">IF((G9&lt;&gt;0),IF((D9&gt;0)," ",G9)," ")</f>
        <v>24</v>
      </c>
      <c r="I9" s="369" t="n">
        <f aca="false">IF((G9&lt;&gt;0),IF((D9&gt;0)," ",(I$1-A9))," ")</f>
        <v>209</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46054</v>
      </c>
      <c r="B10" s="365" t="s">
        <v>323</v>
      </c>
      <c r="E10" s="367" t="s">
        <v>317</v>
      </c>
      <c r="G10" s="368" t="n">
        <v>18</v>
      </c>
      <c r="H10" s="340" t="n">
        <f aca="false">IF((G10&lt;&gt;0),IF((D10&gt;0)," ",G10)," ")</f>
        <v>18</v>
      </c>
      <c r="I10" s="369" t="n">
        <f aca="false">IF((G10&lt;&gt;0),IF((D10&gt;0)," ",(I$1-A10))," ")</f>
        <v>209</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46056</v>
      </c>
      <c r="B11" s="365" t="s">
        <v>324</v>
      </c>
      <c r="E11" s="367" t="s">
        <v>320</v>
      </c>
      <c r="G11" s="368" t="n">
        <v>180</v>
      </c>
      <c r="H11" s="340" t="n">
        <f aca="false">IF((G11&lt;&gt;0),IF((D11&gt;0)," ",G11)," ")</f>
        <v>180</v>
      </c>
      <c r="I11" s="369" t="n">
        <f aca="false">IF((G11&lt;&gt;0),IF((D11&gt;0)," ",(I$1-A11))," ")</f>
        <v>207</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46056</v>
      </c>
      <c r="B12" s="365" t="s">
        <v>325</v>
      </c>
      <c r="E12" s="367" t="s">
        <v>320</v>
      </c>
      <c r="G12" s="368" t="n">
        <v>22</v>
      </c>
      <c r="H12" s="340" t="n">
        <f aca="false">IF((G12&lt;&gt;0),IF((D12&gt;0)," ",G12)," ")</f>
        <v>22</v>
      </c>
      <c r="I12" s="369" t="n">
        <f aca="false">IF((G12&lt;&gt;0),IF((D12&gt;0)," ",(I$1-A12))," ")</f>
        <v>207</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46058</v>
      </c>
      <c r="B13" s="365" t="s">
        <v>326</v>
      </c>
      <c r="E13" s="367" t="s">
        <v>320</v>
      </c>
      <c r="G13" s="368" t="n">
        <v>24</v>
      </c>
      <c r="H13" s="340" t="n">
        <f aca="false">IF((G13&lt;&gt;0),IF((D13&gt;0)," ",G13)," ")</f>
        <v>24</v>
      </c>
      <c r="I13" s="369" t="n">
        <f aca="false">IF((G13&lt;&gt;0),IF((D13&gt;0)," ",(I$1-A13))," ")</f>
        <v>205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46058</v>
      </c>
      <c r="B14" s="365" t="s">
        <v>327</v>
      </c>
      <c r="E14" s="367" t="s">
        <v>298</v>
      </c>
      <c r="G14" s="368" t="n">
        <v>180</v>
      </c>
      <c r="H14" s="340" t="n">
        <f aca="false">IF((G14&lt;&gt;0),IF((D14&gt;0)," ",G14)," ")</f>
        <v>180</v>
      </c>
      <c r="I14" s="369" t="n">
        <f aca="false">IF((G14&lt;&gt;0),IF((D14&gt;0)," ",(I$1-A14))," ")</f>
        <v>205</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46058</v>
      </c>
      <c r="B15" s="365" t="s">
        <v>328</v>
      </c>
      <c r="E15" s="367" t="s">
        <v>320</v>
      </c>
      <c r="G15" s="368" t="n">
        <v>36</v>
      </c>
      <c r="H15" s="340" t="n">
        <f aca="false">IF((G15&lt;&gt;0),IF((D15&gt;0)," ",G15)," ")</f>
        <v>36</v>
      </c>
      <c r="I15" s="369" t="n">
        <f aca="false">IF((G15&lt;&gt;0),IF((D15&gt;0)," ",(I$1-A15))," ")</f>
        <v>205</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46059</v>
      </c>
      <c r="B16" s="365" t="s">
        <v>355</v>
      </c>
      <c r="E16" s="367" t="s">
        <v>330</v>
      </c>
      <c r="G16" s="368" t="n">
        <v>36</v>
      </c>
      <c r="H16" s="340" t="n">
        <f aca="false">IF((G16&lt;&gt;0),IF((D16&gt;0)," ",G16)," ")</f>
        <v>36</v>
      </c>
      <c r="I16" s="369" t="n">
        <f aca="false">IF((G16&lt;&gt;0),IF((D16&gt;0)," ",(I$1-A16))," ")</f>
        <v>204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46061</v>
      </c>
      <c r="B17" s="365" t="s">
        <v>329</v>
      </c>
      <c r="E17" s="367" t="s">
        <v>330</v>
      </c>
      <c r="G17" s="368" t="n">
        <v>48</v>
      </c>
      <c r="H17" s="340" t="n">
        <f aca="false">IF((G17&lt;&gt;0),IF((D17&gt;0)," ",G17)," ")</f>
        <v>48</v>
      </c>
      <c r="I17" s="369" t="n">
        <f aca="false">IF((G17&lt;&gt;0),IF((D17&gt;0)," ",(I$1-A17))," ")</f>
        <v>202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46063</v>
      </c>
      <c r="B18" s="365" t="s">
        <v>331</v>
      </c>
      <c r="E18" s="367" t="s">
        <v>320</v>
      </c>
      <c r="G18" s="368" t="n">
        <v>36</v>
      </c>
      <c r="H18" s="340" t="n">
        <f aca="false">IF((G18&lt;&gt;0),IF((D18&gt;0)," ",G18)," ")</f>
        <v>36</v>
      </c>
      <c r="I18" s="369" t="n">
        <f aca="false">IF((G18&lt;&gt;0),IF((D18&gt;0)," ",(I$1-A18))," ")</f>
        <v>200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46065</v>
      </c>
      <c r="B19" s="365" t="s">
        <v>335</v>
      </c>
      <c r="E19" s="367" t="s">
        <v>298</v>
      </c>
      <c r="G19" s="368" t="n">
        <v>18</v>
      </c>
      <c r="H19" s="340" t="n">
        <f aca="false">IF((G19&lt;&gt;0),IF((D19&gt;0)," ",G19)," ")</f>
        <v>18</v>
      </c>
      <c r="I19" s="369" t="n">
        <f aca="false">IF((G19&lt;&gt;0),IF((D19&gt;0)," ",(I$1-A19))," ")</f>
        <v>198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46065</v>
      </c>
      <c r="B20" s="365" t="s">
        <v>378</v>
      </c>
      <c r="E20" s="367" t="s">
        <v>320</v>
      </c>
      <c r="G20" s="368" t="n">
        <v>360</v>
      </c>
      <c r="H20" s="340" t="n">
        <f aca="false">IF((G20&lt;&gt;0),IF((D20&gt;0)," ",G20)," ")</f>
        <v>360</v>
      </c>
      <c r="I20" s="369" t="n">
        <f aca="false">IF((G20&lt;&gt;0),IF((D20&gt;0)," ",(I$1-A20))," ")</f>
        <v>198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row>
    <row r="21" customFormat="false" ht="12.75" hidden="false" customHeight="false" outlineLevel="0" collapsed="false">
      <c r="A21" s="357" t="n">
        <v>46067</v>
      </c>
      <c r="B21" s="365" t="s">
        <v>336</v>
      </c>
      <c r="D21" s="365"/>
      <c r="E21" s="367" t="s">
        <v>320</v>
      </c>
      <c r="G21" s="368" t="n">
        <v>18</v>
      </c>
      <c r="H21" s="340" t="n">
        <f aca="false">IF((G21&lt;&gt;0),IF((D21&gt;0)," ",G21)," ")</f>
        <v>18</v>
      </c>
      <c r="I21" s="369" t="n">
        <f aca="false">IF((G21&lt;&gt;0),IF((D21&gt;0)," ",(I$1-A21))," ")</f>
        <v>196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row>
    <row r="22" customFormat="false" ht="12.75" hidden="false" customHeight="false" outlineLevel="0" collapsed="false">
      <c r="A22" s="357" t="n">
        <v>46067</v>
      </c>
      <c r="B22" s="365" t="s">
        <v>337</v>
      </c>
      <c r="D22" s="395"/>
      <c r="E22" s="367" t="s">
        <v>330</v>
      </c>
      <c r="G22" s="368" t="n">
        <v>24</v>
      </c>
      <c r="H22" s="340" t="n">
        <f aca="false">IF((G22&lt;&gt;0),IF((D22&gt;0)," ",G22)," ")</f>
        <v>24</v>
      </c>
      <c r="I22" s="369" t="n">
        <f aca="false">IF((G22&lt;&gt;0),IF((D22&gt;0)," ",(I$1-A22))," ")</f>
        <v>196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46067</v>
      </c>
      <c r="B23" s="365" t="s">
        <v>338</v>
      </c>
      <c r="E23" s="367" t="s">
        <v>330</v>
      </c>
      <c r="G23" s="368" t="n">
        <v>12</v>
      </c>
      <c r="H23" s="340" t="n">
        <f aca="false">IF((G23&lt;&gt;0),IF((D23&gt;0)," ",G23)," ")</f>
        <v>12</v>
      </c>
      <c r="I23" s="369" t="n">
        <f aca="false">IF((G23&lt;&gt;0),IF((D23&gt;0)," ",(I$1-A23))," ")</f>
        <v>196</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46068</v>
      </c>
      <c r="B24" s="365" t="s">
        <v>250</v>
      </c>
      <c r="E24" s="367" t="s">
        <v>298</v>
      </c>
      <c r="G24" s="368" t="n">
        <v>150</v>
      </c>
      <c r="H24" s="340" t="n">
        <f aca="false">IF((G24&lt;&gt;0),IF((D24&gt;0)," ",G24)," ")</f>
        <v>150</v>
      </c>
      <c r="I24" s="369" t="n">
        <f aca="false">IF((G24&lt;&gt;0),IF((D24&gt;0)," ",(I$1-A24))," ")</f>
        <v>195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46068</v>
      </c>
      <c r="B25" s="365" t="s">
        <v>339</v>
      </c>
      <c r="E25" s="367" t="s">
        <v>317</v>
      </c>
      <c r="G25" s="368" t="n">
        <v>12</v>
      </c>
      <c r="H25" s="340" t="n">
        <f aca="false">IF((G25&lt;&gt;0),IF((D25&gt;0)," ",G25)," ")</f>
        <v>12</v>
      </c>
      <c r="I25" s="369" t="n">
        <f aca="false">IF((G25&lt;&gt;0),IF((D25&gt;0)," ",(I$1-A25))," ")</f>
        <v>195</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46068</v>
      </c>
      <c r="B26" s="365" t="s">
        <v>359</v>
      </c>
      <c r="E26" s="367" t="s">
        <v>334</v>
      </c>
      <c r="G26" s="368" t="n">
        <v>420</v>
      </c>
      <c r="H26" s="340" t="n">
        <f aca="false">IF((G26&lt;&gt;0),IF((D26&gt;0)," ",G26)," ")</f>
        <v>420</v>
      </c>
      <c r="I26" s="369" t="n">
        <f aca="false">IF((G26&lt;&gt;0),IF((D26&gt;0)," ",(I$1-A26))," ")</f>
        <v>195</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46071</v>
      </c>
      <c r="B27" s="365" t="s">
        <v>382</v>
      </c>
      <c r="E27" s="367" t="s">
        <v>342</v>
      </c>
      <c r="G27" s="368" t="n">
        <v>360</v>
      </c>
      <c r="H27" s="340" t="n">
        <f aca="false">IF((G27&lt;&gt;0),IF((D27&gt;0)," ",G27)," ")</f>
        <v>360</v>
      </c>
      <c r="I27" s="369" t="n">
        <f aca="false">IF((G27&lt;&gt;0),IF((D27&gt;0)," ",(I$1-A27))," ")</f>
        <v>192</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46071</v>
      </c>
      <c r="B28" s="365" t="s">
        <v>370</v>
      </c>
      <c r="E28" s="367" t="s">
        <v>330</v>
      </c>
      <c r="G28" s="368" t="n">
        <v>240</v>
      </c>
      <c r="H28" s="340" t="n">
        <f aca="false">IF((G28&lt;&gt;0),IF((D28&gt;0)," ",G28)," ")</f>
        <v>240</v>
      </c>
      <c r="I28" s="369" t="n">
        <f aca="false">IF((G28&lt;&gt;0),IF((D28&gt;0)," ",(I$1-A28))," ")</f>
        <v>192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46071</v>
      </c>
      <c r="B29" s="365" t="s">
        <v>340</v>
      </c>
      <c r="E29" s="367" t="s">
        <v>298</v>
      </c>
      <c r="G29" s="368" t="n">
        <v>96</v>
      </c>
      <c r="H29" s="340" t="n">
        <f aca="false">IF((G29&lt;&gt;0),IF((D29&gt;0)," ",G29)," ")</f>
        <v>96</v>
      </c>
      <c r="I29" s="369" t="n">
        <f aca="false">IF((G29&lt;&gt;0),IF((D29&gt;0)," ",(I$1-A29))," ")</f>
        <v>192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46073</v>
      </c>
      <c r="B30" s="365" t="s">
        <v>249</v>
      </c>
      <c r="E30" s="367" t="s">
        <v>317</v>
      </c>
      <c r="G30" s="368" t="n">
        <v>60</v>
      </c>
      <c r="H30" s="340" t="n">
        <f aca="false">IF((G30&lt;&gt;0),IF((D30&gt;0)," ",G30)," ")</f>
        <v>60</v>
      </c>
      <c r="I30" s="369" t="n">
        <f aca="false">IF((G30&lt;&gt;0),IF((D30&gt;0)," ",(I$1-A30))," ")</f>
        <v>190</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46073</v>
      </c>
      <c r="B31" s="365" t="s">
        <v>364</v>
      </c>
      <c r="E31" s="367" t="s">
        <v>334</v>
      </c>
      <c r="G31" s="368" t="n">
        <v>240</v>
      </c>
      <c r="H31" s="340" t="n">
        <f aca="false">IF((G31&lt;&gt;0),IF((D31&gt;0)," ",G31)," ")</f>
        <v>240</v>
      </c>
      <c r="I31" s="369" t="n">
        <f aca="false">IF((G31&lt;&gt;0),IF((D31&gt;0)," ",(I$1-A31))," ")</f>
        <v>190</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46074</v>
      </c>
      <c r="B32" s="365" t="s">
        <v>343</v>
      </c>
      <c r="E32" s="367" t="s">
        <v>330</v>
      </c>
      <c r="G32" s="368" t="n">
        <v>8</v>
      </c>
      <c r="H32" s="340" t="n">
        <f aca="false">IF((G32&lt;&gt;0),IF((D32&gt;0)," ",G32)," ")</f>
        <v>8</v>
      </c>
      <c r="I32" s="369" t="n">
        <f aca="false">IF((G32&lt;&gt;0),IF((D32&gt;0)," ",(I$1-A32))," ")</f>
        <v>189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46075</v>
      </c>
      <c r="B33" s="365" t="s">
        <v>344</v>
      </c>
      <c r="E33" s="367" t="s">
        <v>320</v>
      </c>
      <c r="G33" s="368" t="n">
        <v>18</v>
      </c>
      <c r="H33" s="340" t="n">
        <f aca="false">IF((G33&lt;&gt;0),IF((D33&gt;0)," ",G33)," ")</f>
        <v>18</v>
      </c>
      <c r="I33" s="369" t="n">
        <f aca="false">IF((G33&lt;&gt;0),IF((D33&gt;0)," ",(I$1-A33))," ")</f>
        <v>188</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46078</v>
      </c>
      <c r="B34" s="365" t="s">
        <v>345</v>
      </c>
      <c r="E34" s="367" t="s">
        <v>320</v>
      </c>
      <c r="G34" s="368" t="n">
        <v>15</v>
      </c>
      <c r="H34" s="340" t="n">
        <f aca="false">IF((G34&lt;&gt;0),IF((D34&gt;0)," ",G34)," ")</f>
        <v>15</v>
      </c>
      <c r="I34" s="369" t="n">
        <f aca="false">IF((G34&lt;&gt;0),IF((D34&gt;0)," ",(I$1-A34))," ")</f>
        <v>185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46078</v>
      </c>
      <c r="B35" s="365" t="s">
        <v>346</v>
      </c>
      <c r="E35" s="367" t="s">
        <v>298</v>
      </c>
      <c r="G35" s="368" t="n">
        <v>31.5</v>
      </c>
      <c r="H35" s="340" t="n">
        <f aca="false">IF((G35&lt;&gt;0),IF((D35&gt;0)," ",G35)," ")</f>
        <v>31.5</v>
      </c>
      <c r="I35" s="369" t="n">
        <f aca="false">IF((G35&lt;&gt;0),IF((D35&gt;0)," ",(I$1-A35))," ")</f>
        <v>185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31.5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46081</v>
      </c>
      <c r="B36" s="365" t="s">
        <v>247</v>
      </c>
      <c r="E36" s="367" t="s">
        <v>347</v>
      </c>
      <c r="G36" s="368" t="n">
        <v>300</v>
      </c>
      <c r="H36" s="340" t="n">
        <f aca="false">IF((G36&lt;&gt;0),IF((D36&gt;0)," ",G36)," ")</f>
        <v>300</v>
      </c>
      <c r="I36" s="369" t="n">
        <f aca="false">IF((G36&lt;&gt;0),IF((D36&gt;0)," ",(I$1-A36))," ")</f>
        <v>182</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46081</v>
      </c>
      <c r="B37" s="365" t="s">
        <v>250</v>
      </c>
      <c r="E37" s="367" t="s">
        <v>298</v>
      </c>
      <c r="G37" s="368" t="n">
        <v>120</v>
      </c>
      <c r="H37" s="340" t="n">
        <f aca="false">IF((G37&lt;&gt;0),IF((D37&gt;0)," ",G37)," ")</f>
        <v>120</v>
      </c>
      <c r="I37" s="369" t="n">
        <f aca="false">IF((G37&lt;&gt;0),IF((D37&gt;0)," ",(I$1-A37))," ")</f>
        <v>182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46081</v>
      </c>
      <c r="B38" s="365" t="s">
        <v>348</v>
      </c>
      <c r="E38" s="367" t="s">
        <v>349</v>
      </c>
      <c r="G38" s="368" t="n">
        <v>3500</v>
      </c>
      <c r="H38" s="340" t="n">
        <f aca="false">IF((G38&lt;&gt;0),IF((D38&gt;0)," ",G38)," ")</f>
        <v>3500</v>
      </c>
      <c r="I38" s="369" t="n">
        <f aca="false">IF((G38&lt;&gt;0),IF((D38&gt;0)," ",(I$1-A38))," ")</f>
        <v>182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46081</v>
      </c>
      <c r="B39" s="365" t="s">
        <v>350</v>
      </c>
      <c r="E39" s="367" t="s">
        <v>349</v>
      </c>
      <c r="G39" s="368" t="n">
        <v>2200</v>
      </c>
      <c r="H39" s="340" t="n">
        <f aca="false">IF((G39&lt;&gt;0),IF((D39&gt;0)," ",G39)," ")</f>
        <v>2200</v>
      </c>
      <c r="I39" s="369" t="n">
        <f aca="false">IF((G39&lt;&gt;0),IF((D39&gt;0)," ",(I$1-A39))," ")</f>
        <v>182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253</v>
      </c>
      <c r="B1" s="343" t="s">
        <v>254</v>
      </c>
      <c r="C1" s="344"/>
      <c r="D1" s="345" t="s">
        <v>255</v>
      </c>
      <c r="E1" s="346" t="n">
        <f aca="false">SUM(E4:E300)</f>
        <v>0</v>
      </c>
      <c r="F1" s="345" t="n">
        <f aca="false">SUM(F4:F300)</f>
        <v>31360</v>
      </c>
      <c r="G1" s="345" t="n">
        <f aca="false">SUM(G4:G300)</f>
        <v>0</v>
      </c>
      <c r="H1" s="347" t="n">
        <f aca="false">SUM(H4:H300)</f>
        <v>31360</v>
      </c>
      <c r="I1" s="348" t="n">
        <f aca="true">TODAY()</f>
        <v>46263</v>
      </c>
      <c r="J1" s="345" t="n">
        <f aca="false">SUM(J4:J300)</f>
        <v>0</v>
      </c>
      <c r="K1" s="349" t="n">
        <f aca="false">J1+SalesFeb!K1</f>
        <v>0</v>
      </c>
    </row>
    <row r="2" s="350" customFormat="true" ht="12.75" hidden="false" customHeight="true" outlineLevel="0" collapsed="false">
      <c r="A2" s="342"/>
      <c r="B2" s="343"/>
      <c r="C2" s="351" t="s">
        <v>256</v>
      </c>
      <c r="D2" s="352" t="s">
        <v>257</v>
      </c>
      <c r="E2" s="353" t="s">
        <v>258</v>
      </c>
      <c r="F2" s="343" t="s">
        <v>259</v>
      </c>
      <c r="G2" s="343" t="s">
        <v>260</v>
      </c>
      <c r="H2" s="354" t="s">
        <v>261</v>
      </c>
      <c r="I2" s="355" t="s">
        <v>262</v>
      </c>
      <c r="J2" s="343" t="s">
        <v>263</v>
      </c>
      <c r="K2" s="343"/>
    </row>
    <row r="3" s="356" customFormat="true" ht="38.25" hidden="false" customHeight="true" outlineLevel="0" collapsed="false">
      <c r="A3" s="342"/>
      <c r="B3" s="343"/>
      <c r="C3" s="351"/>
      <c r="D3" s="352"/>
      <c r="E3" s="353"/>
      <c r="F3" s="353"/>
      <c r="G3" s="353"/>
      <c r="H3" s="354"/>
      <c r="I3" s="355"/>
      <c r="J3" s="343" t="s">
        <v>264</v>
      </c>
      <c r="K3" s="343" t="s">
        <v>265</v>
      </c>
    </row>
    <row r="4" customFormat="false" ht="12.75" hidden="false" customHeight="false" outlineLevel="0" collapsed="false">
      <c r="A4" s="357" t="n">
        <v>46084</v>
      </c>
      <c r="B4" s="336" t="s">
        <v>266</v>
      </c>
      <c r="F4" s="336" t="n">
        <v>360</v>
      </c>
      <c r="H4" s="340" t="n">
        <f aca="false">IF((F4&lt;&gt;0),IF((D4&gt;0)," ",F4)," ")</f>
        <v>360</v>
      </c>
      <c r="I4" s="341" t="n">
        <f aca="false">IF((F4&lt;&gt;0),IF((D4&gt;0)," ",(I$1-A4))," ")</f>
        <v>179</v>
      </c>
    </row>
    <row r="5" customFormat="false" ht="12.75" hidden="false" customHeight="false" outlineLevel="0" collapsed="false">
      <c r="A5" s="357" t="n">
        <v>46086</v>
      </c>
      <c r="B5" s="336" t="s">
        <v>267</v>
      </c>
      <c r="F5" s="336" t="n">
        <v>600</v>
      </c>
      <c r="H5" s="340" t="n">
        <f aca="false">IF((F5&lt;&gt;0),IF((D5&gt;0)," ",F5)," ")</f>
        <v>600</v>
      </c>
      <c r="I5" s="341" t="n">
        <f aca="false">IF((F5&lt;&gt;0),IF((D5&gt;0)," ",(I$1-A5))," ")</f>
        <v>177</v>
      </c>
    </row>
    <row r="6" customFormat="false" ht="12.75" hidden="false" customHeight="false" outlineLevel="0" collapsed="false">
      <c r="A6" s="357" t="n">
        <v>46089</v>
      </c>
      <c r="B6" s="336" t="s">
        <v>268</v>
      </c>
      <c r="F6" s="336" t="n">
        <v>480</v>
      </c>
      <c r="H6" s="340" t="n">
        <f aca="false">IF((F6&lt;&gt;0),IF((D6&gt;0)," ",F6)," ")</f>
        <v>480</v>
      </c>
      <c r="I6" s="341" t="n">
        <f aca="false">IF((F6&lt;&gt;0),IF((D6&gt;0)," ",(I$1-A6))," ")</f>
        <v>174</v>
      </c>
    </row>
    <row r="7" customFormat="false" ht="12.75" hidden="false" customHeight="false" outlineLevel="0" collapsed="false">
      <c r="A7" s="357" t="n">
        <v>46091</v>
      </c>
      <c r="B7" s="336" t="s">
        <v>269</v>
      </c>
      <c r="F7" s="336" t="n">
        <v>720</v>
      </c>
      <c r="H7" s="340" t="n">
        <f aca="false">IF((F7&lt;&gt;0),IF((D7&gt;0)," ",F7)," ")</f>
        <v>720</v>
      </c>
      <c r="I7" s="341" t="n">
        <f aca="false">IF((F7&lt;&gt;0),IF((D7&gt;0)," ",(I$1-A7))," ")</f>
        <v>172</v>
      </c>
    </row>
    <row r="8" customFormat="false" ht="12.75" hidden="false" customHeight="false" outlineLevel="0" collapsed="false">
      <c r="A8" s="357" t="n">
        <v>46096</v>
      </c>
      <c r="B8" s="336" t="s">
        <v>242</v>
      </c>
      <c r="F8" s="336" t="n">
        <v>25000</v>
      </c>
      <c r="H8" s="340" t="n">
        <f aca="false">IF((F8&lt;&gt;0),IF((D8&gt;0)," ",F8)," ")</f>
        <v>25000</v>
      </c>
      <c r="I8" s="341" t="n">
        <f aca="false">IF((F8&lt;&gt;0),IF((D8&gt;0)," ",(I$1-A8))," ")</f>
        <v>167</v>
      </c>
    </row>
    <row r="9" customFormat="false" ht="12.75" hidden="false" customHeight="false" outlineLevel="0" collapsed="false">
      <c r="A9" s="357" t="n">
        <v>46099</v>
      </c>
      <c r="B9" s="336" t="s">
        <v>244</v>
      </c>
      <c r="F9" s="336" t="n">
        <v>2400</v>
      </c>
      <c r="H9" s="340" t="n">
        <f aca="false">IF((F9&lt;&gt;0),IF((D9&gt;0)," ",F9)," ")</f>
        <v>2400</v>
      </c>
      <c r="I9" s="341" t="n">
        <f aca="false">IF((F9&lt;&gt;0),IF((D9&gt;0)," ",(I$1-A9))," ")</f>
        <v>164</v>
      </c>
    </row>
    <row r="10" customFormat="false" ht="12.75" hidden="false" customHeight="false" outlineLevel="0" collapsed="false">
      <c r="A10" s="357" t="n">
        <v>46103</v>
      </c>
      <c r="B10" s="336" t="s">
        <v>366</v>
      </c>
      <c r="F10" s="336" t="n">
        <v>1440</v>
      </c>
      <c r="H10" s="340" t="n">
        <f aca="false">IF((F10&lt;&gt;0),IF((D10&gt;0)," ",F10)," ")</f>
        <v>1440</v>
      </c>
      <c r="I10" s="341" t="n">
        <f aca="false">IF((F10&lt;&gt;0),IF((D10&gt;0)," ",(I$1-A10))," ")</f>
        <v>160</v>
      </c>
    </row>
    <row r="11" customFormat="false" ht="12.75" hidden="false" customHeight="false" outlineLevel="0" collapsed="false">
      <c r="A11" s="357" t="n">
        <v>46112</v>
      </c>
      <c r="B11" s="336" t="s">
        <v>396</v>
      </c>
      <c r="F11" s="336" t="n">
        <v>360</v>
      </c>
      <c r="H11" s="340" t="n">
        <f aca="false">IF((F11&lt;&gt;0),IF((D11&gt;0)," ",F11)," ")</f>
        <v>360</v>
      </c>
      <c r="I11" s="341" t="n">
        <f aca="false">IF((F11&lt;&gt;0),IF((D11&gt;0)," ",(I$1-A11))," ")</f>
        <v>151</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272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273</v>
      </c>
      <c r="C1" s="346" t="n">
        <f aca="false">PurchasesFeb!C1+PurchasesMar!F1+SalesMar!$E$1</f>
        <v>0</v>
      </c>
      <c r="D1" s="371" t="s">
        <v>255</v>
      </c>
      <c r="E1" s="373" t="str">
        <f aca="false">IF((G1-SUM(J1:W1)&lt;&gt;0),(G1-SUM(J1:W1))," ")</f>
        <v> </v>
      </c>
      <c r="F1" s="346" t="n">
        <f aca="false">SUM(F5:F300)</f>
        <v>0</v>
      </c>
      <c r="G1" s="345" t="n">
        <f aca="false">SUM(G4:G300)</f>
        <v>9426.5</v>
      </c>
      <c r="H1" s="374" t="n">
        <f aca="false">SUM(H5:H300)</f>
        <v>9426.5</v>
      </c>
      <c r="I1" s="375" t="n">
        <f aca="true">TODAY()</f>
        <v>46263</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274</v>
      </c>
      <c r="B2" s="380" t="str">
        <f aca="false">IF((G1-SUM(J1:W1)&lt;&gt;0),"COMPLETE EXPENSE ANALYSIS by inserting expense letter in col E","Supplier")</f>
        <v>Supplier</v>
      </c>
      <c r="C2" s="381" t="s">
        <v>275</v>
      </c>
      <c r="D2" s="381" t="s">
        <v>276</v>
      </c>
      <c r="E2" s="381" t="s">
        <v>277</v>
      </c>
      <c r="F2" s="381" t="s">
        <v>354</v>
      </c>
      <c r="G2" s="382" t="s">
        <v>279</v>
      </c>
      <c r="H2" s="383" t="s">
        <v>280</v>
      </c>
      <c r="I2" s="384" t="s">
        <v>281</v>
      </c>
      <c r="J2" s="382" t="s">
        <v>282</v>
      </c>
      <c r="K2" s="382" t="s">
        <v>283</v>
      </c>
      <c r="L2" s="382" t="s">
        <v>284</v>
      </c>
      <c r="M2" s="382" t="s">
        <v>285</v>
      </c>
      <c r="N2" s="382" t="s">
        <v>286</v>
      </c>
      <c r="O2" s="382" t="s">
        <v>287</v>
      </c>
      <c r="P2" s="382" t="s">
        <v>288</v>
      </c>
      <c r="Q2" s="382" t="s">
        <v>289</v>
      </c>
      <c r="R2" s="382" t="s">
        <v>290</v>
      </c>
      <c r="S2" s="382" t="s">
        <v>291</v>
      </c>
      <c r="T2" s="382" t="s">
        <v>292</v>
      </c>
      <c r="U2" s="382" t="s">
        <v>293</v>
      </c>
      <c r="V2" s="382" t="s">
        <v>294</v>
      </c>
      <c r="W2" s="383" t="s">
        <v>295</v>
      </c>
      <c r="X2" s="385" t="str">
        <f aca="false">IF(X1&gt;('Fixed Assets'!$E$110),"FIXED ASSETS requires updating with new additions","Fixed Assets Description  (Vehicles: make, model, date reg. and reg. mark)")</f>
        <v>Fixed Assets Description  (Vehicles: make, model, date reg. and reg. mark)</v>
      </c>
      <c r="Y2" s="382" t="s">
        <v>296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297</v>
      </c>
      <c r="Z3" s="382"/>
    </row>
    <row r="4" s="367" customFormat="true" ht="12.75" hidden="false" customHeight="false" outlineLevel="0" collapsed="false">
      <c r="A4" s="379"/>
      <c r="B4" s="379"/>
      <c r="C4" s="379"/>
      <c r="D4" s="379"/>
      <c r="E4" s="389" t="s">
        <v>298</v>
      </c>
      <c r="F4" s="381"/>
      <c r="G4" s="403" t="n">
        <f aca="false">IF((C1&lt;Admin!$F$22),((C1-PurchasesFeb!C1)*Admin!$G$21),(C1*Admin!$G$21-(C1-Admin!$F$21)*(Admin!$G$21-Admin!$G$22)-PurchasesFeb!A1))</f>
        <v>0</v>
      </c>
      <c r="H4" s="383"/>
      <c r="I4" s="383"/>
      <c r="J4" s="391" t="s">
        <v>299</v>
      </c>
      <c r="K4" s="392" t="s">
        <v>300</v>
      </c>
      <c r="L4" s="392" t="s">
        <v>301</v>
      </c>
      <c r="M4" s="392" t="s">
        <v>302</v>
      </c>
      <c r="N4" s="392" t="s">
        <v>303</v>
      </c>
      <c r="O4" s="392" t="s">
        <v>304</v>
      </c>
      <c r="P4" s="393" t="s">
        <v>305</v>
      </c>
      <c r="Q4" s="392" t="s">
        <v>306</v>
      </c>
      <c r="R4" s="392" t="s">
        <v>307</v>
      </c>
      <c r="S4" s="392" t="s">
        <v>308</v>
      </c>
      <c r="T4" s="392" t="s">
        <v>309</v>
      </c>
      <c r="U4" s="392" t="s">
        <v>310</v>
      </c>
      <c r="V4" s="392" t="s">
        <v>311</v>
      </c>
      <c r="W4" s="394" t="s">
        <v>312</v>
      </c>
      <c r="X4" s="385"/>
      <c r="Y4" s="382" t="s">
        <v>313</v>
      </c>
      <c r="Z4" s="382" t="s">
        <v>314</v>
      </c>
    </row>
    <row r="5" customFormat="false" ht="12.75" hidden="false" customHeight="false" outlineLevel="0" collapsed="false">
      <c r="A5" s="357" t="n">
        <v>46082</v>
      </c>
      <c r="B5" s="365" t="s">
        <v>246</v>
      </c>
      <c r="E5" s="367" t="s">
        <v>315</v>
      </c>
      <c r="G5" s="368" t="n">
        <v>1200</v>
      </c>
      <c r="H5" s="340" t="n">
        <f aca="false">IF((G5&lt;&gt;0),IF((D5&gt;0)," ",G5)," ")</f>
        <v>1200</v>
      </c>
      <c r="I5" s="369" t="n">
        <f aca="false">IF((G5&lt;&gt;0),IF((D5&gt;0)," ",(I$1-A5))," ")</f>
        <v>181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316</v>
      </c>
      <c r="E6" s="367" t="s">
        <v>317</v>
      </c>
      <c r="G6" s="368" t="n">
        <v>30</v>
      </c>
      <c r="H6" s="340" t="n">
        <f aca="false">IF((G6&lt;&gt;0),IF((D6&gt;0)," ",G6)," ")</f>
        <v>30</v>
      </c>
      <c r="I6" s="369" t="n">
        <f aca="false">IF((G6&lt;&gt;0),IF((D6&gt;0)," ",(I$1-A6))," ")</f>
        <v>181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46082</v>
      </c>
      <c r="B7" s="365" t="s">
        <v>318</v>
      </c>
      <c r="E7" s="367" t="s">
        <v>317</v>
      </c>
      <c r="G7" s="368" t="n">
        <v>15</v>
      </c>
      <c r="H7" s="340" t="n">
        <f aca="false">IF((G7&lt;&gt;0),IF((D7&gt;0)," ",G7)," ")</f>
        <v>15</v>
      </c>
      <c r="I7" s="369" t="n">
        <f aca="false">IF((G7&lt;&gt;0),IF((D7&gt;0)," ",(I$1-A7))," ")</f>
        <v>181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46082</v>
      </c>
      <c r="B8" s="365" t="s">
        <v>319</v>
      </c>
      <c r="E8" s="367" t="s">
        <v>320</v>
      </c>
      <c r="G8" s="368" t="n">
        <v>45</v>
      </c>
      <c r="H8" s="340" t="n">
        <f aca="false">IF((G8&lt;&gt;0),IF((D8&gt;0)," ",G8)," ")</f>
        <v>45</v>
      </c>
      <c r="I8" s="369" t="n">
        <f aca="false">IF((G8&lt;&gt;0),IF((D8&gt;0)," ",(I$1-A8))," ")</f>
        <v>181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46082</v>
      </c>
      <c r="B9" s="365" t="s">
        <v>322</v>
      </c>
      <c r="E9" s="367" t="s">
        <v>320</v>
      </c>
      <c r="G9" s="368" t="n">
        <v>24</v>
      </c>
      <c r="H9" s="340" t="n">
        <f aca="false">IF((G9&lt;&gt;0),IF((D9&gt;0)," ",G9)," ")</f>
        <v>24</v>
      </c>
      <c r="I9" s="369" t="n">
        <f aca="false">IF((G9&lt;&gt;0),IF((D9&gt;0)," ",(I$1-A9))," ")</f>
        <v>181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46082</v>
      </c>
      <c r="B10" s="365" t="s">
        <v>323</v>
      </c>
      <c r="E10" s="367" t="s">
        <v>317</v>
      </c>
      <c r="G10" s="368" t="n">
        <v>18</v>
      </c>
      <c r="H10" s="340" t="n">
        <f aca="false">IF((G10&lt;&gt;0),IF((D10&gt;0)," ",G10)," ")</f>
        <v>18</v>
      </c>
      <c r="I10" s="369" t="n">
        <f aca="false">IF((G10&lt;&gt;0),IF((D10&gt;0)," ",(I$1-A10))," ")</f>
        <v>181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46084</v>
      </c>
      <c r="B11" s="365" t="s">
        <v>324</v>
      </c>
      <c r="E11" s="367" t="s">
        <v>320</v>
      </c>
      <c r="G11" s="368" t="n">
        <v>180</v>
      </c>
      <c r="H11" s="340" t="n">
        <f aca="false">IF((G11&lt;&gt;0),IF((D11&gt;0)," ",G11)," ")</f>
        <v>180</v>
      </c>
      <c r="I11" s="369" t="n">
        <f aca="false">IF((G11&lt;&gt;0),IF((D11&gt;0)," ",(I$1-A11))," ")</f>
        <v>179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46084</v>
      </c>
      <c r="B12" s="365" t="s">
        <v>325</v>
      </c>
      <c r="E12" s="367" t="s">
        <v>320</v>
      </c>
      <c r="G12" s="368" t="n">
        <v>22</v>
      </c>
      <c r="H12" s="340" t="n">
        <f aca="false">IF((G12&lt;&gt;0),IF((D12&gt;0)," ",G12)," ")</f>
        <v>22</v>
      </c>
      <c r="I12" s="369" t="n">
        <f aca="false">IF((G12&lt;&gt;0),IF((D12&gt;0)," ",(I$1-A12))," ")</f>
        <v>179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46086</v>
      </c>
      <c r="B13" s="365" t="s">
        <v>326</v>
      </c>
      <c r="E13" s="367" t="s">
        <v>320</v>
      </c>
      <c r="G13" s="368" t="n">
        <v>24</v>
      </c>
      <c r="H13" s="340" t="n">
        <f aca="false">IF((G13&lt;&gt;0),IF((D13&gt;0)," ",G13)," ")</f>
        <v>24</v>
      </c>
      <c r="I13" s="369" t="n">
        <f aca="false">IF((G13&lt;&gt;0),IF((D13&gt;0)," ",(I$1-A13))," ")</f>
        <v>177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46086</v>
      </c>
      <c r="B14" s="365" t="s">
        <v>327</v>
      </c>
      <c r="E14" s="367" t="s">
        <v>298</v>
      </c>
      <c r="G14" s="368" t="n">
        <v>180</v>
      </c>
      <c r="H14" s="340" t="n">
        <f aca="false">IF((G14&lt;&gt;0),IF((D14&gt;0)," ",G14)," ")</f>
        <v>180</v>
      </c>
      <c r="I14" s="369" t="n">
        <f aca="false">IF((G14&lt;&gt;0),IF((D14&gt;0)," ",(I$1-A14))," ")</f>
        <v>177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46089</v>
      </c>
      <c r="B15" s="365" t="s">
        <v>329</v>
      </c>
      <c r="E15" s="367" t="s">
        <v>330</v>
      </c>
      <c r="G15" s="368" t="n">
        <v>48</v>
      </c>
      <c r="H15" s="340" t="n">
        <f aca="false">IF((G15&lt;&gt;0),IF((D15&gt;0)," ",G15)," ")</f>
        <v>48</v>
      </c>
      <c r="I15" s="369" t="n">
        <f aca="false">IF((G15&lt;&gt;0),IF((D15&gt;0)," ",(I$1-A15))," ")</f>
        <v>174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46091</v>
      </c>
      <c r="B16" s="365" t="s">
        <v>331</v>
      </c>
      <c r="E16" s="367" t="s">
        <v>320</v>
      </c>
      <c r="G16" s="368" t="n">
        <v>36</v>
      </c>
      <c r="H16" s="340" t="n">
        <f aca="false">IF((G16&lt;&gt;0),IF((D16&gt;0)," ",G16)," ")</f>
        <v>36</v>
      </c>
      <c r="I16" s="369" t="n">
        <f aca="false">IF((G16&lt;&gt;0),IF((D16&gt;0)," ",(I$1-A16))," ")</f>
        <v>172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46091</v>
      </c>
      <c r="B17" s="365" t="s">
        <v>339</v>
      </c>
      <c r="E17" s="367" t="s">
        <v>320</v>
      </c>
      <c r="G17" s="368" t="n">
        <v>144</v>
      </c>
      <c r="H17" s="340" t="n">
        <f aca="false">IF((G17&lt;&gt;0),IF((D17&gt;0)," ",G17)," ")</f>
        <v>144</v>
      </c>
      <c r="I17" s="369" t="n">
        <f aca="false">IF((G17&lt;&gt;0),IF((D17&gt;0)," ",(I$1-A17))," ")</f>
        <v>172</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row>
    <row r="18" customFormat="false" ht="12.75" hidden="false" customHeight="false" outlineLevel="0" collapsed="false">
      <c r="A18" s="357" t="n">
        <v>46093</v>
      </c>
      <c r="B18" s="365" t="s">
        <v>335</v>
      </c>
      <c r="E18" s="367" t="s">
        <v>298</v>
      </c>
      <c r="G18" s="368" t="n">
        <v>18</v>
      </c>
      <c r="H18" s="340" t="n">
        <f aca="false">IF((G18&lt;&gt;0),IF((D18&gt;0)," ",G18)," ")</f>
        <v>18</v>
      </c>
      <c r="I18" s="369" t="n">
        <f aca="false">IF((G18&lt;&gt;0),IF((D18&gt;0)," ",(I$1-A18))," ")</f>
        <v>170</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46095</v>
      </c>
      <c r="B19" s="365" t="s">
        <v>337</v>
      </c>
      <c r="E19" s="367" t="s">
        <v>330</v>
      </c>
      <c r="G19" s="368" t="n">
        <v>24</v>
      </c>
      <c r="H19" s="340" t="n">
        <f aca="false">IF((G19&lt;&gt;0),IF((D19&gt;0)," ",G19)," ")</f>
        <v>24</v>
      </c>
      <c r="I19" s="369" t="n">
        <f aca="false">IF((G19&lt;&gt;0),IF((D19&gt;0)," ",(I$1-A19))," ")</f>
        <v>168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46095</v>
      </c>
      <c r="B20" s="365" t="s">
        <v>338</v>
      </c>
      <c r="E20" s="367" t="s">
        <v>330</v>
      </c>
      <c r="G20" s="368" t="n">
        <v>12</v>
      </c>
      <c r="H20" s="340" t="n">
        <f aca="false">IF((G20&lt;&gt;0),IF((D20&gt;0)," ",G20)," ")</f>
        <v>12</v>
      </c>
      <c r="I20" s="369" t="n">
        <f aca="false">IF((G20&lt;&gt;0),IF((D20&gt;0)," ",(I$1-A20))," ")</f>
        <v>168</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46096</v>
      </c>
      <c r="B21" s="365" t="s">
        <v>250</v>
      </c>
      <c r="D21" s="365"/>
      <c r="E21" s="367" t="s">
        <v>298</v>
      </c>
      <c r="G21" s="368" t="n">
        <v>150</v>
      </c>
      <c r="H21" s="340" t="n">
        <f aca="false">IF((G21&lt;&gt;0),IF((D21&gt;0)," ",G21)," ")</f>
        <v>150</v>
      </c>
      <c r="I21" s="369" t="n">
        <f aca="false">IF((G21&lt;&gt;0),IF((D21&gt;0)," ",(I$1-A21))," ")</f>
        <v>167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46096</v>
      </c>
      <c r="B22" s="365" t="s">
        <v>339</v>
      </c>
      <c r="D22" s="395"/>
      <c r="E22" s="367" t="s">
        <v>317</v>
      </c>
      <c r="G22" s="368" t="n">
        <v>12</v>
      </c>
      <c r="H22" s="340" t="n">
        <f aca="false">IF((G22&lt;&gt;0),IF((D22&gt;0)," ",G22)," ")</f>
        <v>12</v>
      </c>
      <c r="I22" s="369" t="n">
        <f aca="false">IF((G22&lt;&gt;0),IF((D22&gt;0)," ",(I$1-A22))," ")</f>
        <v>167</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46097</v>
      </c>
      <c r="B23" s="365" t="s">
        <v>362</v>
      </c>
      <c r="E23" s="367" t="s">
        <v>317</v>
      </c>
      <c r="G23" s="368" t="n">
        <v>24</v>
      </c>
      <c r="H23" s="340" t="n">
        <f aca="false">IF((G23&lt;&gt;0),IF((D23&gt;0)," ",G23)," ")</f>
        <v>24</v>
      </c>
      <c r="I23" s="369" t="n">
        <f aca="false">IF((G23&lt;&gt;0),IF((D23&gt;0)," ",(I$1-A23))," ")</f>
        <v>166</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46099</v>
      </c>
      <c r="B24" s="365" t="s">
        <v>371</v>
      </c>
      <c r="E24" s="367" t="s">
        <v>334</v>
      </c>
      <c r="G24" s="368" t="n">
        <v>300</v>
      </c>
      <c r="H24" s="340" t="n">
        <f aca="false">IF((G24&lt;&gt;0),IF((D24&gt;0)," ",G24)," ")</f>
        <v>300</v>
      </c>
      <c r="I24" s="369" t="n">
        <f aca="false">IF((G24&lt;&gt;0),IF((D24&gt;0)," ",(I$1-A24))," ")</f>
        <v>164</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46099</v>
      </c>
      <c r="B25" s="365" t="s">
        <v>340</v>
      </c>
      <c r="E25" s="367" t="s">
        <v>298</v>
      </c>
      <c r="G25" s="368" t="n">
        <v>96</v>
      </c>
      <c r="H25" s="340" t="n">
        <f aca="false">IF((G25&lt;&gt;0),IF((D25&gt;0)," ",G25)," ")</f>
        <v>96</v>
      </c>
      <c r="I25" s="369" t="n">
        <f aca="false">IF((G25&lt;&gt;0),IF((D25&gt;0)," ",(I$1-A25))," ")</f>
        <v>164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46101</v>
      </c>
      <c r="B26" s="365" t="s">
        <v>249</v>
      </c>
      <c r="E26" s="367" t="s">
        <v>317</v>
      </c>
      <c r="G26" s="368" t="n">
        <v>60</v>
      </c>
      <c r="H26" s="340" t="n">
        <f aca="false">IF((G26&lt;&gt;0),IF((D26&gt;0)," ",G26)," ")</f>
        <v>60</v>
      </c>
      <c r="I26" s="369" t="n">
        <f aca="false">IF((G26&lt;&gt;0),IF((D26&gt;0)," ",(I$1-A26))," ")</f>
        <v>162</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46102</v>
      </c>
      <c r="B27" s="365" t="s">
        <v>343</v>
      </c>
      <c r="E27" s="367" t="s">
        <v>330</v>
      </c>
      <c r="G27" s="368" t="n">
        <v>8</v>
      </c>
      <c r="H27" s="340" t="n">
        <f aca="false">IF((G27&lt;&gt;0),IF((D27&gt;0)," ",G27)," ")</f>
        <v>8</v>
      </c>
      <c r="I27" s="369" t="n">
        <f aca="false">IF((G27&lt;&gt;0),IF((D27&gt;0)," ",(I$1-A27))," ")</f>
        <v>161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46103</v>
      </c>
      <c r="B28" s="365" t="s">
        <v>344</v>
      </c>
      <c r="E28" s="367" t="s">
        <v>320</v>
      </c>
      <c r="G28" s="368" t="n">
        <v>18</v>
      </c>
      <c r="H28" s="340" t="n">
        <f aca="false">IF((G28&lt;&gt;0),IF((D28&gt;0)," ",G28)," ")</f>
        <v>18</v>
      </c>
      <c r="I28" s="369" t="n">
        <f aca="false">IF((G28&lt;&gt;0),IF((D28&gt;0)," ",(I$1-A28))," ")</f>
        <v>160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row>
    <row r="29" customFormat="false" ht="12.75" hidden="false" customHeight="false" outlineLevel="0" collapsed="false">
      <c r="A29" s="357" t="n">
        <v>46103</v>
      </c>
      <c r="B29" s="365" t="s">
        <v>365</v>
      </c>
      <c r="E29" s="367" t="s">
        <v>298</v>
      </c>
      <c r="G29" s="368" t="n">
        <v>60</v>
      </c>
      <c r="H29" s="340" t="n">
        <f aca="false">IF((G29&lt;&gt;0),IF((D29&gt;0)," ",G29)," ")</f>
        <v>60</v>
      </c>
      <c r="I29" s="369" t="n">
        <f aca="false">IF((G29&lt;&gt;0),IF((D29&gt;0)," ",(I$1-A29))," ")</f>
        <v>160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46106</v>
      </c>
      <c r="B30" s="365" t="s">
        <v>372</v>
      </c>
      <c r="E30" s="367" t="s">
        <v>315</v>
      </c>
      <c r="G30" s="368" t="n">
        <v>360</v>
      </c>
      <c r="H30" s="340" t="n">
        <f aca="false">IF((G30&lt;&gt;0),IF((D30&gt;0)," ",G30)," ")</f>
        <v>360</v>
      </c>
      <c r="I30" s="369" t="n">
        <f aca="false">IF((G30&lt;&gt;0),IF((D30&gt;0)," ",(I$1-A30))," ")</f>
        <v>157</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46106</v>
      </c>
      <c r="B31" s="365" t="s">
        <v>345</v>
      </c>
      <c r="E31" s="367" t="s">
        <v>320</v>
      </c>
      <c r="G31" s="368" t="n">
        <v>15</v>
      </c>
      <c r="H31" s="340" t="n">
        <f aca="false">IF((G31&lt;&gt;0),IF((D31&gt;0)," ",G31)," ")</f>
        <v>15</v>
      </c>
      <c r="I31" s="369" t="n">
        <f aca="false">IF((G31&lt;&gt;0),IF((D31&gt;0)," ",(I$1-A31))," ")</f>
        <v>157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row>
    <row r="32" customFormat="false" ht="12.75" hidden="false" customHeight="false" outlineLevel="0" collapsed="false">
      <c r="A32" s="357" t="n">
        <v>46106</v>
      </c>
      <c r="B32" s="365" t="s">
        <v>346</v>
      </c>
      <c r="E32" s="367" t="s">
        <v>298</v>
      </c>
      <c r="G32" s="368" t="n">
        <v>58.5</v>
      </c>
      <c r="H32" s="340" t="n">
        <f aca="false">IF((G32&lt;&gt;0),IF((D32&gt;0)," ",G32)," ")</f>
        <v>58.5</v>
      </c>
      <c r="I32" s="369" t="n">
        <f aca="false">IF((G32&lt;&gt;0),IF((D32&gt;0)," ",(I$1-A32))," ")</f>
        <v>157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58.5</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46109</v>
      </c>
      <c r="B33" s="365" t="s">
        <v>250</v>
      </c>
      <c r="E33" s="367" t="s">
        <v>298</v>
      </c>
      <c r="G33" s="368" t="n">
        <v>120</v>
      </c>
      <c r="H33" s="340" t="n">
        <f aca="false">IF((G33&lt;&gt;0),IF((D33&gt;0)," ",G33)," ")</f>
        <v>120</v>
      </c>
      <c r="I33" s="369" t="n">
        <f aca="false">IF((G33&lt;&gt;0),IF((D33&gt;0)," ",(I$1-A33))," ")</f>
        <v>154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46112</v>
      </c>
      <c r="B34" s="365" t="s">
        <v>247</v>
      </c>
      <c r="E34" s="367" t="s">
        <v>347</v>
      </c>
      <c r="G34" s="368" t="n">
        <v>300</v>
      </c>
      <c r="H34" s="340" t="n">
        <f aca="false">IF((G34&lt;&gt;0),IF((D34&gt;0)," ",G34)," ")</f>
        <v>300</v>
      </c>
      <c r="I34" s="369" t="n">
        <f aca="false">IF((G34&lt;&gt;0),IF((D34&gt;0)," ",(I$1-A34))," ")</f>
        <v>151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46112</v>
      </c>
      <c r="B35" s="365" t="s">
        <v>373</v>
      </c>
      <c r="E35" s="367" t="s">
        <v>374</v>
      </c>
      <c r="G35" s="368" t="n">
        <v>125</v>
      </c>
      <c r="H35" s="340" t="n">
        <f aca="false">IF((G35&lt;&gt;0),IF((D35&gt;0)," ",G35)," ")</f>
        <v>125</v>
      </c>
      <c r="I35" s="369" t="n">
        <f aca="false">IF((G35&lt;&gt;0),IF((D35&gt;0)," ",(I$1-A35))," ")</f>
        <v>151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row>
    <row r="36" customFormat="false" ht="12.75" hidden="false" customHeight="false" outlineLevel="0" collapsed="false">
      <c r="A36" s="357" t="n">
        <v>46112</v>
      </c>
      <c r="B36" s="365" t="s">
        <v>348</v>
      </c>
      <c r="E36" s="367" t="s">
        <v>349</v>
      </c>
      <c r="G36" s="368" t="n">
        <v>3500</v>
      </c>
      <c r="H36" s="340" t="n">
        <f aca="false">IF((G36&lt;&gt;0),IF((D36&gt;0)," ",G36)," ")</f>
        <v>3500</v>
      </c>
      <c r="I36" s="369" t="n">
        <f aca="false">IF((G36&lt;&gt;0),IF((D36&gt;0)," ",(I$1-A36))," ")</f>
        <v>151</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46112</v>
      </c>
      <c r="B37" s="365" t="s">
        <v>350</v>
      </c>
      <c r="E37" s="367" t="s">
        <v>349</v>
      </c>
      <c r="G37" s="368" t="n">
        <v>2200</v>
      </c>
      <c r="H37" s="340" t="n">
        <f aca="false">IF((G37&lt;&gt;0),IF((D37&gt;0)," ",G37)," ")</f>
        <v>2200</v>
      </c>
      <c r="I37" s="369" t="n">
        <f aca="false">IF((G37&lt;&gt;0),IF((D37&gt;0)," ",(I$1-A37))," ")</f>
        <v>151</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397</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398</v>
      </c>
      <c r="E2" s="411"/>
      <c r="F2" s="411"/>
      <c r="G2" s="412" t="str">
        <f aca="false">B23</f>
        <v>2026-27</v>
      </c>
      <c r="H2" s="68"/>
      <c r="I2" s="68"/>
      <c r="J2" s="413" t="s">
        <v>399</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400</v>
      </c>
      <c r="J4" s="418"/>
      <c r="K4" s="418"/>
      <c r="L4" s="418"/>
      <c r="M4" s="418"/>
      <c r="N4" s="420" t="n">
        <v>12570</v>
      </c>
      <c r="O4" s="415" t="s">
        <v>30</v>
      </c>
    </row>
    <row r="5" customFormat="false" ht="12" hidden="false" customHeight="true" outlineLevel="0" collapsed="false">
      <c r="A5" s="68"/>
      <c r="B5" s="410" t="n">
        <v>46142</v>
      </c>
      <c r="C5" s="68"/>
      <c r="D5" s="418" t="s">
        <v>401</v>
      </c>
      <c r="E5" s="418"/>
      <c r="F5" s="418"/>
      <c r="G5" s="419" t="n">
        <v>0.14</v>
      </c>
      <c r="H5" s="68"/>
      <c r="I5" s="418" t="s">
        <v>402</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403</v>
      </c>
      <c r="J6" s="68"/>
      <c r="K6" s="68"/>
      <c r="L6" s="68"/>
      <c r="M6" s="68"/>
      <c r="N6" s="419" t="n">
        <v>0</v>
      </c>
      <c r="O6" s="415" t="s">
        <v>404</v>
      </c>
    </row>
    <row r="7" customFormat="false" ht="12" hidden="false" customHeight="true" outlineLevel="0" collapsed="false">
      <c r="A7" s="68"/>
      <c r="B7" s="410" t="n">
        <v>46203</v>
      </c>
      <c r="C7" s="68"/>
      <c r="D7" s="418" t="s">
        <v>405</v>
      </c>
      <c r="E7" s="418"/>
      <c r="F7" s="418"/>
      <c r="G7" s="415"/>
      <c r="H7" s="68"/>
      <c r="I7" s="418" t="s">
        <v>406</v>
      </c>
      <c r="J7" s="418"/>
      <c r="K7" s="418"/>
      <c r="L7" s="418"/>
      <c r="M7" s="418"/>
      <c r="N7" s="419" t="n">
        <v>0.2</v>
      </c>
      <c r="O7" s="415" t="s">
        <v>404</v>
      </c>
    </row>
    <row r="8" customFormat="false" ht="12" hidden="false" customHeight="true" outlineLevel="0" collapsed="false">
      <c r="A8" s="68"/>
      <c r="B8" s="410" t="n">
        <v>46234</v>
      </c>
      <c r="C8" s="68"/>
      <c r="D8" s="68" t="s">
        <v>407</v>
      </c>
      <c r="E8" s="421" t="n">
        <v>12000</v>
      </c>
      <c r="F8" s="68" t="s">
        <v>408</v>
      </c>
      <c r="G8" s="421" t="n">
        <v>3000</v>
      </c>
      <c r="H8" s="68"/>
      <c r="I8" s="418" t="s">
        <v>409</v>
      </c>
      <c r="J8" s="418"/>
      <c r="K8" s="418"/>
      <c r="L8" s="418"/>
      <c r="M8" s="418"/>
      <c r="N8" s="419" t="n">
        <v>0.4</v>
      </c>
      <c r="O8" s="415" t="s">
        <v>404</v>
      </c>
    </row>
    <row r="9" customFormat="false" ht="12" hidden="false" customHeight="true" outlineLevel="0" collapsed="false">
      <c r="A9" s="68"/>
      <c r="B9" s="410" t="n">
        <v>46265</v>
      </c>
      <c r="C9" s="68"/>
      <c r="D9" s="68"/>
      <c r="E9" s="415"/>
      <c r="F9" s="68"/>
      <c r="G9" s="415"/>
      <c r="H9" s="68"/>
      <c r="I9" s="418" t="s">
        <v>410</v>
      </c>
      <c r="J9" s="418"/>
      <c r="K9" s="418"/>
      <c r="L9" s="418"/>
      <c r="M9" s="418"/>
      <c r="N9" s="419" t="n">
        <v>0.45</v>
      </c>
      <c r="O9" s="415" t="s">
        <v>404</v>
      </c>
    </row>
    <row r="10" customFormat="false" ht="12" hidden="false" customHeight="true" outlineLevel="0" collapsed="false">
      <c r="A10" s="68"/>
      <c r="B10" s="410" t="n">
        <v>46295</v>
      </c>
      <c r="C10" s="68"/>
      <c r="D10" s="68"/>
      <c r="E10" s="415"/>
      <c r="F10" s="68"/>
      <c r="G10" s="415"/>
      <c r="H10" s="68"/>
      <c r="I10" s="418" t="s">
        <v>411</v>
      </c>
      <c r="J10" s="418"/>
      <c r="K10" s="418"/>
      <c r="L10" s="422" t="s">
        <v>412</v>
      </c>
      <c r="M10" s="422" t="s">
        <v>413</v>
      </c>
      <c r="N10" s="423" t="s">
        <v>414</v>
      </c>
      <c r="O10" s="415"/>
    </row>
    <row r="11" customFormat="false" ht="12" hidden="false" customHeight="true" outlineLevel="0" collapsed="false">
      <c r="A11" s="68"/>
      <c r="B11" s="410" t="n">
        <v>46326</v>
      </c>
      <c r="C11" s="68"/>
      <c r="D11" s="411" t="s">
        <v>415</v>
      </c>
      <c r="E11" s="411"/>
      <c r="F11" s="411"/>
      <c r="G11" s="415" t="s">
        <v>404</v>
      </c>
      <c r="H11" s="68"/>
      <c r="I11" s="68" t="s">
        <v>416</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417</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418</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419</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420</v>
      </c>
      <c r="J15" s="411"/>
      <c r="K15" s="411"/>
      <c r="L15" s="414" t="str">
        <f aca="false">G2</f>
        <v>2026-27</v>
      </c>
      <c r="M15" s="68"/>
      <c r="N15" s="68"/>
      <c r="O15" s="68"/>
    </row>
    <row r="16" customFormat="false" ht="12" hidden="false" customHeight="true" outlineLevel="0" collapsed="false">
      <c r="A16" s="68"/>
      <c r="B16" s="410" t="n">
        <v>46477</v>
      </c>
      <c r="C16" s="68"/>
      <c r="D16" s="418" t="s">
        <v>421</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422</v>
      </c>
      <c r="E17" s="418"/>
      <c r="F17" s="418"/>
      <c r="G17" s="419" t="n">
        <v>0.25</v>
      </c>
      <c r="H17" s="68"/>
      <c r="I17" s="418" t="s">
        <v>423</v>
      </c>
      <c r="J17" s="418"/>
      <c r="K17" s="418"/>
      <c r="L17" s="425" t="n">
        <v>0</v>
      </c>
      <c r="M17" s="68" t="s">
        <v>424</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425</v>
      </c>
      <c r="E19" s="411"/>
      <c r="F19" s="415" t="s">
        <v>426</v>
      </c>
      <c r="G19" s="415" t="s">
        <v>427</v>
      </c>
      <c r="H19" s="68"/>
      <c r="I19" s="426" t="s">
        <v>428</v>
      </c>
      <c r="J19" s="426"/>
      <c r="K19" s="426"/>
      <c r="L19" s="68"/>
      <c r="M19" s="427" t="s">
        <v>429</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430</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431</v>
      </c>
      <c r="E22" s="68"/>
      <c r="F22" s="421" t="n">
        <v>10001</v>
      </c>
      <c r="G22" s="425" t="n">
        <v>0.25</v>
      </c>
      <c r="H22" s="68"/>
      <c r="I22" s="426" t="s">
        <v>432</v>
      </c>
      <c r="J22" s="426"/>
      <c r="K22" s="426"/>
      <c r="L22" s="68"/>
      <c r="M22" s="427" t="s">
        <v>433</v>
      </c>
      <c r="N22" s="68"/>
      <c r="O22" s="68"/>
    </row>
    <row r="23" customFormat="false" ht="12" hidden="false" customHeight="true" outlineLevel="0" collapsed="false">
      <c r="A23" s="68"/>
      <c r="B23" s="417" t="s">
        <v>434</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435</v>
      </c>
      <c r="C24" s="68"/>
      <c r="D24" s="411" t="s">
        <v>436</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437</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