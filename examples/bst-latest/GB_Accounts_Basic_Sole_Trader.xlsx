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<sst xmlns="http://schemas.openxmlformats.org/spreadsheetml/2006/main" count="1280" uniqueCount="365">
  <si>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</si>
  <si>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</si>
  <si>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</si>
  <si>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</si>
  <si>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</si>
  <si>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</si>
  <si>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</si>
  <si>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</si>
  <si>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</si>
  <si>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</si>
  <si>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</si>
  <si>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</si>
  <si>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</si>
  <si>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</si>
  <si>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</si>
  <si>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</si>
  <si>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</si>
  <si>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</si>
  <si>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</si>
  <si>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</si>
  <si>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</si>
  <si>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</si>
  <si>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</si>
  <si>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</si>
  <si>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</si>
  <si>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</si>
  <si>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</si>
  <si>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</si>
  <si>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</si>
  <si>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</si>
  <si>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</si>
  <si>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</si>
  <si>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</si>
  <si>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</si>
  <si>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</si>
  <si>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</si>
  <si>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</si>
  <si>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</si>
  <si>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</si>
  <si>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</si>
  <si>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</si>
  <si>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</si>
  <si>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</si>
  <si>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</si>
  <si>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</si>
  <si>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</si>
  <si>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</si>
  <si>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</si>
  <si>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</si>
  <si>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</si>
  <si>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</si>
  <si>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</si>
  <si>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</si>
  <si>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</si>
  <si>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</si>
  <si>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</si>
  <si>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</si>
  <si>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</si>
  <si>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</si>
  <si>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</si>
  <si>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</si>
  <si>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</si>
  <si>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</si>
  <si>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</si>
  <si>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</si>
  <si>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</si>
  <si>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</si>
  <si>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</si>
  <si>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</si>
  <si>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</si>
  <si>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</si>
  <si>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</si>
  <si>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</si>
  <si>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</si>
  <si>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</si>
  <si>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</si>
  <si>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</si>
  <si>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</si>
  <si>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</si>
  <si>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</si>
  <si>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</si>
  <si>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</si>
  <si>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</si>
  <si>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</si>
  <si>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</si>
  <si>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</si>
  <si>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</si>
  <si>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</si>
  <si>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</si>
  <si>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</si>
  <si>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</si>
  <si>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</si>
  <si>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</si>
  <si>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</si>
  <si>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</si>
  <si>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</si>
  <si>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</si>
  <si>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</si>
  <si>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</si>
  <si>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</si>
  <si>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</si>
  <si>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</si>
  <si>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</si>
  <si>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</si>
  <si>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</si>
  <si>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</si>
  <si>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</si>
  <si>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</si>
  <si>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</si>
  <si>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</si>
  <si>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</si>
  <si>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</si>
  <si>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</si>
  <si>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</si>
  <si>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</si>
  <si>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</si>
  <si>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</si>
  <si>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</si>
  <si>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</si>
  <si>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</si>
  <si>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</si>
  <si>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</si>
  <si>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</si>
  <si>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</si>
  <si>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</si>
  <si>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</si>
  <si>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</si>
  <si>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</si>
  <si>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</si>
  <si>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</si>
  <si>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</si>
  <si>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</si>
  <si>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</si>
  <si>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</si>
  <si>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</si>
  <si>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</si>
  <si>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</si>
  <si>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</si>
  <si>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</si>
  <si>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</si>
  <si>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</si>
  <si>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</si>
  <si>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</si>
  <si>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</si>
  <si>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</si>
  <si>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</si>
  <si>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</si>
  <si>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</si>
  <si>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</si>
  <si>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</si>
  <si>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</si>
  <si>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</si>
  <si>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</si>
  <si>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</si>
  <si>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</si>
  <si>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</si>
  <si>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</si>
  <si>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</si>
  <si>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</si>
  <si>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</si>
  <si>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</si>
  <si>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</si>
  <si>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</si>
  <si>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</si>
  <si>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</si>
  <si>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</si>
  <si>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</si>
  <si>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</si>
  <si>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</si>
  <si>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</si>
  <si>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</si>
  <si>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</si>
  <si>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</si>
  <si>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</si>
  <si>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</si>
  <si>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</si>
  <si>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</si>
  <si>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</si>
  <si>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</si>
  <si>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</si>
  <si>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</si>
  <si>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</si>
  <si>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</si>
  <si>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</si>
  <si>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</si>
  <si>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</si>
  <si>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</si>
  <si>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</si>
  <si>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</si>
  <si>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</si>
  <si>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</si>
  <si>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</si>
  <si>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</si>
  <si>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</si>
  <si>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</si>
  <si>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</si>
  <si>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</si>
  <si>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</si>
  <si>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</si>
  <si>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</si>
  <si>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</si>
  <si>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</si>
  <si>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</si>
  <si>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</si>
  <si>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</si>
  <si>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</si>
  <si>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</si>
  <si>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</si>
  <si>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</si>
  <si>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</si>
  <si>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</si>
  <si>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</si>
  <si>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</si>
  <si>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</si>
  <si>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</si>
  <si>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</si>
  <si>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</si>
  <si>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</si>
  <si>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</si>
  <si>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</si>
  <si>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</si>
  <si>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</si>
  <si>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</si>
  <si>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</si>
  <si>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</si>
  <si>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</si>
  <si>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</si>
  <si>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</si>
  <si>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</si>
  <si>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</si>
  <si>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</si>
  <si>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</si>
  <si>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</si>
  <si>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</si>
  <si>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</si>
  <si>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</si>
  <si>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</si>
  <si>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</si>
  <si>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</si>
  <si>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</si>
  <si>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</si>
  <si>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</si>
  <si>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</si>
  <si>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</si>
  <si>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</si>
  <si>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Acme Corp</t>
  </si>
  <si>
    <t xml:space="preserve">Bank</t>
  </si>
  <si>
    <t xml:space="preserve">Beta Systems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</si>
  <si>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</si>
  <si>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</si>
  <si>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</si>
  <si>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</si>
  <si>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</si>
  <si>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</si>
  <si>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</si>
  <si>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</si>
  <si>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</si>
  <si>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</si>
  <si>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</si>
  <si>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</si>
  <si>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</si>
  <si>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</si>
  <si>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</si>
  <si>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</si>
  <si>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</si>
  <si>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</si>
  <si>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</si>
  <si>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</si>
  <si>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</si>
  <si>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</si>
  <si>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</si>
  <si>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</si>
  <si>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</si>
  <si>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</si>
  <si>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</si>
  <si>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</si>
  <si>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</si>
  <si>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</si>
  <si>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</si>
  <si>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</si>
  <si>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</si>
  <si>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</si>
  <si>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</si>
  <si>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</si>
  <si>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</si>
  <si>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</si>
  <si>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</si>
  <si>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</si>
  <si>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</si>
  <si>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</si>
  <si>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</si>
  <si>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TechParts Ltd</t>
  </si>
  <si>
    <t xml:space="preserve">s</t>
  </si>
  <si>
    <t xml:space="preserve">Shell</t>
  </si>
  <si>
    <t xml:space="preserve">d</t>
  </si>
  <si>
    <t xml:space="preserve">Landlord</t>
  </si>
  <si>
    <t xml:space="preserve">DD</t>
  </si>
  <si>
    <t xml:space="preserve">p</t>
  </si>
  <si>
    <t xml:space="preserve">BT</t>
  </si>
  <si>
    <t xml:space="preserve">g</t>
  </si>
  <si>
    <t xml:space="preserve">Hiscox</t>
  </si>
  <si>
    <t xml:space="preserve">l</t>
  </si>
  <si>
    <t xml:space="preserve">b</t>
  </si>
  <si>
    <t xml:space="preserve">BCS Membership</t>
  </si>
  <si>
    <t xml:space="preserve">o</t>
  </si>
  <si>
    <t xml:space="preserve">Gamma Ltd</t>
  </si>
  <si>
    <t xml:space="preserve">Enter Mileage</t>
  </si>
  <si>
    <t xml:space="preserve">Halfords</t>
  </si>
  <si>
    <t xml:space="preserve">Google Ads</t>
  </si>
  <si>
    <t xml:space="preserve">a</t>
  </si>
  <si>
    <t xml:space="preserve">Delta PLC</t>
  </si>
  <si>
    <t xml:space="preserve">Casual worker</t>
  </si>
  <si>
    <t xml:space="preserve">e</t>
  </si>
  <si>
    <t xml:space="preserve">Premier Inn</t>
  </si>
  <si>
    <t xml:space="preserve">t</t>
  </si>
  <si>
    <t xml:space="preserve">HP Finance</t>
  </si>
  <si>
    <t xml:space="preserve">i</t>
  </si>
  <si>
    <t xml:space="preserve">Apple</t>
  </si>
  <si>
    <t xml:space="preserve">f</t>
  </si>
  <si>
    <t xml:space="preserve">IT Fix Ltd</t>
  </si>
  <si>
    <t xml:space="preserve">r</t>
  </si>
  <si>
    <t xml:space="preserve">LinkedIn</t>
  </si>
  <si>
    <t xml:space="preserve">ACM Membership</t>
  </si>
  <si>
    <t xml:space="preserve">Kwik Fit</t>
  </si>
  <si>
    <t xml:space="preserve">Travelodge</t>
  </si>
  <si>
    <t xml:space="preserve">Accountant</t>
  </si>
  <si>
    <t xml:space="preserve">Building Services</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</si>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</sst>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46482</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row>
    <row r="32" s="49" customFormat="tru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2028</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46118</v>
      </c>
      <c r="R2" s="60"/>
      <c r="S2" s="60"/>
      <c r="T2" s="60"/>
      <c r="U2" s="61" t="s">
        <v>34</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46118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46118</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46482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52500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3240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1150</v>
      </c>
      <c r="E51" s="102"/>
      <c r="F51" s="102"/>
      <c r="G51" s="103" t="s">
        <v>27</v>
      </c>
      <c r="H51" s="104" t="n">
        <v>0</v>
      </c>
      <c r="I51" s="104" t="n">
        <v>0</v>
      </c>
      <c r="J51" s="68"/>
      <c r="K51" s="68"/>
      <c r="L51" s="68"/>
      <c r="M51" s="68"/>
      <c r="N51" s="101" t="s">
        <v>26</v>
      </c>
      <c r="O51" s="102" t="n">
        <f aca="false">IF(('Profit &amp; Loss Acc'!C4&lt;30000)," ",'Profit &amp; Loss Acc'!C20)</f>
        <v>240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1800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1030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650</v>
      </c>
      <c r="E64" s="102"/>
      <c r="F64" s="102"/>
      <c r="G64" s="103" t="s">
        <v>27</v>
      </c>
      <c r="H64" s="104" t="n">
        <v>0</v>
      </c>
      <c r="I64" s="104" t="n">
        <v>0</v>
      </c>
      <c r="J64" s="68"/>
      <c r="K64" s="68"/>
      <c r="L64" s="68"/>
      <c r="M64" s="68"/>
      <c r="N64" s="101" t="s">
        <v>26</v>
      </c>
      <c r="O64" s="102" t="n">
        <f aca="false">'Profit &amp; Loss Acc'!C6+'Profit &amp; Loss Acc'!C7+'Profit &amp; Loss Acc'!C22</f>
        <v>14240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38260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38260</v>
      </c>
      <c r="E99" s="102"/>
      <c r="F99" s="102"/>
      <c r="G99" s="103" t="s">
        <v>27</v>
      </c>
      <c r="H99" s="104" t="n">
        <v>0</v>
      </c>
      <c r="I99" s="104" t="n">
        <v>0</v>
      </c>
      <c r="J99" s="68"/>
      <c r="K99" s="68"/>
      <c r="L99" s="69"/>
      <c r="M99" s="68"/>
      <c r="N99" s="101" t="s">
        <v>26</v>
      </c>
      <c r="O99" s="102" t="n">
        <f aca="false">'Profit &amp; Loss Acc'!C30</f>
        <v>2000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40260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2026-27</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102</v>
      </c>
      <c r="B1" s="127" t="s">
        <v>103</v>
      </c>
      <c r="C1" s="128" t="s">
        <v>104</v>
      </c>
      <c r="D1" s="129" t="n">
        <f aca="false">Admin!B5</f>
        <v>46142</v>
      </c>
      <c r="E1" s="129" t="n">
        <f aca="false">Admin!B6</f>
        <v>46173</v>
      </c>
      <c r="F1" s="129" t="n">
        <f aca="false">Admin!B7</f>
        <v>46203</v>
      </c>
      <c r="G1" s="129" t="n">
        <f aca="false">Admin!B8</f>
        <v>46234</v>
      </c>
      <c r="H1" s="129" t="n">
        <f aca="false">Admin!B9</f>
        <v>46265</v>
      </c>
      <c r="I1" s="129" t="n">
        <f aca="false">Admin!B10</f>
        <v>46295</v>
      </c>
      <c r="J1" s="129" t="n">
        <f aca="false">Admin!B11</f>
        <v>46326</v>
      </c>
      <c r="K1" s="129" t="n">
        <f aca="false">Admin!B12</f>
        <v>46356</v>
      </c>
      <c r="L1" s="129" t="n">
        <f aca="false">Admin!B13</f>
        <v>46387</v>
      </c>
      <c r="M1" s="129" t="n">
        <f aca="false">Admin!B14</f>
        <v>46418</v>
      </c>
      <c r="N1" s="129" t="n">
        <f aca="false">Admin!B15</f>
        <v>46446</v>
      </c>
      <c r="O1" s="129" t="n">
        <f aca="false">Admin!B16</f>
        <v>46477</v>
      </c>
      <c r="P1" s="130"/>
      <c r="R1" s="132"/>
      <c r="S1" s="133" t="s">
        <v>105</v>
      </c>
      <c r="T1" s="133" t="s">
        <v>106</v>
      </c>
      <c r="U1" s="133" t="s">
        <v>107</v>
      </c>
      <c r="V1" s="133" t="s">
        <v>108</v>
      </c>
      <c r="W1" s="133" t="s">
        <v>109</v>
      </c>
      <c r="X1" s="133" t="s">
        <v>110</v>
      </c>
      <c r="Y1" s="133" t="s">
        <v>111</v>
      </c>
      <c r="Z1" s="132"/>
    </row>
    <row r="2" customFormat="false" ht="12" hidden="false" customHeight="true" outlineLevel="0" collapsed="false">
      <c r="A2" s="126"/>
      <c r="B2" s="134"/>
      <c r="C2" s="135" t="str">
        <f aca="false">Admin!G2</f>
        <v>2026-27</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112</v>
      </c>
      <c r="B4" s="141" t="n">
        <v>3.29</v>
      </c>
      <c r="C4" s="142" t="n">
        <f aca="false">ROUND(SUM(D4:O4),0)</f>
        <v>52500</v>
      </c>
      <c r="D4" s="125" t="n">
        <f aca="false">SalesApr!$F$1</f>
        <v>5500</v>
      </c>
      <c r="E4" s="125" t="n">
        <f aca="false">SalesMay!$F$1</f>
        <v>5500</v>
      </c>
      <c r="F4" s="125" t="n">
        <f aca="false">SalesJun!$F$1</f>
        <v>5500</v>
      </c>
      <c r="G4" s="125" t="n">
        <f aca="false">SalesJul!$F$1</f>
        <v>5500</v>
      </c>
      <c r="H4" s="125" t="n">
        <f aca="false">SalesAug!$F$1</f>
        <v>4000</v>
      </c>
      <c r="I4" s="125" t="n">
        <f aca="false">SalesSep!$F$1</f>
        <v>5000</v>
      </c>
      <c r="J4" s="125" t="n">
        <f aca="false">SalesOct!$F$1</f>
        <v>5500</v>
      </c>
      <c r="K4" s="125" t="n">
        <f aca="false">SalesNov!$F$1</f>
        <v>4500</v>
      </c>
      <c r="L4" s="125" t="n">
        <f aca="false">SalesDec!$F$1</f>
        <v>3000</v>
      </c>
      <c r="M4" s="125" t="n">
        <f aca="false">SalesJan!$F$1</f>
        <v>4000</v>
      </c>
      <c r="N4" s="125" t="n">
        <f aca="false">SalesFeb!$F$1</f>
        <v>2500</v>
      </c>
      <c r="O4" s="125" t="n">
        <f aca="false">SalesMar!$F$1</f>
        <v>2000</v>
      </c>
      <c r="P4" s="132"/>
      <c r="R4" s="132"/>
      <c r="S4" s="132" t="s">
        <v>113</v>
      </c>
      <c r="T4" s="143" t="n">
        <f aca="false">SUM(D4:F4)</f>
        <v>16500</v>
      </c>
      <c r="U4" s="143" t="n">
        <f aca="false">SUM(G4:I4)</f>
        <v>14500</v>
      </c>
      <c r="V4" s="143" t="n">
        <f aca="false">SUM(J4:L4)</f>
        <v>13000</v>
      </c>
      <c r="W4" s="143" t="n">
        <f aca="false">SUM(M4:O4)</f>
        <v>8500</v>
      </c>
      <c r="X4" s="144" t="n">
        <f aca="false">SUM(T4:W4)</f>
        <v>52500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500</v>
      </c>
      <c r="U5" s="143" t="n">
        <f aca="false">SUM(G30:I30)</f>
        <v>500</v>
      </c>
      <c r="V5" s="143" t="n">
        <f aca="false">SUM(J30:L30)</f>
        <v>500</v>
      </c>
      <c r="W5" s="143" t="n">
        <f aca="false">SUM(M30:O30)</f>
        <v>500</v>
      </c>
      <c r="X5" s="144" t="n">
        <f aca="false">SUM(T5:W5)</f>
        <v>2000</v>
      </c>
      <c r="Y5" s="132"/>
      <c r="Z5" s="132"/>
    </row>
    <row r="6" customFormat="false" ht="12.75" hidden="false" customHeight="false" outlineLevel="0" collapsed="false">
      <c r="A6" s="132" t="s">
        <v>115</v>
      </c>
      <c r="B6" s="124" t="n">
        <v>3.46</v>
      </c>
      <c r="C6" s="149" t="n">
        <f aca="false">ROUND(SUM(D6:O6),0)</f>
        <v>1800</v>
      </c>
      <c r="D6" s="125" t="n">
        <f aca="false">PurchasesApr!$J$1+PurchasesStock!$D$5-PurchasesStock!$D$7</f>
        <v>500</v>
      </c>
      <c r="E6" s="125" t="n">
        <f aca="false">PurchasesMay!$J$1+PurchasesStock!$D$7-PurchasesStock!$D$9</f>
        <v>0</v>
      </c>
      <c r="F6" s="125" t="n">
        <f aca="false">PurchasesJun!$J$1+PurchasesStock!$D$9-PurchasesStock!$D$11</f>
        <v>0</v>
      </c>
      <c r="G6" s="125" t="n">
        <f aca="false">PurchasesJul!$J$1+PurchasesStock!$D$11-PurchasesStock!$D$13</f>
        <v>500</v>
      </c>
      <c r="H6" s="125" t="n">
        <f aca="false">PurchasesAug!$J$1+PurchasesStock!$D$13-PurchasesStock!$D$15</f>
        <v>0</v>
      </c>
      <c r="I6" s="125" t="n">
        <f aca="false">PurchasesSep!$J$1+PurchasesStock!$D$15-PurchasesStock!$D$17</f>
        <v>0</v>
      </c>
      <c r="J6" s="125" t="n">
        <f aca="false">PurchasesOct!$J$1+PurchasesStock!$D$17-PurchasesStock!$D$19</f>
        <v>400</v>
      </c>
      <c r="K6" s="125" t="n">
        <f aca="false">PurchasesNov!$J$1+PurchasesStock!$D$19-PurchasesStock!$D$21</f>
        <v>0</v>
      </c>
      <c r="L6" s="125" t="n">
        <f aca="false">PurchasesDec!$J$1+PurchasesStock!$D$21-PurchasesStock!$D$23</f>
        <v>0</v>
      </c>
      <c r="M6" s="125" t="n">
        <f aca="false">PurchasesJan!$J$1+PurchasesStock!$D$23-PurchasesStock!$D$25</f>
        <v>400</v>
      </c>
      <c r="N6" s="125" t="n">
        <f aca="false">PurchasesFeb!$J$1+PurchasesStock!$D$25-PurchasesStock!$D$27</f>
        <v>0</v>
      </c>
      <c r="O6" s="125" t="n">
        <f aca="false">PurchasesMar!$J$1+PurchasesStock!$D$27-PurchasesStock!$D$30</f>
        <v>0</v>
      </c>
      <c r="P6" s="132"/>
      <c r="R6" s="132"/>
      <c r="S6" s="132" t="s">
        <v>116</v>
      </c>
      <c r="T6" s="143" t="n">
        <f aca="false">SUM(D6:F7)</f>
        <v>860</v>
      </c>
      <c r="U6" s="143" t="n">
        <f aca="false">SUM(G6:I7)</f>
        <v>860</v>
      </c>
      <c r="V6" s="143" t="n">
        <f aca="false">SUM(J6:L7)</f>
        <v>760</v>
      </c>
      <c r="W6" s="143" t="n">
        <f aca="false">SUM(M6:O7)</f>
        <v>760</v>
      </c>
      <c r="X6" s="144" t="n">
        <f aca="false">SUM(T6:W6)</f>
        <v>3240</v>
      </c>
      <c r="Y6" s="132"/>
      <c r="Z6" s="132"/>
    </row>
    <row r="7" s="151" customFormat="true" ht="12.75" hidden="false" customHeight="false" outlineLevel="0" collapsed="false">
      <c r="A7" s="150" t="s">
        <v>117</v>
      </c>
      <c r="B7" s="124" t="n">
        <v>3.48</v>
      </c>
      <c r="C7" s="149" t="n">
        <f aca="false">ROUND(SUM(D7:O7),0)</f>
        <v>1440</v>
      </c>
      <c r="D7" s="125" t="n">
        <f aca="false">PurchasesApr!$K$1</f>
        <v>120</v>
      </c>
      <c r="E7" s="125" t="n">
        <f aca="false">PurchasesMay!$K$1</f>
        <v>120</v>
      </c>
      <c r="F7" s="125" t="n">
        <f aca="false">PurchasesJun!$K$1</f>
        <v>120</v>
      </c>
      <c r="G7" s="125" t="n">
        <f aca="false">PurchasesJul!$K$1</f>
        <v>120</v>
      </c>
      <c r="H7" s="125" t="n">
        <f aca="false">PurchasesAug!$K$1</f>
        <v>120</v>
      </c>
      <c r="I7" s="125" t="n">
        <f aca="false">PurchasesSep!$K$1</f>
        <v>120</v>
      </c>
      <c r="J7" s="125" t="n">
        <f aca="false">PurchasesOct!$K$1</f>
        <v>120</v>
      </c>
      <c r="K7" s="125" t="n">
        <f aca="false">PurchasesNov!$K$1</f>
        <v>120</v>
      </c>
      <c r="L7" s="125" t="n">
        <f aca="false">PurchasesDec!$K$1</f>
        <v>120</v>
      </c>
      <c r="M7" s="125" t="n">
        <f aca="false">PurchasesJan!$K$1</f>
        <v>120</v>
      </c>
      <c r="N7" s="125" t="n">
        <f aca="false">PurchasesFeb!$K$1</f>
        <v>120</v>
      </c>
      <c r="O7" s="125" t="n">
        <f aca="false">PurchasesMar!$K$1</f>
        <v>120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49260</v>
      </c>
      <c r="D9" s="154" t="n">
        <f aca="false">D4-D6-D7</f>
        <v>4880</v>
      </c>
      <c r="E9" s="154" t="n">
        <f aca="false">E4-E6-E7</f>
        <v>5380</v>
      </c>
      <c r="F9" s="154" t="n">
        <f aca="false">F4-F6-F7</f>
        <v>5380</v>
      </c>
      <c r="G9" s="154" t="n">
        <f aca="false">G4-G6-G7</f>
        <v>4880</v>
      </c>
      <c r="H9" s="154" t="n">
        <f aca="false">H4-H6-H7</f>
        <v>3880</v>
      </c>
      <c r="I9" s="154" t="n">
        <f aca="false">I4-I6-I7</f>
        <v>4880</v>
      </c>
      <c r="J9" s="154" t="n">
        <f aca="false">J4-J6-J7</f>
        <v>4980</v>
      </c>
      <c r="K9" s="154" t="n">
        <f aca="false">K4-K6-K7</f>
        <v>4380</v>
      </c>
      <c r="L9" s="154" t="n">
        <f aca="false">L4-L6-L7</f>
        <v>2880</v>
      </c>
      <c r="M9" s="154" t="n">
        <f aca="false">M4-M6-M7</f>
        <v>3480</v>
      </c>
      <c r="N9" s="154" t="n">
        <f aca="false">N4-N6-N7</f>
        <v>2380</v>
      </c>
      <c r="O9" s="154" t="n">
        <f aca="false">O4-O6-O7</f>
        <v>1880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1800</v>
      </c>
      <c r="D11" s="154" t="n">
        <f aca="false">PurchasesApr!$L$1</f>
        <v>0</v>
      </c>
      <c r="E11" s="154" t="n">
        <f aca="false">PurchasesMay!$L$1</f>
        <v>0</v>
      </c>
      <c r="F11" s="154" t="n">
        <f aca="false">PurchasesJun!$L$1</f>
        <v>600</v>
      </c>
      <c r="G11" s="154" t="n">
        <f aca="false">PurchasesJul!$L$1</f>
        <v>0</v>
      </c>
      <c r="H11" s="154" t="n">
        <f aca="false">PurchasesAug!$L$1</f>
        <v>0</v>
      </c>
      <c r="I11" s="154" t="n">
        <f aca="false">PurchasesSep!$L$1</f>
        <v>600</v>
      </c>
      <c r="J11" s="154" t="n">
        <f aca="false">PurchasesOct!$L$1</f>
        <v>0</v>
      </c>
      <c r="K11" s="154" t="n">
        <f aca="false">PurchasesNov!$L$1</f>
        <v>0</v>
      </c>
      <c r="L11" s="154" t="n">
        <f aca="false">PurchasesDec!$L$1</f>
        <v>600</v>
      </c>
      <c r="M11" s="154" t="n">
        <f aca="false">PurchasesJan!$L$1</f>
        <v>0</v>
      </c>
      <c r="N11" s="154" t="n">
        <f aca="false">PurchasesFeb!$L$1</f>
        <v>0</v>
      </c>
      <c r="O11" s="154" t="n">
        <f aca="false">PurchasesMar!$L$1</f>
        <v>0</v>
      </c>
      <c r="P11" s="132"/>
      <c r="R11" s="132"/>
      <c r="S11" s="132" t="s">
        <v>121</v>
      </c>
      <c r="T11" s="144" t="n">
        <f aca="false">SUM(D11:F11)</f>
        <v>600</v>
      </c>
      <c r="U11" s="144" t="n">
        <f aca="false">SUM(G11:I11)</f>
        <v>600</v>
      </c>
      <c r="V11" s="144" t="n">
        <f aca="false">SUM(J11:L11)</f>
        <v>600</v>
      </c>
      <c r="W11" s="144" t="n">
        <f aca="false">SUM(M11:O11)</f>
        <v>0</v>
      </c>
      <c r="X11" s="144" t="n">
        <f aca="false">SUM(T11:W11)</f>
        <v>1800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650</v>
      </c>
      <c r="D13" s="154" t="n">
        <f aca="false">PurchasesApr!$N$1</f>
        <v>0</v>
      </c>
      <c r="E13" s="154" t="n">
        <f aca="false">PurchasesMay!$N$1</f>
        <v>0</v>
      </c>
      <c r="F13" s="154" t="n">
        <f aca="false">PurchasesJun!$N$1</f>
        <v>0</v>
      </c>
      <c r="G13" s="154" t="n">
        <f aca="false">PurchasesJul!$N$1</f>
        <v>0</v>
      </c>
      <c r="H13" s="154" t="n">
        <f aca="false">PurchasesAug!$N$1</f>
        <v>350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300</v>
      </c>
      <c r="O13" s="154" t="n">
        <f aca="false">PurchasesMar!$N$1</f>
        <v>0</v>
      </c>
      <c r="P13" s="132"/>
      <c r="R13" s="132"/>
      <c r="S13" s="132" t="s">
        <v>125</v>
      </c>
      <c r="T13" s="144" t="n">
        <f aca="false">SUM(D13:F13)</f>
        <v>0</v>
      </c>
      <c r="U13" s="144" t="n">
        <f aca="false">SUM(G13:I13)</f>
        <v>350</v>
      </c>
      <c r="V13" s="144" t="n">
        <f aca="false">SUM(J13:L13)</f>
        <v>0</v>
      </c>
      <c r="W13" s="144" t="n">
        <f aca="false">SUM(M13:O13)</f>
        <v>300</v>
      </c>
      <c r="X13" s="144" t="n">
        <f aca="false">SUM(T13:W13)</f>
        <v>650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650</v>
      </c>
      <c r="D15" s="154" t="n">
        <f aca="false">PurchasesApr!$P$1</f>
        <v>0</v>
      </c>
      <c r="E15" s="154" t="n">
        <f aca="false">PurchasesMay!$P$1</f>
        <v>250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400</v>
      </c>
      <c r="L15" s="154" t="n">
        <f aca="false">PurchasesDec!$P$1</f>
        <v>0</v>
      </c>
      <c r="M15" s="154" t="n">
        <f aca="false">PurchasesJan!$P$1</f>
        <v>0</v>
      </c>
      <c r="N15" s="154" t="n">
        <f aca="false">PurchasesFeb!$P$1</f>
        <v>0</v>
      </c>
      <c r="O15" s="154" t="n">
        <f aca="false">PurchasesMar!$P$1</f>
        <v>0</v>
      </c>
      <c r="P15" s="132"/>
      <c r="R15" s="132"/>
      <c r="S15" s="132" t="s">
        <v>129</v>
      </c>
      <c r="T15" s="144" t="n">
        <f aca="false">SUM(D15:F15)</f>
        <v>250</v>
      </c>
      <c r="U15" s="144" t="n">
        <f aca="false">SUM(G15:I15)</f>
        <v>0</v>
      </c>
      <c r="V15" s="144" t="n">
        <f aca="false">SUM(J15:L15)</f>
        <v>400</v>
      </c>
      <c r="W15" s="144" t="n">
        <f aca="false">SUM(M15:O15)</f>
        <v>0</v>
      </c>
      <c r="X15" s="144" t="n">
        <f aca="false">SUM(T15:W15)</f>
        <v>650</v>
      </c>
      <c r="Y15" s="132"/>
      <c r="Z15" s="132"/>
    </row>
    <row r="16" customFormat="false" ht="12.75" hidden="false" customHeight="false" outlineLevel="0" collapsed="false">
      <c r="A16" s="132" t="s">
        <v>130</v>
      </c>
      <c r="B16" s="124" t="n">
        <v>3.56</v>
      </c>
      <c r="C16" s="149" t="n">
        <f aca="false">ROUND(SUM(D16:O16),0)</f>
        <v>500</v>
      </c>
      <c r="D16" s="154" t="n">
        <f aca="false">PurchasesApr!$Q$1</f>
        <v>0</v>
      </c>
      <c r="E16" s="154" t="n">
        <f aca="false">PurchasesMay!$Q$1</f>
        <v>0</v>
      </c>
      <c r="F16" s="154" t="n">
        <f aca="false">PurchasesJun!$Q$1</f>
        <v>280</v>
      </c>
      <c r="G16" s="154" t="n">
        <f aca="false">PurchasesJul!$Q$1</f>
        <v>0</v>
      </c>
      <c r="H16" s="154" t="n">
        <f aca="false">PurchasesAug!$Q$1</f>
        <v>0</v>
      </c>
      <c r="I16" s="154" t="n">
        <f aca="false">PurchasesSep!$Q$1</f>
        <v>0</v>
      </c>
      <c r="J16" s="154" t="n">
        <f aca="false">PurchasesOct!$Q$1</f>
        <v>0</v>
      </c>
      <c r="K16" s="154" t="n">
        <f aca="false">PurchasesNov!$Q$1</f>
        <v>220</v>
      </c>
      <c r="L16" s="154" t="n">
        <f aca="false">PurchasesDec!$Q$1</f>
        <v>0</v>
      </c>
      <c r="M16" s="154" t="n">
        <f aca="false">PurchasesJan!$Q$1</f>
        <v>0</v>
      </c>
      <c r="N16" s="154" t="n">
        <f aca="false">PurchasesFeb!$Q$1</f>
        <v>0</v>
      </c>
      <c r="O16" s="154" t="n">
        <f aca="false">PurchasesMar!$Q$1</f>
        <v>0</v>
      </c>
      <c r="P16" s="132"/>
      <c r="R16" s="132"/>
      <c r="S16" s="132" t="s">
        <v>131</v>
      </c>
      <c r="T16" s="144" t="n">
        <f aca="false">SUM(D16:F16)</f>
        <v>280</v>
      </c>
      <c r="U16" s="144" t="n">
        <f aca="false">SUM(G16:I16)</f>
        <v>0</v>
      </c>
      <c r="V16" s="144" t="n">
        <f aca="false">SUM(J16:L16)</f>
        <v>220</v>
      </c>
      <c r="W16" s="144" t="n">
        <f aca="false">SUM(M16:O16)</f>
        <v>0</v>
      </c>
      <c r="X16" s="144" t="n">
        <f aca="false">SUM(T16:W16)</f>
        <v>500</v>
      </c>
      <c r="Y16" s="132"/>
      <c r="Z16" s="132"/>
    </row>
    <row r="17" customFormat="false" ht="12.75" hidden="false" customHeight="false" outlineLevel="0" collapsed="false">
      <c r="A17" s="132" t="s">
        <v>132</v>
      </c>
      <c r="B17" s="124" t="n">
        <v>3.57</v>
      </c>
      <c r="C17" s="149" t="n">
        <f aca="false">ROUND(SUM(D17:O17),0)</f>
        <v>600</v>
      </c>
      <c r="D17" s="154" t="n">
        <f aca="false">PurchasesApr!$R$1</f>
        <v>0</v>
      </c>
      <c r="E17" s="154" t="n">
        <f aca="false">PurchasesMay!$R$1</f>
        <v>300</v>
      </c>
      <c r="F17" s="154" t="n">
        <f aca="false">PurchasesJun!$R$1</f>
        <v>0</v>
      </c>
      <c r="G17" s="154" t="n">
        <f aca="false">PurchasesJul!$R$1</f>
        <v>0</v>
      </c>
      <c r="H17" s="154" t="n">
        <f aca="false">PurchasesAug!$R$1</f>
        <v>0</v>
      </c>
      <c r="I17" s="154" t="n">
        <f aca="false">PurchasesSep!$R$1</f>
        <v>0</v>
      </c>
      <c r="J17" s="154" t="n">
        <f aca="false">PurchasesOct!$R$1</f>
        <v>300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300</v>
      </c>
      <c r="U17" s="144" t="n">
        <f aca="false">SUM(G17:I17)</f>
        <v>0</v>
      </c>
      <c r="V17" s="144" t="n">
        <f aca="false">SUM(J17:L17)</f>
        <v>300</v>
      </c>
      <c r="W17" s="144" t="n">
        <f aca="false">SUM(M17:O17)</f>
        <v>0</v>
      </c>
      <c r="X17" s="144" t="n">
        <f aca="false">SUM(T17:W17)</f>
        <v>600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100</v>
      </c>
      <c r="D19" s="154" t="n">
        <f aca="false">PurchasesApr!$T$1</f>
        <v>25</v>
      </c>
      <c r="E19" s="154" t="n">
        <f aca="false">PurchasesMay!$T$1</f>
        <v>0</v>
      </c>
      <c r="F19" s="154" t="n">
        <f aca="false">PurchasesJun!$T$1</f>
        <v>0</v>
      </c>
      <c r="G19" s="154" t="n">
        <f aca="false">PurchasesJul!$T$1</f>
        <v>25</v>
      </c>
      <c r="H19" s="154" t="n">
        <f aca="false">PurchasesAug!$T$1</f>
        <v>0</v>
      </c>
      <c r="I19" s="154" t="n">
        <f aca="false">PurchasesSep!$T$1</f>
        <v>0</v>
      </c>
      <c r="J19" s="154" t="n">
        <f aca="false">PurchasesOct!$T$1</f>
        <v>25</v>
      </c>
      <c r="K19" s="154" t="n">
        <f aca="false">PurchasesNov!$T$1</f>
        <v>0</v>
      </c>
      <c r="L19" s="154" t="n">
        <f aca="false">PurchasesDec!$T$1</f>
        <v>0</v>
      </c>
      <c r="M19" s="154" t="n">
        <f aca="false">PurchasesJan!$T$1</f>
        <v>25</v>
      </c>
      <c r="N19" s="154" t="n">
        <f aca="false">PurchasesFeb!$T$1</f>
        <v>0</v>
      </c>
      <c r="O19" s="154" t="n">
        <f aca="false">PurchasesMar!$T$1</f>
        <v>0</v>
      </c>
      <c r="P19" s="132"/>
      <c r="R19" s="132"/>
      <c r="S19" s="132" t="s">
        <v>137</v>
      </c>
      <c r="T19" s="144" t="n">
        <f aca="false">SUM(D19:F19)</f>
        <v>25</v>
      </c>
      <c r="U19" s="144" t="n">
        <f aca="false">SUM(G19:I19)</f>
        <v>25</v>
      </c>
      <c r="V19" s="144" t="n">
        <f aca="false">SUM(J19:L19)</f>
        <v>25</v>
      </c>
      <c r="W19" s="144" t="n">
        <f aca="false">SUM(M19:O19)</f>
        <v>25</v>
      </c>
      <c r="X19" s="144" t="n">
        <f aca="false">SUM(T19:W19)</f>
        <v>100</v>
      </c>
      <c r="Y19" s="132"/>
      <c r="Z19" s="132"/>
    </row>
    <row r="20" customFormat="false" ht="12.75" hidden="false" customHeight="false" outlineLevel="0" collapsed="false">
      <c r="A20" s="132" t="s">
        <v>138</v>
      </c>
      <c r="B20" s="124" t="n">
        <v>3.6</v>
      </c>
      <c r="C20" s="149" t="n">
        <f aca="false">ROUND(SUM(D20:O20),0)</f>
        <v>240</v>
      </c>
      <c r="D20" s="154" t="n">
        <f aca="false">PurchasesApr!$U$1</f>
        <v>0</v>
      </c>
      <c r="E20" s="154" t="n">
        <f aca="false">PurchasesMay!$U$1</f>
        <v>0</v>
      </c>
      <c r="F20" s="154" t="n">
        <f aca="false">PurchasesJun!$U$1</f>
        <v>120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120</v>
      </c>
      <c r="M20" s="154" t="n">
        <f aca="false">PurchasesJan!$U$1</f>
        <v>0</v>
      </c>
      <c r="N20" s="154" t="n">
        <f aca="false">PurchasesFeb!$U$1</f>
        <v>0</v>
      </c>
      <c r="O20" s="154" t="n">
        <f aca="false">PurchasesMar!$U$1</f>
        <v>0</v>
      </c>
      <c r="P20" s="132"/>
      <c r="R20" s="132"/>
      <c r="S20" s="132" t="s">
        <v>139</v>
      </c>
      <c r="T20" s="144" t="n">
        <f aca="false">SUM(D20:F20)</f>
        <v>120</v>
      </c>
      <c r="U20" s="144" t="n">
        <f aca="false">SUM(G20:I20)</f>
        <v>0</v>
      </c>
      <c r="V20" s="144" t="n">
        <f aca="false">SUM(J20:L20)</f>
        <v>120</v>
      </c>
      <c r="W20" s="144" t="n">
        <f aca="false">SUM(M20:O20)</f>
        <v>0</v>
      </c>
      <c r="X20" s="144" t="n">
        <f aca="false">SUM(T20:W20)</f>
        <v>240</v>
      </c>
      <c r="Y20" s="132"/>
      <c r="Z20" s="132"/>
    </row>
    <row r="21" customFormat="false" ht="12.75" hidden="false" customHeight="false" outlineLevel="0" collapsed="false">
      <c r="A21" s="132" t="s">
        <v>140</v>
      </c>
      <c r="B21" s="124" t="n">
        <v>3.63</v>
      </c>
      <c r="C21" s="149" t="n">
        <f aca="false">ROUND(SUM(D21:O21),0)</f>
        <v>330</v>
      </c>
      <c r="D21" s="154" t="n">
        <f aca="false">PurchasesApr!$V$1</f>
        <v>180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150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180</v>
      </c>
      <c r="U21" s="144" t="n">
        <f aca="false">SUM(G21:I21)</f>
        <v>0</v>
      </c>
      <c r="V21" s="144" t="n">
        <f aca="false">SUM(J21:L21)</f>
        <v>150</v>
      </c>
      <c r="W21" s="144" t="n">
        <f aca="false">SUM(M21:O21)</f>
        <v>0</v>
      </c>
      <c r="X21" s="144" t="n">
        <f aca="false">SUM(T21:W21)</f>
        <v>330</v>
      </c>
      <c r="Y21" s="132"/>
      <c r="Z21" s="132"/>
    </row>
    <row r="22" customFormat="false" ht="12.75" hidden="false" customHeight="false" outlineLevel="0" collapsed="false">
      <c r="A22" s="152" t="s">
        <v>142</v>
      </c>
      <c r="B22" s="153" t="n">
        <v>3.64</v>
      </c>
      <c r="C22" s="157" t="n">
        <f aca="false">SUM(C11:C21)</f>
        <v>11000</v>
      </c>
      <c r="D22" s="158" t="n">
        <f aca="false">SUM(D11:D21)</f>
        <v>1075</v>
      </c>
      <c r="E22" s="158" t="n">
        <f aca="false">SUM(E11:E21)</f>
        <v>950</v>
      </c>
      <c r="F22" s="158" t="n">
        <f aca="false">SUM(F11:F21)</f>
        <v>1400</v>
      </c>
      <c r="G22" s="158" t="n">
        <f aca="false">SUM(G11:G21)</f>
        <v>545</v>
      </c>
      <c r="H22" s="158" t="n">
        <f aca="false">SUM(H11:H21)</f>
        <v>750</v>
      </c>
      <c r="I22" s="158" t="n">
        <f aca="false">SUM(I11:I21)</f>
        <v>1000</v>
      </c>
      <c r="J22" s="158" t="n">
        <f aca="false">SUM(J11:J21)</f>
        <v>995</v>
      </c>
      <c r="K22" s="158" t="n">
        <f aca="false">SUM(K11:K21)</f>
        <v>1020</v>
      </c>
      <c r="L22" s="158" t="n">
        <f aca="false">SUM(L11:L21)</f>
        <v>1120</v>
      </c>
      <c r="M22" s="158" t="n">
        <f aca="false">SUM(M11:M21)</f>
        <v>1045</v>
      </c>
      <c r="N22" s="158" t="n">
        <f aca="false">SUM(N11:N21)</f>
        <v>700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38260</v>
      </c>
      <c r="D24" s="160" t="n">
        <f aca="false">D9-D22</f>
        <v>3805</v>
      </c>
      <c r="E24" s="160" t="n">
        <f aca="false">E9-E22</f>
        <v>4430</v>
      </c>
      <c r="F24" s="160" t="n">
        <f aca="false">F9-F22</f>
        <v>3980</v>
      </c>
      <c r="G24" s="160" t="n">
        <f aca="false">G9-G22</f>
        <v>4335</v>
      </c>
      <c r="H24" s="160" t="n">
        <f aca="false">H9-H22</f>
        <v>3130</v>
      </c>
      <c r="I24" s="160" t="n">
        <f aca="false">I9-I22</f>
        <v>3880</v>
      </c>
      <c r="J24" s="160" t="n">
        <f aca="false">J9-J22</f>
        <v>3985</v>
      </c>
      <c r="K24" s="160" t="n">
        <f aca="false">K9-K22</f>
        <v>3360</v>
      </c>
      <c r="L24" s="160" t="n">
        <f aca="false">L9-L22</f>
        <v>1760</v>
      </c>
      <c r="M24" s="160" t="n">
        <f aca="false">M9-M22</f>
        <v>2435</v>
      </c>
      <c r="N24" s="160" t="n">
        <f aca="false">N9-N22</f>
        <v>1680</v>
      </c>
      <c r="O24" s="160" t="n">
        <f aca="false">O9-O22</f>
        <v>1480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38260</v>
      </c>
      <c r="D28" s="147"/>
      <c r="E28" s="147"/>
      <c r="F28" s="147"/>
      <c r="G28" s="147"/>
      <c r="H28" s="147"/>
      <c r="I28" s="147"/>
      <c r="J28" s="147"/>
      <c r="K28" s="147"/>
      <c r="L28" s="147"/>
      <c r="M28" s="147"/>
      <c r="N28" s="147"/>
      <c r="O28" s="147"/>
      <c r="P28" s="132"/>
      <c r="R28" s="132"/>
      <c r="S28" s="155" t="s">
        <v>150</v>
      </c>
      <c r="T28" s="164" t="n">
        <f aca="false">SUM(T6,T11,T12,T13,T14,T15,T16,T17,T18,T19,T20,T21,T23,T24,T25)</f>
        <v>4285</v>
      </c>
      <c r="U28" s="164" t="n">
        <f aca="false">SUM(U6,U11,U12,U13,U14,U15,U16,U17,U18,U19,U20,U21,U23,U24,U25)</f>
        <v>3155</v>
      </c>
      <c r="V28" s="164" t="n">
        <f aca="false">SUM(V6,V11,V12,V13,V14,V15,V16,V17,V18,V19,V20,V21,V23,V24,V25)</f>
        <v>3895</v>
      </c>
      <c r="W28" s="164" t="n">
        <f aca="false">SUM(W6,W11,W12,W13,W14,W15,W16,W17,W18,W19,W20,W21,W23,W24,W25)</f>
        <v>2905</v>
      </c>
      <c r="X28" s="164" t="n">
        <f aca="false">SUM(X6,X11,X12,X13,X14,X15,X16,X17,X18,X19,X20,X21,X23,X24,X25)</f>
        <v>14240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2000</v>
      </c>
      <c r="D30" s="149" t="n">
        <f aca="false">SalesApr!$G$1</f>
        <v>200</v>
      </c>
      <c r="E30" s="149" t="n">
        <f aca="false">SalesMay!$G$1</f>
        <v>0</v>
      </c>
      <c r="F30" s="149" t="n">
        <f aca="false">SalesJun!$G$1</f>
        <v>300</v>
      </c>
      <c r="G30" s="149" t="n">
        <f aca="false">SalesJul!$G$1</f>
        <v>0</v>
      </c>
      <c r="H30" s="149" t="n">
        <f aca="false">SalesAug!$G$1</f>
        <v>500</v>
      </c>
      <c r="I30" s="149" t="n">
        <f aca="false">SalesSep!$G$1</f>
        <v>0</v>
      </c>
      <c r="J30" s="149" t="n">
        <f aca="false">SalesOct!$G$1</f>
        <v>200</v>
      </c>
      <c r="K30" s="149" t="n">
        <f aca="false">SalesNov!$G$1</f>
        <v>0</v>
      </c>
      <c r="L30" s="149" t="n">
        <f aca="false">SalesDec!$G$1</f>
        <v>300</v>
      </c>
      <c r="M30" s="149" t="n">
        <f aca="false">SalesJan!$G$1</f>
        <v>500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5538</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1661.4</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33060.6</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2026-27</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40260</v>
      </c>
      <c r="F5" s="173"/>
      <c r="G5" s="148"/>
    </row>
    <row r="6" customFormat="false" ht="12.75" hidden="false" customHeight="false" outlineLevel="0" collapsed="false">
      <c r="A6" s="132"/>
      <c r="B6" s="178" t="s">
        <v>163</v>
      </c>
      <c r="C6" s="178" t="str">
        <f aca="false">C2</f>
        <v>2026-27</v>
      </c>
      <c r="D6" s="181"/>
      <c r="E6" s="148" t="n">
        <f aca="false">IF((E5&gt;0),Admin!N$4,0)</f>
        <v>12570</v>
      </c>
      <c r="F6" s="173"/>
      <c r="G6" s="148"/>
    </row>
    <row r="7" customFormat="false" ht="12.75" hidden="false" customHeight="false" outlineLevel="0" collapsed="false">
      <c r="A7" s="132"/>
      <c r="B7" s="179" t="s">
        <v>164</v>
      </c>
      <c r="C7" s="179"/>
      <c r="D7" s="179"/>
      <c r="E7" s="180" t="n">
        <f aca="false">IF((E5&gt;Admin!N4),(E5-E6),0)</f>
        <v>27690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5538</v>
      </c>
      <c r="F8" s="173"/>
      <c r="G8" s="148"/>
      <c r="H8" s="184"/>
    </row>
    <row r="9" customFormat="false" ht="12.75" hidden="false" customHeight="false" outlineLevel="0" collapsed="false">
      <c r="A9" s="132"/>
      <c r="B9" s="178" t="s">
        <v>166</v>
      </c>
      <c r="C9" s="182" t="n">
        <f aca="false">Admin!N13</f>
        <v>37701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5538</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46783</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0.06</v>
      </c>
      <c r="E15" s="197" t="n">
        <f aca="false">IF(E5&gt;Admin!N20,IF(E5&lt;Admin!N$23,(E5-Admin!N20)*D15,(Admin!N$23-Admin!N20)*D15),0)</f>
        <v>1661.4</v>
      </c>
      <c r="F15" s="173"/>
      <c r="G15" s="191"/>
      <c r="J15" s="198"/>
    </row>
    <row r="16" customFormat="false" ht="12.75" hidden="false" customHeight="false" outlineLevel="0" collapsed="false">
      <c r="A16" s="132"/>
      <c r="B16" s="196" t="s">
        <v>171</v>
      </c>
      <c r="C16" s="196"/>
      <c r="D16" s="183" t="n">
        <f aca="false">Admin!L$23</f>
        <v>0.02</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7199.4</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175</v>
      </c>
      <c r="E23" s="203" t="s">
        <v>176</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177</v>
      </c>
      <c r="C25" s="205" t="str">
        <f aca="false">Admin!B24</f>
        <v>2027-28</v>
      </c>
      <c r="D25" s="206" t="s">
        <v>178</v>
      </c>
      <c r="E25" s="197" t="n">
        <f aca="false">E18</f>
        <v>7199.4</v>
      </c>
      <c r="F25" s="173"/>
      <c r="G25" s="148"/>
    </row>
    <row r="26" customFormat="false" ht="12.75" hidden="false" customHeight="false" outlineLevel="0" collapsed="false">
      <c r="A26" s="132"/>
      <c r="B26" s="178" t="s">
        <v>179</v>
      </c>
      <c r="C26" s="178"/>
      <c r="D26" s="207" t="n">
        <f aca="false">Admin!B21</f>
        <v>46783</v>
      </c>
      <c r="E26" s="180" t="n">
        <f aca="false">E25/2</f>
        <v>3599.7</v>
      </c>
      <c r="F26" s="173"/>
      <c r="G26" s="148"/>
    </row>
    <row r="27" customFormat="false" ht="12.75" hidden="false" customHeight="false" outlineLevel="0" collapsed="false">
      <c r="A27" s="132"/>
      <c r="B27" s="178" t="s">
        <v>179</v>
      </c>
      <c r="C27" s="178"/>
      <c r="D27" s="207" t="n">
        <f aca="false">Admin!B22</f>
        <v>46965</v>
      </c>
      <c r="E27" s="180" t="n">
        <f aca="false">E25/2</f>
        <v>3599.7</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46118</v>
      </c>
      <c r="J4" s="242" t="n">
        <f aca="false">Admin!G4</f>
        <v>1</v>
      </c>
      <c r="K4" s="238"/>
      <c r="L4" s="243" t="n">
        <f aca="false">Admin!G5</f>
        <v>0.14</v>
      </c>
      <c r="M4" s="241" t="n">
        <f aca="false">Admin!B17</f>
        <v>46482</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202</v>
      </c>
      <c r="C6" s="256"/>
      <c r="D6" s="257" t="n">
        <f aca="false">Admin!B$4</f>
        <v>46118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46118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46118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46118</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46118</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46142</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46173</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46203</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46234</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46265</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46295</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46326</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46356</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46387</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46418</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46446</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46482</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225</v>
      </c>
      <c r="C1" s="323" t="s">
        <v>226</v>
      </c>
      <c r="D1" s="324"/>
      <c r="E1" s="322" t="s">
        <v>227</v>
      </c>
      <c r="F1" s="323" t="s">
        <v>228</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46142</v>
      </c>
      <c r="C5" s="332" t="str">
        <f aca="false">IF((SalesApr!$H$1&gt;0),SalesApr!$H$1," ")</f>
        <v> </v>
      </c>
      <c r="D5" s="326"/>
      <c r="E5" s="331" t="n">
        <f aca="false">B5</f>
        <v>46142</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46173</v>
      </c>
      <c r="C7" s="330" t="str">
        <f aca="false">IF((SalesMay!$H$1&gt;0),SalesMay!$H$1," ")</f>
        <v> </v>
      </c>
      <c r="D7" s="326"/>
      <c r="E7" s="331" t="n">
        <f aca="false">B7</f>
        <v>46173</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46203</v>
      </c>
      <c r="C9" s="330" t="str">
        <f aca="false">IF((SalesJun!$H$1&gt;0),SalesJun!$H$1," ")</f>
        <v> </v>
      </c>
      <c r="D9" s="326"/>
      <c r="E9" s="331" t="n">
        <f aca="false">B9</f>
        <v>46203</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46234</v>
      </c>
      <c r="C11" s="330" t="str">
        <f aca="false">IF((SalesJul!$H$1&gt;0),SalesJul!$H$1," ")</f>
        <v> </v>
      </c>
      <c r="D11" s="326"/>
      <c r="E11" s="331" t="n">
        <f aca="false">B11</f>
        <v>46234</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46265</v>
      </c>
      <c r="C13" s="330" t="str">
        <f aca="false">IF((SalesAug!$H$1&gt;0),SalesAug!$H$1," ")</f>
        <v> </v>
      </c>
      <c r="D13" s="326"/>
      <c r="E13" s="331" t="n">
        <f aca="false">B13</f>
        <v>46265</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46295</v>
      </c>
      <c r="C15" s="330" t="str">
        <f aca="false">IF((SalesSep!$H$1&gt;0),SalesSep!$H$1," ")</f>
        <v> </v>
      </c>
      <c r="D15" s="326"/>
      <c r="E15" s="331" t="n">
        <f aca="false">B15</f>
        <v>46295</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46326</v>
      </c>
      <c r="C17" s="330" t="str">
        <f aca="false">IF((SalesOct!$H$1&gt;0),SalesOct!$H$1," ")</f>
        <v> </v>
      </c>
      <c r="D17" s="326"/>
      <c r="E17" s="331" t="n">
        <f aca="false">B17</f>
        <v>46326</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46356</v>
      </c>
      <c r="C19" s="330" t="str">
        <f aca="false">IF((SalesNov!$H$1&gt;0),SalesNov!$H$1," ")</f>
        <v> </v>
      </c>
      <c r="D19" s="326"/>
      <c r="E19" s="331" t="n">
        <f aca="false">B19</f>
        <v>46356</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46387</v>
      </c>
      <c r="C21" s="330" t="str">
        <f aca="false">IF((SalesDec!$H$1&gt;0),SalesDec!$H$1," ")</f>
        <v> </v>
      </c>
      <c r="D21" s="326"/>
      <c r="E21" s="331" t="n">
        <f aca="false">B21</f>
        <v>46387</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46418</v>
      </c>
      <c r="C23" s="330" t="str">
        <f aca="false">IF((SalesJan!$H$1&gt;0),SalesJan!$H$1," ")</f>
        <v> </v>
      </c>
      <c r="D23" s="326"/>
      <c r="E23" s="331" t="n">
        <f aca="false">B23</f>
        <v>46418</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46446</v>
      </c>
      <c r="C25" s="330" t="str">
        <f aca="false">IF((SalesFeb!$H$1&gt;0),SalesFeb!$H$1," ")</f>
        <v> </v>
      </c>
      <c r="D25" s="326"/>
      <c r="E25" s="331" t="n">
        <f aca="false">B25</f>
        <v>46446</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46477</v>
      </c>
      <c r="C27" s="330" t="str">
        <f aca="false">IF((SalesMar!$H$1&gt;0),SalesMar!$H$1," ")</f>
        <v> </v>
      </c>
      <c r="D27" s="326"/>
      <c r="E27" s="331" t="n">
        <f aca="false">B27</f>
        <v>46477</v>
      </c>
      <c r="F27" s="330" t="str">
        <f aca="false">IF((PurchasesMar!$H$1&gt;0),PurchasesMar!$H$1," ")</f>
        <v> </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230</v>
      </c>
      <c r="C29" s="334" t="n">
        <f aca="false">SUM(C3:C28)</f>
        <v>0</v>
      </c>
      <c r="D29" s="321"/>
      <c r="E29" s="333" t="s">
        <v>231</v>
      </c>
      <c r="F29" s="334" t="n">
        <f aca="false">SUM(F3:F28)</f>
        <v>0</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5500</v>
      </c>
      <c r="G1" s="345" t="n">
        <f aca="false">SUM(G4:G300)</f>
        <v>200</v>
      </c>
      <c r="H1" s="347" t="n">
        <f aca="false">SUM(H4:H300)</f>
        <v>0</v>
      </c>
      <c r="I1" s="348" t="n">
        <f aca="true">TODAY()</f>
        <v>46115</v>
      </c>
      <c r="J1" s="345" t="n">
        <f aca="false">SUM(J4:J300)</f>
        <v>0</v>
      </c>
      <c r="K1" s="349" t="n">
        <f aca="false">J1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45757</v>
      </c>
      <c r="B4" s="336" t="s">
        <v>245</v>
      </c>
      <c r="D4" s="338" t="s">
        <v>246</v>
      </c>
      <c r="F4" s="336" t="n">
        <v>4000</v>
      </c>
      <c r="I4" s="341" t="str">
        <f aca="false">IF((F4&lt;&gt;0),IF((D4&gt;0)," ",(I$1-A4))," ")</f>
        <v> </v>
      </c>
    </row>
    <row r="5" customFormat="false" ht="12.75" hidden="false" customHeight="false" outlineLevel="0" collapsed="false">
      <c r="A5" s="357" t="n">
        <v>45772</v>
      </c>
      <c r="B5" s="336" t="s">
        <v>247</v>
      </c>
      <c r="D5" s="338" t="s">
        <v>246</v>
      </c>
      <c r="F5" s="336" t="n">
        <v>1500</v>
      </c>
      <c r="G5" s="336" t="n">
        <v>200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1695</v>
      </c>
      <c r="H1" s="374" t="n">
        <f aca="false">SUM(H5:H300)</f>
        <v>0</v>
      </c>
      <c r="I1" s="375" t="n">
        <f aca="true">TODAY()</f>
        <v>46115</v>
      </c>
      <c r="J1" s="345" t="n">
        <f aca="false">SUM(J5:J300)</f>
        <v>500</v>
      </c>
      <c r="K1" s="345" t="n">
        <f aca="false">SUM(K5:K300)</f>
        <v>120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25</v>
      </c>
      <c r="U1" s="345" t="n">
        <f aca="false">SUM(U5:U300)</f>
        <v>0</v>
      </c>
      <c r="V1" s="345" t="n">
        <f aca="false">SUM(V5:V300)</f>
        <v>180</v>
      </c>
      <c r="W1" s="347" t="n">
        <f aca="false">SUM(W5:W300)</f>
        <v>0</v>
      </c>
      <c r="X1" s="376" t="n">
        <f aca="false">W1</f>
        <v>0</v>
      </c>
      <c r="Y1" s="377" t="n">
        <f aca="false">SUM(Y5:Y300)</f>
        <v>0</v>
      </c>
      <c r="Z1" s="378" t="n">
        <f aca="false">Y1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45755</v>
      </c>
      <c r="B5" s="365" t="s">
        <v>291</v>
      </c>
      <c r="D5" s="366" t="s">
        <v>246</v>
      </c>
      <c r="E5" s="367" t="s">
        <v>292</v>
      </c>
      <c r="G5" s="368" t="n">
        <v>500</v>
      </c>
      <c r="I5" s="369" t="str">
        <f aca="false">IF((G5&lt;&gt;0),IF((D5&gt;0)," ",(I$1-A5))," ")</f>
        <v> </v>
      </c>
      <c r="J5" s="336" t="n">
        <f aca="false">IF((E5="s"),G5," ")</f>
        <v>500</v>
      </c>
      <c r="K5" s="336" t="str">
        <f aca="false">IF((E5="d"),G5," ")</f>
        <v> </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293</v>
      </c>
      <c r="D6" s="366" t="s">
        <v>246</v>
      </c>
      <c r="E6" s="367" t="s">
        <v>294</v>
      </c>
      <c r="G6" s="368" t="n">
        <v>120</v>
      </c>
      <c r="I6" s="369" t="str">
        <f aca="false">IF((G6&lt;&gt;0),IF((D6&gt;0)," ",(I$1-A6))," ")</f>
        <v> </v>
      </c>
      <c r="J6" s="336" t="str">
        <f aca="false">IF((E6="s"),G6," ")</f>
        <v> </v>
      </c>
      <c r="K6" s="336" t="n">
        <f aca="false">IF((E6="d"),G6," ")</f>
        <v>120</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45748</v>
      </c>
      <c r="B7" s="365" t="s">
        <v>295</v>
      </c>
      <c r="D7" s="366" t="s">
        <v>296</v>
      </c>
      <c r="E7" s="367" t="s">
        <v>297</v>
      </c>
      <c r="G7" s="368" t="n">
        <v>400</v>
      </c>
      <c r="I7" s="369" t="str">
        <f aca="false">IF((G7&lt;&gt;0),IF((D7&gt;0)," ",(I$1-A7))," ")</f>
        <v> </v>
      </c>
      <c r="J7" s="336" t="str">
        <f aca="false">IF((E7="s"),G7," ")</f>
        <v> </v>
      </c>
      <c r="K7" s="336" t="str">
        <f aca="false">IF((E7="d"),G7," ")</f>
        <v> </v>
      </c>
      <c r="L7" s="336" t="str">
        <f aca="false">IF((E7="e"),G7," ")</f>
        <v> </v>
      </c>
      <c r="M7" s="336" t="n">
        <f aca="false">IF((E7="p"),G7," ")</f>
        <v>400</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45767</v>
      </c>
      <c r="B8" s="365" t="s">
        <v>298</v>
      </c>
      <c r="D8" s="366" t="s">
        <v>296</v>
      </c>
      <c r="E8" s="367" t="s">
        <v>299</v>
      </c>
      <c r="G8" s="368" t="n">
        <v>120</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n">
        <f aca="false">IF((E8="g"),G8," ")</f>
        <v>120</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t="n">
        <v>45753</v>
      </c>
      <c r="B9" s="365" t="s">
        <v>300</v>
      </c>
      <c r="D9" s="366" t="s">
        <v>246</v>
      </c>
      <c r="E9" s="367" t="s">
        <v>301</v>
      </c>
      <c r="G9" s="368" t="n">
        <v>350</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n">
        <f aca="false">IF((E9="l"),G9," ")</f>
        <v>350</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t="n">
        <v>45777</v>
      </c>
      <c r="B10" s="365" t="s">
        <v>246</v>
      </c>
      <c r="D10" s="366" t="s">
        <v>246</v>
      </c>
      <c r="E10" s="367" t="s">
        <v>302</v>
      </c>
      <c r="G10" s="368" t="n">
        <v>25</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n">
        <f aca="false">IF((E10="b"),G10," ")</f>
        <v>25</v>
      </c>
      <c r="U10" s="336" t="str">
        <f aca="false">IF((E10="i"),G10," ")</f>
        <v> </v>
      </c>
      <c r="V10" s="336" t="str">
        <f aca="false">IF((E10="o"),G10," ")</f>
        <v> </v>
      </c>
      <c r="W10" s="336" t="str">
        <f aca="false">IF((E10="f"),G10," ")</f>
        <v> </v>
      </c>
    </row>
    <row r="11" customFormat="false" ht="12.75" hidden="false" customHeight="false" outlineLevel="0" collapsed="false">
      <c r="A11" s="357" t="n">
        <v>45757</v>
      </c>
      <c r="B11" s="365" t="s">
        <v>303</v>
      </c>
      <c r="D11" s="366" t="s">
        <v>246</v>
      </c>
      <c r="E11" s="367" t="s">
        <v>304</v>
      </c>
      <c r="G11" s="368" t="n">
        <v>180</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5500</v>
      </c>
      <c r="G1" s="345" t="n">
        <f aca="false">SUM(G4:G300)</f>
        <v>0</v>
      </c>
      <c r="H1" s="347" t="n">
        <f aca="false">SUM(H4:H300)</f>
        <v>0</v>
      </c>
      <c r="I1" s="348" t="n">
        <f aca="true">TODAY()</f>
        <v>46115</v>
      </c>
      <c r="J1" s="345" t="n">
        <f aca="false">SUM(J4:J300)</f>
        <v>0</v>
      </c>
      <c r="K1" s="349" t="n">
        <f aca="false">J1+SalesApr!K1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45792</v>
      </c>
      <c r="B4" s="336" t="s">
        <v>245</v>
      </c>
      <c r="D4" s="338" t="s">
        <v>246</v>
      </c>
      <c r="F4" s="336" t="n">
        <v>4000</v>
      </c>
      <c r="I4" s="341" t="str">
        <f aca="false">IF((F4&lt;&gt;0),IF((D4&gt;0)," ",(I$1-A4))," ")</f>
        <v> </v>
      </c>
    </row>
    <row r="5" customFormat="false" ht="12.75" hidden="false" customHeight="false" outlineLevel="0" collapsed="false">
      <c r="A5" s="357" t="n">
        <v>45805</v>
      </c>
      <c r="B5" s="336" t="s">
        <v>305</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1070</v>
      </c>
      <c r="H1" s="374" t="n">
        <f aca="false">SUM(H5:H300)</f>
        <v>0</v>
      </c>
      <c r="I1" s="375" t="n">
        <f aca="true">TODAY()</f>
        <v>46115</v>
      </c>
      <c r="J1" s="345" t="n">
        <f aca="false">SUM(J5:J300)</f>
        <v>0</v>
      </c>
      <c r="K1" s="345" t="n">
        <f aca="false">SUM(K5:K300)</f>
        <v>120</v>
      </c>
      <c r="L1" s="345" t="n">
        <f aca="false">SUM(L5:L300)</f>
        <v>0</v>
      </c>
      <c r="M1" s="345" t="n">
        <f aca="false">SUM(M5:M300)</f>
        <v>400</v>
      </c>
      <c r="N1" s="345" t="n">
        <f aca="false">SUM(N5:N300)</f>
        <v>0</v>
      </c>
      <c r="O1" s="345" t="n">
        <f aca="false">SUM(O5:O300)</f>
        <v>0</v>
      </c>
      <c r="P1" s="345" t="n">
        <f aca="false">SUM(P3:P300)</f>
        <v>250</v>
      </c>
      <c r="Q1" s="345" t="n">
        <f aca="false">SUM(Q5:Q300)</f>
        <v>0</v>
      </c>
      <c r="R1" s="345" t="n">
        <f aca="false">SUM(R5:R300)</f>
        <v>300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306</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45792</v>
      </c>
      <c r="B5" s="365" t="s">
        <v>293</v>
      </c>
      <c r="D5" s="366" t="s">
        <v>246</v>
      </c>
      <c r="E5" s="367" t="s">
        <v>294</v>
      </c>
      <c r="G5" s="368" t="n">
        <v>120</v>
      </c>
      <c r="I5" s="369" t="str">
        <f aca="false">IF((G5&lt;&gt;0),IF((D5&gt;0)," ",(I$1-A5))," ")</f>
        <v> </v>
      </c>
      <c r="J5" s="336" t="str">
        <f aca="false">IF((E5="s"),G5," ")</f>
        <v> </v>
      </c>
      <c r="K5" s="336" t="n">
        <f aca="false">IF((E5="d"),G5," ")</f>
        <v>120</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45778</v>
      </c>
      <c r="B6" s="365" t="s">
        <v>295</v>
      </c>
      <c r="D6" s="366" t="s">
        <v>296</v>
      </c>
      <c r="E6" s="367" t="s">
        <v>297</v>
      </c>
      <c r="G6" s="368" t="n">
        <v>400</v>
      </c>
      <c r="I6" s="369" t="str">
        <f aca="false">IF((G6&lt;&gt;0),IF((D6&gt;0)," ",(I$1-A6))," ")</f>
        <v> </v>
      </c>
      <c r="J6" s="336" t="str">
        <f aca="false">IF((E6="s"),G6," ")</f>
        <v> </v>
      </c>
      <c r="K6" s="336" t="str">
        <f aca="false">IF((E6="d"),G6," ")</f>
        <v> </v>
      </c>
      <c r="L6" s="336" t="str">
        <f aca="false">IF((E6="e"),G6," ")</f>
        <v> </v>
      </c>
      <c r="M6" s="336" t="n">
        <f aca="false">IF((E6="p"),G6," ")</f>
        <v>400</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45787</v>
      </c>
      <c r="B7" s="365" t="s">
        <v>307</v>
      </c>
      <c r="D7" s="366" t="s">
        <v>246</v>
      </c>
      <c r="E7" s="367" t="s">
        <v>274</v>
      </c>
      <c r="G7" s="368" t="n">
        <v>250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n">
        <f aca="false">IF((E7="m"),G7," ")</f>
        <v>250</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45778</v>
      </c>
      <c r="B8" s="365" t="s">
        <v>308</v>
      </c>
      <c r="D8" s="366" t="s">
        <v>246</v>
      </c>
      <c r="E8" s="367" t="s">
        <v>309</v>
      </c>
      <c r="G8" s="368" t="n">
        <v>300</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n">
        <f aca="false">IF((E8="a"),G8," ")</f>
        <v>300</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5500</v>
      </c>
      <c r="G1" s="345" t="n">
        <f aca="false">SUM(G4:G300)</f>
        <v>300</v>
      </c>
      <c r="H1" s="347" t="n">
        <f aca="false">SUM(H4:H300)</f>
        <v>0</v>
      </c>
      <c r="I1" s="348" t="n">
        <f aca="true">TODAY()</f>
        <v>46115</v>
      </c>
      <c r="J1" s="345" t="n">
        <f aca="false">SUM(J4:J300)</f>
        <v>0</v>
      </c>
      <c r="K1" s="349" t="n">
        <f aca="false">J1+SalesMay!K1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45820</v>
      </c>
      <c r="B4" s="336" t="s">
        <v>245</v>
      </c>
      <c r="D4" s="338" t="s">
        <v>246</v>
      </c>
      <c r="F4" s="336" t="n">
        <v>4000</v>
      </c>
      <c r="G4" s="336" t="n">
        <v>300</v>
      </c>
      <c r="I4" s="341" t="str">
        <f aca="false">IF((F4&lt;&gt;0),IF((D4&gt;0)," ",(I$1-A4))," ")</f>
        <v> </v>
      </c>
    </row>
    <row r="5" customFormat="false" ht="12.75" hidden="false" customHeight="false" outlineLevel="0" collapsed="false">
      <c r="A5" s="357" t="n">
        <v>45833</v>
      </c>
      <c r="B5" s="336" t="s">
        <v>310</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2720</v>
      </c>
      <c r="H1" s="374" t="n">
        <f aca="false">SUM(H5:H300)</f>
        <v>0</v>
      </c>
      <c r="I1" s="375" t="n">
        <f aca="true">TODAY()</f>
        <v>46115</v>
      </c>
      <c r="J1" s="345" t="n">
        <f aca="false">SUM(J5:J300)</f>
        <v>0</v>
      </c>
      <c r="K1" s="345" t="n">
        <f aca="false">SUM(K5:K300)</f>
        <v>120</v>
      </c>
      <c r="L1" s="345" t="n">
        <f aca="false">SUM(L5:L300)</f>
        <v>600</v>
      </c>
      <c r="M1" s="345" t="n">
        <f aca="false">SUM(M5:M300)</f>
        <v>400</v>
      </c>
      <c r="N1" s="345" t="n">
        <f aca="false">SUM(N5:N300)</f>
        <v>0</v>
      </c>
      <c r="O1" s="345" t="n">
        <f aca="false">SUM(O5:O300)</f>
        <v>0</v>
      </c>
      <c r="P1" s="345" t="n">
        <f aca="false">SUM(P3:P300)</f>
        <v>0</v>
      </c>
      <c r="Q1" s="345" t="n">
        <f aca="false">SUM(Q5:Q300)</f>
        <v>280</v>
      </c>
      <c r="R1" s="345" t="n">
        <f aca="false">SUM(R5:R300)</f>
        <v>0</v>
      </c>
      <c r="S1" s="345" t="n">
        <f aca="false">SUM(S5:S300)</f>
        <v>0</v>
      </c>
      <c r="T1" s="345" t="n">
        <f aca="false">SUM(T5:T300)</f>
        <v>0</v>
      </c>
      <c r="U1" s="345" t="n">
        <f aca="false">SUM(U5:U300)</f>
        <v>120</v>
      </c>
      <c r="V1" s="345" t="n">
        <f aca="false">SUM(V5:V300)</f>
        <v>0</v>
      </c>
      <c r="W1" s="347" t="n">
        <f aca="false">SUM(W5:W300)</f>
        <v>1200</v>
      </c>
      <c r="X1" s="376" t="n">
        <f aca="false">W1+PurchasesMay!X1</f>
        <v>1200</v>
      </c>
      <c r="Y1" s="377" t="n">
        <f aca="false">SUM(Y5:Y200)</f>
        <v>0</v>
      </c>
      <c r="Z1" s="378" t="n">
        <f aca="false">Y1+PurchasesMay!Z1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306</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45823</v>
      </c>
      <c r="B5" s="365" t="s">
        <v>293</v>
      </c>
      <c r="D5" s="366" t="s">
        <v>246</v>
      </c>
      <c r="E5" s="367" t="s">
        <v>294</v>
      </c>
      <c r="G5" s="368" t="n">
        <v>120</v>
      </c>
      <c r="H5" s="340" t="str">
        <f aca="false">IF((G5&lt;&gt;0),IF((D5&gt;0)," ",G5)," ")</f>
        <v> </v>
      </c>
      <c r="I5" s="369" t="str">
        <f aca="false">IF((G5&lt;&gt;0),IF((D5&gt;0)," ",(I$1-A5))," ")</f>
        <v> </v>
      </c>
      <c r="J5" s="336" t="str">
        <f aca="false">IF((E5="s"),G5," ")</f>
        <v> </v>
      </c>
      <c r="K5" s="336" t="n">
        <f aca="false">IF((E5="d"),G5," ")</f>
        <v>120</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45836</v>
      </c>
      <c r="B6" s="365" t="s">
        <v>311</v>
      </c>
      <c r="D6" s="366" t="s">
        <v>246</v>
      </c>
      <c r="E6" s="367" t="s">
        <v>312</v>
      </c>
      <c r="G6" s="368" t="n">
        <v>600</v>
      </c>
      <c r="H6" s="340" t="str">
        <f aca="false">IF((G6&lt;&gt;0),IF((D6&gt;0)," ",G6)," ")</f>
        <v> </v>
      </c>
      <c r="I6" s="369" t="str">
        <f aca="false">IF((G6&lt;&gt;0),IF((D6&gt;0)," ",(I$1-A6))," ")</f>
        <v> </v>
      </c>
      <c r="J6" s="336" t="str">
        <f aca="false">IF((E6="s"),G6," ")</f>
        <v> </v>
      </c>
      <c r="K6" s="336" t="str">
        <f aca="false">IF((E6="d"),G6," ")</f>
        <v> </v>
      </c>
      <c r="L6" s="336" t="n">
        <f aca="false">IF((E6="e"),G6," ")</f>
        <v>600</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45809</v>
      </c>
      <c r="B7" s="365" t="s">
        <v>295</v>
      </c>
      <c r="D7" s="366" t="s">
        <v>296</v>
      </c>
      <c r="E7" s="367" t="s">
        <v>297</v>
      </c>
      <c r="G7" s="368" t="n">
        <v>400</v>
      </c>
      <c r="H7" s="340" t="str">
        <f aca="false">IF((G7&lt;&gt;0),IF((D7&gt;0)," ",G7)," ")</f>
        <v> </v>
      </c>
      <c r="I7" s="369" t="str">
        <f aca="false">IF((G7&lt;&gt;0),IF((D7&gt;0)," ",(I$1-A7))," ")</f>
        <v> </v>
      </c>
      <c r="J7" s="336" t="str">
        <f aca="false">IF((E7="s"),G7," ")</f>
        <v> </v>
      </c>
      <c r="K7" s="336" t="str">
        <f aca="false">IF((E7="d"),G7," ")</f>
        <v> </v>
      </c>
      <c r="L7" s="336" t="str">
        <f aca="false">IF((E7="e"),G7," ")</f>
        <v> </v>
      </c>
      <c r="M7" s="336" t="n">
        <f aca="false">IF((E7="p"),G7," ")</f>
        <v>400</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45826</v>
      </c>
      <c r="B8" s="365" t="s">
        <v>313</v>
      </c>
      <c r="D8" s="366" t="s">
        <v>246</v>
      </c>
      <c r="E8" s="367" t="s">
        <v>314</v>
      </c>
      <c r="G8" s="368" t="n">
        <v>280</v>
      </c>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n">
        <f aca="false">IF((E8="t"),G8," ")</f>
        <v>280</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t="n">
        <v>45838</v>
      </c>
      <c r="B9" s="365" t="s">
        <v>315</v>
      </c>
      <c r="D9" s="366" t="s">
        <v>296</v>
      </c>
      <c r="E9" s="367" t="s">
        <v>316</v>
      </c>
      <c r="G9" s="368" t="n">
        <v>120</v>
      </c>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n">
        <f aca="false">IF((E9="i"),G9," ")</f>
        <v>120</v>
      </c>
      <c r="V9" s="336" t="str">
        <f aca="false">IF((E9="o"),G9," ")</f>
        <v> </v>
      </c>
      <c r="W9" s="336" t="str">
        <f aca="false">IF((E9="f"),G9," ")</f>
        <v> </v>
      </c>
    </row>
    <row r="10" customFormat="false" ht="12.75" hidden="false" customHeight="false" outlineLevel="0" collapsed="false">
      <c r="A10" s="357" t="n">
        <v>45818</v>
      </c>
      <c r="B10" s="365" t="s">
        <v>317</v>
      </c>
      <c r="D10" s="366" t="s">
        <v>246</v>
      </c>
      <c r="E10" s="367" t="s">
        <v>318</v>
      </c>
      <c r="G10" s="368" t="n">
        <v>1200</v>
      </c>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n">
        <f aca="false">IF((E10="f"),G10," ")</f>
        <v>1200</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5500</v>
      </c>
      <c r="G1" s="345" t="n">
        <f aca="false">SUM(G4:G300)</f>
        <v>0</v>
      </c>
      <c r="H1" s="347" t="n">
        <f aca="false">SUM(H4:H300)</f>
        <v>0</v>
      </c>
      <c r="I1" s="348" t="n">
        <f aca="true">TODAY()</f>
        <v>46115</v>
      </c>
      <c r="J1" s="345" t="n">
        <f aca="false">SUM(J4:J300)</f>
        <v>0</v>
      </c>
      <c r="K1" s="349" t="n">
        <f aca="false">J1+SalesJun!K1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45853</v>
      </c>
      <c r="B4" s="336" t="s">
        <v>245</v>
      </c>
      <c r="D4" s="338" t="s">
        <v>246</v>
      </c>
      <c r="F4" s="336" t="n">
        <v>4000</v>
      </c>
      <c r="I4" s="341" t="str">
        <f aca="false">IF((F4&lt;&gt;0),IF((D4&gt;0)," ",(I$1-A4))," ")</f>
        <v> </v>
      </c>
    </row>
    <row r="5" customFormat="false" ht="12.75" hidden="false" customHeight="false" outlineLevel="0" collapsed="false">
      <c r="A5" s="357" t="n">
        <v>45866</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1165</v>
      </c>
      <c r="H1" s="374" t="n">
        <f aca="false">SUM(H5:H300)</f>
        <v>0</v>
      </c>
      <c r="I1" s="375" t="n">
        <f aca="true">TODAY()</f>
        <v>46115</v>
      </c>
      <c r="J1" s="345" t="n">
        <f aca="false">SUM(J5:J300)</f>
        <v>500</v>
      </c>
      <c r="K1" s="345" t="n">
        <f aca="false">SUM(K5:K300)</f>
        <v>120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25</v>
      </c>
      <c r="U1" s="345" t="n">
        <f aca="false">SUM(U5:U300)</f>
        <v>0</v>
      </c>
      <c r="V1" s="345" t="n">
        <f aca="false">SUM(V5:V300)</f>
        <v>0</v>
      </c>
      <c r="W1" s="347" t="n">
        <f aca="false">SUM(W5:W300)</f>
        <v>0</v>
      </c>
      <c r="X1" s="376" t="n">
        <f aca="false">W1+PurchasesJun!X1</f>
        <v>1200</v>
      </c>
      <c r="Y1" s="377" t="n">
        <f aca="false">SUM(Y5:Y200)</f>
        <v>0</v>
      </c>
      <c r="Z1" s="378" t="n">
        <f aca="false">Y1+PurchasesJun!Z1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306</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true" outlineLevel="0" collapsed="false">
      <c r="A5" s="357" t="n">
        <v>45848</v>
      </c>
      <c r="B5" s="365" t="s">
        <v>291</v>
      </c>
      <c r="D5" s="366" t="s">
        <v>246</v>
      </c>
      <c r="E5" s="367" t="s">
        <v>292</v>
      </c>
      <c r="G5" s="368" t="n">
        <v>500</v>
      </c>
      <c r="H5" s="340" t="str">
        <f aca="false">IF((G5&lt;&gt;0),IF((D5&gt;0)," ",G5)," ")</f>
        <v> </v>
      </c>
      <c r="I5" s="369" t="str">
        <f aca="false">IF((G5&lt;&gt;0),IF((D5&gt;0)," ",(I$1-A5))," ")</f>
        <v> </v>
      </c>
      <c r="J5" s="336" t="n">
        <f aca="false">IF((E5="s"),G5," ")</f>
        <v>500</v>
      </c>
      <c r="K5" s="336" t="str">
        <f aca="false">IF((E5="d"),G5," ")</f>
        <v> </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293</v>
      </c>
      <c r="D6" s="366" t="s">
        <v>246</v>
      </c>
      <c r="E6" s="367" t="s">
        <v>294</v>
      </c>
      <c r="G6" s="368" t="n">
        <v>120</v>
      </c>
      <c r="H6" s="340" t="str">
        <f aca="false">IF((G6&lt;&gt;0),IF((D6&gt;0)," ",G6)," ")</f>
        <v> </v>
      </c>
      <c r="I6" s="369" t="str">
        <f aca="false">IF((G6&lt;&gt;0),IF((D6&gt;0)," ",(I$1-A6))," ")</f>
        <v> </v>
      </c>
      <c r="J6" s="336" t="str">
        <f aca="false">IF((E6="s"),G6," ")</f>
        <v> </v>
      </c>
      <c r="K6" s="336" t="n">
        <f aca="false">IF((E6="d"),G6," ")</f>
        <v>120</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45839</v>
      </c>
      <c r="B7" s="365" t="s">
        <v>295</v>
      </c>
      <c r="D7" s="366" t="s">
        <v>296</v>
      </c>
      <c r="E7" s="367" t="s">
        <v>297</v>
      </c>
      <c r="G7" s="368" t="n">
        <v>400</v>
      </c>
      <c r="H7" s="340" t="str">
        <f aca="false">IF((G7&lt;&gt;0),IF((D7&gt;0)," ",G7)," ")</f>
        <v> </v>
      </c>
      <c r="I7" s="369" t="str">
        <f aca="false">IF((G7&lt;&gt;0),IF((D7&gt;0)," ",(I$1-A7))," ")</f>
        <v> </v>
      </c>
      <c r="J7" s="336" t="str">
        <f aca="false">IF((E7="s"),G7," ")</f>
        <v> </v>
      </c>
      <c r="K7" s="336" t="str">
        <f aca="false">IF((E7="d"),G7," ")</f>
        <v> </v>
      </c>
      <c r="L7" s="336" t="str">
        <f aca="false">IF((E7="e"),G7," ")</f>
        <v> </v>
      </c>
      <c r="M7" s="336" t="n">
        <f aca="false">IF((E7="p"),G7," ")</f>
        <v>400</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45858</v>
      </c>
      <c r="B8" s="365" t="s">
        <v>298</v>
      </c>
      <c r="D8" s="366" t="s">
        <v>296</v>
      </c>
      <c r="E8" s="367" t="s">
        <v>299</v>
      </c>
      <c r="G8" s="368" t="n">
        <v>120</v>
      </c>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n">
        <f aca="false">IF((E8="g"),G8," ")</f>
        <v>120</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t="n">
        <v>45869</v>
      </c>
      <c r="B9" s="365" t="s">
        <v>246</v>
      </c>
      <c r="D9" s="366" t="s">
        <v>246</v>
      </c>
      <c r="E9" s="367" t="s">
        <v>302</v>
      </c>
      <c r="G9" s="368" t="n">
        <v>25</v>
      </c>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n">
        <f aca="false">IF((E9="b"),G9," ")</f>
        <v>25</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4000</v>
      </c>
      <c r="G1" s="345" t="n">
        <f aca="false">SUM(G4:G300)</f>
        <v>500</v>
      </c>
      <c r="H1" s="347" t="n">
        <f aca="false">SUM(H4:H300)</f>
        <v>0</v>
      </c>
      <c r="I1" s="348" t="n">
        <f aca="true">TODAY()</f>
        <v>46115</v>
      </c>
      <c r="J1" s="345" t="n">
        <f aca="false">SUM(J4:J300)</f>
        <v>0</v>
      </c>
      <c r="K1" s="349" t="n">
        <f aca="false">J1+SalesJul!K1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45883</v>
      </c>
      <c r="B4" s="336" t="s">
        <v>245</v>
      </c>
      <c r="D4" s="338" t="s">
        <v>246</v>
      </c>
      <c r="F4" s="336" t="n">
        <v>4000</v>
      </c>
      <c r="G4" s="336" t="n">
        <v>500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870</v>
      </c>
      <c r="H1" s="374" t="n">
        <f aca="false">SUM(H5:H300)</f>
        <v>0</v>
      </c>
      <c r="I1" s="375" t="n">
        <f aca="true">TODAY()</f>
        <v>46115</v>
      </c>
      <c r="J1" s="345" t="n">
        <f aca="false">SUM(J5:J300)</f>
        <v>0</v>
      </c>
      <c r="K1" s="345" t="n">
        <f aca="false">SUM(K5:K300)</f>
        <v>120</v>
      </c>
      <c r="L1" s="345" t="n">
        <f aca="false">SUM(L5:L300)</f>
        <v>0</v>
      </c>
      <c r="M1" s="345" t="n">
        <f aca="false">SUM(M5:M300)</f>
        <v>400</v>
      </c>
      <c r="N1" s="345" t="n">
        <f aca="false">SUM(N5:N300)</f>
        <v>350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306</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45884</v>
      </c>
      <c r="B5" s="365" t="s">
        <v>293</v>
      </c>
      <c r="D5" s="366" t="s">
        <v>246</v>
      </c>
      <c r="E5" s="367" t="s">
        <v>294</v>
      </c>
      <c r="G5" s="368" t="n">
        <v>120</v>
      </c>
      <c r="H5" s="340" t="str">
        <f aca="false">IF((G5&lt;&gt;0),IF((D5&gt;0)," ",G5)," ")</f>
        <v> </v>
      </c>
      <c r="I5" s="369" t="str">
        <f aca="false">IF((G5&lt;&gt;0),IF((D5&gt;0)," ",(I$1-A5))," ")</f>
        <v> </v>
      </c>
      <c r="J5" s="336" t="str">
        <f aca="false">IF((E5="s"),G5," ")</f>
        <v> </v>
      </c>
      <c r="K5" s="336" t="n">
        <f aca="false">IF((E5="d"),G5," ")</f>
        <v>120</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45870</v>
      </c>
      <c r="B6" s="365" t="s">
        <v>295</v>
      </c>
      <c r="D6" s="366" t="s">
        <v>296</v>
      </c>
      <c r="E6" s="367" t="s">
        <v>297</v>
      </c>
      <c r="G6" s="368" t="n">
        <v>400</v>
      </c>
      <c r="H6" s="340" t="str">
        <f aca="false">IF((G6&lt;&gt;0),IF((D6&gt;0)," ",G6)," ")</f>
        <v> </v>
      </c>
      <c r="I6" s="369" t="str">
        <f aca="false">IF((G6&lt;&gt;0),IF((D6&gt;0)," ",(I$1-A6))," ")</f>
        <v> </v>
      </c>
      <c r="J6" s="336" t="str">
        <f aca="false">IF((E6="s"),G6," ")</f>
        <v> </v>
      </c>
      <c r="K6" s="336" t="str">
        <f aca="false">IF((E6="d"),G6," ")</f>
        <v> </v>
      </c>
      <c r="L6" s="336" t="str">
        <f aca="false">IF((E6="e"),G6," ")</f>
        <v> </v>
      </c>
      <c r="M6" s="336" t="n">
        <f aca="false">IF((E6="p"),G6," ")</f>
        <v>400</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45879</v>
      </c>
      <c r="B7" s="365" t="s">
        <v>319</v>
      </c>
      <c r="D7" s="366" t="s">
        <v>246</v>
      </c>
      <c r="E7" s="367" t="s">
        <v>320</v>
      </c>
      <c r="G7" s="368" t="n">
        <v>350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n">
        <f aca="false">IF((E7="r"),G7," ")</f>
        <v>350</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5000</v>
      </c>
      <c r="G1" s="345" t="n">
        <f aca="false">SUM(G4:G300)</f>
        <v>0</v>
      </c>
      <c r="H1" s="347" t="n">
        <f aca="false">SUM(H4:H300)</f>
        <v>0</v>
      </c>
      <c r="I1" s="348" t="n">
        <f aca="true">TODAY()</f>
        <v>46115</v>
      </c>
      <c r="J1" s="345" t="n">
        <f aca="false">SUM(J4:J300)</f>
        <v>0</v>
      </c>
      <c r="K1" s="349" t="n">
        <f aca="false">J1+SalesAug!K1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45915</v>
      </c>
      <c r="B4" s="336" t="s">
        <v>245</v>
      </c>
      <c r="D4" s="338" t="s">
        <v>246</v>
      </c>
      <c r="F4" s="336" t="n">
        <v>4000</v>
      </c>
      <c r="I4" s="341" t="str">
        <f aca="false">IF((F4&lt;&gt;0),IF((D4&gt;0)," ",(I$1-A4))," ")</f>
        <v> </v>
      </c>
    </row>
    <row r="5" customFormat="false" ht="12.75" hidden="false" customHeight="false" outlineLevel="0" collapsed="false">
      <c r="A5" s="357" t="n">
        <v>45928</v>
      </c>
      <c r="B5" s="336" t="s">
        <v>305</v>
      </c>
      <c r="D5" s="338" t="s">
        <v>246</v>
      </c>
      <c r="F5" s="336" t="n">
        <v>1000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1120</v>
      </c>
      <c r="H1" s="374" t="n">
        <f aca="false">SUM(H5:H300)</f>
        <v>0</v>
      </c>
      <c r="I1" s="375" t="n">
        <f aca="true">TODAY()</f>
        <v>46115</v>
      </c>
      <c r="J1" s="345" t="n">
        <f aca="false">SUM(J5:J300)</f>
        <v>0</v>
      </c>
      <c r="K1" s="345" t="n">
        <f aca="false">SUM(K5:K300)</f>
        <v>120</v>
      </c>
      <c r="L1" s="345" t="n">
        <f aca="false">SUM(L5:L300)</f>
        <v>600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306</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45915</v>
      </c>
      <c r="B5" s="365" t="s">
        <v>293</v>
      </c>
      <c r="D5" s="366" t="s">
        <v>246</v>
      </c>
      <c r="E5" s="367" t="s">
        <v>294</v>
      </c>
      <c r="G5" s="368" t="n">
        <v>120</v>
      </c>
      <c r="H5" s="340" t="str">
        <f aca="false">IF((G5&lt;&gt;0),IF((D5&gt;0)," ",G5)," ")</f>
        <v> </v>
      </c>
      <c r="I5" s="369" t="str">
        <f aca="false">IF((G5&lt;&gt;0),IF((D5&gt;0)," ",(I$1-A5))," ")</f>
        <v> </v>
      </c>
      <c r="J5" s="336" t="str">
        <f aca="false">IF((E5="s"),G5," ")</f>
        <v> </v>
      </c>
      <c r="K5" s="336" t="n">
        <f aca="false">IF((E5="d"),G5," ")</f>
        <v>120</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45928</v>
      </c>
      <c r="B6" s="365" t="s">
        <v>311</v>
      </c>
      <c r="D6" s="366" t="s">
        <v>246</v>
      </c>
      <c r="E6" s="367" t="s">
        <v>312</v>
      </c>
      <c r="G6" s="368" t="n">
        <v>600</v>
      </c>
      <c r="H6" s="340" t="str">
        <f aca="false">IF((G6&lt;&gt;0),IF((D6&gt;0)," ",G6)," ")</f>
        <v> </v>
      </c>
      <c r="I6" s="369" t="str">
        <f aca="false">IF((G6&lt;&gt;0),IF((D6&gt;0)," ",(I$1-A6))," ")</f>
        <v> </v>
      </c>
      <c r="J6" s="336" t="str">
        <f aca="false">IF((E6="s"),G6," ")</f>
        <v> </v>
      </c>
      <c r="K6" s="336" t="str">
        <f aca="false">IF((E6="d"),G6," ")</f>
        <v> </v>
      </c>
      <c r="L6" s="336" t="n">
        <f aca="false">IF((E6="e"),G6," ")</f>
        <v>600</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45901</v>
      </c>
      <c r="B7" s="365" t="s">
        <v>295</v>
      </c>
      <c r="D7" s="366" t="s">
        <v>296</v>
      </c>
      <c r="E7" s="367" t="s">
        <v>297</v>
      </c>
      <c r="G7" s="368" t="n">
        <v>400</v>
      </c>
      <c r="H7" s="340" t="str">
        <f aca="false">IF((G7&lt;&gt;0),IF((D7&gt;0)," ",G7)," ")</f>
        <v> </v>
      </c>
      <c r="I7" s="369" t="str">
        <f aca="false">IF((G7&lt;&gt;0),IF((D7&gt;0)," ",(I$1-A7))," ")</f>
        <v> </v>
      </c>
      <c r="J7" s="336" t="str">
        <f aca="false">IF((E7="s"),G7," ")</f>
        <v> </v>
      </c>
      <c r="K7" s="336" t="str">
        <f aca="false">IF((E7="d"),G7," ")</f>
        <v> </v>
      </c>
      <c r="L7" s="336" t="str">
        <f aca="false">IF((E7="e"),G7," ")</f>
        <v> </v>
      </c>
      <c r="M7" s="336" t="n">
        <f aca="false">IF((E7="p"),G7," ")</f>
        <v>400</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5500</v>
      </c>
      <c r="G1" s="345" t="n">
        <f aca="false">SUM(G4:G300)</f>
        <v>200</v>
      </c>
      <c r="H1" s="347" t="n">
        <f aca="false">SUM(H4:H300)</f>
        <v>0</v>
      </c>
      <c r="I1" s="348" t="n">
        <f aca="true">TODAY()</f>
        <v>46115</v>
      </c>
      <c r="J1" s="345" t="n">
        <f aca="false">SUM(J4:J300)</f>
        <v>0</v>
      </c>
      <c r="K1" s="349" t="n">
        <f aca="false">J1+SalesSep!K1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45940</v>
      </c>
      <c r="B4" s="336" t="s">
        <v>245</v>
      </c>
      <c r="D4" s="338" t="s">
        <v>246</v>
      </c>
      <c r="F4" s="336" t="n">
        <v>4000</v>
      </c>
      <c r="I4" s="341" t="str">
        <f aca="false">IF((F4&lt;&gt;0),IF((D4&gt;0)," ",(I$1-A4))," ")</f>
        <v> </v>
      </c>
    </row>
    <row r="5" customFormat="false" ht="12.75" hidden="false" customHeight="false" outlineLevel="0" collapsed="false">
      <c r="A5" s="357" t="n">
        <v>45952</v>
      </c>
      <c r="B5" s="336" t="s">
        <v>247</v>
      </c>
      <c r="D5" s="338" t="s">
        <v>246</v>
      </c>
      <c r="F5" s="336" t="n">
        <v>1500</v>
      </c>
      <c r="G5" s="336" t="n">
        <v>200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1515</v>
      </c>
      <c r="H1" s="374" t="n">
        <f aca="false">SUM(H5:H300)</f>
        <v>0</v>
      </c>
      <c r="I1" s="375" t="n">
        <f aca="true">TODAY()</f>
        <v>46115</v>
      </c>
      <c r="J1" s="345" t="n">
        <f aca="false">SUM(J5:J300)</f>
        <v>400</v>
      </c>
      <c r="K1" s="345" t="n">
        <f aca="false">SUM(K5:K300)</f>
        <v>120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300</v>
      </c>
      <c r="S1" s="345" t="n">
        <f aca="false">SUM(S5:S300)</f>
        <v>0</v>
      </c>
      <c r="T1" s="345" t="n">
        <f aca="false">SUM(T5:T300)</f>
        <v>25</v>
      </c>
      <c r="U1" s="345" t="n">
        <f aca="false">SUM(U5:U300)</f>
        <v>0</v>
      </c>
      <c r="V1" s="345" t="n">
        <f aca="false">SUM(V5:V300)</f>
        <v>150</v>
      </c>
      <c r="W1" s="347" t="n">
        <f aca="false">SUM(W5:W300)</f>
        <v>0</v>
      </c>
      <c r="X1" s="376" t="n">
        <f aca="false">W1+PurchasesSep!X1</f>
        <v>1200</v>
      </c>
      <c r="Y1" s="377" t="n">
        <f aca="false">SUM(Y5:Y200)</f>
        <v>0</v>
      </c>
      <c r="Z1" s="378" t="n">
        <f aca="false">Y1+PurchasesSep!Z1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306</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45935</v>
      </c>
      <c r="B5" s="365" t="s">
        <v>291</v>
      </c>
      <c r="D5" s="366" t="s">
        <v>246</v>
      </c>
      <c r="E5" s="367" t="s">
        <v>292</v>
      </c>
      <c r="G5" s="368" t="n">
        <v>400</v>
      </c>
      <c r="H5" s="340" t="str">
        <f aca="false">IF((G5&lt;&gt;0),IF((D5&gt;0)," ",G5)," ")</f>
        <v> </v>
      </c>
      <c r="I5" s="369" t="str">
        <f aca="false">IF((G5&lt;&gt;0),IF((D5&gt;0)," ",(I$1-A5))," ")</f>
        <v> </v>
      </c>
      <c r="J5" s="336" t="n">
        <f aca="false">IF((E5="s"),G5," ")</f>
        <v>400</v>
      </c>
      <c r="K5" s="336" t="str">
        <f aca="false">IF((E5="d"),G5," ")</f>
        <v> </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293</v>
      </c>
      <c r="D6" s="366" t="s">
        <v>246</v>
      </c>
      <c r="E6" s="367" t="s">
        <v>294</v>
      </c>
      <c r="G6" s="368" t="n">
        <v>120</v>
      </c>
      <c r="H6" s="340" t="str">
        <f aca="false">IF((G6&lt;&gt;0),IF((D6&gt;0)," ",G6)," ")</f>
        <v> </v>
      </c>
      <c r="I6" s="369" t="str">
        <f aca="false">IF((G6&lt;&gt;0),IF((D6&gt;0)," ",(I$1-A6))," ")</f>
        <v> </v>
      </c>
      <c r="J6" s="336" t="str">
        <f aca="false">IF((E6="s"),G6," ")</f>
        <v> </v>
      </c>
      <c r="K6" s="336" t="n">
        <f aca="false">IF((E6="d"),G6," ")</f>
        <v>120</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45931</v>
      </c>
      <c r="B7" s="365" t="s">
        <v>295</v>
      </c>
      <c r="D7" s="366" t="s">
        <v>296</v>
      </c>
      <c r="E7" s="367" t="s">
        <v>297</v>
      </c>
      <c r="G7" s="368" t="n">
        <v>400</v>
      </c>
      <c r="H7" s="340" t="str">
        <f aca="false">IF((G7&lt;&gt;0),IF((D7&gt;0)," ",G7)," ")</f>
        <v> </v>
      </c>
      <c r="I7" s="369" t="str">
        <f aca="false">IF((G7&lt;&gt;0),IF((D7&gt;0)," ",(I$1-A7))," ")</f>
        <v> </v>
      </c>
      <c r="J7" s="336" t="str">
        <f aca="false">IF((E7="s"),G7," ")</f>
        <v> </v>
      </c>
      <c r="K7" s="336" t="str">
        <f aca="false">IF((E7="d"),G7," ")</f>
        <v> </v>
      </c>
      <c r="L7" s="336" t="str">
        <f aca="false">IF((E7="e"),G7," ")</f>
        <v> </v>
      </c>
      <c r="M7" s="336" t="n">
        <f aca="false">IF((E7="p"),G7," ")</f>
        <v>400</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45950</v>
      </c>
      <c r="B8" s="365" t="s">
        <v>298</v>
      </c>
      <c r="D8" s="366" t="s">
        <v>296</v>
      </c>
      <c r="E8" s="367" t="s">
        <v>299</v>
      </c>
      <c r="G8" s="368" t="n">
        <v>120</v>
      </c>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n">
        <f aca="false">IF((E8="g"),G8," ")</f>
        <v>120</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t="n">
        <v>45938</v>
      </c>
      <c r="B9" s="365" t="s">
        <v>321</v>
      </c>
      <c r="D9" s="366" t="s">
        <v>246</v>
      </c>
      <c r="E9" s="367" t="s">
        <v>309</v>
      </c>
      <c r="G9" s="368" t="n">
        <v>300</v>
      </c>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n">
        <f aca="false">IF((E9="a"),G9," ")</f>
        <v>300</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t="n">
        <v>45961</v>
      </c>
      <c r="B10" s="365" t="s">
        <v>246</v>
      </c>
      <c r="D10" s="366" t="s">
        <v>246</v>
      </c>
      <c r="E10" s="367" t="s">
        <v>302</v>
      </c>
      <c r="G10" s="368" t="n">
        <v>25</v>
      </c>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n">
        <f aca="false">IF((E10="b"),G10," ")</f>
        <v>25</v>
      </c>
      <c r="U10" s="336" t="str">
        <f aca="false">IF((E10="i"),G10," ")</f>
        <v> </v>
      </c>
      <c r="V10" s="336" t="str">
        <f aca="false">IF((E10="o"),G10," ")</f>
        <v> </v>
      </c>
      <c r="W10" s="336" t="str">
        <f aca="false">IF((E10="f"),G10," ")</f>
        <v> </v>
      </c>
    </row>
    <row r="11" customFormat="false" ht="12.75" hidden="false" customHeight="false" outlineLevel="0" collapsed="false">
      <c r="A11" s="357" t="n">
        <v>45942</v>
      </c>
      <c r="B11" s="365" t="s">
        <v>322</v>
      </c>
      <c r="D11" s="366" t="s">
        <v>246</v>
      </c>
      <c r="E11" s="367" t="s">
        <v>304</v>
      </c>
      <c r="G11" s="368" t="n">
        <v>150</v>
      </c>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150</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4500</v>
      </c>
      <c r="G1" s="345" t="n">
        <f aca="false">SUM(G4:G300)</f>
        <v>0</v>
      </c>
      <c r="H1" s="347" t="n">
        <f aca="false">SUM(H4:H300)</f>
        <v>0</v>
      </c>
      <c r="I1" s="348" t="n">
        <f aca="true">TODAY()</f>
        <v>46115</v>
      </c>
      <c r="J1" s="345" t="n">
        <f aca="false">SUM(J4:J300)</f>
        <v>0</v>
      </c>
      <c r="K1" s="349" t="n">
        <f aca="false">J1+SalesOct!K1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45976</v>
      </c>
      <c r="B4" s="336" t="s">
        <v>245</v>
      </c>
      <c r="D4" s="338" t="s">
        <v>246</v>
      </c>
      <c r="F4" s="336" t="n">
        <v>3000</v>
      </c>
      <c r="I4" s="341" t="str">
        <f aca="false">IF((F4&lt;&gt;0),IF((D4&gt;0)," ",(I$1-A4))," ")</f>
        <v> </v>
      </c>
    </row>
    <row r="5" customFormat="false" ht="12.75" hidden="false" customHeight="false" outlineLevel="0" collapsed="false">
      <c r="A5" s="357" t="n">
        <v>45989</v>
      </c>
      <c r="B5" s="336" t="s">
        <v>310</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1140</v>
      </c>
      <c r="H1" s="374" t="n">
        <f aca="false">SUM(H5:H300)</f>
        <v>0</v>
      </c>
      <c r="I1" s="375" t="n">
        <f aca="true">TODAY()</f>
        <v>46115</v>
      </c>
      <c r="J1" s="345" t="n">
        <f aca="false">SUM(J5:J300)</f>
        <v>0</v>
      </c>
      <c r="K1" s="345" t="n">
        <f aca="false">SUM(K5:K300)</f>
        <v>120</v>
      </c>
      <c r="L1" s="345" t="n">
        <f aca="false">SUM(L5:L300)</f>
        <v>0</v>
      </c>
      <c r="M1" s="345" t="n">
        <f aca="false">SUM(M5:M300)</f>
        <v>400</v>
      </c>
      <c r="N1" s="345" t="n">
        <f aca="false">SUM(N5:N300)</f>
        <v>0</v>
      </c>
      <c r="O1" s="345" t="n">
        <f aca="false">SUM(O5:O300)</f>
        <v>0</v>
      </c>
      <c r="P1" s="345" t="n">
        <f aca="false">SUM(P3:P300)</f>
        <v>400</v>
      </c>
      <c r="Q1" s="345" t="n">
        <f aca="false">SUM(Q5:Q300)</f>
        <v>220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306</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45976</v>
      </c>
      <c r="B5" s="365" t="s">
        <v>293</v>
      </c>
      <c r="D5" s="366" t="s">
        <v>246</v>
      </c>
      <c r="E5" s="367" t="s">
        <v>294</v>
      </c>
      <c r="G5" s="368" t="n">
        <v>120</v>
      </c>
      <c r="H5" s="340" t="str">
        <f aca="false">IF((G5&lt;&gt;0),IF((D5&gt;0)," ",G5)," ")</f>
        <v> </v>
      </c>
      <c r="I5" s="369" t="str">
        <f aca="false">IF((G5&lt;&gt;0),IF((D5&gt;0)," ",(I$1-A5))," ")</f>
        <v> </v>
      </c>
      <c r="J5" s="336" t="str">
        <f aca="false">IF((E5="s"),G5," ")</f>
        <v> </v>
      </c>
      <c r="K5" s="336" t="n">
        <f aca="false">IF((E5="d"),G5," ")</f>
        <v>120</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45962</v>
      </c>
      <c r="B6" s="365" t="s">
        <v>295</v>
      </c>
      <c r="D6" s="366" t="s">
        <v>296</v>
      </c>
      <c r="E6" s="367" t="s">
        <v>297</v>
      </c>
      <c r="G6" s="368" t="n">
        <v>400</v>
      </c>
      <c r="H6" s="340" t="str">
        <f aca="false">IF((G6&lt;&gt;0),IF((D6&gt;0)," ",G6)," ")</f>
        <v> </v>
      </c>
      <c r="I6" s="369" t="str">
        <f aca="false">IF((G6&lt;&gt;0),IF((D6&gt;0)," ",(I$1-A6))," ")</f>
        <v> </v>
      </c>
      <c r="J6" s="336" t="str">
        <f aca="false">IF((E6="s"),G6," ")</f>
        <v> </v>
      </c>
      <c r="K6" s="336" t="str">
        <f aca="false">IF((E6="d"),G6," ")</f>
        <v> </v>
      </c>
      <c r="L6" s="336" t="str">
        <f aca="false">IF((E6="e"),G6," ")</f>
        <v> </v>
      </c>
      <c r="M6" s="336" t="n">
        <f aca="false">IF((E6="p"),G6," ")</f>
        <v>400</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45971</v>
      </c>
      <c r="B7" s="365" t="s">
        <v>323</v>
      </c>
      <c r="D7" s="366" t="s">
        <v>246</v>
      </c>
      <c r="E7" s="367" t="s">
        <v>274</v>
      </c>
      <c r="G7" s="368" t="n">
        <v>400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n">
        <f aca="false">IF((E7="m"),G7," ")</f>
        <v>400</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45979</v>
      </c>
      <c r="B8" s="365" t="s">
        <v>324</v>
      </c>
      <c r="D8" s="366" t="s">
        <v>246</v>
      </c>
      <c r="E8" s="367" t="s">
        <v>314</v>
      </c>
      <c r="G8" s="368" t="n">
        <v>220</v>
      </c>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n">
        <f aca="false">IF((E8="t"),G8," ")</f>
        <v>220</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300</v>
      </c>
      <c r="H1" s="347" t="n">
        <f aca="false">SUM(H4:H300)</f>
        <v>0</v>
      </c>
      <c r="I1" s="348" t="n">
        <f aca="true">TODAY()</f>
        <v>46115</v>
      </c>
      <c r="J1" s="345" t="n">
        <f aca="false">SUM(J4:J300)</f>
        <v>0</v>
      </c>
      <c r="K1" s="349" t="n">
        <f aca="false">J1+SalesNov!K1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46003</v>
      </c>
      <c r="B4" s="336" t="s">
        <v>245</v>
      </c>
      <c r="D4" s="338" t="s">
        <v>246</v>
      </c>
      <c r="F4" s="336" t="n">
        <v>3000</v>
      </c>
      <c r="G4" s="336" t="n">
        <v>300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1240</v>
      </c>
      <c r="H1" s="374" t="n">
        <f aca="false">SUM(H5:H300)</f>
        <v>0</v>
      </c>
      <c r="I1" s="375" t="n">
        <f aca="true">TODAY()</f>
        <v>46115</v>
      </c>
      <c r="J1" s="345" t="n">
        <f aca="false">SUM(J5:J300)</f>
        <v>0</v>
      </c>
      <c r="K1" s="345" t="n">
        <f aca="false">SUM(K5:K300)</f>
        <v>120</v>
      </c>
      <c r="L1" s="345" t="n">
        <f aca="false">SUM(L5:L300)</f>
        <v>600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120</v>
      </c>
      <c r="V1" s="345" t="n">
        <f aca="false">SUM(V5:V300)</f>
        <v>0</v>
      </c>
      <c r="W1" s="347" t="n">
        <f aca="false">SUM(W5:W300)</f>
        <v>0</v>
      </c>
      <c r="X1" s="376" t="n">
        <f aca="false">W1+PurchasesNov!X1</f>
        <v>1200</v>
      </c>
      <c r="Y1" s="377" t="n">
        <f aca="false">SUM(Y5:Y200)</f>
        <v>0</v>
      </c>
      <c r="Z1" s="378" t="n">
        <f aca="false">PurchasesDec!Y1+PurchasesNov!Z1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306</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46006</v>
      </c>
      <c r="B5" s="365" t="s">
        <v>293</v>
      </c>
      <c r="D5" s="366" t="s">
        <v>246</v>
      </c>
      <c r="E5" s="367" t="s">
        <v>294</v>
      </c>
      <c r="G5" s="368" t="n">
        <v>120</v>
      </c>
      <c r="H5" s="340" t="str">
        <f aca="false">IF((G5&lt;&gt;0),IF((D5&gt;0)," ",G5)," ")</f>
        <v> </v>
      </c>
      <c r="I5" s="369" t="str">
        <f aca="false">IF((G5&lt;&gt;0),IF((D5&gt;0)," ",(I$1-A5))," ")</f>
        <v> </v>
      </c>
      <c r="J5" s="336" t="str">
        <f aca="false">IF((E5="s"),G5," ")</f>
        <v> </v>
      </c>
      <c r="K5" s="336" t="n">
        <f aca="false">IF((E5="d"),G5," ")</f>
        <v>120</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46019</v>
      </c>
      <c r="B6" s="365" t="s">
        <v>311</v>
      </c>
      <c r="D6" s="366" t="s">
        <v>246</v>
      </c>
      <c r="E6" s="367" t="s">
        <v>312</v>
      </c>
      <c r="G6" s="368" t="n">
        <v>600</v>
      </c>
      <c r="H6" s="340" t="str">
        <f aca="false">IF((G6&lt;&gt;0),IF((D6&gt;0)," ",G6)," ")</f>
        <v> </v>
      </c>
      <c r="I6" s="369" t="str">
        <f aca="false">IF((G6&lt;&gt;0),IF((D6&gt;0)," ",(I$1-A6))," ")</f>
        <v> </v>
      </c>
      <c r="J6" s="336" t="str">
        <f aca="false">IF((E6="s"),G6," ")</f>
        <v> </v>
      </c>
      <c r="K6" s="336" t="str">
        <f aca="false">IF((E6="d"),G6," ")</f>
        <v> </v>
      </c>
      <c r="L6" s="336" t="n">
        <f aca="false">IF((E6="e"),G6," ")</f>
        <v>600</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45992</v>
      </c>
      <c r="B7" s="365" t="s">
        <v>295</v>
      </c>
      <c r="D7" s="366" t="s">
        <v>296</v>
      </c>
      <c r="E7" s="367" t="s">
        <v>297</v>
      </c>
      <c r="G7" s="368" t="n">
        <v>400</v>
      </c>
      <c r="H7" s="340" t="str">
        <f aca="false">IF((G7&lt;&gt;0),IF((D7&gt;0)," ",G7)," ")</f>
        <v> </v>
      </c>
      <c r="I7" s="369" t="str">
        <f aca="false">IF((G7&lt;&gt;0),IF((D7&gt;0)," ",(I$1-A7))," ")</f>
        <v> </v>
      </c>
      <c r="J7" s="336" t="str">
        <f aca="false">IF((E7="s"),G7," ")</f>
        <v> </v>
      </c>
      <c r="K7" s="336" t="str">
        <f aca="false">IF((E7="d"),G7," ")</f>
        <v> </v>
      </c>
      <c r="L7" s="336" t="str">
        <f aca="false">IF((E7="e"),G7," ")</f>
        <v> </v>
      </c>
      <c r="M7" s="336" t="n">
        <f aca="false">IF((E7="p"),G7," ")</f>
        <v>400</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46022</v>
      </c>
      <c r="B8" s="365" t="s">
        <v>315</v>
      </c>
      <c r="D8" s="366" t="s">
        <v>296</v>
      </c>
      <c r="E8" s="367" t="s">
        <v>316</v>
      </c>
      <c r="G8" s="368" t="n">
        <v>120</v>
      </c>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n">
        <f aca="false">IF((E8="i"),G8," ")</f>
        <v>120</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4000</v>
      </c>
      <c r="G1" s="345" t="n">
        <f aca="false">SUM(G4:G300)</f>
        <v>500</v>
      </c>
      <c r="H1" s="347" t="n">
        <f aca="false">SUM(H4:H300)</f>
        <v>0</v>
      </c>
      <c r="I1" s="348" t="n">
        <f aca="true">TODAY()</f>
        <v>46115</v>
      </c>
      <c r="J1" s="345" t="n">
        <f aca="false">SUM(J4:J300)</f>
        <v>0</v>
      </c>
      <c r="K1" s="349" t="n">
        <f aca="false">J1+SalesDec!K1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46037</v>
      </c>
      <c r="B4" s="336" t="s">
        <v>245</v>
      </c>
      <c r="D4" s="338" t="s">
        <v>246</v>
      </c>
      <c r="F4" s="336" t="n">
        <v>2500</v>
      </c>
      <c r="I4" s="341" t="str">
        <f aca="false">IF((F4&lt;&gt;0),IF((D4&gt;0)," ",(I$1-A4))," ")</f>
        <v> </v>
      </c>
    </row>
    <row r="5" customFormat="false" ht="12.75" hidden="false" customHeight="false" outlineLevel="0" collapsed="false">
      <c r="A5" s="357" t="n">
        <v>46050</v>
      </c>
      <c r="B5" s="336" t="s">
        <v>247</v>
      </c>
      <c r="D5" s="338" t="s">
        <v>246</v>
      </c>
      <c r="F5" s="336" t="n">
        <v>1500</v>
      </c>
      <c r="G5" s="336" t="n">
        <v>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1565</v>
      </c>
      <c r="H1" s="374" t="n">
        <f aca="false">SUM(H5:H300)</f>
        <v>0</v>
      </c>
      <c r="I1" s="375" t="n">
        <f aca="true">TODAY()</f>
        <v>46115</v>
      </c>
      <c r="J1" s="345" t="n">
        <f aca="false">SUM(J5:J300)</f>
        <v>400</v>
      </c>
      <c r="K1" s="345" t="n">
        <f aca="false">SUM(K5:K300)</f>
        <v>120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25</v>
      </c>
      <c r="U1" s="345" t="n">
        <f aca="false">SUM(U5:U300)</f>
        <v>0</v>
      </c>
      <c r="V1" s="345" t="n">
        <f aca="false">SUM(V5:V300)</f>
        <v>0</v>
      </c>
      <c r="W1" s="347" t="n">
        <f aca="false">SUM(W5:W300)</f>
        <v>0</v>
      </c>
      <c r="X1" s="376" t="n">
        <f aca="false">W1+PurchasesDec!X1</f>
        <v>1200</v>
      </c>
      <c r="Y1" s="377" t="n">
        <f aca="false">SUM(Y5:Y200)</f>
        <v>0</v>
      </c>
      <c r="Z1" s="378" t="n">
        <f aca="false">Y1+PurchasesDec!Z1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306</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46032</v>
      </c>
      <c r="B5" s="365" t="s">
        <v>291</v>
      </c>
      <c r="D5" s="366" t="s">
        <v>246</v>
      </c>
      <c r="E5" s="367" t="s">
        <v>292</v>
      </c>
      <c r="G5" s="368" t="n">
        <v>400</v>
      </c>
      <c r="H5" s="340" t="str">
        <f aca="false">IF((G5&lt;&gt;0),IF((D5&gt;0)," ",G5)," ")</f>
        <v> </v>
      </c>
      <c r="I5" s="369" t="str">
        <f aca="false">IF((G5&lt;&gt;0),IF((D5&gt;0)," ",(I$1-A5))," ")</f>
        <v> </v>
      </c>
      <c r="J5" s="336" t="n">
        <f aca="false">IF((E5="s"),G5," ")</f>
        <v>400</v>
      </c>
      <c r="K5" s="336" t="str">
        <f aca="false">IF((E5="d"),G5," ")</f>
        <v> </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293</v>
      </c>
      <c r="D6" s="366" t="s">
        <v>246</v>
      </c>
      <c r="E6" s="367" t="s">
        <v>294</v>
      </c>
      <c r="G6" s="368" t="n">
        <v>120</v>
      </c>
      <c r="H6" s="340" t="str">
        <f aca="false">IF((G6&lt;&gt;0),IF((D6&gt;0)," ",G6)," ")</f>
        <v> </v>
      </c>
      <c r="I6" s="369" t="str">
        <f aca="false">IF((G6&lt;&gt;0),IF((D6&gt;0)," ",(I$1-A6))," ")</f>
        <v> </v>
      </c>
      <c r="J6" s="336" t="str">
        <f aca="false">IF((E6="s"),G6," ")</f>
        <v> </v>
      </c>
      <c r="K6" s="336" t="n">
        <f aca="false">IF((E6="d"),G6," ")</f>
        <v>120</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46023</v>
      </c>
      <c r="B7" s="365" t="s">
        <v>295</v>
      </c>
      <c r="D7" s="366" t="s">
        <v>296</v>
      </c>
      <c r="E7" s="367" t="s">
        <v>297</v>
      </c>
      <c r="G7" s="368" t="n">
        <v>400</v>
      </c>
      <c r="H7" s="340" t="str">
        <f aca="false">IF((G7&lt;&gt;0),IF((D7&gt;0)," ",G7)," ")</f>
        <v> </v>
      </c>
      <c r="I7" s="369" t="str">
        <f aca="false">IF((G7&lt;&gt;0),IF((D7&gt;0)," ",(I$1-A7))," ")</f>
        <v> </v>
      </c>
      <c r="J7" s="336" t="str">
        <f aca="false">IF((E7="s"),G7," ")</f>
        <v> </v>
      </c>
      <c r="K7" s="336" t="str">
        <f aca="false">IF((E7="d"),G7," ")</f>
        <v> </v>
      </c>
      <c r="L7" s="336" t="str">
        <f aca="false">IF((E7="e"),G7," ")</f>
        <v> </v>
      </c>
      <c r="M7" s="336" t="n">
        <f aca="false">IF((E7="p"),G7," ")</f>
        <v>400</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46042</v>
      </c>
      <c r="B8" s="365" t="s">
        <v>298</v>
      </c>
      <c r="D8" s="366" t="s">
        <v>296</v>
      </c>
      <c r="E8" s="367" t="s">
        <v>299</v>
      </c>
      <c r="G8" s="368" t="n">
        <v>120</v>
      </c>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n">
        <f aca="false">IF((E8="g"),G8," ")</f>
        <v>120</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t="n">
        <v>46047</v>
      </c>
      <c r="B9" s="365" t="s">
        <v>325</v>
      </c>
      <c r="D9" s="366" t="s">
        <v>246</v>
      </c>
      <c r="E9" s="367" t="s">
        <v>301</v>
      </c>
      <c r="G9" s="368" t="n">
        <v>500</v>
      </c>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n">
        <f aca="false">IF((E9="l"),G9," ")</f>
        <v>500</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t="n">
        <v>46053</v>
      </c>
      <c r="B10" s="365" t="s">
        <v>246</v>
      </c>
      <c r="D10" s="366" t="s">
        <v>246</v>
      </c>
      <c r="E10" s="367" t="s">
        <v>302</v>
      </c>
      <c r="G10" s="368" t="n">
        <v>25</v>
      </c>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n">
        <f aca="false">IF((E10="b"),G10," ")</f>
        <v>25</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2500</v>
      </c>
      <c r="G1" s="345" t="n">
        <f aca="false">SUM(G4:G300)</f>
        <v>0</v>
      </c>
      <c r="H1" s="347" t="n">
        <f aca="false">SUM(H4:H300)</f>
        <v>0</v>
      </c>
      <c r="I1" s="348" t="n">
        <f aca="true">TODAY()</f>
        <v>46115</v>
      </c>
      <c r="J1" s="345" t="n">
        <f aca="false">SUM(J4:J300)</f>
        <v>0</v>
      </c>
      <c r="K1" s="349" t="n">
        <f aca="false">J1+SalesJan!K1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46068</v>
      </c>
      <c r="B4" s="336" t="s">
        <v>245</v>
      </c>
      <c r="D4" s="338" t="s">
        <v>246</v>
      </c>
      <c r="F4" s="336" t="n">
        <v>2500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820</v>
      </c>
      <c r="H1" s="374" t="n">
        <f aca="false">SUM(H5:H300)</f>
        <v>0</v>
      </c>
      <c r="I1" s="375" t="n">
        <f aca="true">TODAY()</f>
        <v>46115</v>
      </c>
      <c r="J1" s="345" t="n">
        <f aca="false">SUM(J5:J300)</f>
        <v>0</v>
      </c>
      <c r="K1" s="345" t="n">
        <f aca="false">SUM(K5:K300)</f>
        <v>120</v>
      </c>
      <c r="L1" s="345" t="n">
        <f aca="false">SUM(L5:L300)</f>
        <v>0</v>
      </c>
      <c r="M1" s="345" t="n">
        <f aca="false">SUM(M5:M300)</f>
        <v>400</v>
      </c>
      <c r="N1" s="345" t="n">
        <f aca="false">SUM(N5:N300)</f>
        <v>300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306</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46068</v>
      </c>
      <c r="B5" s="365" t="s">
        <v>293</v>
      </c>
      <c r="D5" s="366" t="s">
        <v>246</v>
      </c>
      <c r="E5" s="367" t="s">
        <v>294</v>
      </c>
      <c r="G5" s="368" t="n">
        <v>120</v>
      </c>
      <c r="H5" s="340" t="str">
        <f aca="false">IF((G5&lt;&gt;0),IF((D5&gt;0)," ",G5)," ")</f>
        <v> </v>
      </c>
      <c r="I5" s="369" t="str">
        <f aca="false">IF((G5&lt;&gt;0),IF((D5&gt;0)," ",(I$1-A5))," ")</f>
        <v> </v>
      </c>
      <c r="J5" s="336" t="str">
        <f aca="false">IF((E5="s"),G5," ")</f>
        <v> </v>
      </c>
      <c r="K5" s="336" t="n">
        <f aca="false">IF((E5="d"),G5," ")</f>
        <v>120</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46054</v>
      </c>
      <c r="B6" s="365" t="s">
        <v>295</v>
      </c>
      <c r="D6" s="366" t="s">
        <v>296</v>
      </c>
      <c r="E6" s="367" t="s">
        <v>297</v>
      </c>
      <c r="G6" s="368" t="n">
        <v>400</v>
      </c>
      <c r="H6" s="340" t="str">
        <f aca="false">IF((G6&lt;&gt;0),IF((D6&gt;0)," ",G6)," ")</f>
        <v> </v>
      </c>
      <c r="I6" s="369" t="str">
        <f aca="false">IF((G6&lt;&gt;0),IF((D6&gt;0)," ",(I$1-A6))," ")</f>
        <v> </v>
      </c>
      <c r="J6" s="336" t="str">
        <f aca="false">IF((E6="s"),G6," ")</f>
        <v> </v>
      </c>
      <c r="K6" s="336" t="str">
        <f aca="false">IF((E6="d"),G6," ")</f>
        <v> </v>
      </c>
      <c r="L6" s="336" t="str">
        <f aca="false">IF((E6="e"),G6," ")</f>
        <v> </v>
      </c>
      <c r="M6" s="336" t="n">
        <f aca="false">IF((E6="p"),G6," ")</f>
        <v>400</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46063</v>
      </c>
      <c r="B7" s="365" t="s">
        <v>326</v>
      </c>
      <c r="D7" s="366" t="s">
        <v>246</v>
      </c>
      <c r="E7" s="367" t="s">
        <v>320</v>
      </c>
      <c r="G7" s="368" t="n">
        <v>300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n">
        <f aca="false">IF((E7="r"),G7," ")</f>
        <v>300</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2000</v>
      </c>
      <c r="G1" s="345" t="n">
        <f aca="false">SUM(G4:G300)</f>
        <v>0</v>
      </c>
      <c r="H1" s="347" t="n">
        <f aca="false">SUM(H4:H300)</f>
        <v>0</v>
      </c>
      <c r="I1" s="348" t="n">
        <f aca="true">TODAY()</f>
        <v>46115</v>
      </c>
      <c r="J1" s="345" t="n">
        <f aca="false">SUM(J4:J300)</f>
        <v>0</v>
      </c>
      <c r="K1" s="349" t="n">
        <f aca="false">J1+SalesFeb!K1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46096</v>
      </c>
      <c r="B4" s="336" t="s">
        <v>245</v>
      </c>
      <c r="D4" s="338" t="s">
        <v>246</v>
      </c>
      <c r="F4" s="336" t="n">
        <v>2000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520</v>
      </c>
      <c r="H1" s="374" t="n">
        <f aca="false">SUM(H5:H300)</f>
        <v>0</v>
      </c>
      <c r="I1" s="375" t="n">
        <f aca="true">TODAY()</f>
        <v>46115</v>
      </c>
      <c r="J1" s="345" t="n">
        <f aca="false">SUM(J5:J300)</f>
        <v>0</v>
      </c>
      <c r="K1" s="345" t="n">
        <f aca="false">SUM(K5:K300)</f>
        <v>120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306</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46096</v>
      </c>
      <c r="B5" s="365" t="s">
        <v>293</v>
      </c>
      <c r="D5" s="366" t="s">
        <v>246</v>
      </c>
      <c r="E5" s="367" t="s">
        <v>294</v>
      </c>
      <c r="G5" s="368" t="n">
        <v>120</v>
      </c>
      <c r="H5" s="340" t="str">
        <f aca="false">IF((G5&lt;&gt;0),IF((D5&gt;0)," ",G5)," ")</f>
        <v> </v>
      </c>
      <c r="I5" s="369" t="str">
        <f aca="false">IF((G5&lt;&gt;0),IF((D5&gt;0)," ",(I$1-A5))," ")</f>
        <v> </v>
      </c>
      <c r="J5" s="336" t="str">
        <f aca="false">IF((E5="s"),G5," ")</f>
        <v> </v>
      </c>
      <c r="K5" s="336" t="n">
        <f aca="false">IF((E5="d"),G5," ")</f>
        <v>120</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46082</v>
      </c>
      <c r="B6" s="365" t="s">
        <v>295</v>
      </c>
      <c r="D6" s="366" t="s">
        <v>296</v>
      </c>
      <c r="E6" s="367" t="s">
        <v>297</v>
      </c>
      <c r="G6" s="368" t="n">
        <v>400</v>
      </c>
      <c r="H6" s="340" t="str">
        <f aca="false">IF((G6&lt;&gt;0),IF((D6&gt;0)," ",G6)," ")</f>
        <v> </v>
      </c>
      <c r="I6" s="369" t="str">
        <f aca="false">IF((G6&lt;&gt;0),IF((D6&gt;0)," ",(I$1-A6))," ")</f>
        <v> </v>
      </c>
      <c r="J6" s="336" t="str">
        <f aca="false">IF((E6="s"),G6," ")</f>
        <v> </v>
      </c>
      <c r="K6" s="336" t="str">
        <f aca="false">IF((E6="d"),G6," ")</f>
        <v> </v>
      </c>
      <c r="L6" s="336" t="str">
        <f aca="false">IF((E6="e"),G6," ")</f>
        <v> </v>
      </c>
      <c r="M6" s="336" t="n">
        <f aca="false">IF((E6="p"),G6," ")</f>
        <v>400</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327</v>
      </c>
      <c r="C1" s="68"/>
      <c r="D1" s="409"/>
      <c r="E1" s="409"/>
      <c r="F1" s="409"/>
      <c r="G1" s="162"/>
      <c r="H1" s="68"/>
      <c r="I1" s="68"/>
      <c r="J1" s="68"/>
      <c r="K1" s="68"/>
      <c r="L1" s="68"/>
      <c r="M1" s="68"/>
      <c r="N1" s="68"/>
      <c r="O1" s="68"/>
    </row>
    <row r="2" customFormat="false" ht="12" hidden="false" customHeight="true" outlineLevel="0" collapsed="false">
      <c r="A2" s="68"/>
      <c r="B2" s="410" t="n">
        <v>46081</v>
      </c>
      <c r="C2" s="68"/>
      <c r="D2" s="411" t="s">
        <v>328</v>
      </c>
      <c r="E2" s="411"/>
      <c r="F2" s="411"/>
      <c r="G2" s="412" t="str">
        <f aca="false">B23</f>
        <v>2026-27</v>
      </c>
      <c r="H2" s="68"/>
      <c r="I2" s="68"/>
      <c r="J2" s="413" t="s">
        <v>329</v>
      </c>
      <c r="K2" s="413"/>
      <c r="L2" s="414" t="str">
        <f aca="false">G2</f>
        <v>2026-27</v>
      </c>
      <c r="M2" s="68"/>
      <c r="N2" s="68"/>
      <c r="O2" s="68"/>
    </row>
    <row r="3" customFormat="false" ht="12" hidden="false" customHeight="true" outlineLevel="0" collapsed="false">
      <c r="A3" s="68"/>
      <c r="B3" s="410" t="n">
        <v>46112</v>
      </c>
      <c r="C3" s="68"/>
      <c r="D3" s="68"/>
      <c r="E3" s="68"/>
      <c r="F3" s="68"/>
      <c r="G3" s="415"/>
      <c r="H3" s="68"/>
      <c r="I3" s="68"/>
      <c r="J3" s="416"/>
      <c r="K3" s="416"/>
      <c r="L3" s="162"/>
      <c r="M3" s="68"/>
      <c r="N3" s="68"/>
      <c r="O3" s="68"/>
    </row>
    <row r="4" customFormat="false" ht="12" hidden="false" customHeight="true" outlineLevel="0" collapsed="false">
      <c r="A4" s="68"/>
      <c r="B4" s="417" t="n">
        <v>46118</v>
      </c>
      <c r="C4" s="68"/>
      <c r="D4" s="418" t="s">
        <v>65</v>
      </c>
      <c r="E4" s="418"/>
      <c r="F4" s="418"/>
      <c r="G4" s="419" t="n">
        <v>1</v>
      </c>
      <c r="H4" s="68"/>
      <c r="I4" s="418" t="s">
        <v>330</v>
      </c>
      <c r="J4" s="418"/>
      <c r="K4" s="418"/>
      <c r="L4" s="418"/>
      <c r="M4" s="418"/>
      <c r="N4" s="420" t="n">
        <v>12570</v>
      </c>
      <c r="O4" s="415" t="s">
        <v>26</v>
      </c>
    </row>
    <row r="5" customFormat="false" ht="12" hidden="false" customHeight="true" outlineLevel="0" collapsed="false">
      <c r="A5" s="68"/>
      <c r="B5" s="410" t="n">
        <v>46142</v>
      </c>
      <c r="C5" s="68"/>
      <c r="D5" s="418" t="s">
        <v>331</v>
      </c>
      <c r="E5" s="418"/>
      <c r="F5" s="418"/>
      <c r="G5" s="419" t="n">
        <v>0.14</v>
      </c>
      <c r="H5" s="68"/>
      <c r="I5" s="68"/>
      <c r="J5" s="68"/>
      <c r="K5" s="68"/>
      <c r="L5" s="68"/>
      <c r="M5" s="68"/>
      <c r="N5" s="415"/>
      <c r="O5" s="415"/>
    </row>
    <row r="6" customFormat="false" ht="12" hidden="false" customHeight="true" outlineLevel="0" collapsed="false">
      <c r="A6" s="68"/>
      <c r="B6" s="410" t="n">
        <v>46173</v>
      </c>
      <c r="C6" s="68"/>
      <c r="D6" s="68"/>
      <c r="E6" s="68"/>
      <c r="F6" s="68"/>
      <c r="G6" s="415"/>
      <c r="H6" s="68"/>
      <c r="I6" s="68" t="s">
        <v>332</v>
      </c>
      <c r="J6" s="68"/>
      <c r="K6" s="68"/>
      <c r="L6" s="68"/>
      <c r="M6" s="68"/>
      <c r="N6" s="419" t="n">
        <v>0</v>
      </c>
      <c r="O6" s="415" t="s">
        <v>333</v>
      </c>
    </row>
    <row r="7" customFormat="false" ht="12" hidden="false" customHeight="true" outlineLevel="0" collapsed="false">
      <c r="A7" s="68"/>
      <c r="B7" s="410" t="n">
        <v>46203</v>
      </c>
      <c r="C7" s="68"/>
      <c r="D7" s="418" t="s">
        <v>334</v>
      </c>
      <c r="E7" s="418"/>
      <c r="F7" s="418"/>
      <c r="G7" s="415"/>
      <c r="H7" s="68"/>
      <c r="I7" s="418" t="s">
        <v>335</v>
      </c>
      <c r="J7" s="418"/>
      <c r="K7" s="418"/>
      <c r="L7" s="418"/>
      <c r="M7" s="418"/>
      <c r="N7" s="419" t="n">
        <v>0.2</v>
      </c>
      <c r="O7" s="415" t="s">
        <v>333</v>
      </c>
    </row>
    <row r="8" customFormat="false" ht="12" hidden="false" customHeight="true" outlineLevel="0" collapsed="false">
      <c r="A8" s="68"/>
      <c r="B8" s="410" t="n">
        <v>46234</v>
      </c>
      <c r="C8" s="68"/>
      <c r="D8" s="68" t="s">
        <v>336</v>
      </c>
      <c r="E8" s="421" t="n">
        <v>12000</v>
      </c>
      <c r="F8" s="68" t="s">
        <v>337</v>
      </c>
      <c r="G8" s="421" t="n">
        <v>3000</v>
      </c>
      <c r="H8" s="68"/>
      <c r="I8" s="418" t="s">
        <v>338</v>
      </c>
      <c r="J8" s="418"/>
      <c r="K8" s="418"/>
      <c r="L8" s="418"/>
      <c r="M8" s="418"/>
      <c r="N8" s="419" t="n">
        <v>0.4</v>
      </c>
      <c r="O8" s="415" t="s">
        <v>333</v>
      </c>
    </row>
    <row r="9" customFormat="false" ht="12" hidden="false" customHeight="true" outlineLevel="0" collapsed="false">
      <c r="A9" s="68"/>
      <c r="B9" s="410" t="n">
        <v>46265</v>
      </c>
      <c r="C9" s="68"/>
      <c r="D9" s="68"/>
      <c r="E9" s="415"/>
      <c r="F9" s="68"/>
      <c r="G9" s="415"/>
      <c r="H9" s="68"/>
      <c r="I9" s="68"/>
      <c r="J9" s="68"/>
      <c r="K9" s="68"/>
      <c r="L9" s="68"/>
      <c r="M9" s="68"/>
      <c r="N9" s="415"/>
      <c r="O9" s="415"/>
    </row>
    <row r="10" customFormat="false" ht="12" hidden="false" customHeight="true" outlineLevel="0" collapsed="false">
      <c r="A10" s="68"/>
      <c r="B10" s="410" t="n">
        <v>46295</v>
      </c>
      <c r="C10" s="68"/>
      <c r="D10" s="68"/>
      <c r="E10" s="415"/>
      <c r="F10" s="68"/>
      <c r="G10" s="415"/>
      <c r="H10" s="68"/>
      <c r="I10" s="418" t="s">
        <v>339</v>
      </c>
      <c r="J10" s="418"/>
      <c r="K10" s="418"/>
      <c r="L10" s="422" t="s">
        <v>340</v>
      </c>
      <c r="M10" s="422" t="s">
        <v>341</v>
      </c>
      <c r="N10" s="423" t="s">
        <v>342</v>
      </c>
      <c r="O10" s="415"/>
    </row>
    <row r="11" customFormat="false" ht="12" hidden="false" customHeight="true" outlineLevel="0" collapsed="false">
      <c r="A11" s="68"/>
      <c r="B11" s="410" t="n">
        <v>46326</v>
      </c>
      <c r="C11" s="68"/>
      <c r="D11" s="411" t="s">
        <v>343</v>
      </c>
      <c r="E11" s="411"/>
      <c r="F11" s="411"/>
      <c r="G11" s="415" t="s">
        <v>333</v>
      </c>
      <c r="H11" s="68"/>
      <c r="I11" s="68" t="s">
        <v>344</v>
      </c>
      <c r="J11" s="68"/>
      <c r="K11" s="424" t="n">
        <f aca="false">N6</f>
        <v>0</v>
      </c>
      <c r="L11" s="415" t="n">
        <f aca="false">N11</f>
        <v>0</v>
      </c>
      <c r="M11" s="415" t="n">
        <v>0</v>
      </c>
      <c r="N11" s="421" t="n">
        <v>0</v>
      </c>
      <c r="O11" s="415"/>
    </row>
    <row r="12" customFormat="false" ht="12" hidden="false" customHeight="true" outlineLevel="0" collapsed="false">
      <c r="A12" s="68"/>
      <c r="B12" s="410" t="n">
        <v>46356</v>
      </c>
      <c r="C12" s="68"/>
      <c r="D12" s="68"/>
      <c r="E12" s="68"/>
      <c r="F12" s="68"/>
      <c r="G12" s="415"/>
      <c r="H12" s="68"/>
      <c r="I12" s="68" t="s">
        <v>345</v>
      </c>
      <c r="J12" s="68"/>
      <c r="K12" s="424" t="n">
        <f aca="false">N7</f>
        <v>0.2</v>
      </c>
      <c r="L12" s="415" t="n">
        <v>0</v>
      </c>
      <c r="M12" s="415" t="n">
        <v>37700</v>
      </c>
      <c r="N12" s="421" t="n">
        <v>0</v>
      </c>
      <c r="O12" s="415"/>
    </row>
    <row r="13" customFormat="false" ht="12" hidden="false" customHeight="true" outlineLevel="0" collapsed="false">
      <c r="A13" s="68"/>
      <c r="B13" s="410" t="n">
        <v>46387</v>
      </c>
      <c r="C13" s="68"/>
      <c r="D13" s="418" t="s">
        <v>203</v>
      </c>
      <c r="E13" s="418"/>
      <c r="F13" s="418"/>
      <c r="G13" s="419" t="n">
        <v>0</v>
      </c>
      <c r="H13" s="68"/>
      <c r="I13" s="68" t="s">
        <v>346</v>
      </c>
      <c r="J13" s="68"/>
      <c r="K13" s="424" t="n">
        <f aca="false">N8</f>
        <v>0.4</v>
      </c>
      <c r="L13" s="415" t="n">
        <v>37701</v>
      </c>
      <c r="M13" s="68"/>
      <c r="N13" s="421" t="n">
        <v>37701</v>
      </c>
      <c r="O13" s="415"/>
    </row>
    <row r="14" customFormat="false" ht="12" hidden="false" customHeight="true" outlineLevel="0" collapsed="false">
      <c r="A14" s="68"/>
      <c r="B14" s="410" t="n">
        <v>46418</v>
      </c>
      <c r="C14" s="68"/>
      <c r="D14" s="418" t="s">
        <v>205</v>
      </c>
      <c r="E14" s="418"/>
      <c r="F14" s="418"/>
      <c r="G14" s="419" t="n">
        <v>0.1</v>
      </c>
      <c r="H14" s="68"/>
      <c r="I14" s="68"/>
      <c r="J14" s="68"/>
      <c r="K14" s="68"/>
      <c r="L14" s="68"/>
      <c r="M14" s="68"/>
      <c r="N14" s="68"/>
      <c r="O14" s="68"/>
    </row>
    <row r="15" customFormat="false" ht="12" hidden="false" customHeight="true" outlineLevel="0" collapsed="false">
      <c r="A15" s="68"/>
      <c r="B15" s="410" t="n">
        <v>46446</v>
      </c>
      <c r="C15" s="68"/>
      <c r="D15" s="418" t="s">
        <v>207</v>
      </c>
      <c r="E15" s="418"/>
      <c r="F15" s="418"/>
      <c r="G15" s="419" t="n">
        <v>0.2</v>
      </c>
      <c r="H15" s="68"/>
      <c r="I15" s="411" t="s">
        <v>347</v>
      </c>
      <c r="J15" s="411"/>
      <c r="K15" s="411"/>
      <c r="L15" s="414" t="str">
        <f aca="false">G2</f>
        <v>2026-27</v>
      </c>
      <c r="M15" s="68"/>
      <c r="N15" s="68"/>
      <c r="O15" s="68"/>
    </row>
    <row r="16" customFormat="false" ht="12" hidden="false" customHeight="true" outlineLevel="0" collapsed="false">
      <c r="A16" s="68"/>
      <c r="B16" s="410" t="n">
        <v>46477</v>
      </c>
      <c r="C16" s="68"/>
      <c r="D16" s="418" t="s">
        <v>348</v>
      </c>
      <c r="E16" s="418"/>
      <c r="F16" s="418"/>
      <c r="G16" s="419" t="n">
        <v>0.33</v>
      </c>
      <c r="H16" s="68"/>
      <c r="I16" s="68"/>
      <c r="J16" s="68"/>
      <c r="K16" s="68"/>
      <c r="L16" s="68"/>
      <c r="M16" s="68"/>
      <c r="N16" s="68"/>
      <c r="O16" s="68"/>
    </row>
    <row r="17" customFormat="false" ht="12" hidden="false" customHeight="true" outlineLevel="0" collapsed="false">
      <c r="A17" s="68"/>
      <c r="B17" s="417" t="n">
        <v>46482</v>
      </c>
      <c r="C17" s="68"/>
      <c r="D17" s="418" t="s">
        <v>349</v>
      </c>
      <c r="E17" s="418"/>
      <c r="F17" s="418"/>
      <c r="G17" s="419" t="n">
        <v>0.25</v>
      </c>
      <c r="H17" s="68"/>
      <c r="I17" s="418" t="s">
        <v>350</v>
      </c>
      <c r="J17" s="418"/>
      <c r="K17" s="418"/>
      <c r="L17" s="425" t="n">
        <v>0</v>
      </c>
      <c r="M17" s="68" t="s">
        <v>351</v>
      </c>
      <c r="N17" s="68"/>
      <c r="O17" s="68"/>
    </row>
    <row r="18" customFormat="false" ht="12" hidden="false" customHeight="true" outlineLevel="0" collapsed="false">
      <c r="A18" s="68"/>
      <c r="B18" s="410" t="n">
        <v>46507</v>
      </c>
      <c r="C18" s="68"/>
      <c r="D18" s="68"/>
      <c r="E18" s="68"/>
      <c r="F18" s="68"/>
      <c r="G18" s="415"/>
      <c r="H18" s="68"/>
      <c r="I18" s="68"/>
      <c r="J18" s="68"/>
      <c r="K18" s="68"/>
      <c r="L18" s="68"/>
      <c r="M18" s="68"/>
      <c r="N18" s="68"/>
      <c r="O18" s="68"/>
    </row>
    <row r="19" customFormat="false" ht="12" hidden="false" customHeight="true" outlineLevel="0" collapsed="false">
      <c r="A19" s="68"/>
      <c r="B19" s="410" t="n">
        <v>46538</v>
      </c>
      <c r="C19" s="68"/>
      <c r="D19" s="411" t="s">
        <v>352</v>
      </c>
      <c r="E19" s="411"/>
      <c r="F19" s="415" t="s">
        <v>353</v>
      </c>
      <c r="G19" s="415" t="s">
        <v>354</v>
      </c>
      <c r="H19" s="68"/>
      <c r="I19" s="426" t="s">
        <v>355</v>
      </c>
      <c r="J19" s="426"/>
      <c r="K19" s="426"/>
      <c r="L19" s="68"/>
      <c r="M19" s="427" t="s">
        <v>356</v>
      </c>
      <c r="N19" s="68"/>
      <c r="O19" s="68"/>
    </row>
    <row r="20" customFormat="false" ht="12" hidden="false" customHeight="true" outlineLevel="0" collapsed="false">
      <c r="A20" s="68"/>
      <c r="B20" s="410" t="n">
        <v>46568</v>
      </c>
      <c r="C20" s="68"/>
      <c r="D20" s="162"/>
      <c r="E20" s="162"/>
      <c r="F20" s="415"/>
      <c r="G20" s="415"/>
      <c r="H20" s="68"/>
      <c r="I20" s="426"/>
      <c r="J20" s="426"/>
      <c r="K20" s="426"/>
      <c r="L20" s="428" t="n">
        <v>0.06</v>
      </c>
      <c r="M20" s="427"/>
      <c r="N20" s="421" t="n">
        <v>12570</v>
      </c>
      <c r="O20" s="415" t="s">
        <v>26</v>
      </c>
    </row>
    <row r="21" customFormat="false" ht="12" hidden="false" customHeight="true" outlineLevel="0" collapsed="false">
      <c r="A21" s="68"/>
      <c r="B21" s="410" t="n">
        <v>46783</v>
      </c>
      <c r="C21" s="68"/>
      <c r="D21" s="418" t="s">
        <v>357</v>
      </c>
      <c r="E21" s="418"/>
      <c r="F21" s="421" t="n">
        <v>10000</v>
      </c>
      <c r="G21" s="425" t="n">
        <v>0.45</v>
      </c>
      <c r="H21" s="68"/>
      <c r="I21" s="429"/>
      <c r="J21" s="429"/>
      <c r="K21" s="429"/>
      <c r="L21" s="424"/>
      <c r="M21" s="68"/>
      <c r="N21" s="68"/>
      <c r="O21" s="68"/>
    </row>
    <row r="22" customFormat="false" ht="12" hidden="false" customHeight="true" outlineLevel="0" collapsed="false">
      <c r="A22" s="68"/>
      <c r="B22" s="410" t="n">
        <v>46965</v>
      </c>
      <c r="C22" s="68"/>
      <c r="D22" s="68" t="s">
        <v>358</v>
      </c>
      <c r="E22" s="68"/>
      <c r="F22" s="421" t="n">
        <v>10001</v>
      </c>
      <c r="G22" s="425" t="n">
        <v>0.25</v>
      </c>
      <c r="H22" s="68"/>
      <c r="I22" s="426" t="s">
        <v>359</v>
      </c>
      <c r="J22" s="426"/>
      <c r="K22" s="426"/>
      <c r="L22" s="68"/>
      <c r="M22" s="427" t="s">
        <v>360</v>
      </c>
      <c r="N22" s="68"/>
      <c r="O22" s="68"/>
    </row>
    <row r="23" customFormat="false" ht="12" hidden="false" customHeight="true" outlineLevel="0" collapsed="false">
      <c r="A23" s="68"/>
      <c r="B23" s="417" t="s">
        <v>361</v>
      </c>
      <c r="C23" s="68"/>
      <c r="D23" s="68"/>
      <c r="E23" s="68"/>
      <c r="F23" s="415"/>
      <c r="G23" s="430"/>
      <c r="H23" s="68"/>
      <c r="I23" s="426"/>
      <c r="J23" s="426"/>
      <c r="K23" s="426"/>
      <c r="L23" s="428" t="n">
        <v>0.02</v>
      </c>
      <c r="M23" s="427"/>
      <c r="N23" s="421" t="n">
        <v>50270</v>
      </c>
      <c r="O23" s="415" t="s">
        <v>26</v>
      </c>
    </row>
    <row r="24" customFormat="false" ht="12" hidden="false" customHeight="true" outlineLevel="0" collapsed="false">
      <c r="A24" s="68"/>
      <c r="B24" s="417" t="s">
        <v>362</v>
      </c>
      <c r="C24" s="68"/>
      <c r="D24" s="411" t="s">
        <v>363</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364</v>
      </c>
      <c r="E26" s="68"/>
      <c r="F26" s="421" t="n">
        <v>90000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