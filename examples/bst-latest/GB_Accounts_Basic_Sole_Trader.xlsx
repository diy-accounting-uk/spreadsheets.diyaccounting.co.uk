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<sst xmlns="http://schemas.openxmlformats.org/spreadsheetml/2006/main" count="2046" uniqueCount="434">
  <si>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</si>
  <si>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</si>
  <si>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</si>
  <si>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</si>
  <si>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</si>
  <si>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</si>
  <si>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</si>
  <si>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</si>
  <si>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</si>
  <si>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</si>
  <si>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</si>
  <si>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</si>
  <si>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</si>
  <si>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r>
      <rPr>
        <sz val="8"/>
        <rFont val="Arial"/>
        <family val="2"/>
        <charset val="1"/>
      </rPr>
      <t xml:space="preserve">in the box - </t>
    </r>
    <r>
      <rPr>
        <i val="true"/>
        <sz val="8"/>
        <rFont val="Arial"/>
        <family val="2"/>
        <charset val="1"/>
      </rPr>
      <t xml:space="preserve">read page SESN 2 of the notes</t>
    </r>
  </si>
  <si>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</si>
  <si>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</si>
  <si>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</si>
  <si>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</si>
  <si>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</si>
  <si>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</si>
  <si>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</si>
  <si>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</si>
  <si>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</si>
  <si>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</si>
  <si>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</si>
  <si>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</si>
  <si>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</si>
  <si>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</si>
  <si>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</si>
  <si>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</si>
  <si>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</si>
  <si>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</si>
  <si>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</si>
  <si>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</si>
  <si>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</si>
  <si>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</si>
  <si>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</si>
  <si>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</si>
  <si>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</si>
  <si>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</si>
  <si>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</si>
  <si>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</si>
  <si>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</si>
  <si>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</si>
  <si>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</si>
  <si>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</si>
  <si>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</si>
  <si>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</si>
  <si>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</si>
  <si>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</si>
  <si>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</si>
  <si>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</si>
  <si>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</si>
  <si>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</si>
  <si>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</si>
  <si>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</si>
  <si>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</si>
  <si>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</si>
  <si>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</si>
  <si>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</si>
  <si>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</si>
  <si>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</si>
  <si>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</si>
  <si>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</si>
  <si>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</si>
  <si>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</si>
  <si>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</si>
  <si>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</si>
  <si>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</si>
  <si>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</si>
  <si>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</si>
  <si>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</si>
  <si>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</si>
  <si>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</si>
  <si>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</si>
  <si>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</si>
  <si>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</si>
  <si>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</si>
  <si>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</si>
  <si>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</si>
  <si>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</si>
  <si>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</si>
  <si>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</si>
  <si>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</si>
  <si>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</si>
  <si>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</si>
  <si>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</si>
  <si>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</si>
  <si>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</si>
  <si>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</si>
  <si>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</si>
  <si>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</si>
  <si>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</si>
  <si>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</si>
  <si>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</si>
  <si>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</si>
  <si>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</si>
  <si>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</si>
  <si>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</si>
  <si>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</si>
  <si>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</si>
  <si>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</si>
  <si>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</si>
  <si>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</si>
  <si>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</si>
  <si>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</si>
  <si>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</si>
  <si>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</si>
  <si>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</si>
  <si>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</si>
  <si>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</si>
  <si>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</si>
  <si>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</si>
  <si>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</si>
  <si>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</si>
  <si>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</si>
  <si>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</si>
  <si>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</si>
  <si>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</si>
  <si>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</si>
  <si>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</si>
  <si>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</si>
  <si>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</si>
  <si>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</si>
  <si>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</si>
  <si>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</si>
  <si>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</si>
  <si>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</si>
  <si>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</si>
  <si>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</si>
  <si>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</si>
  <si>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</si>
  <si>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</si>
  <si>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</si>
  <si>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</si>
  <si>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</si>
  <si>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</si>
  <si>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</si>
  <si>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</si>
  <si>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</si>
  <si>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</si>
  <si>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</si>
  <si>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</si>
  <si>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</si>
  <si>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</si>
  <si>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</si>
  <si>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</si>
  <si>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</si>
  <si>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</si>
  <si>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</si>
  <si>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</si>
  <si>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</si>
  <si>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</si>
  <si>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</si>
  <si>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</si>
  <si>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</si>
  <si>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</si>
  <si>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</si>
  <si>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</si>
  <si>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</si>
  <si>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</si>
  <si>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</si>
  <si>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</si>
  <si>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</si>
  <si>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</si>
  <si>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</si>
  <si>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</si>
  <si>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</si>
  <si>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</si>
  <si>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</si>
  <si>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</si>
  <si>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</si>
  <si>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</si>
  <si>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</si>
  <si>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</si>
  <si>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</si>
  <si>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</si>
  <si>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</si>
  <si>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</si>
  <si>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</si>
  <si>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</si>
  <si>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</si>
  <si>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</si>
  <si>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</si>
  <si>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</si>
  <si>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</si>
  <si>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</si>
  <si>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</si>
  <si>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</si>
  <si>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</si>
  <si>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</si>
  <si>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</si>
  <si>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</si>
  <si>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</si>
  <si>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</si>
  <si>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</si>
  <si>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</si>
  <si>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</si>
  <si>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</si>
  <si>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</si>
  <si>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</si>
  <si>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</si>
  <si>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</si>
  <si>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</si>
  <si>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</si>
  <si>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</si>
  <si>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</si>
  <si>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</si>
  <si>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</si>
  <si>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</si>
  <si>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</si>
  <si>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</si>
  <si>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</si>
  <si>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</si>
  <si>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</si>
  <si>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</si>
  <si>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</si>
  <si>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</si>
  <si>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</si>
  <si>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</si>
  <si>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</si>
  <si>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</si>
  <si>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laptop for development</t>
  </si>
  <si>
    <t xml:space="preserve">PUR-FA-001</t>
  </si>
  <si>
    <t xml:space="preserve">Office furniture</t>
  </si>
  <si>
    <t xml:space="preserve">PUR-FA-003</t>
  </si>
  <si>
    <t xml:space="preserve">Ford Transit Custom van</t>
  </si>
  <si>
    <t xml:space="preserve">PUR-FA-002</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</si>
  <si>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</si>
  <si>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</si>
  <si>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</si>
  <si>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</si>
  <si>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</si>
  <si>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</si>
  <si>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</si>
  <si>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</si>
  <si>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</si>
  <si>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</si>
  <si>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</si>
  <si>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</si>
  <si>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</si>
  <si>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</si>
  <si>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</si>
  <si>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</si>
  <si>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</si>
  <si>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</si>
  <si>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</si>
  <si>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</si>
  <si>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</si>
  <si>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</si>
  <si>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</si>
  <si>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</si>
  <si>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</si>
  <si>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</si>
  <si>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</si>
  <si>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</si>
  <si>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</si>
  <si>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</si>
  <si>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</si>
  <si>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</si>
  <si>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</si>
  <si>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</si>
  <si>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</si>
  <si>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</si>
  <si>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</si>
  <si>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</si>
  <si>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</si>
  <si>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</si>
  <si>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</si>
  <si>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</si>
  <si>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</si>
  <si>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</si>
  <si>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</si>
  <si>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</si>
  <si>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</si>
  <si>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</si>
  <si>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</si>
  <si>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</si>
  <si>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</si>
  <si>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</si>
  <si>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</si>
  <si>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</si>
  <si>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</si>
  <si>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</si>
  <si>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</si>
  <si>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</si>
  <si>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</si>
  <si>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</si>
  <si>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</si>
  <si>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</si>
  <si>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</si>
  <si>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</si>
  <si>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</si>
  <si>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</si>
  <si>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</si>
  <si>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</si>
  <si>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</si>
  <si>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</si>
  <si>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</si>
  <si>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</si>
  <si>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</si>
  <si>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</si>
  <si>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</si>
  <si>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</si>
  <si>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</si>
  <si>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</si>
  <si>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</si>
  <si>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</si>
  <si>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</si>
  <si>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</si>
  <si>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</si>
  <si>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</si>
  <si>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</si>
  <si>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</si>
  <si>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</si>
  <si>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</si>
  <si>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</si>
  <si>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</si>
  <si>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</si>
  <si>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</si>
  <si>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</si>
  <si>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</si>
  <si>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</si>
  <si>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</si>
  <si>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</si>
  <si>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</si>
  <si>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</si>
  <si>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</si>
  <si>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</si>
  <si>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</si>
  <si>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</si>
  <si>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</si>
  <si>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</si>
  <si>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</si>
  <si>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</si>
  <si>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</si>
  <si>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</si>
  <si>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</si>
  <si>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</si>
  <si>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</si>
  <si>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</si>
  <si>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</si>
  <si>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</si>
  <si>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</si>
  <si>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</si>
  <si>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</si>
  <si>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</si>
  <si>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Alice Johnson</t>
  </si>
  <si>
    <t xml:space="preserve">e</t>
  </si>
  <si>
    <t xml:space="preserve">Bob Williams</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</si>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</sst>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14</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15</v>
      </c>
      <c r="D12" s="19"/>
      <c r="E12" s="19"/>
      <c r="F12" s="19"/>
      <c r="G12" s="19"/>
      <c r="H12" s="19"/>
      <c r="I12" s="19"/>
      <c r="J12" s="19"/>
      <c r="K12" s="16"/>
      <c r="L12" s="22" t="n">
        <v>5</v>
      </c>
      <c r="M12" s="16"/>
      <c r="N12" s="17" t="s">
        <v>16</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17</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18</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19</v>
      </c>
      <c r="O18" s="37"/>
      <c r="P18" s="17"/>
      <c r="Q18" s="17"/>
      <c r="R18" s="17"/>
      <c r="S18" s="31" t="n">
        <f aca="false">Admin!B17</f>
        <v>46482</v>
      </c>
      <c r="T18" s="31"/>
      <c r="U18" s="31"/>
      <c r="V18" s="31"/>
      <c r="W18" s="25"/>
    </row>
    <row r="19" customFormat="false" ht="12" hidden="false" customHeight="false" outlineLevel="0" collapsed="false">
      <c r="A19" s="22" t="n">
        <v>3</v>
      </c>
      <c r="B19" s="16"/>
      <c r="C19" s="17" t="s">
        <v>20</v>
      </c>
      <c r="D19" s="16"/>
      <c r="E19" s="16"/>
      <c r="F19" s="16"/>
      <c r="G19" s="16"/>
      <c r="H19" s="16"/>
      <c r="I19" s="16"/>
      <c r="J19" s="16"/>
      <c r="K19" s="16"/>
      <c r="L19" s="16"/>
      <c r="M19" s="17"/>
      <c r="N19" s="27" t="s">
        <v>21</v>
      </c>
      <c r="O19" s="28"/>
      <c r="P19" s="28"/>
      <c r="Q19" s="28"/>
      <c r="R19" s="16"/>
      <c r="S19" s="16"/>
      <c r="T19" s="16"/>
      <c r="U19" s="16"/>
      <c r="V19" s="16"/>
      <c r="W19" s="29"/>
    </row>
    <row r="20" customFormat="false" ht="12" hidden="false" customHeight="false" outlineLevel="0" collapsed="false">
      <c r="A20" s="26"/>
      <c r="B20" s="16"/>
      <c r="C20" s="17" t="s">
        <v>22</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23</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24</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25</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26</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27</v>
      </c>
      <c r="D27" s="16"/>
      <c r="E27" s="16"/>
      <c r="F27" s="16"/>
      <c r="G27" s="16"/>
      <c r="H27" s="16"/>
      <c r="I27" s="16"/>
      <c r="J27" s="16"/>
      <c r="K27" s="16"/>
      <c r="L27" s="22" t="n">
        <v>24</v>
      </c>
      <c r="M27" s="16"/>
      <c r="N27" s="40" t="s">
        <v>28</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29</v>
      </c>
      <c r="O28" s="17"/>
      <c r="P28" s="17"/>
      <c r="Q28" s="17"/>
      <c r="R28" s="17"/>
      <c r="S28" s="17"/>
      <c r="T28" s="17"/>
      <c r="U28" s="17"/>
      <c r="V28" s="17"/>
      <c r="W28" s="29"/>
    </row>
    <row r="29" customFormat="false" ht="15" hidden="false" customHeight="true" outlineLevel="0" collapsed="false">
      <c r="A29" s="16"/>
      <c r="B29" s="16"/>
      <c r="C29" s="41" t="s">
        <v>30</v>
      </c>
      <c r="D29" s="42" t="n">
        <v>0</v>
      </c>
      <c r="E29" s="42"/>
      <c r="F29" s="42"/>
      <c r="G29" s="43" t="s">
        <v>31</v>
      </c>
      <c r="H29" s="44" t="n">
        <v>0</v>
      </c>
      <c r="I29" s="44" t="n">
        <v>0</v>
      </c>
      <c r="J29" s="16"/>
      <c r="K29" s="16"/>
      <c r="L29" s="17"/>
      <c r="M29" s="16"/>
      <c r="N29" s="41" t="s">
        <v>30</v>
      </c>
      <c r="O29" s="42" t="n">
        <v>0</v>
      </c>
      <c r="P29" s="42"/>
      <c r="Q29" s="42"/>
      <c r="R29" s="43" t="s">
        <v>31</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32</v>
      </c>
      <c r="D31" s="46"/>
      <c r="E31" s="46"/>
      <c r="F31" s="46"/>
      <c r="G31" s="43"/>
      <c r="H31" s="47"/>
      <c r="I31" s="47"/>
      <c r="J31" s="28"/>
      <c r="K31" s="28"/>
      <c r="L31" s="28"/>
      <c r="M31" s="28"/>
      <c r="N31" s="27" t="s">
        <v>33</v>
      </c>
      <c r="O31" s="28"/>
      <c r="P31" s="28"/>
      <c r="Q31" s="28"/>
      <c r="R31" s="28"/>
      <c r="S31" s="28"/>
      <c r="T31" s="28"/>
      <c r="U31" s="28"/>
      <c r="V31" s="28"/>
      <c r="W31" s="48"/>
    </row>
    <row r="32" s="49" customFormat="true" ht="12" hidden="false" customHeight="true" outlineLevel="0" collapsed="false">
      <c r="A32" s="28"/>
      <c r="B32" s="28"/>
      <c r="C32" s="50" t="s">
        <v>34</v>
      </c>
      <c r="D32" s="46"/>
      <c r="E32" s="46"/>
      <c r="F32" s="46"/>
      <c r="G32" s="43"/>
      <c r="H32" s="47"/>
      <c r="I32" s="47"/>
      <c r="J32" s="28"/>
      <c r="K32" s="28"/>
      <c r="L32" s="28"/>
      <c r="M32" s="28"/>
      <c r="N32" s="50" t="s">
        <v>34</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30</v>
      </c>
      <c r="D34" s="51" t="n">
        <f aca="false">'SE Short'!O94</f>
        <v>0</v>
      </c>
      <c r="E34" s="51"/>
      <c r="F34" s="51"/>
      <c r="G34" s="43" t="s">
        <v>31</v>
      </c>
      <c r="H34" s="44" t="n">
        <v>0</v>
      </c>
      <c r="I34" s="44" t="n">
        <v>0</v>
      </c>
      <c r="J34" s="16"/>
      <c r="K34" s="16"/>
      <c r="L34" s="16"/>
      <c r="M34" s="16"/>
      <c r="N34" s="41" t="s">
        <v>30</v>
      </c>
      <c r="O34" s="51" t="n">
        <f aca="false">D29-D34+'SE Short'!O106</f>
        <v>0</v>
      </c>
      <c r="P34" s="51"/>
      <c r="Q34" s="51"/>
      <c r="R34" s="43" t="s">
        <v>31</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35</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Trading</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40</v>
      </c>
      <c r="D12" s="69"/>
      <c r="E12" s="69"/>
      <c r="F12" s="68"/>
      <c r="G12" s="68"/>
      <c r="H12" s="68"/>
      <c r="I12" s="68"/>
      <c r="J12" s="68"/>
      <c r="K12" s="68"/>
      <c r="L12" s="81" t="n">
        <v>4</v>
      </c>
      <c r="M12" s="68"/>
      <c r="N12" s="69" t="s">
        <v>11</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123 High Street</v>
      </c>
      <c r="D13" s="71"/>
      <c r="E13" s="71"/>
      <c r="F13" s="71"/>
      <c r="G13" s="71"/>
      <c r="H13" s="71"/>
      <c r="I13" s="71"/>
      <c r="J13" s="71"/>
      <c r="K13" s="68"/>
      <c r="L13" s="68"/>
      <c r="M13" s="68"/>
      <c r="N13" s="86" t="s">
        <v>13</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Manchester</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M1 1AA</v>
      </c>
      <c r="D17" s="71"/>
      <c r="E17" s="71"/>
      <c r="F17" s="71"/>
      <c r="G17" s="71"/>
      <c r="H17" s="71"/>
      <c r="I17" s="71"/>
      <c r="J17" s="71"/>
      <c r="K17" s="68"/>
      <c r="L17" s="81" t="n">
        <v>5</v>
      </c>
      <c r="M17" s="68"/>
      <c r="N17" s="69" t="s">
        <v>41</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17</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18</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19</v>
      </c>
      <c r="O23" s="95"/>
      <c r="P23" s="69"/>
      <c r="Q23" s="69"/>
      <c r="R23" s="69"/>
      <c r="S23" s="90" t="n">
        <f aca="false">Admin!B4</f>
        <v>46118</v>
      </c>
      <c r="T23" s="90"/>
      <c r="U23" s="90"/>
      <c r="V23" s="90"/>
      <c r="W23" s="84"/>
    </row>
    <row r="24" customFormat="false" ht="12" hidden="false" customHeight="false" outlineLevel="0" collapsed="false">
      <c r="A24" s="81" t="n">
        <v>3</v>
      </c>
      <c r="B24" s="68"/>
      <c r="C24" s="69" t="s">
        <v>20</v>
      </c>
      <c r="D24" s="68"/>
      <c r="E24" s="68"/>
      <c r="F24" s="68"/>
      <c r="G24" s="68"/>
      <c r="H24" s="68"/>
      <c r="I24" s="68"/>
      <c r="J24" s="68"/>
      <c r="K24" s="68"/>
      <c r="L24" s="68"/>
      <c r="M24" s="69"/>
      <c r="N24" s="86" t="s">
        <v>21</v>
      </c>
      <c r="O24" s="87"/>
      <c r="P24" s="87"/>
      <c r="Q24" s="87"/>
      <c r="R24" s="68"/>
      <c r="S24" s="68"/>
      <c r="T24" s="68"/>
      <c r="U24" s="68"/>
      <c r="V24" s="68"/>
      <c r="W24" s="88"/>
    </row>
    <row r="25" customFormat="false" ht="12" hidden="false" customHeight="false" outlineLevel="0" collapsed="false">
      <c r="A25" s="85"/>
      <c r="B25" s="68"/>
      <c r="C25" s="69" t="s">
        <v>22</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23</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24</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25</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26</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42</v>
      </c>
      <c r="D35" s="69"/>
      <c r="E35" s="69"/>
      <c r="F35" s="69"/>
      <c r="G35" s="69"/>
      <c r="H35" s="69"/>
      <c r="I35" s="69"/>
      <c r="J35" s="69"/>
      <c r="K35" s="69"/>
      <c r="L35" s="81" t="n">
        <v>9</v>
      </c>
      <c r="M35" s="68"/>
      <c r="N35" s="69" t="s">
        <v>43</v>
      </c>
      <c r="O35" s="69"/>
      <c r="P35" s="69"/>
      <c r="Q35" s="69"/>
      <c r="R35" s="69"/>
      <c r="S35" s="69"/>
      <c r="T35" s="69"/>
      <c r="U35" s="69"/>
      <c r="V35" s="69"/>
      <c r="W35" s="84"/>
    </row>
    <row r="36" customFormat="false" ht="12" hidden="false" customHeight="false" outlineLevel="0" collapsed="false">
      <c r="A36" s="85"/>
      <c r="B36" s="68"/>
      <c r="C36" s="95" t="s">
        <v>44</v>
      </c>
      <c r="D36" s="68"/>
      <c r="E36" s="68"/>
      <c r="F36" s="68"/>
      <c r="G36" s="68"/>
      <c r="H36" s="68"/>
      <c r="I36" s="68"/>
      <c r="J36" s="68"/>
      <c r="K36" s="68"/>
      <c r="L36" s="68"/>
      <c r="M36" s="68"/>
      <c r="N36" s="95" t="s">
        <v>45</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30</v>
      </c>
      <c r="D38" s="102" t="n">
        <f aca="false">'Profit &amp; Loss Acc'!C4</f>
        <v>409900</v>
      </c>
      <c r="E38" s="102"/>
      <c r="F38" s="102"/>
      <c r="G38" s="103" t="s">
        <v>31</v>
      </c>
      <c r="H38" s="104" t="n">
        <v>0</v>
      </c>
      <c r="I38" s="104" t="n">
        <v>0</v>
      </c>
      <c r="J38" s="68"/>
      <c r="K38" s="68"/>
      <c r="L38" s="68"/>
      <c r="M38" s="68"/>
      <c r="N38" s="101" t="s">
        <v>30</v>
      </c>
      <c r="O38" s="102"/>
      <c r="P38" s="102"/>
      <c r="Q38" s="102"/>
      <c r="R38" s="103" t="s">
        <v>31</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46</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47</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48</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49</v>
      </c>
      <c r="D44" s="69"/>
      <c r="E44" s="69"/>
      <c r="F44" s="69"/>
      <c r="G44" s="69"/>
      <c r="H44" s="69"/>
      <c r="I44" s="69"/>
      <c r="J44" s="69"/>
      <c r="K44" s="69"/>
      <c r="L44" s="81" t="n">
        <v>15</v>
      </c>
      <c r="M44" s="68"/>
      <c r="N44" s="69" t="s">
        <v>50</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30</v>
      </c>
      <c r="D46" s="102" t="n">
        <f aca="false">IF(('Profit &amp; Loss Acc'!C4&lt;30000)," ",'Profit &amp; Loss Acc'!C6+'Profit &amp; Loss Acc'!C7)</f>
        <v>18540</v>
      </c>
      <c r="E46" s="102"/>
      <c r="F46" s="102"/>
      <c r="G46" s="103" t="s">
        <v>31</v>
      </c>
      <c r="H46" s="104" t="n">
        <v>0</v>
      </c>
      <c r="I46" s="104" t="n">
        <v>0</v>
      </c>
      <c r="J46" s="68"/>
      <c r="K46" s="68"/>
      <c r="L46" s="68"/>
      <c r="M46" s="68"/>
      <c r="N46" s="101" t="s">
        <v>30</v>
      </c>
      <c r="O46" s="102" t="n">
        <f aca="false">IF(('Profit &amp; Loss Acc'!C4&lt;30000)," ",'Profit &amp; Loss Acc'!C18)</f>
        <v>4560</v>
      </c>
      <c r="P46" s="102"/>
      <c r="Q46" s="102"/>
      <c r="R46" s="103" t="s">
        <v>31</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51</v>
      </c>
      <c r="D48" s="69"/>
      <c r="E48" s="69"/>
      <c r="F48" s="69"/>
      <c r="G48" s="69"/>
      <c r="H48" s="69"/>
      <c r="I48" s="69"/>
      <c r="J48" s="69"/>
      <c r="K48" s="69"/>
      <c r="L48" s="81" t="n">
        <v>16</v>
      </c>
      <c r="M48" s="68"/>
      <c r="N48" s="69" t="s">
        <v>52</v>
      </c>
      <c r="O48" s="68"/>
      <c r="P48" s="68"/>
      <c r="Q48" s="68"/>
      <c r="R48" s="68"/>
      <c r="S48" s="68"/>
      <c r="T48" s="68"/>
      <c r="U48" s="68"/>
      <c r="V48" s="68"/>
      <c r="W48" s="88"/>
    </row>
    <row r="49" customFormat="false" ht="12.75" hidden="false" customHeight="true" outlineLevel="0" collapsed="false">
      <c r="A49" s="85"/>
      <c r="B49" s="68"/>
      <c r="C49" s="95" t="s">
        <v>53</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30</v>
      </c>
      <c r="D51" s="102" t="n">
        <f aca="false">IF(('Profit &amp; Loss Acc'!C4&lt;30000)," ",'Profit &amp; Loss Acc'!C15+'Profit &amp; Loss Acc'!C16)</f>
        <v>9458</v>
      </c>
      <c r="E51" s="102"/>
      <c r="F51" s="102"/>
      <c r="G51" s="103" t="s">
        <v>31</v>
      </c>
      <c r="H51" s="104" t="n">
        <v>0</v>
      </c>
      <c r="I51" s="104" t="n">
        <v>0</v>
      </c>
      <c r="J51" s="68"/>
      <c r="K51" s="68"/>
      <c r="L51" s="68"/>
      <c r="M51" s="68"/>
      <c r="N51" s="101" t="s">
        <v>30</v>
      </c>
      <c r="O51" s="102" t="n">
        <f aca="false">IF(('Profit &amp; Loss Acc'!C4&lt;30000)," ",'Profit &amp; Loss Acc'!C20)</f>
        <v>750</v>
      </c>
      <c r="P51" s="102"/>
      <c r="Q51" s="102"/>
      <c r="R51" s="103" t="s">
        <v>31</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54</v>
      </c>
      <c r="D53" s="69"/>
      <c r="E53" s="69"/>
      <c r="F53" s="69"/>
      <c r="G53" s="69"/>
      <c r="H53" s="69"/>
      <c r="I53" s="69"/>
      <c r="J53" s="69"/>
      <c r="K53" s="69"/>
      <c r="L53" s="81" t="n">
        <v>17</v>
      </c>
      <c r="M53" s="68"/>
      <c r="N53" s="69" t="s">
        <v>55</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30</v>
      </c>
      <c r="D55" s="102" t="n">
        <f aca="false">IF(('Profit &amp; Loss Acc'!C4&lt;30000)," ",'Profit &amp; Loss Acc'!C11)</f>
        <v>69200</v>
      </c>
      <c r="E55" s="102"/>
      <c r="F55" s="102"/>
      <c r="G55" s="103" t="s">
        <v>31</v>
      </c>
      <c r="H55" s="104" t="n">
        <v>0</v>
      </c>
      <c r="I55" s="104" t="n">
        <v>0</v>
      </c>
      <c r="J55" s="68"/>
      <c r="K55" s="68"/>
      <c r="L55" s="68"/>
      <c r="M55" s="68"/>
      <c r="N55" s="101" t="s">
        <v>30</v>
      </c>
      <c r="O55" s="102" t="n">
        <f aca="false">IF(('Profit &amp; Loss Acc'!C4&lt;30000)," ",'Profit &amp; Loss Acc'!C14)</f>
        <v>1962</v>
      </c>
      <c r="P55" s="102"/>
      <c r="Q55" s="102"/>
      <c r="R55" s="103" t="s">
        <v>31</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56</v>
      </c>
      <c r="D57" s="69"/>
      <c r="E57" s="69"/>
      <c r="F57" s="69"/>
      <c r="G57" s="69"/>
      <c r="H57" s="69"/>
      <c r="I57" s="69"/>
      <c r="J57" s="69"/>
      <c r="K57" s="69"/>
      <c r="L57" s="81" t="n">
        <v>18</v>
      </c>
      <c r="M57" s="68"/>
      <c r="N57" s="69" t="s">
        <v>57</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58</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30</v>
      </c>
      <c r="D60" s="102" t="n">
        <f aca="false">IF(('Profit &amp; Loss Acc'!C4&lt;30000)," ",'Profit &amp; Loss Acc'!C12)</f>
        <v>15840</v>
      </c>
      <c r="E60" s="102"/>
      <c r="F60" s="102"/>
      <c r="G60" s="103" t="s">
        <v>31</v>
      </c>
      <c r="H60" s="104" t="n">
        <v>0</v>
      </c>
      <c r="I60" s="104" t="n">
        <v>0</v>
      </c>
      <c r="J60" s="68"/>
      <c r="K60" s="68"/>
      <c r="L60" s="68"/>
      <c r="M60" s="68"/>
      <c r="N60" s="101" t="s">
        <v>30</v>
      </c>
      <c r="O60" s="102" t="n">
        <f aca="false">IF(('Profit &amp; Loss Acc'!C4&lt;30000)," ",'Profit &amp; Loss Acc'!C17+'Profit &amp; Loss Acc'!C19+'Profit &amp; Loss Acc'!C21)</f>
        <v>22942</v>
      </c>
      <c r="P60" s="102"/>
      <c r="Q60" s="102"/>
      <c r="R60" s="103" t="s">
        <v>31</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59</v>
      </c>
      <c r="D62" s="69"/>
      <c r="E62" s="69"/>
      <c r="F62" s="69"/>
      <c r="G62" s="69"/>
      <c r="H62" s="69"/>
      <c r="I62" s="69"/>
      <c r="J62" s="69"/>
      <c r="K62" s="69"/>
      <c r="L62" s="81" t="n">
        <v>19</v>
      </c>
      <c r="M62" s="68"/>
      <c r="N62" s="69" t="s">
        <v>60</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30</v>
      </c>
      <c r="D64" s="102" t="n">
        <f aca="false">IF(('Profit &amp; Loss Acc'!C4&lt;30000)," ",'Profit &amp; Loss Acc'!C13)</f>
        <v>1140</v>
      </c>
      <c r="E64" s="102"/>
      <c r="F64" s="102"/>
      <c r="G64" s="103" t="s">
        <v>31</v>
      </c>
      <c r="H64" s="104" t="n">
        <v>0</v>
      </c>
      <c r="I64" s="104" t="n">
        <v>0</v>
      </c>
      <c r="J64" s="68"/>
      <c r="K64" s="68"/>
      <c r="L64" s="68"/>
      <c r="M64" s="68"/>
      <c r="N64" s="101" t="s">
        <v>30</v>
      </c>
      <c r="O64" s="102" t="n">
        <f aca="false">'Profit &amp; Loss Acc'!C6+'Profit &amp; Loss Acc'!C7+'Profit &amp; Loss Acc'!C22</f>
        <v>144392</v>
      </c>
      <c r="P64" s="102"/>
      <c r="Q64" s="102"/>
      <c r="R64" s="103" t="s">
        <v>31</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61</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62</v>
      </c>
      <c r="D68" s="69"/>
      <c r="E68" s="69"/>
      <c r="F68" s="69"/>
      <c r="G68" s="69"/>
      <c r="H68" s="69"/>
      <c r="I68" s="69"/>
      <c r="J68" s="69"/>
      <c r="K68" s="69"/>
      <c r="L68" s="81" t="n">
        <v>21</v>
      </c>
      <c r="M68" s="68"/>
      <c r="N68" s="69" t="s">
        <v>63</v>
      </c>
      <c r="O68" s="68"/>
      <c r="P68" s="68"/>
      <c r="Q68" s="68"/>
      <c r="R68" s="68"/>
      <c r="S68" s="68"/>
      <c r="T68" s="68"/>
      <c r="U68" s="68"/>
      <c r="V68" s="68"/>
      <c r="W68" s="88"/>
    </row>
    <row r="69" customFormat="false" ht="12" hidden="false" customHeight="false" outlineLevel="0" collapsed="false">
      <c r="A69" s="85"/>
      <c r="B69" s="68"/>
      <c r="C69" s="95" t="s">
        <v>64</v>
      </c>
      <c r="D69" s="69"/>
      <c r="E69" s="69"/>
      <c r="F69" s="69"/>
      <c r="G69" s="69"/>
      <c r="H69" s="69"/>
      <c r="I69" s="69"/>
      <c r="J69" s="69"/>
      <c r="K69" s="69"/>
      <c r="L69" s="68"/>
      <c r="M69" s="68"/>
      <c r="N69" s="95" t="s">
        <v>65</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30</v>
      </c>
      <c r="D71" s="102" t="n">
        <f aca="false">IF((D38+O38-O64)&gt;=0,D38+O38-O64,0)</f>
        <v>265508</v>
      </c>
      <c r="E71" s="102"/>
      <c r="F71" s="102"/>
      <c r="G71" s="103" t="s">
        <v>31</v>
      </c>
      <c r="H71" s="104" t="n">
        <v>0</v>
      </c>
      <c r="I71" s="104" t="n">
        <v>0</v>
      </c>
      <c r="J71" s="68"/>
      <c r="K71" s="68"/>
      <c r="L71" s="68"/>
      <c r="M71" s="68"/>
      <c r="N71" s="101" t="s">
        <v>30</v>
      </c>
      <c r="O71" s="102" t="n">
        <f aca="false">IF((D38+O38-O64)&lt;0,-D38-O38+O64,0)</f>
        <v>0</v>
      </c>
      <c r="P71" s="102"/>
      <c r="Q71" s="102"/>
      <c r="R71" s="103" t="s">
        <v>31</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66</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67</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68</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69</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70</v>
      </c>
      <c r="D78" s="69"/>
      <c r="E78" s="69"/>
      <c r="F78" s="69"/>
      <c r="G78" s="69"/>
      <c r="H78" s="69"/>
      <c r="I78" s="69"/>
      <c r="J78" s="69"/>
      <c r="K78" s="69"/>
      <c r="L78" s="81" t="n">
        <v>24</v>
      </c>
      <c r="M78" s="68"/>
      <c r="N78" s="69" t="s">
        <v>71</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30</v>
      </c>
      <c r="D80" s="102" t="n">
        <f aca="false">IF(('Fixed Assets'!K1)&gt;0,'Fixed Assets'!K1,0)</f>
        <v>39000</v>
      </c>
      <c r="E80" s="102"/>
      <c r="F80" s="102"/>
      <c r="G80" s="103" t="s">
        <v>31</v>
      </c>
      <c r="H80" s="104" t="n">
        <v>0</v>
      </c>
      <c r="I80" s="104" t="n">
        <v>0</v>
      </c>
      <c r="J80" s="69"/>
      <c r="K80" s="69"/>
      <c r="L80" s="69"/>
      <c r="M80" s="68"/>
      <c r="N80" s="101" t="s">
        <v>30</v>
      </c>
      <c r="O80" s="102" t="n">
        <f aca="false">IF(('Fixed Assets'!L1+'Fixed Assets'!Q1)&gt;0,'Fixed Assets'!L1+'Fixed Assets'!Q1,0)</f>
        <v>0</v>
      </c>
      <c r="P80" s="102"/>
      <c r="Q80" s="102"/>
      <c r="R80" s="103" t="s">
        <v>31</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72</v>
      </c>
      <c r="D82" s="68"/>
      <c r="E82" s="68"/>
      <c r="F82" s="68"/>
      <c r="G82" s="68"/>
      <c r="H82" s="68"/>
      <c r="I82" s="68"/>
      <c r="J82" s="68"/>
      <c r="K82" s="68"/>
      <c r="L82" s="81" t="n">
        <v>25</v>
      </c>
      <c r="M82" s="68"/>
      <c r="N82" s="69" t="s">
        <v>73</v>
      </c>
      <c r="O82" s="68"/>
      <c r="P82" s="68"/>
      <c r="Q82" s="68"/>
      <c r="R82" s="68"/>
      <c r="S82" s="68"/>
      <c r="T82" s="68"/>
      <c r="U82" s="68"/>
      <c r="V82" s="68"/>
      <c r="W82" s="88"/>
    </row>
    <row r="83" customFormat="false" ht="11.25" hidden="false" customHeight="true" outlineLevel="0" collapsed="false">
      <c r="A83" s="85"/>
      <c r="B83" s="68"/>
      <c r="C83" s="69" t="s">
        <v>74</v>
      </c>
      <c r="D83" s="68"/>
      <c r="E83" s="68"/>
      <c r="F83" s="68"/>
      <c r="G83" s="68"/>
      <c r="H83" s="68"/>
      <c r="I83" s="68"/>
      <c r="J83" s="68"/>
      <c r="K83" s="68"/>
      <c r="L83" s="69"/>
      <c r="M83" s="68"/>
      <c r="N83" s="69" t="s">
        <v>75</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30</v>
      </c>
      <c r="D85" s="102" t="n">
        <f aca="false">IF(('Fixed Assets'!M1+'Fixed Assets'!L1)&lt;1000,'Fixed Assets'!M1,0)</f>
        <v>0</v>
      </c>
      <c r="E85" s="102"/>
      <c r="F85" s="102"/>
      <c r="G85" s="103" t="s">
        <v>31</v>
      </c>
      <c r="H85" s="104" t="n">
        <v>0</v>
      </c>
      <c r="I85" s="104" t="n">
        <v>0</v>
      </c>
      <c r="J85" s="69"/>
      <c r="K85" s="69"/>
      <c r="L85" s="68"/>
      <c r="M85" s="68"/>
      <c r="N85" s="101" t="s">
        <v>30</v>
      </c>
      <c r="O85" s="102" t="n">
        <f aca="false">IF('Fixed Assets'!R1&gt;0,'Fixed Assets'!R1,0)</f>
        <v>0</v>
      </c>
      <c r="P85" s="102"/>
      <c r="Q85" s="102"/>
      <c r="R85" s="103" t="s">
        <v>31</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76</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77</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78</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79</v>
      </c>
      <c r="D91" s="69"/>
      <c r="E91" s="69"/>
      <c r="F91" s="69"/>
      <c r="G91" s="69"/>
      <c r="H91" s="69"/>
      <c r="I91" s="69"/>
      <c r="J91" s="69"/>
      <c r="K91" s="69"/>
      <c r="L91" s="81" t="n">
        <v>28</v>
      </c>
      <c r="M91" s="68"/>
      <c r="N91" s="69" t="s">
        <v>80</v>
      </c>
      <c r="O91" s="68"/>
      <c r="P91" s="68"/>
      <c r="Q91" s="68"/>
      <c r="R91" s="68"/>
      <c r="S91" s="68"/>
      <c r="T91" s="68"/>
      <c r="U91" s="68"/>
      <c r="V91" s="68"/>
      <c r="W91" s="88"/>
    </row>
    <row r="92" customFormat="false" ht="12" hidden="false" customHeight="false" outlineLevel="0" collapsed="false">
      <c r="A92" s="69"/>
      <c r="B92" s="68"/>
      <c r="C92" s="95" t="s">
        <v>81</v>
      </c>
      <c r="D92" s="69"/>
      <c r="E92" s="69"/>
      <c r="F92" s="69"/>
      <c r="G92" s="69"/>
      <c r="H92" s="69"/>
      <c r="I92" s="69"/>
      <c r="J92" s="69"/>
      <c r="K92" s="69"/>
      <c r="L92" s="69"/>
      <c r="M92" s="68"/>
      <c r="N92" s="69" t="s">
        <v>82</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30</v>
      </c>
      <c r="D94" s="102" t="n">
        <f aca="false">'Business Details'!O29</f>
        <v>0</v>
      </c>
      <c r="E94" s="102"/>
      <c r="F94" s="102"/>
      <c r="G94" s="103" t="s">
        <v>31</v>
      </c>
      <c r="H94" s="104" t="n">
        <v>0</v>
      </c>
      <c r="I94" s="104" t="n">
        <v>0</v>
      </c>
      <c r="J94" s="68"/>
      <c r="K94" s="68"/>
      <c r="L94" s="68"/>
      <c r="M94" s="68"/>
      <c r="N94" s="101" t="s">
        <v>30</v>
      </c>
      <c r="O94" s="102" t="n">
        <f aca="false">IF(O106&gt;0,0,IF('Business Details'!D29=0,0,IF(D99&gt;'Business Details'!D29,'Business Details'!D29,D99)))</f>
        <v>0</v>
      </c>
      <c r="P94" s="102"/>
      <c r="Q94" s="102"/>
      <c r="R94" s="103" t="s">
        <v>31</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83</v>
      </c>
      <c r="D96" s="69"/>
      <c r="E96" s="69"/>
      <c r="F96" s="69"/>
      <c r="G96" s="69"/>
      <c r="H96" s="69"/>
      <c r="I96" s="69"/>
      <c r="J96" s="69"/>
      <c r="K96" s="69"/>
      <c r="L96" s="81" t="n">
        <v>29</v>
      </c>
      <c r="M96" s="68"/>
      <c r="N96" s="69" t="s">
        <v>84</v>
      </c>
      <c r="O96" s="68"/>
      <c r="P96" s="68"/>
      <c r="Q96" s="68"/>
      <c r="R96" s="68"/>
      <c r="S96" s="68"/>
      <c r="T96" s="68"/>
      <c r="U96" s="68"/>
      <c r="V96" s="68"/>
      <c r="W96" s="88"/>
    </row>
    <row r="97" customFormat="false" ht="12" hidden="false" customHeight="true" outlineLevel="0" collapsed="false">
      <c r="A97" s="109"/>
      <c r="B97" s="68"/>
      <c r="C97" s="69" t="s">
        <v>85</v>
      </c>
      <c r="D97" s="69"/>
      <c r="E97" s="69"/>
      <c r="F97" s="69"/>
      <c r="G97" s="69"/>
      <c r="H97" s="69"/>
      <c r="I97" s="69"/>
      <c r="J97" s="69"/>
      <c r="K97" s="69"/>
      <c r="L97" s="69"/>
      <c r="M97" s="68"/>
      <c r="N97" s="95" t="s">
        <v>86</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30</v>
      </c>
      <c r="D99" s="102" t="n">
        <f aca="false">IF((D71+O85+D94-O71-D80-D85-O80)&gt;0,D71+O85+D94-O71-D80-D85-O80,0)</f>
        <v>226508</v>
      </c>
      <c r="E99" s="102"/>
      <c r="F99" s="102"/>
      <c r="G99" s="103" t="s">
        <v>31</v>
      </c>
      <c r="H99" s="104" t="n">
        <v>0</v>
      </c>
      <c r="I99" s="104" t="n">
        <v>0</v>
      </c>
      <c r="J99" s="68"/>
      <c r="K99" s="68"/>
      <c r="L99" s="69"/>
      <c r="M99" s="68"/>
      <c r="N99" s="101" t="s">
        <v>30</v>
      </c>
      <c r="O99" s="102" t="n">
        <f aca="false">'Profit &amp; Loss Acc'!C30</f>
        <v>0</v>
      </c>
      <c r="P99" s="102"/>
      <c r="Q99" s="102"/>
      <c r="R99" s="103" t="s">
        <v>31</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87</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88</v>
      </c>
      <c r="D103" s="69"/>
      <c r="E103" s="69"/>
      <c r="F103" s="69"/>
      <c r="G103" s="69"/>
      <c r="H103" s="69"/>
      <c r="I103" s="69"/>
      <c r="J103" s="69"/>
      <c r="K103" s="69"/>
      <c r="L103" s="81" t="n">
        <v>31</v>
      </c>
      <c r="M103" s="68"/>
      <c r="N103" s="69" t="s">
        <v>89</v>
      </c>
      <c r="O103" s="68"/>
      <c r="P103" s="68"/>
      <c r="Q103" s="68"/>
      <c r="R103" s="68"/>
      <c r="S103" s="68"/>
      <c r="T103" s="68"/>
      <c r="U103" s="68"/>
      <c r="V103" s="68"/>
      <c r="W103" s="88"/>
    </row>
    <row r="104" customFormat="false" ht="12" hidden="false" customHeight="true" outlineLevel="0" collapsed="false">
      <c r="A104" s="85"/>
      <c r="B104" s="68"/>
      <c r="C104" s="86" t="s">
        <v>90</v>
      </c>
      <c r="D104" s="115"/>
      <c r="E104" s="115"/>
      <c r="F104" s="115"/>
      <c r="G104" s="103"/>
      <c r="H104" s="106"/>
      <c r="I104" s="106"/>
      <c r="J104" s="68"/>
      <c r="K104" s="68"/>
      <c r="L104" s="69"/>
      <c r="M104" s="68"/>
      <c r="N104" s="69" t="s">
        <v>91</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30</v>
      </c>
      <c r="D106" s="102" t="n">
        <f aca="false">IF((D99+O99-O94)&gt;0,D99+O99-O94,0)</f>
        <v>226508</v>
      </c>
      <c r="E106" s="102"/>
      <c r="F106" s="102"/>
      <c r="G106" s="103" t="s">
        <v>31</v>
      </c>
      <c r="H106" s="104" t="n">
        <v>0</v>
      </c>
      <c r="I106" s="104" t="n">
        <v>0</v>
      </c>
      <c r="J106" s="69"/>
      <c r="K106" s="69"/>
      <c r="L106" s="69"/>
      <c r="M106" s="68"/>
      <c r="N106" s="101" t="s">
        <v>30</v>
      </c>
      <c r="O106" s="102" t="n">
        <f aca="false">IF((O71+D80+D85+O80-D71-O85-D94)&gt;=0,O71+D80+D85+O80-D71-O85-D94,0)</f>
        <v>0</v>
      </c>
      <c r="P106" s="102"/>
      <c r="Q106" s="102"/>
      <c r="R106" s="103" t="s">
        <v>31</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92</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93</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94</v>
      </c>
      <c r="D111" s="69"/>
      <c r="E111" s="69"/>
      <c r="F111" s="69"/>
      <c r="G111" s="69"/>
      <c r="H111" s="69"/>
      <c r="I111" s="69"/>
      <c r="J111" s="69"/>
      <c r="K111" s="69"/>
      <c r="L111" s="81" t="n">
        <v>35</v>
      </c>
      <c r="M111" s="68"/>
      <c r="N111" s="69" t="s">
        <v>95</v>
      </c>
      <c r="O111" s="68"/>
      <c r="P111" s="68"/>
      <c r="Q111" s="68"/>
      <c r="R111" s="68"/>
      <c r="S111" s="68"/>
      <c r="T111" s="68"/>
      <c r="U111" s="68"/>
      <c r="V111" s="68"/>
      <c r="W111" s="88"/>
    </row>
    <row r="112" customFormat="false" ht="12" hidden="false" customHeight="false" outlineLevel="0" collapsed="false">
      <c r="A112" s="109"/>
      <c r="B112" s="68"/>
      <c r="C112" s="69" t="s">
        <v>96</v>
      </c>
      <c r="D112" s="117" t="str">
        <f aca="false">Admin!G$2</f>
        <v>2026-27</v>
      </c>
      <c r="E112" s="117"/>
      <c r="F112" s="117"/>
      <c r="G112" s="69"/>
      <c r="H112" s="69"/>
      <c r="I112" s="69"/>
      <c r="J112" s="69"/>
      <c r="K112" s="69"/>
      <c r="L112" s="69"/>
      <c r="M112" s="68"/>
      <c r="N112" s="69" t="s">
        <v>97</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30</v>
      </c>
      <c r="D114" s="102"/>
      <c r="E114" s="102"/>
      <c r="F114" s="102"/>
      <c r="G114" s="103" t="s">
        <v>31</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98</v>
      </c>
      <c r="D116" s="69"/>
      <c r="E116" s="69"/>
      <c r="F116" s="69"/>
      <c r="G116" s="69"/>
      <c r="H116" s="69"/>
      <c r="I116" s="69"/>
      <c r="J116" s="69"/>
      <c r="K116" s="69"/>
      <c r="L116" s="81" t="n">
        <v>36</v>
      </c>
      <c r="M116" s="68"/>
      <c r="N116" s="69" t="s">
        <v>99</v>
      </c>
      <c r="O116" s="68"/>
      <c r="P116" s="68"/>
      <c r="Q116" s="68"/>
      <c r="R116" s="118"/>
      <c r="S116" s="118"/>
      <c r="T116" s="118"/>
      <c r="U116" s="69"/>
      <c r="V116" s="68"/>
      <c r="W116" s="88"/>
    </row>
    <row r="117" customFormat="false" ht="12" hidden="false" customHeight="true" outlineLevel="0" collapsed="false">
      <c r="A117" s="109"/>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102</v>
      </c>
      <c r="O118" s="68"/>
      <c r="P118" s="68"/>
      <c r="Q118" s="68"/>
      <c r="R118" s="68"/>
      <c r="S118" s="68"/>
      <c r="T118" s="68"/>
      <c r="U118" s="68"/>
      <c r="V118" s="68"/>
      <c r="W118" s="88"/>
    </row>
    <row r="119" customFormat="false" ht="15" hidden="false" customHeight="false" outlineLevel="0" collapsed="false">
      <c r="A119" s="85"/>
      <c r="B119" s="68"/>
      <c r="C119" s="101" t="s">
        <v>30</v>
      </c>
      <c r="D119" s="102"/>
      <c r="E119" s="102"/>
      <c r="F119" s="102"/>
      <c r="G119" s="103" t="s">
        <v>31</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103</v>
      </c>
      <c r="D120" s="69"/>
      <c r="E120" s="69"/>
      <c r="F120" s="69"/>
      <c r="G120" s="69"/>
      <c r="H120" s="69"/>
      <c r="I120" s="69"/>
      <c r="J120" s="69"/>
      <c r="K120" s="69"/>
      <c r="L120" s="81" t="n">
        <v>37</v>
      </c>
      <c r="M120" s="68"/>
      <c r="N120" s="69" t="s">
        <v>104</v>
      </c>
      <c r="O120" s="68"/>
      <c r="P120" s="68"/>
      <c r="Q120" s="68"/>
      <c r="R120" s="68"/>
      <c r="S120" s="68"/>
      <c r="T120" s="68"/>
      <c r="U120" s="68"/>
      <c r="V120" s="68"/>
      <c r="W120" s="88"/>
    </row>
    <row r="121" customFormat="false" ht="12" hidden="false" customHeight="true" outlineLevel="0" collapsed="false">
      <c r="A121" s="109"/>
      <c r="B121" s="68"/>
      <c r="C121" s="95" t="s">
        <v>105</v>
      </c>
      <c r="D121" s="69"/>
      <c r="E121" s="69"/>
      <c r="F121" s="69"/>
      <c r="G121" s="69"/>
      <c r="H121" s="69"/>
      <c r="I121" s="69"/>
      <c r="J121" s="69"/>
      <c r="K121" s="69"/>
      <c r="L121" s="69"/>
      <c r="M121" s="68"/>
      <c r="N121" s="69" t="s">
        <v>106</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30</v>
      </c>
      <c r="D123" s="102" t="n">
        <f aca="false">'Business Details'!O34</f>
        <v>0</v>
      </c>
      <c r="E123" s="102"/>
      <c r="F123" s="102"/>
      <c r="G123" s="103" t="s">
        <v>31</v>
      </c>
      <c r="H123" s="104" t="n">
        <v>0</v>
      </c>
      <c r="I123" s="104" t="n">
        <v>0</v>
      </c>
      <c r="J123" s="68"/>
      <c r="K123" s="68"/>
      <c r="L123" s="69"/>
      <c r="M123" s="68"/>
      <c r="N123" s="101" t="s">
        <v>30</v>
      </c>
      <c r="O123" s="102" t="n">
        <f aca="false">SalesMar!$K$1</f>
        <v>0</v>
      </c>
      <c r="P123" s="102"/>
      <c r="Q123" s="102"/>
      <c r="R123" s="103" t="s">
        <v>31</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107</v>
      </c>
      <c r="B1" s="127" t="s">
        <v>108</v>
      </c>
      <c r="C1" s="128" t="s">
        <v>109</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110</v>
      </c>
      <c r="T1" s="133" t="s">
        <v>111</v>
      </c>
      <c r="U1" s="133" t="s">
        <v>112</v>
      </c>
      <c r="V1" s="133" t="s">
        <v>113</v>
      </c>
      <c r="W1" s="133" t="s">
        <v>114</v>
      </c>
      <c r="X1" s="133" t="s">
        <v>115</v>
      </c>
      <c r="Y1" s="133" t="s">
        <v>116</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117</v>
      </c>
      <c r="B4" s="141" t="n">
        <v>3.29</v>
      </c>
      <c r="C4" s="142" t="n">
        <f aca="false">ROUND(SUM(D4:O4),0)</f>
        <v>409900</v>
      </c>
      <c r="D4" s="125" t="n">
        <f aca="false">SalesApr!$F$1</f>
        <v>33400</v>
      </c>
      <c r="E4" s="125" t="n">
        <f aca="false">SalesMay!$F$1</f>
        <v>32920</v>
      </c>
      <c r="F4" s="125" t="n">
        <f aca="false">SalesJun!$F$1</f>
        <v>35200</v>
      </c>
      <c r="G4" s="125" t="n">
        <f aca="false">SalesJul!$F$1</f>
        <v>33760</v>
      </c>
      <c r="H4" s="125" t="n">
        <f aca="false">SalesAug!$F$1</f>
        <v>36020</v>
      </c>
      <c r="I4" s="125" t="n">
        <f aca="false">SalesSep!$F$1</f>
        <v>33760</v>
      </c>
      <c r="J4" s="125" t="n">
        <f aca="false">SalesOct!$F$1</f>
        <v>35560</v>
      </c>
      <c r="K4" s="125" t="n">
        <f aca="false">SalesNov!$F$1</f>
        <v>35320</v>
      </c>
      <c r="L4" s="125" t="n">
        <f aca="false">SalesDec!$F$1</f>
        <v>32800</v>
      </c>
      <c r="M4" s="125" t="n">
        <f aca="false">SalesJan!$F$1</f>
        <v>35440</v>
      </c>
      <c r="N4" s="125" t="n">
        <f aca="false">SalesFeb!$F$1</f>
        <v>34360</v>
      </c>
      <c r="O4" s="125" t="n">
        <f aca="false">SalesMar!$F$1</f>
        <v>31360</v>
      </c>
      <c r="P4" s="132"/>
      <c r="R4" s="132"/>
      <c r="S4" s="132" t="s">
        <v>118</v>
      </c>
      <c r="T4" s="143" t="n">
        <f aca="false">SUM(D4:F4)</f>
        <v>101520</v>
      </c>
      <c r="U4" s="143" t="n">
        <f aca="false">SUM(G4:I4)</f>
        <v>103540</v>
      </c>
      <c r="V4" s="143" t="n">
        <f aca="false">SUM(J4:L4)</f>
        <v>103680</v>
      </c>
      <c r="W4" s="143" t="n">
        <f aca="false">SUM(M4:O4)</f>
        <v>101160</v>
      </c>
      <c r="X4" s="144" t="n">
        <f aca="false">SUM(T4:W4)</f>
        <v>409900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119</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120</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121</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122</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123</v>
      </c>
      <c r="B9" s="153" t="n">
        <v>3.49</v>
      </c>
      <c r="C9" s="142" t="n">
        <f aca="false">ROUND((C4-C6-C7),0)</f>
        <v>391360</v>
      </c>
      <c r="D9" s="154" t="n">
        <f aca="false">D4-D6-D7</f>
        <v>32800</v>
      </c>
      <c r="E9" s="154" t="n">
        <f aca="false">E4-E6-E7</f>
        <v>32200</v>
      </c>
      <c r="F9" s="154" t="n">
        <f aca="false">F4-F6-F7</f>
        <v>29840</v>
      </c>
      <c r="G9" s="154" t="n">
        <f aca="false">G4-G6-G7</f>
        <v>33040</v>
      </c>
      <c r="H9" s="154" t="n">
        <f aca="false">H4-H6-H7</f>
        <v>35480</v>
      </c>
      <c r="I9" s="154" t="n">
        <f aca="false">I4-I6-I7</f>
        <v>33520</v>
      </c>
      <c r="J9" s="154" t="n">
        <f aca="false">J4-J6-J7</f>
        <v>35080</v>
      </c>
      <c r="K9" s="154" t="n">
        <f aca="false">K4-K6-K7</f>
        <v>31480</v>
      </c>
      <c r="L9" s="154" t="n">
        <f aca="false">L4-L6-L7</f>
        <v>32320</v>
      </c>
      <c r="M9" s="154" t="n">
        <f aca="false">M4-M6-M7</f>
        <v>34840</v>
      </c>
      <c r="N9" s="154" t="n">
        <f aca="false">N4-N6-N7</f>
        <v>33700</v>
      </c>
      <c r="O9" s="154" t="n">
        <f aca="false">O4-O6-O7</f>
        <v>27060</v>
      </c>
      <c r="P9" s="132"/>
      <c r="R9" s="132"/>
      <c r="S9" s="155" t="s">
        <v>124</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125</v>
      </c>
      <c r="B11" s="124" t="n">
        <v>3.51</v>
      </c>
      <c r="C11" s="149" t="n">
        <f aca="false">ROUND(SUM(D11:O11),0)</f>
        <v>69200</v>
      </c>
      <c r="D11" s="154" t="n">
        <f aca="false">PurchasesApr!$L$1</f>
        <v>5700</v>
      </c>
      <c r="E11" s="154" t="n">
        <f aca="false">PurchasesMay!$L$1</f>
        <v>5700</v>
      </c>
      <c r="F11" s="154" t="n">
        <f aca="false">PurchasesJun!$L$1</f>
        <v>5700</v>
      </c>
      <c r="G11" s="154" t="n">
        <f aca="false">PurchasesJul!$L$1</f>
        <v>5700</v>
      </c>
      <c r="H11" s="154" t="n">
        <f aca="false">PurchasesAug!$L$1</f>
        <v>6500</v>
      </c>
      <c r="I11" s="154" t="n">
        <f aca="false">PurchasesSep!$L$1</f>
        <v>5700</v>
      </c>
      <c r="J11" s="154" t="n">
        <f aca="false">PurchasesOct!$L$1</f>
        <v>5700</v>
      </c>
      <c r="K11" s="154" t="n">
        <f aca="false">PurchasesNov!$L$1</f>
        <v>5700</v>
      </c>
      <c r="L11" s="154" t="n">
        <f aca="false">PurchasesDec!$L$1</f>
        <v>5700</v>
      </c>
      <c r="M11" s="154" t="n">
        <f aca="false">PurchasesJan!$L$1</f>
        <v>5700</v>
      </c>
      <c r="N11" s="154" t="n">
        <f aca="false">PurchasesFeb!$L$1</f>
        <v>5700</v>
      </c>
      <c r="O11" s="154" t="n">
        <f aca="false">PurchasesMar!$L$1</f>
        <v>5700</v>
      </c>
      <c r="P11" s="132"/>
      <c r="R11" s="132"/>
      <c r="S11" s="132" t="s">
        <v>126</v>
      </c>
      <c r="T11" s="144" t="n">
        <f aca="false">SUM(D11:F11)</f>
        <v>17100</v>
      </c>
      <c r="U11" s="144" t="n">
        <f aca="false">SUM(G11:I11)</f>
        <v>17900</v>
      </c>
      <c r="V11" s="144" t="n">
        <f aca="false">SUM(J11:L11)</f>
        <v>17100</v>
      </c>
      <c r="W11" s="144" t="n">
        <f aca="false">SUM(M11:O11)</f>
        <v>17100</v>
      </c>
      <c r="X11" s="144" t="n">
        <f aca="false">SUM(T11:W11)</f>
        <v>69200</v>
      </c>
      <c r="Y11" s="132"/>
      <c r="Z11" s="132"/>
    </row>
    <row r="12" customFormat="false" ht="12.75" hidden="false" customHeight="false" outlineLevel="0" collapsed="false">
      <c r="A12" s="132" t="s">
        <v>127</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128</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129</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130</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131</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132</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133</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134</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135</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136</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137</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138</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139</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140</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141</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142</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143</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144</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145</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146</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147</v>
      </c>
      <c r="B22" s="153" t="n">
        <v>3.64</v>
      </c>
      <c r="C22" s="157" t="n">
        <f aca="false">SUM(C11:C21)</f>
        <v>125852</v>
      </c>
      <c r="D22" s="158" t="n">
        <f aca="false">SUM(D11:D21)</f>
        <v>10211.25</v>
      </c>
      <c r="E22" s="158" t="n">
        <f aca="false">SUM(E11:E21)</f>
        <v>9555</v>
      </c>
      <c r="F22" s="158" t="n">
        <f aca="false">SUM(F11:F21)</f>
        <v>9397</v>
      </c>
      <c r="G22" s="158" t="n">
        <f aca="false">SUM(G11:G21)</f>
        <v>12839.25</v>
      </c>
      <c r="H22" s="158" t="n">
        <f aca="false">SUM(H11:H21)</f>
        <v>9565.25</v>
      </c>
      <c r="I22" s="158" t="n">
        <f aca="false">SUM(I11:I21)</f>
        <v>10435</v>
      </c>
      <c r="J22" s="158" t="n">
        <f aca="false">SUM(J11:J21)</f>
        <v>12225.75</v>
      </c>
      <c r="K22" s="158" t="n">
        <f aca="false">SUM(K11:K21)</f>
        <v>8778</v>
      </c>
      <c r="L22" s="158" t="n">
        <f aca="false">SUM(L11:L21)</f>
        <v>14671.5</v>
      </c>
      <c r="M22" s="158" t="n">
        <f aca="false">SUM(M11:M21)</f>
        <v>9611.25</v>
      </c>
      <c r="N22" s="158" t="n">
        <f aca="false">SUM(N11:N21)</f>
        <v>9436.5</v>
      </c>
      <c r="O22" s="158" t="n">
        <f aca="false">SUM(O11:O21)</f>
        <v>9126.5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148</v>
      </c>
      <c r="T23" s="144" t="n">
        <v>0</v>
      </c>
      <c r="U23" s="144" t="n">
        <v>0</v>
      </c>
      <c r="V23" s="144" t="n">
        <v>0</v>
      </c>
      <c r="W23" s="144" t="n">
        <v>0</v>
      </c>
      <c r="X23" s="144" t="n">
        <f aca="false">SUM(T23:W23)</f>
        <v>0</v>
      </c>
      <c r="Y23" s="132" t="s">
        <v>149</v>
      </c>
      <c r="Z23" s="132"/>
    </row>
    <row r="24" customFormat="false" ht="12.75" hidden="false" customHeight="false" outlineLevel="0" collapsed="false">
      <c r="A24" s="152" t="s">
        <v>150</v>
      </c>
      <c r="B24" s="124" t="n">
        <v>3.65</v>
      </c>
      <c r="C24" s="142" t="n">
        <f aca="false">ROUND((C9-C22),0)</f>
        <v>265508</v>
      </c>
      <c r="D24" s="160" t="n">
        <f aca="false">D9-D22</f>
        <v>22588.75</v>
      </c>
      <c r="E24" s="160" t="n">
        <f aca="false">E9-E22</f>
        <v>22645</v>
      </c>
      <c r="F24" s="160" t="n">
        <f aca="false">F9-F22</f>
        <v>20443</v>
      </c>
      <c r="G24" s="160" t="n">
        <f aca="false">G9-G22</f>
        <v>20200.75</v>
      </c>
      <c r="H24" s="160" t="n">
        <f aca="false">H9-H22</f>
        <v>25914.75</v>
      </c>
      <c r="I24" s="160" t="n">
        <f aca="false">I9-I22</f>
        <v>23085</v>
      </c>
      <c r="J24" s="160" t="n">
        <f aca="false">J9-J22</f>
        <v>22854.25</v>
      </c>
      <c r="K24" s="160" t="n">
        <f aca="false">K9-K22</f>
        <v>22702</v>
      </c>
      <c r="L24" s="160" t="n">
        <f aca="false">L9-L22</f>
        <v>17648.5</v>
      </c>
      <c r="M24" s="160" t="n">
        <f aca="false">M9-M22</f>
        <v>25228.75</v>
      </c>
      <c r="N24" s="160" t="n">
        <f aca="false">N9-N22</f>
        <v>24263.5</v>
      </c>
      <c r="O24" s="160" t="n">
        <f aca="false">O9-O22</f>
        <v>17933.5</v>
      </c>
      <c r="P24" s="132"/>
      <c r="R24" s="132"/>
      <c r="S24" s="132" t="s">
        <v>151</v>
      </c>
      <c r="T24" s="144" t="n">
        <v>0</v>
      </c>
      <c r="U24" s="144" t="n">
        <v>0</v>
      </c>
      <c r="V24" s="144" t="n">
        <v>0</v>
      </c>
      <c r="W24" s="144" t="n">
        <v>0</v>
      </c>
      <c r="X24" s="144" t="n">
        <f aca="false">SUM(T24:W24)</f>
        <v>0</v>
      </c>
      <c r="Y24" s="132" t="s">
        <v>149</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152</v>
      </c>
      <c r="T25" s="144" t="n">
        <v>0</v>
      </c>
      <c r="U25" s="144" t="n">
        <v>0</v>
      </c>
      <c r="V25" s="144" t="n">
        <v>0</v>
      </c>
      <c r="W25" s="144" t="n">
        <v>0</v>
      </c>
      <c r="X25" s="144" t="n">
        <f aca="false">SUM(T25:W25)</f>
        <v>0</v>
      </c>
      <c r="Y25" s="132" t="s">
        <v>149</v>
      </c>
      <c r="Z25" s="132"/>
    </row>
    <row r="26" customFormat="false" ht="12.75" hidden="false" customHeight="false" outlineLevel="0" collapsed="false">
      <c r="A26" s="156" t="s">
        <v>153</v>
      </c>
      <c r="B26" s="161"/>
      <c r="C26" s="149" t="n">
        <f aca="false">-'SE Short'!O85+'SE Short'!D80+'SE Short'!D85+'SE Short'!O80</f>
        <v>39000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154</v>
      </c>
      <c r="B28" s="161"/>
      <c r="C28" s="163" t="n">
        <f aca="false">C24-C26</f>
        <v>226508</v>
      </c>
      <c r="D28" s="147"/>
      <c r="E28" s="147"/>
      <c r="F28" s="147"/>
      <c r="G28" s="147"/>
      <c r="H28" s="147"/>
      <c r="I28" s="147"/>
      <c r="J28" s="147"/>
      <c r="K28" s="147"/>
      <c r="L28" s="147"/>
      <c r="M28" s="147"/>
      <c r="N28" s="147"/>
      <c r="O28" s="147"/>
      <c r="P28" s="132"/>
      <c r="R28" s="132"/>
      <c r="S28" s="155" t="s">
        <v>155</v>
      </c>
      <c r="T28" s="164" t="n">
        <f aca="false">SUM(T6,T11,T12,T13,T14,T15,T16,T17,T18,T19,T20,T21,T23,T24,T25)</f>
        <v>35843.25</v>
      </c>
      <c r="U28" s="164" t="n">
        <f aca="false">SUM(U6,U11,U12,U13,U14,U15,U16,U17,U18,U19,U20,U21,U23,U24,U25)</f>
        <v>34339.5</v>
      </c>
      <c r="V28" s="164" t="n">
        <f aca="false">SUM(V6,V11,V12,V13,V14,V15,V16,V17,V18,V19,V20,V21,V23,V24,V25)</f>
        <v>40475.25</v>
      </c>
      <c r="W28" s="164" t="n">
        <f aca="false">SUM(W6,W11,W12,W13,W14,W15,W16,W17,W18,W19,W20,W21,W23,W24,W25)</f>
        <v>33734.25</v>
      </c>
      <c r="X28" s="164" t="n">
        <f aca="false">SUM(X6,X11,X12,X13,X14,X15,X16,X17,X18,X19,X20,X21,X23,X24,X25)</f>
        <v>144392.25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156</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157</v>
      </c>
      <c r="C32" s="149" t="n">
        <f aca="false">'Income Tax'!E10-'Income Tax'!E11</f>
        <v>78035</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158</v>
      </c>
      <c r="C33" s="149" t="n">
        <f aca="false">'Income Tax'!E15+'Income Tax'!E16</f>
        <v>5786.76</v>
      </c>
      <c r="D33" s="147"/>
      <c r="E33" s="147"/>
      <c r="F33" s="147"/>
      <c r="G33" s="147"/>
      <c r="H33" s="147"/>
      <c r="I33" s="147"/>
      <c r="J33" s="147"/>
      <c r="K33" s="147"/>
      <c r="L33" s="147"/>
      <c r="M33" s="147"/>
      <c r="N33" s="147"/>
      <c r="O33" s="147"/>
      <c r="P33" s="132"/>
      <c r="R33" s="132"/>
      <c r="S33" s="155" t="s">
        <v>159</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160</v>
      </c>
      <c r="C35" s="163" t="n">
        <f aca="false">C28+C30-C32-C33</f>
        <v>142686.24</v>
      </c>
      <c r="D35" s="147"/>
      <c r="E35" s="147"/>
      <c r="F35" s="147"/>
      <c r="G35" s="147"/>
      <c r="H35" s="147"/>
      <c r="I35" s="147"/>
      <c r="J35" s="147"/>
      <c r="K35" s="147"/>
      <c r="L35" s="147"/>
      <c r="M35" s="147"/>
      <c r="N35" s="147"/>
      <c r="O35" s="147"/>
      <c r="P35" s="132"/>
      <c r="R35" s="132"/>
      <c r="S35" s="132" t="s">
        <v>121</v>
      </c>
      <c r="T35" s="144" t="n">
        <v>0</v>
      </c>
      <c r="U35" s="144" t="n">
        <v>0</v>
      </c>
      <c r="V35" s="144" t="n">
        <v>0</v>
      </c>
      <c r="W35" s="144" t="n">
        <v>0</v>
      </c>
      <c r="X35" s="144" t="n">
        <f aca="false">SUM(T35:W35)</f>
        <v>0</v>
      </c>
      <c r="Y35" s="132" t="s">
        <v>149</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148</v>
      </c>
      <c r="T36" s="144" t="n">
        <v>0</v>
      </c>
      <c r="U36" s="144" t="n">
        <v>0</v>
      </c>
      <c r="V36" s="144" t="n">
        <v>0</v>
      </c>
      <c r="W36" s="144" t="n">
        <v>0</v>
      </c>
      <c r="X36" s="144" t="n">
        <f aca="false">SUM(T36:W36)</f>
        <v>0</v>
      </c>
      <c r="Y36" s="132" t="s">
        <v>149</v>
      </c>
      <c r="Z36" s="132"/>
    </row>
    <row r="37" customFormat="false" ht="12.75" hidden="false" customHeight="false" outlineLevel="0" collapsed="false">
      <c r="A37" s="132" t="s">
        <v>161</v>
      </c>
      <c r="C37" s="149" t="n">
        <f aca="false">ROUND(SUM(D37:O37),0)</f>
        <v>0</v>
      </c>
      <c r="D37" s="154"/>
      <c r="E37" s="154"/>
      <c r="F37" s="154"/>
      <c r="G37" s="154"/>
      <c r="H37" s="154"/>
      <c r="I37" s="154"/>
      <c r="J37" s="154"/>
      <c r="K37" s="154"/>
      <c r="L37" s="154"/>
      <c r="M37" s="154"/>
      <c r="N37" s="154"/>
      <c r="O37" s="154"/>
      <c r="P37" s="132"/>
      <c r="R37" s="132"/>
      <c r="S37" s="132" t="s">
        <v>126</v>
      </c>
      <c r="T37" s="144" t="n">
        <v>0</v>
      </c>
      <c r="U37" s="144" t="n">
        <v>0</v>
      </c>
      <c r="V37" s="144" t="n">
        <v>0</v>
      </c>
      <c r="W37" s="144" t="n">
        <v>0</v>
      </c>
      <c r="X37" s="144" t="n">
        <f aca="false">SUM(T37:W37)</f>
        <v>0</v>
      </c>
      <c r="Y37" s="132" t="s">
        <v>149</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162</v>
      </c>
      <c r="T38" s="144" t="n">
        <v>0</v>
      </c>
      <c r="U38" s="144" t="n">
        <v>0</v>
      </c>
      <c r="V38" s="144" t="n">
        <v>0</v>
      </c>
      <c r="W38" s="144" t="n">
        <v>0</v>
      </c>
      <c r="X38" s="144" t="n">
        <f aca="false">SUM(T38:W38)</f>
        <v>0</v>
      </c>
      <c r="Y38" s="132" t="s">
        <v>149</v>
      </c>
      <c r="Z38" s="132"/>
    </row>
    <row r="39" customFormat="false" ht="12.75" hidden="false" customHeight="false" outlineLevel="0" collapsed="false">
      <c r="R39" s="132"/>
      <c r="S39" s="132" t="s">
        <v>128</v>
      </c>
      <c r="T39" s="144" t="n">
        <v>0</v>
      </c>
      <c r="U39" s="144" t="n">
        <v>0</v>
      </c>
      <c r="V39" s="144" t="n">
        <v>0</v>
      </c>
      <c r="W39" s="144" t="n">
        <v>0</v>
      </c>
      <c r="X39" s="144" t="n">
        <f aca="false">SUM(T39:W39)</f>
        <v>0</v>
      </c>
      <c r="Y39" s="132" t="s">
        <v>149</v>
      </c>
      <c r="Z39" s="132"/>
    </row>
    <row r="40" customFormat="false" ht="12.75" hidden="false" customHeight="false" outlineLevel="0" collapsed="false">
      <c r="R40" s="132"/>
      <c r="S40" s="132" t="s">
        <v>130</v>
      </c>
      <c r="T40" s="144" t="n">
        <v>0</v>
      </c>
      <c r="U40" s="144" t="n">
        <v>0</v>
      </c>
      <c r="V40" s="144" t="n">
        <v>0</v>
      </c>
      <c r="W40" s="144" t="n">
        <v>0</v>
      </c>
      <c r="X40" s="144" t="n">
        <f aca="false">SUM(T40:W40)</f>
        <v>0</v>
      </c>
      <c r="Y40" s="132" t="s">
        <v>149</v>
      </c>
      <c r="Z40" s="132"/>
    </row>
    <row r="41" customFormat="false" ht="12.75" hidden="false" customHeight="false" outlineLevel="0" collapsed="false">
      <c r="R41" s="132"/>
      <c r="S41" s="132" t="s">
        <v>132</v>
      </c>
      <c r="T41" s="144" t="n">
        <v>0</v>
      </c>
      <c r="U41" s="144" t="n">
        <v>0</v>
      </c>
      <c r="V41" s="144" t="n">
        <v>0</v>
      </c>
      <c r="W41" s="144" t="n">
        <v>0</v>
      </c>
      <c r="X41" s="144" t="n">
        <f aca="false">SUM(T41:W41)</f>
        <v>0</v>
      </c>
      <c r="Y41" s="132" t="s">
        <v>149</v>
      </c>
      <c r="Z41" s="132"/>
    </row>
    <row r="42" customFormat="false" ht="12.75" hidden="false" customHeight="false" outlineLevel="0" collapsed="false">
      <c r="R42" s="132"/>
      <c r="S42" s="132" t="s">
        <v>138</v>
      </c>
      <c r="T42" s="144" t="n">
        <v>0</v>
      </c>
      <c r="U42" s="144" t="n">
        <v>0</v>
      </c>
      <c r="V42" s="144" t="n">
        <v>0</v>
      </c>
      <c r="W42" s="144" t="n">
        <v>0</v>
      </c>
      <c r="X42" s="144" t="n">
        <f aca="false">SUM(T42:W42)</f>
        <v>0</v>
      </c>
      <c r="Y42" s="132" t="s">
        <v>149</v>
      </c>
      <c r="Z42" s="132"/>
    </row>
    <row r="43" customFormat="false" ht="12.75" hidden="false" customHeight="false" outlineLevel="0" collapsed="false">
      <c r="R43" s="132"/>
      <c r="S43" s="132" t="s">
        <v>151</v>
      </c>
      <c r="T43" s="144" t="n">
        <v>0</v>
      </c>
      <c r="U43" s="144" t="n">
        <v>0</v>
      </c>
      <c r="V43" s="144" t="n">
        <v>0</v>
      </c>
      <c r="W43" s="144" t="n">
        <v>0</v>
      </c>
      <c r="X43" s="144" t="n">
        <f aca="false">SUM(T43:W43)</f>
        <v>0</v>
      </c>
      <c r="Y43" s="132" t="s">
        <v>149</v>
      </c>
      <c r="Z43" s="132"/>
    </row>
    <row r="44" customFormat="false" ht="12.75" hidden="false" customHeight="false" outlineLevel="0" collapsed="false">
      <c r="R44" s="132"/>
      <c r="S44" s="132" t="s">
        <v>144</v>
      </c>
      <c r="T44" s="144" t="n">
        <v>0</v>
      </c>
      <c r="U44" s="144" t="n">
        <v>0</v>
      </c>
      <c r="V44" s="144" t="n">
        <v>0</v>
      </c>
      <c r="W44" s="144" t="n">
        <v>0</v>
      </c>
      <c r="X44" s="144" t="n">
        <f aca="false">SUM(T44:W44)</f>
        <v>0</v>
      </c>
      <c r="Y44" s="132" t="s">
        <v>149</v>
      </c>
      <c r="Z44" s="132"/>
    </row>
    <row r="45" customFormat="false" ht="12.75" hidden="false" customHeight="false" outlineLevel="0" collapsed="false">
      <c r="R45" s="132"/>
      <c r="S45" s="132" t="s">
        <v>163</v>
      </c>
      <c r="T45" s="144" t="n">
        <v>0</v>
      </c>
      <c r="U45" s="144" t="n">
        <v>0</v>
      </c>
      <c r="V45" s="144" t="n">
        <v>0</v>
      </c>
      <c r="W45" s="144" t="n">
        <v>0</v>
      </c>
      <c r="X45" s="144" t="n">
        <f aca="false">SUM(T45:W45)</f>
        <v>0</v>
      </c>
      <c r="Y45" s="132" t="s">
        <v>149</v>
      </c>
      <c r="Z45" s="132"/>
    </row>
    <row r="46" customFormat="false" ht="12.75" hidden="false" customHeight="false" outlineLevel="0" collapsed="false">
      <c r="R46" s="132"/>
      <c r="S46" s="132" t="s">
        <v>164</v>
      </c>
      <c r="T46" s="144" t="n">
        <v>0</v>
      </c>
      <c r="U46" s="144" t="n">
        <v>0</v>
      </c>
      <c r="V46" s="144" t="n">
        <v>0</v>
      </c>
      <c r="W46" s="144" t="n">
        <v>0</v>
      </c>
      <c r="X46" s="144" t="n">
        <f aca="false">SUM(T46:W46)</f>
        <v>0</v>
      </c>
      <c r="Y46" s="132" t="s">
        <v>149</v>
      </c>
      <c r="Z46" s="132"/>
    </row>
    <row r="47" customFormat="false" ht="12.75" hidden="false" customHeight="false" outlineLevel="0" collapsed="false">
      <c r="R47" s="132"/>
      <c r="S47" s="132" t="s">
        <v>140</v>
      </c>
      <c r="T47" s="144" t="n">
        <v>0</v>
      </c>
      <c r="U47" s="144" t="n">
        <v>0</v>
      </c>
      <c r="V47" s="144" t="n">
        <v>0</v>
      </c>
      <c r="W47" s="144" t="n">
        <v>0</v>
      </c>
      <c r="X47" s="144" t="n">
        <f aca="false">SUM(T47:W47)</f>
        <v>0</v>
      </c>
      <c r="Y47" s="132" t="s">
        <v>149</v>
      </c>
      <c r="Z47" s="132"/>
    </row>
    <row r="48" customFormat="false" ht="12.75" hidden="false" customHeight="false" outlineLevel="0" collapsed="false">
      <c r="R48" s="132"/>
      <c r="S48" s="132" t="s">
        <v>152</v>
      </c>
      <c r="T48" s="144" t="n">
        <v>0</v>
      </c>
      <c r="U48" s="144" t="n">
        <v>0</v>
      </c>
      <c r="V48" s="144" t="n">
        <v>0</v>
      </c>
      <c r="W48" s="144" t="n">
        <v>0</v>
      </c>
      <c r="X48" s="144" t="n">
        <f aca="false">SUM(T48:W48)</f>
        <v>0</v>
      </c>
      <c r="Y48" s="132" t="s">
        <v>149</v>
      </c>
      <c r="Z48" s="132"/>
    </row>
    <row r="49" customFormat="false" ht="12.75" hidden="false" customHeight="false" outlineLevel="0" collapsed="false">
      <c r="R49" s="132"/>
      <c r="S49" s="132" t="s">
        <v>146</v>
      </c>
      <c r="T49" s="144" t="n">
        <v>0</v>
      </c>
      <c r="U49" s="144" t="n">
        <v>0</v>
      </c>
      <c r="V49" s="144" t="n">
        <v>0</v>
      </c>
      <c r="W49" s="144" t="n">
        <v>0</v>
      </c>
      <c r="X49" s="144" t="n">
        <f aca="false">SUM(T49:W49)</f>
        <v>0</v>
      </c>
      <c r="Y49" s="132" t="s">
        <v>149</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165</v>
      </c>
      <c r="C2" s="175" t="str">
        <f aca="false">Admin!L2</f>
        <v>2026-27</v>
      </c>
      <c r="D2" s="176" t="s">
        <v>166</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167</v>
      </c>
      <c r="C5" s="179"/>
      <c r="D5" s="179"/>
      <c r="E5" s="180" t="n">
        <f aca="false">'SE Short'!D106</f>
        <v>226508</v>
      </c>
      <c r="F5" s="173"/>
      <c r="G5" s="148"/>
    </row>
    <row r="6" customFormat="false" ht="12.75" hidden="false" customHeight="false" outlineLevel="0" collapsed="false">
      <c r="A6" s="132"/>
      <c r="B6" s="178" t="s">
        <v>168</v>
      </c>
      <c r="C6" s="178" t="str">
        <f aca="false">C2</f>
        <v>2026-27</v>
      </c>
      <c r="D6" s="181"/>
      <c r="E6" s="148" t="n">
        <f aca="false">IF((E5&gt;0),Admin!N$4,0)</f>
        <v>12570</v>
      </c>
      <c r="F6" s="173"/>
      <c r="G6" s="148"/>
    </row>
    <row r="7" customFormat="false" ht="12.75" hidden="false" customHeight="false" outlineLevel="0" collapsed="false">
      <c r="A7" s="132"/>
      <c r="B7" s="179" t="s">
        <v>169</v>
      </c>
      <c r="C7" s="179"/>
      <c r="D7" s="179"/>
      <c r="E7" s="180" t="n">
        <f aca="false">IF((E5&gt;Admin!N4),(E5-E6),0)</f>
        <v>213938</v>
      </c>
      <c r="F7" s="173"/>
      <c r="G7" s="148"/>
    </row>
    <row r="8" customFormat="false" ht="12.75" hidden="false" customHeight="false" outlineLevel="0" collapsed="false">
      <c r="A8" s="132"/>
      <c r="B8" s="178" t="s">
        <v>170</v>
      </c>
      <c r="C8" s="182" t="n">
        <f aca="false">Admin!N12</f>
        <v>0</v>
      </c>
      <c r="D8" s="183" t="n">
        <f aca="false">Admin!N7</f>
        <v>0.2</v>
      </c>
      <c r="E8" s="172" t="n">
        <f aca="false">IF((E7&gt;0),(IF((E7&lt;C9),E7*D8,C9*D8)),0)</f>
        <v>7540.2</v>
      </c>
      <c r="F8" s="173"/>
      <c r="G8" s="148"/>
      <c r="H8" s="184"/>
    </row>
    <row r="9" customFormat="false" ht="12.75" hidden="false" customHeight="false" outlineLevel="0" collapsed="false">
      <c r="A9" s="132"/>
      <c r="B9" s="178" t="s">
        <v>171</v>
      </c>
      <c r="C9" s="182" t="n">
        <f aca="false">Admin!N13</f>
        <v>37701</v>
      </c>
      <c r="D9" s="183" t="n">
        <f aca="false">Admin!N8</f>
        <v>0.4</v>
      </c>
      <c r="E9" s="172" t="n">
        <f aca="false">IF((E7&gt;C9),((E7-C9)*D9),0)</f>
        <v>70494.8</v>
      </c>
      <c r="F9" s="173"/>
      <c r="G9" s="148"/>
    </row>
    <row r="10" customFormat="false" ht="12.75" hidden="false" customHeight="false" outlineLevel="0" collapsed="false">
      <c r="A10" s="132"/>
      <c r="B10" s="185" t="s">
        <v>172</v>
      </c>
      <c r="C10" s="186"/>
      <c r="D10" s="187"/>
      <c r="E10" s="188" t="n">
        <f aca="false">SUM(E8:E9)</f>
        <v>78035</v>
      </c>
      <c r="F10" s="173"/>
      <c r="G10" s="148"/>
    </row>
    <row r="11" customFormat="false" ht="12.75" hidden="false" customHeight="false" outlineLevel="0" collapsed="false">
      <c r="A11" s="132"/>
      <c r="B11" s="178" t="s">
        <v>173</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174</v>
      </c>
      <c r="C13" s="193" t="n">
        <f aca="false">Admin!B21</f>
        <v>46783</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175</v>
      </c>
      <c r="C15" s="196"/>
      <c r="D15" s="183" t="n">
        <f aca="false">Admin!L$20</f>
        <v>0.06</v>
      </c>
      <c r="E15" s="197" t="n">
        <f aca="false">IF(E5&gt;Admin!N20,IF(E5&lt;Admin!N$23,(E5-Admin!N20)*D15,(Admin!N$23-Admin!N20)*D15),0)</f>
        <v>2262</v>
      </c>
      <c r="F15" s="173"/>
      <c r="G15" s="191"/>
      <c r="J15" s="198"/>
    </row>
    <row r="16" customFormat="false" ht="12.75" hidden="false" customHeight="false" outlineLevel="0" collapsed="false">
      <c r="A16" s="132"/>
      <c r="B16" s="196" t="s">
        <v>176</v>
      </c>
      <c r="C16" s="196"/>
      <c r="D16" s="183" t="n">
        <f aca="false">Admin!L$23</f>
        <v>0.02</v>
      </c>
      <c r="E16" s="197" t="n">
        <f aca="false">IF((E5&gt;Admin!N$23),((E5-Admin!N$23)*D16),0)</f>
        <v>3524.76</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177</v>
      </c>
      <c r="C18" s="199"/>
      <c r="D18" s="194"/>
      <c r="E18" s="188" t="n">
        <f aca="false">SUM(E10:E17)</f>
        <v>83821.76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178</v>
      </c>
      <c r="C21" s="200"/>
      <c r="D21" s="201" t="s">
        <v>179</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180</v>
      </c>
      <c r="E23" s="203" t="s">
        <v>181</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182</v>
      </c>
      <c r="C25" s="205" t="str">
        <f aca="false">Admin!B24</f>
        <v>2027-28</v>
      </c>
      <c r="D25" s="206" t="s">
        <v>183</v>
      </c>
      <c r="E25" s="197" t="n">
        <f aca="false">E18</f>
        <v>83821.76</v>
      </c>
      <c r="F25" s="173"/>
      <c r="G25" s="148"/>
    </row>
    <row r="26" customFormat="false" ht="12.75" hidden="false" customHeight="false" outlineLevel="0" collapsed="false">
      <c r="A26" s="132"/>
      <c r="B26" s="178" t="s">
        <v>184</v>
      </c>
      <c r="C26" s="178"/>
      <c r="D26" s="207" t="n">
        <f aca="false">Admin!B21</f>
        <v>46783</v>
      </c>
      <c r="E26" s="180" t="n">
        <f aca="false">E25/2</f>
        <v>41910.88</v>
      </c>
      <c r="F26" s="173"/>
      <c r="G26" s="148"/>
    </row>
    <row r="27" customFormat="false" ht="12.75" hidden="false" customHeight="false" outlineLevel="0" collapsed="false">
      <c r="A27" s="132"/>
      <c r="B27" s="178" t="s">
        <v>184</v>
      </c>
      <c r="C27" s="178"/>
      <c r="D27" s="207" t="n">
        <f aca="false">Admin!B22</f>
        <v>46965</v>
      </c>
      <c r="E27" s="180" t="n">
        <f aca="false">E25/2</f>
        <v>41910.88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185</v>
      </c>
      <c r="C29" s="209"/>
      <c r="D29" s="194"/>
      <c r="E29" s="172"/>
      <c r="F29" s="173"/>
      <c r="G29" s="148"/>
    </row>
    <row r="30" customFormat="false" ht="12.75" hidden="false" customHeight="false" outlineLevel="0" collapsed="false">
      <c r="A30" s="132"/>
      <c r="B30" s="210" t="s">
        <v>186</v>
      </c>
      <c r="C30" s="210"/>
      <c r="D30" s="132"/>
      <c r="E30" s="211"/>
      <c r="F30" s="173"/>
      <c r="G30" s="212"/>
    </row>
    <row r="31" customFormat="false" ht="12.75" hidden="false" customHeight="false" outlineLevel="0" collapsed="false">
      <c r="A31" s="132"/>
      <c r="B31" s="213" t="s">
        <v>187</v>
      </c>
      <c r="C31" s="213"/>
      <c r="D31" s="214"/>
      <c r="E31" s="211"/>
      <c r="F31" s="173"/>
      <c r="G31" s="212"/>
    </row>
    <row r="32" customFormat="false" ht="12.75" hidden="false" customHeight="false" outlineLevel="0" collapsed="false">
      <c r="A32" s="132"/>
      <c r="B32" s="215" t="s">
        <v>188</v>
      </c>
      <c r="C32" s="213"/>
      <c r="D32" s="214"/>
      <c r="E32" s="211"/>
      <c r="F32" s="173"/>
      <c r="G32" s="212"/>
    </row>
    <row r="33" customFormat="false" ht="12.75" hidden="false" customHeight="false" outlineLevel="0" collapsed="false">
      <c r="A33" s="132"/>
      <c r="B33" s="209" t="s">
        <v>189</v>
      </c>
      <c r="C33" s="209"/>
      <c r="D33" s="214"/>
      <c r="E33" s="216"/>
      <c r="F33" s="173"/>
      <c r="G33" s="212"/>
    </row>
    <row r="34" customFormat="false" ht="12.75" hidden="false" customHeight="false" outlineLevel="0" collapsed="false">
      <c r="A34" s="132"/>
      <c r="B34" s="209" t="s">
        <v>190</v>
      </c>
      <c r="C34" s="209"/>
      <c r="D34" s="214"/>
      <c r="E34" s="216"/>
      <c r="F34" s="173"/>
      <c r="G34" s="212"/>
    </row>
    <row r="35" customFormat="false" ht="12.75" hidden="false" customHeight="false" outlineLevel="0" collapsed="false">
      <c r="A35" s="132"/>
      <c r="B35" s="209" t="s">
        <v>191</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192</v>
      </c>
      <c r="C1" s="227" t="s">
        <v>193</v>
      </c>
      <c r="D1" s="227"/>
      <c r="E1" s="228" t="n">
        <f aca="false">E57+E110</f>
        <v>39000</v>
      </c>
      <c r="F1" s="229"/>
      <c r="G1" s="230" t="s">
        <v>194</v>
      </c>
      <c r="H1" s="229"/>
      <c r="I1" s="229" t="n">
        <f aca="false">I57+I110</f>
        <v>0</v>
      </c>
      <c r="J1" s="231" t="s">
        <v>195</v>
      </c>
      <c r="K1" s="229" t="n">
        <f aca="false">K57+K110</f>
        <v>39000</v>
      </c>
      <c r="L1" s="229" t="n">
        <f aca="false">L57+L110</f>
        <v>0</v>
      </c>
      <c r="M1" s="229" t="n">
        <f aca="false">M57+M110</f>
        <v>0</v>
      </c>
      <c r="N1" s="232"/>
      <c r="O1" s="233" t="s">
        <v>196</v>
      </c>
      <c r="P1" s="229" t="n">
        <f aca="false">P57+P110</f>
        <v>0</v>
      </c>
      <c r="Q1" s="229" t="n">
        <f aca="false">Q57+Q110</f>
        <v>0</v>
      </c>
      <c r="R1" s="229" t="n">
        <f aca="false">R57+R110</f>
        <v>0</v>
      </c>
      <c r="S1" s="234"/>
    </row>
    <row r="2" customFormat="false" ht="12" hidden="false" customHeight="true" outlineLevel="0" collapsed="false">
      <c r="A2" s="225"/>
      <c r="B2" s="226"/>
      <c r="C2" s="236" t="s">
        <v>197</v>
      </c>
      <c r="D2" s="237" t="s">
        <v>198</v>
      </c>
      <c r="E2" s="238" t="s">
        <v>199</v>
      </c>
      <c r="F2" s="229"/>
      <c r="G2" s="230"/>
      <c r="H2" s="229"/>
      <c r="I2" s="238" t="s">
        <v>200</v>
      </c>
      <c r="J2" s="231"/>
      <c r="K2" s="238" t="s">
        <v>201</v>
      </c>
      <c r="L2" s="238" t="s">
        <v>202</v>
      </c>
      <c r="M2" s="238" t="s">
        <v>203</v>
      </c>
      <c r="N2" s="232"/>
      <c r="O2" s="233"/>
      <c r="P2" s="239" t="s">
        <v>204</v>
      </c>
      <c r="Q2" s="238" t="s">
        <v>205</v>
      </c>
      <c r="R2" s="238" t="s">
        <v>206</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207</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208</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209</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210</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211</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212</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213</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214</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215</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216</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217</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218</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219</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220</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208</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221</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210</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t="n">
        <v>45792</v>
      </c>
      <c r="C67" s="267" t="s">
        <v>222</v>
      </c>
      <c r="D67" s="268" t="s">
        <v>223</v>
      </c>
      <c r="E67" s="269" t="n">
        <v>1800</v>
      </c>
      <c r="F67" s="263"/>
      <c r="G67" s="270"/>
      <c r="H67" s="263"/>
      <c r="I67" s="260"/>
      <c r="J67" s="270" t="n">
        <f aca="false">J$4</f>
        <v>1</v>
      </c>
      <c r="K67" s="260" t="n">
        <f aca="false">IF(E67&gt;0,E67*J67," ")</f>
        <v>1800</v>
      </c>
      <c r="L67" s="260"/>
      <c r="M67" s="260" t="n">
        <f aca="false">IF(E67&gt;0,E67-K67," ")</f>
        <v>0</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t="n">
        <v>45853</v>
      </c>
      <c r="C68" s="267" t="s">
        <v>224</v>
      </c>
      <c r="D68" s="268" t="s">
        <v>225</v>
      </c>
      <c r="E68" s="269" t="n">
        <v>1200</v>
      </c>
      <c r="F68" s="263"/>
      <c r="G68" s="270"/>
      <c r="H68" s="263"/>
      <c r="I68" s="260"/>
      <c r="J68" s="270" t="n">
        <f aca="false">J$4</f>
        <v>1</v>
      </c>
      <c r="K68" s="260" t="n">
        <f aca="false">IF(E68&gt;0,E68*J68," ")</f>
        <v>1200</v>
      </c>
      <c r="L68" s="260"/>
      <c r="M68" s="260" t="n">
        <f aca="false">IF(E68&gt;0,E68-K68," ")</f>
        <v>0</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t="n">
        <v>45955</v>
      </c>
      <c r="C69" s="267" t="s">
        <v>226</v>
      </c>
      <c r="D69" s="268" t="s">
        <v>227</v>
      </c>
      <c r="E69" s="269" t="n">
        <v>36000</v>
      </c>
      <c r="F69" s="263"/>
      <c r="G69" s="270"/>
      <c r="H69" s="263"/>
      <c r="I69" s="260"/>
      <c r="J69" s="270" t="n">
        <f aca="false">J$4</f>
        <v>1</v>
      </c>
      <c r="K69" s="260" t="n">
        <f aca="false">IF(E69&gt;0,E69*J69," ")</f>
        <v>36000</v>
      </c>
      <c r="L69" s="260"/>
      <c r="M69" s="260" t="n">
        <f aca="false">IF(E69&gt;0,E69-K69," ")</f>
        <v>0</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228</v>
      </c>
      <c r="C72" s="271"/>
      <c r="D72" s="271"/>
      <c r="E72" s="272" t="n">
        <f aca="false">SUM(E67:E71)</f>
        <v>39000</v>
      </c>
      <c r="F72" s="263"/>
      <c r="G72" s="270"/>
      <c r="H72" s="263"/>
      <c r="I72" s="273" t="n">
        <f aca="false">SUM(I67:I71)</f>
        <v>0</v>
      </c>
      <c r="J72" s="274"/>
      <c r="K72" s="273" t="n">
        <f aca="false">SUM(K67:K71)</f>
        <v>39000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212</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229</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214</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230</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218</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231</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39000</v>
      </c>
      <c r="F110" s="263"/>
      <c r="G110" s="270"/>
      <c r="H110" s="263"/>
      <c r="I110" s="286" t="n">
        <f aca="false">I64+I72+I80+I88+I108</f>
        <v>0</v>
      </c>
      <c r="J110" s="274"/>
      <c r="K110" s="286" t="n">
        <f aca="false">K64+K72+K80+K88+K108</f>
        <v>39000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232</v>
      </c>
      <c r="C2" s="310"/>
      <c r="D2" s="311" t="s">
        <v>233</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234</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235</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236</v>
      </c>
      <c r="C1" s="323" t="s">
        <v>237</v>
      </c>
      <c r="D1" s="324"/>
      <c r="E1" s="322" t="s">
        <v>238</v>
      </c>
      <c r="F1" s="323" t="s">
        <v>239</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240</v>
      </c>
      <c r="C3" s="330"/>
      <c r="D3" s="326"/>
      <c r="E3" s="329" t="s">
        <v>240</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s">
        <v>241</v>
      </c>
      <c r="C5" s="332" t="n">
        <v>7200</v>
      </c>
      <c r="D5" s="326"/>
      <c r="E5" s="331" t="s">
        <v>241</v>
      </c>
      <c r="F5" s="330" t="n">
        <v>8000</v>
      </c>
      <c r="G5" s="326"/>
    </row>
    <row r="6" customFormat="false" ht="12.75" hidden="false" customHeight="false" outlineLevel="0" collapsed="false">
      <c r="A6" s="326"/>
      <c r="B6" s="327" t="s">
        <v>242</v>
      </c>
      <c r="C6" s="328" t="n">
        <v>1200</v>
      </c>
      <c r="D6" s="326"/>
      <c r="E6" s="327" t="s">
        <v>243</v>
      </c>
      <c r="F6" s="328" t="n">
        <v>2400</v>
      </c>
      <c r="G6" s="326"/>
    </row>
    <row r="7" customFormat="false" ht="12.75" hidden="false" customHeight="false" outlineLevel="0" collapsed="false">
      <c r="A7" s="326"/>
      <c r="B7" s="331" t="s">
        <v>244</v>
      </c>
      <c r="C7" s="330" t="n">
        <v>2400</v>
      </c>
      <c r="D7" s="326"/>
      <c r="E7" s="331"/>
      <c r="F7" s="330"/>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n">
        <f aca="false">IF((SalesJun!$H$1&gt;0),SalesJun!$H$1," ")</f>
        <v>35200</v>
      </c>
      <c r="D9" s="326"/>
      <c r="E9" s="331" t="n">
        <f aca="false">B9</f>
        <v>46203</v>
      </c>
      <c r="F9" s="330" t="n">
        <f aca="false">IF((PurchasesJun!$H$1&gt;0),PurchasesJun!$H$1," ")</f>
        <v>14757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n">
        <f aca="false">IF((SalesJul!$H$1&gt;0),SalesJul!$H$1," ")</f>
        <v>33760</v>
      </c>
      <c r="D11" s="326"/>
      <c r="E11" s="331" t="n">
        <f aca="false">B11</f>
        <v>46234</v>
      </c>
      <c r="F11" s="330" t="n">
        <f aca="false">IF((PurchasesJul!$H$1&gt;0),PurchasesJul!$H$1," ")</f>
        <v>14759.25</v>
      </c>
      <c r="G11" s="326"/>
    </row>
    <row r="12" customFormat="false" ht="12.75" hidden="false" customHeight="false" outlineLevel="0" collapsed="false">
      <c r="A12" s="326"/>
      <c r="B12" s="327" t="s">
        <v>245</v>
      </c>
      <c r="C12" s="328" t="n">
        <v>1200</v>
      </c>
      <c r="D12" s="326"/>
      <c r="E12" s="327" t="s">
        <v>245</v>
      </c>
      <c r="F12" s="328" t="n">
        <v>1200</v>
      </c>
      <c r="G12" s="326"/>
    </row>
    <row r="13" customFormat="false" ht="12.75" hidden="false" customHeight="false" outlineLevel="0" collapsed="false">
      <c r="A13" s="326"/>
      <c r="B13" s="331" t="s">
        <v>246</v>
      </c>
      <c r="C13" s="330" t="n">
        <v>300</v>
      </c>
      <c r="D13" s="326"/>
      <c r="E13" s="331" t="s">
        <v>246</v>
      </c>
      <c r="F13" s="330" t="n">
        <v>300</v>
      </c>
      <c r="G13" s="326"/>
    </row>
    <row r="14" customFormat="false" ht="12.75" hidden="false" customHeight="false" outlineLevel="0" collapsed="false">
      <c r="A14" s="326"/>
      <c r="B14" s="327" t="s">
        <v>247</v>
      </c>
      <c r="C14" s="328" t="n">
        <v>600</v>
      </c>
      <c r="D14" s="326"/>
      <c r="E14" s="327" t="s">
        <v>248</v>
      </c>
      <c r="F14" s="328" t="n">
        <v>60</v>
      </c>
      <c r="G14" s="326"/>
    </row>
    <row r="15" customFormat="false" ht="12.75" hidden="false" customHeight="false" outlineLevel="0" collapsed="false">
      <c r="A15" s="326"/>
      <c r="B15" s="331" t="s">
        <v>249</v>
      </c>
      <c r="C15" s="330" t="n">
        <v>120</v>
      </c>
      <c r="D15" s="326"/>
      <c r="E15" s="331" t="s">
        <v>249</v>
      </c>
      <c r="F15" s="330" t="n">
        <v>150</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n">
        <f aca="false">IF((SalesOct!$H$1&gt;0),SalesOct!$H$1," ")</f>
        <v>35560</v>
      </c>
      <c r="D17" s="326"/>
      <c r="E17" s="331" t="n">
        <f aca="false">B17</f>
        <v>46326</v>
      </c>
      <c r="F17" s="330" t="n">
        <f aca="false">IF((PurchasesOct!$H$1&gt;0),PurchasesOct!$H$1," ")</f>
        <v>48705.75</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n">
        <f aca="false">IF((SalesNov!$H$1&gt;0),SalesNov!$H$1," ")</f>
        <v>35320</v>
      </c>
      <c r="D19" s="326"/>
      <c r="E19" s="331" t="n">
        <f aca="false">B19</f>
        <v>46356</v>
      </c>
      <c r="F19" s="330" t="n">
        <f aca="false">IF((PurchasesNov!$H$1&gt;0),PurchasesNov!$H$1," ")</f>
        <v>12618</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n">
        <f aca="false">IF((SalesDec!$H$1&gt;0),SalesDec!$H$1," ")</f>
        <v>32800</v>
      </c>
      <c r="D21" s="326"/>
      <c r="E21" s="331" t="n">
        <f aca="false">B21</f>
        <v>46387</v>
      </c>
      <c r="F21" s="330" t="n">
        <f aca="false">IF((PurchasesDec!$H$1&gt;0),PurchasesDec!$H$1," ")</f>
        <v>15151.5</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n">
        <f aca="false">IF((SalesJan!$H$1&gt;0),SalesJan!$H$1," ")</f>
        <v>35440</v>
      </c>
      <c r="D23" s="326"/>
      <c r="E23" s="331" t="n">
        <f aca="false">B23</f>
        <v>46418</v>
      </c>
      <c r="F23" s="330" t="n">
        <f aca="false">IF((PurchasesJan!$H$1&gt;0),PurchasesJan!$H$1," ")</f>
        <v>10211.25</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n">
        <f aca="false">IF((SalesFeb!$H$1&gt;0),SalesFeb!$H$1," ")</f>
        <v>34360</v>
      </c>
      <c r="D25" s="326"/>
      <c r="E25" s="331" t="n">
        <f aca="false">B25</f>
        <v>46446</v>
      </c>
      <c r="F25" s="330" t="n">
        <f aca="false">IF((PurchasesFeb!$H$1&gt;0),PurchasesFeb!$H$1," ")</f>
        <v>10096.5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n">
        <f aca="false">IF((SalesMar!$H$1&gt;0),SalesMar!$H$1," ")</f>
        <v>31360</v>
      </c>
      <c r="D27" s="326"/>
      <c r="E27" s="331" t="n">
        <f aca="false">B27</f>
        <v>46477</v>
      </c>
      <c r="F27" s="330" t="n">
        <f aca="false">IF((PurchasesMar!$H$1&gt;0),PurchasesMar!$H$1," ")</f>
        <v>9426.5</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250</v>
      </c>
      <c r="C29" s="334" t="n">
        <f aca="false">SUM(C3:C28)</f>
        <v>286820</v>
      </c>
      <c r="D29" s="321"/>
      <c r="E29" s="333" t="s">
        <v>251</v>
      </c>
      <c r="F29" s="334" t="n">
        <f aca="false">SUM(F3:F28)</f>
        <v>147835.75</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33400</v>
      </c>
      <c r="G1" s="345" t="n">
        <f aca="false">SUM(G4:G300)</f>
        <v>0</v>
      </c>
      <c r="H1" s="347" t="n">
        <f aca="false">SUM(H4:H300)</f>
        <v>33400</v>
      </c>
      <c r="I1" s="348" t="n">
        <f aca="true">TODAY()</f>
        <v>46262</v>
      </c>
      <c r="J1" s="345" t="n">
        <f aca="false">SUM(J4:J300)</f>
        <v>0</v>
      </c>
      <c r="K1" s="349" t="n">
        <f aca="false">J1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45748</v>
      </c>
      <c r="B4" s="336" t="s">
        <v>242</v>
      </c>
      <c r="F4" s="336" t="n">
        <v>1200</v>
      </c>
      <c r="H4" s="340" t="n">
        <f aca="false">IF((F4&lt;&gt;0),IF((D4&gt;0)," ",F4)," ")</f>
        <v>1200</v>
      </c>
      <c r="I4" s="341" t="n">
        <f aca="false">IF((F4&lt;&gt;0),IF((D4&gt;0)," ",(I$1-A4))," ")</f>
        <v>514</v>
      </c>
    </row>
    <row r="5" customFormat="false" ht="12.75" hidden="false" customHeight="false" outlineLevel="0" collapsed="false">
      <c r="A5" s="357" t="n">
        <v>45750</v>
      </c>
      <c r="B5" s="336" t="s">
        <v>265</v>
      </c>
      <c r="F5" s="336" t="n">
        <v>360</v>
      </c>
      <c r="H5" s="340" t="n">
        <f aca="false">IF((F5&lt;&gt;0),IF((D5&gt;0)," ",F5)," ")</f>
        <v>360</v>
      </c>
      <c r="I5" s="341" t="n">
        <f aca="false">IF((F5&lt;&gt;0),IF((D5&gt;0)," ",(I$1-A5))," ")</f>
        <v>512</v>
      </c>
    </row>
    <row r="6" customFormat="false" ht="12.75" hidden="false" customHeight="false" outlineLevel="0" collapsed="false">
      <c r="A6" s="357" t="n">
        <v>45752</v>
      </c>
      <c r="B6" s="336" t="s">
        <v>266</v>
      </c>
      <c r="F6" s="336" t="n">
        <v>600</v>
      </c>
      <c r="H6" s="340" t="n">
        <f aca="false">IF((F6&lt;&gt;0),IF((D6&gt;0)," ",F6)," ")</f>
        <v>600</v>
      </c>
      <c r="I6" s="341" t="n">
        <f aca="false">IF((F6&lt;&gt;0),IF((D6&gt;0)," ",(I$1-A6))," ")</f>
        <v>510</v>
      </c>
    </row>
    <row r="7" customFormat="false" ht="12.75" hidden="false" customHeight="false" outlineLevel="0" collapsed="false">
      <c r="A7" s="357" t="n">
        <v>45755</v>
      </c>
      <c r="B7" s="336" t="s">
        <v>267</v>
      </c>
      <c r="F7" s="336" t="n">
        <v>480</v>
      </c>
      <c r="H7" s="340" t="n">
        <f aca="false">IF((F7&lt;&gt;0),IF((D7&gt;0)," ",F7)," ")</f>
        <v>480</v>
      </c>
      <c r="I7" s="341" t="n">
        <f aca="false">IF((F7&lt;&gt;0),IF((D7&gt;0)," ",(I$1-A7))," ")</f>
        <v>507</v>
      </c>
    </row>
    <row r="8" customFormat="false" ht="12.75" hidden="false" customHeight="false" outlineLevel="0" collapsed="false">
      <c r="A8" s="357" t="n">
        <v>45757</v>
      </c>
      <c r="B8" s="336" t="s">
        <v>268</v>
      </c>
      <c r="F8" s="336" t="n">
        <v>720</v>
      </c>
      <c r="H8" s="340" t="n">
        <f aca="false">IF((F8&lt;&gt;0),IF((D8&gt;0)," ",F8)," ")</f>
        <v>720</v>
      </c>
      <c r="I8" s="341" t="n">
        <f aca="false">IF((F8&lt;&gt;0),IF((D8&gt;0)," ",(I$1-A8))," ")</f>
        <v>505</v>
      </c>
    </row>
    <row r="9" customFormat="false" ht="12.75" hidden="false" customHeight="false" outlineLevel="0" collapsed="false">
      <c r="A9" s="357" t="n">
        <v>45762</v>
      </c>
      <c r="B9" s="336" t="s">
        <v>241</v>
      </c>
      <c r="F9" s="336" t="n">
        <v>25000</v>
      </c>
      <c r="H9" s="340" t="n">
        <f aca="false">IF((F9&lt;&gt;0),IF((D9&gt;0)," ",F9)," ")</f>
        <v>25000</v>
      </c>
      <c r="I9" s="341" t="n">
        <f aca="false">IF((F9&lt;&gt;0),IF((D9&gt;0)," ",(I$1-A9))," ")</f>
        <v>500</v>
      </c>
    </row>
    <row r="10" customFormat="false" ht="12.75" hidden="false" customHeight="false" outlineLevel="0" collapsed="false">
      <c r="A10" s="357" t="n">
        <v>45765</v>
      </c>
      <c r="B10" s="336" t="s">
        <v>243</v>
      </c>
      <c r="F10" s="336" t="n">
        <v>2400</v>
      </c>
      <c r="H10" s="340" t="n">
        <f aca="false">IF((F10&lt;&gt;0),IF((D10&gt;0)," ",F10)," ")</f>
        <v>2400</v>
      </c>
      <c r="I10" s="341" t="n">
        <f aca="false">IF((F10&lt;&gt;0),IF((D10&gt;0)," ",(I$1-A10))," ")</f>
        <v>497</v>
      </c>
    </row>
    <row r="11" customFormat="false" ht="12.75" hidden="false" customHeight="false" outlineLevel="0" collapsed="false">
      <c r="A11" s="357" t="n">
        <v>45767</v>
      </c>
      <c r="B11" s="336" t="s">
        <v>269</v>
      </c>
      <c r="F11" s="336" t="n">
        <v>1800</v>
      </c>
      <c r="H11" s="340" t="n">
        <f aca="false">IF((F11&lt;&gt;0),IF((D11&gt;0)," ",F11)," ")</f>
        <v>1800</v>
      </c>
      <c r="I11" s="341" t="n">
        <f aca="false">IF((F11&lt;&gt;0),IF((D11&gt;0)," ",(I$1-A11))," ")</f>
        <v>495</v>
      </c>
    </row>
    <row r="12" customFormat="false" ht="12.75" hidden="false" customHeight="false" outlineLevel="0" collapsed="false">
      <c r="A12" s="357" t="n">
        <v>45775</v>
      </c>
      <c r="B12" s="336" t="s">
        <v>270</v>
      </c>
      <c r="F12" s="336" t="n">
        <v>840</v>
      </c>
      <c r="H12" s="340" t="n">
        <f aca="false">IF((F12&lt;&gt;0),IF((D12&gt;0)," ",F12)," ")</f>
        <v>840</v>
      </c>
      <c r="I12" s="341" t="n">
        <f aca="false">IF((F12&lt;&gt;0),IF((D12&gt;0)," ",(I$1-A12))," ")</f>
        <v>487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272</v>
      </c>
      <c r="C1" s="346" t="n">
        <f aca="false">F1+SalesApr!$E$1</f>
        <v>0</v>
      </c>
      <c r="D1" s="371" t="s">
        <v>254</v>
      </c>
      <c r="E1" s="373" t="str">
        <f aca="false">IF((G1-SUM(J1:W1)&lt;&gt;0),(G1-SUM(J1:W1))," ")</f>
        <v> </v>
      </c>
      <c r="F1" s="346" t="n">
        <f aca="false">SUM(F5:F300)</f>
        <v>0</v>
      </c>
      <c r="G1" s="345" t="n">
        <f aca="false">SUM(G4:G300)</f>
        <v>10811.25</v>
      </c>
      <c r="H1" s="374" t="n">
        <f aca="false">SUM(H5:H300)</f>
        <v>10811.25</v>
      </c>
      <c r="I1" s="375" t="n">
        <f aca="true">TODAY()</f>
        <v>46262</v>
      </c>
      <c r="J1" s="345" t="n">
        <f aca="false">SUM(J5:J300)</f>
        <v>600</v>
      </c>
      <c r="K1" s="345" t="n">
        <f aca="false">SUM(K5:K300)</f>
        <v>0</v>
      </c>
      <c r="L1" s="345" t="n">
        <f aca="false">SUM(L5:L300)</f>
        <v>5700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277</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390" t="n">
        <f aca="false">IF((C1&lt;Admin!$F$22),(C1*Admin!$G$21),(C1*Admin!$G$21-(C1-Admin!$F$21)*(Admin!$G$21-Admin!$G$22)))</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45748</v>
      </c>
      <c r="B5" s="365" t="s">
        <v>245</v>
      </c>
      <c r="E5" s="367" t="s">
        <v>314</v>
      </c>
      <c r="G5" s="368" t="n">
        <v>1200</v>
      </c>
      <c r="H5" s="340" t="n">
        <f aca="false">IF((G5&lt;&gt;0),IF((D5&gt;0)," ",G5)," ")</f>
        <v>1200</v>
      </c>
      <c r="I5" s="369" t="n">
        <f aca="false">IF((G5&lt;&gt;0),IF((D5&gt;0)," ",(I$1-A5))," ")</f>
        <v>514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45748</v>
      </c>
      <c r="B6" s="365" t="s">
        <v>315</v>
      </c>
      <c r="E6" s="367" t="s">
        <v>316</v>
      </c>
      <c r="G6" s="368" t="n">
        <v>30</v>
      </c>
      <c r="H6" s="340" t="n">
        <f aca="false">IF((G6&lt;&gt;0),IF((D6&gt;0)," ",G6)," ")</f>
        <v>30</v>
      </c>
      <c r="I6" s="369" t="n">
        <f aca="false">IF((G6&lt;&gt;0),IF((D6&gt;0)," ",(I$1-A6))," ")</f>
        <v>514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45748</v>
      </c>
      <c r="B7" s="365" t="s">
        <v>317</v>
      </c>
      <c r="E7" s="367" t="s">
        <v>316</v>
      </c>
      <c r="G7" s="368" t="n">
        <v>15</v>
      </c>
      <c r="H7" s="340" t="n">
        <f aca="false">IF((G7&lt;&gt;0),IF((D7&gt;0)," ",G7)," ")</f>
        <v>15</v>
      </c>
      <c r="I7" s="369" t="n">
        <f aca="false">IF((G7&lt;&gt;0),IF((D7&gt;0)," ",(I$1-A7))," ")</f>
        <v>514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45748</v>
      </c>
      <c r="B8" s="365" t="s">
        <v>318</v>
      </c>
      <c r="E8" s="367" t="s">
        <v>319</v>
      </c>
      <c r="G8" s="368" t="n">
        <v>45</v>
      </c>
      <c r="H8" s="340" t="n">
        <f aca="false">IF((G8&lt;&gt;0),IF((D8&gt;0)," ",G8)," ")</f>
        <v>45</v>
      </c>
      <c r="I8" s="369" t="n">
        <f aca="false">IF((G8&lt;&gt;0),IF((D8&gt;0)," ",(I$1-A8))," ")</f>
        <v>514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45748</v>
      </c>
      <c r="B9" s="365" t="s">
        <v>320</v>
      </c>
      <c r="E9" s="367" t="s">
        <v>319</v>
      </c>
      <c r="G9" s="368" t="n">
        <v>1440</v>
      </c>
      <c r="H9" s="340" t="n">
        <f aca="false">IF((G9&lt;&gt;0),IF((D9&gt;0)," ",G9)," ")</f>
        <v>1440</v>
      </c>
      <c r="I9" s="369" t="n">
        <f aca="false">IF((G9&lt;&gt;0),IF((D9&gt;0)," ",(I$1-A9))," ")</f>
        <v>514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row>
    <row r="10" customFormat="false" ht="12.75" hidden="false" customHeight="false" outlineLevel="0" collapsed="false">
      <c r="A10" s="357" t="n">
        <v>45748</v>
      </c>
      <c r="B10" s="365" t="s">
        <v>321</v>
      </c>
      <c r="E10" s="367" t="s">
        <v>319</v>
      </c>
      <c r="G10" s="368" t="n">
        <v>24</v>
      </c>
      <c r="H10" s="340" t="n">
        <f aca="false">IF((G10&lt;&gt;0),IF((D10&gt;0)," ",G10)," ")</f>
        <v>24</v>
      </c>
      <c r="I10" s="369" t="n">
        <f aca="false">IF((G10&lt;&gt;0),IF((D10&gt;0)," ",(I$1-A10))," ")</f>
        <v>514</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45748</v>
      </c>
      <c r="B11" s="365" t="s">
        <v>322</v>
      </c>
      <c r="E11" s="367" t="s">
        <v>316</v>
      </c>
      <c r="G11" s="368" t="n">
        <v>18</v>
      </c>
      <c r="H11" s="340" t="n">
        <f aca="false">IF((G11&lt;&gt;0),IF((D11&gt;0)," ",G11)," ")</f>
        <v>18</v>
      </c>
      <c r="I11" s="369" t="n">
        <f aca="false">IF((G11&lt;&gt;0),IF((D11&gt;0)," ",(I$1-A11))," ")</f>
        <v>514</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45750</v>
      </c>
      <c r="B12" s="365" t="s">
        <v>323</v>
      </c>
      <c r="E12" s="367" t="s">
        <v>319</v>
      </c>
      <c r="G12" s="368" t="n">
        <v>180</v>
      </c>
      <c r="H12" s="340" t="n">
        <f aca="false">IF((G12&lt;&gt;0),IF((D12&gt;0)," ",G12)," ")</f>
        <v>180</v>
      </c>
      <c r="I12" s="369" t="n">
        <f aca="false">IF((G12&lt;&gt;0),IF((D12&gt;0)," ",(I$1-A12))," ")</f>
        <v>512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45750</v>
      </c>
      <c r="B13" s="365" t="s">
        <v>324</v>
      </c>
      <c r="E13" s="367" t="s">
        <v>319</v>
      </c>
      <c r="G13" s="368" t="n">
        <v>22</v>
      </c>
      <c r="H13" s="340" t="n">
        <f aca="false">IF((G13&lt;&gt;0),IF((D13&gt;0)," ",G13)," ")</f>
        <v>22</v>
      </c>
      <c r="I13" s="369" t="n">
        <f aca="false">IF((G13&lt;&gt;0),IF((D13&gt;0)," ",(I$1-A13))," ")</f>
        <v>512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45752</v>
      </c>
      <c r="B14" s="365" t="s">
        <v>325</v>
      </c>
      <c r="E14" s="367" t="s">
        <v>319</v>
      </c>
      <c r="G14" s="368" t="n">
        <v>24</v>
      </c>
      <c r="H14" s="340" t="n">
        <f aca="false">IF((G14&lt;&gt;0),IF((D14&gt;0)," ",G14)," ")</f>
        <v>24</v>
      </c>
      <c r="I14" s="369" t="n">
        <f aca="false">IF((G14&lt;&gt;0),IF((D14&gt;0)," ",(I$1-A14))," ")</f>
        <v>510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45752</v>
      </c>
      <c r="B15" s="365" t="s">
        <v>326</v>
      </c>
      <c r="E15" s="367" t="s">
        <v>297</v>
      </c>
      <c r="G15" s="368" t="n">
        <v>180</v>
      </c>
      <c r="H15" s="340" t="n">
        <f aca="false">IF((G15&lt;&gt;0),IF((D15&gt;0)," ",G15)," ")</f>
        <v>180</v>
      </c>
      <c r="I15" s="369" t="n">
        <f aca="false">IF((G15&lt;&gt;0),IF((D15&gt;0)," ",(I$1-A15))," ")</f>
        <v>510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45752</v>
      </c>
      <c r="B16" s="365" t="s">
        <v>327</v>
      </c>
      <c r="E16" s="367" t="s">
        <v>319</v>
      </c>
      <c r="G16" s="368" t="n">
        <v>36</v>
      </c>
      <c r="H16" s="340" t="n">
        <f aca="false">IF((G16&lt;&gt;0),IF((D16&gt;0)," ",G16)," ")</f>
        <v>36</v>
      </c>
      <c r="I16" s="369" t="n">
        <f aca="false">IF((G16&lt;&gt;0),IF((D16&gt;0)," ",(I$1-A16))," ")</f>
        <v>510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45755</v>
      </c>
      <c r="B17" s="365" t="s">
        <v>328</v>
      </c>
      <c r="E17" s="367" t="s">
        <v>329</v>
      </c>
      <c r="G17" s="368" t="n">
        <v>48</v>
      </c>
      <c r="H17" s="340" t="n">
        <f aca="false">IF((G17&lt;&gt;0),IF((D17&gt;0)," ",G17)," ")</f>
        <v>48</v>
      </c>
      <c r="I17" s="369" t="n">
        <f aca="false">IF((G17&lt;&gt;0),IF((D17&gt;0)," ",(I$1-A17))," ")</f>
        <v>507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45757</v>
      </c>
      <c r="B18" s="365" t="s">
        <v>330</v>
      </c>
      <c r="E18" s="367" t="s">
        <v>319</v>
      </c>
      <c r="G18" s="368" t="n">
        <v>36</v>
      </c>
      <c r="H18" s="340" t="n">
        <f aca="false">IF((G18&lt;&gt;0),IF((D18&gt;0)," ",G18)," ")</f>
        <v>36</v>
      </c>
      <c r="I18" s="369" t="n">
        <f aca="false">IF((G18&lt;&gt;0),IF((D18&gt;0)," ",(I$1-A18))," ")</f>
        <v>505</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45757</v>
      </c>
      <c r="B19" s="365" t="s">
        <v>331</v>
      </c>
      <c r="E19" s="367" t="s">
        <v>319</v>
      </c>
      <c r="G19" s="368" t="n">
        <v>180</v>
      </c>
      <c r="H19" s="340" t="n">
        <f aca="false">IF((G19&lt;&gt;0),IF((D19&gt;0)," ",G19)," ")</f>
        <v>180</v>
      </c>
      <c r="I19" s="369" t="n">
        <f aca="false">IF((G19&lt;&gt;0),IF((D19&gt;0)," ",(I$1-A19))," ")</f>
        <v>505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45757</v>
      </c>
      <c r="B20" s="365" t="s">
        <v>332</v>
      </c>
      <c r="E20" s="367" t="s">
        <v>333</v>
      </c>
      <c r="G20" s="368" t="n">
        <v>600</v>
      </c>
      <c r="H20" s="340" t="n">
        <f aca="false">IF((G20&lt;&gt;0),IF((D20&gt;0)," ",G20)," ")</f>
        <v>600</v>
      </c>
      <c r="I20" s="369" t="n">
        <f aca="false">IF((G20&lt;&gt;0),IF((D20&gt;0)," ",(I$1-A20))," ")</f>
        <v>505</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45759</v>
      </c>
      <c r="B21" s="365" t="s">
        <v>334</v>
      </c>
      <c r="D21" s="365"/>
      <c r="E21" s="367" t="s">
        <v>297</v>
      </c>
      <c r="G21" s="368" t="n">
        <v>18</v>
      </c>
      <c r="H21" s="340" t="n">
        <f aca="false">IF((G21&lt;&gt;0),IF((D21&gt;0)," ",G21)," ")</f>
        <v>18</v>
      </c>
      <c r="I21" s="369" t="n">
        <f aca="false">IF((G21&lt;&gt;0),IF((D21&gt;0)," ",(I$1-A21))," ")</f>
        <v>503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45761</v>
      </c>
      <c r="B22" s="365" t="s">
        <v>335</v>
      </c>
      <c r="D22" s="395"/>
      <c r="E22" s="367" t="s">
        <v>319</v>
      </c>
      <c r="G22" s="368" t="n">
        <v>42</v>
      </c>
      <c r="H22" s="340" t="n">
        <f aca="false">IF((G22&lt;&gt;0),IF((D22&gt;0)," ",G22)," ")</f>
        <v>42</v>
      </c>
      <c r="I22" s="369" t="n">
        <f aca="false">IF((G22&lt;&gt;0),IF((D22&gt;0)," ",(I$1-A22))," ")</f>
        <v>501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row>
    <row r="23" customFormat="false" ht="12.75" hidden="false" customHeight="false" outlineLevel="0" collapsed="false">
      <c r="A23" s="357" t="n">
        <v>45761</v>
      </c>
      <c r="B23" s="365" t="s">
        <v>336</v>
      </c>
      <c r="E23" s="367" t="s">
        <v>329</v>
      </c>
      <c r="G23" s="368" t="n">
        <v>24</v>
      </c>
      <c r="H23" s="340" t="n">
        <f aca="false">IF((G23&lt;&gt;0),IF((D23&gt;0)," ",G23)," ")</f>
        <v>24</v>
      </c>
      <c r="I23" s="369" t="n">
        <f aca="false">IF((G23&lt;&gt;0),IF((D23&gt;0)," ",(I$1-A23))," ")</f>
        <v>501</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45761</v>
      </c>
      <c r="B24" s="365" t="s">
        <v>337</v>
      </c>
      <c r="E24" s="367" t="s">
        <v>329</v>
      </c>
      <c r="G24" s="368" t="n">
        <v>12</v>
      </c>
      <c r="H24" s="340" t="n">
        <f aca="false">IF((G24&lt;&gt;0),IF((D24&gt;0)," ",G24)," ")</f>
        <v>12</v>
      </c>
      <c r="I24" s="369" t="n">
        <f aca="false">IF((G24&lt;&gt;0),IF((D24&gt;0)," ",(I$1-A24))," ")</f>
        <v>501</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45762</v>
      </c>
      <c r="B25" s="365" t="s">
        <v>249</v>
      </c>
      <c r="E25" s="367" t="s">
        <v>297</v>
      </c>
      <c r="G25" s="368" t="n">
        <v>150</v>
      </c>
      <c r="H25" s="340" t="n">
        <f aca="false">IF((G25&lt;&gt;0),IF((D25&gt;0)," ",G25)," ")</f>
        <v>150</v>
      </c>
      <c r="I25" s="369" t="n">
        <f aca="false">IF((G25&lt;&gt;0),IF((D25&gt;0)," ",(I$1-A25))," ")</f>
        <v>500</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45762</v>
      </c>
      <c r="B26" s="365" t="s">
        <v>338</v>
      </c>
      <c r="E26" s="367" t="s">
        <v>316</v>
      </c>
      <c r="G26" s="368" t="n">
        <v>12</v>
      </c>
      <c r="H26" s="340" t="n">
        <f aca="false">IF((G26&lt;&gt;0),IF((D26&gt;0)," ",G26)," ")</f>
        <v>12</v>
      </c>
      <c r="I26" s="369" t="n">
        <f aca="false">IF((G26&lt;&gt;0),IF((D26&gt;0)," ",(I$1-A26))," ")</f>
        <v>500</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45765</v>
      </c>
      <c r="B27" s="365" t="s">
        <v>339</v>
      </c>
      <c r="E27" s="367" t="s">
        <v>297</v>
      </c>
      <c r="G27" s="368" t="n">
        <v>96</v>
      </c>
      <c r="H27" s="340" t="n">
        <f aca="false">IF((G27&lt;&gt;0),IF((D27&gt;0)," ",G27)," ")</f>
        <v>96</v>
      </c>
      <c r="I27" s="369" t="n">
        <f aca="false">IF((G27&lt;&gt;0),IF((D27&gt;0)," ",(I$1-A27))," ")</f>
        <v>497</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45767</v>
      </c>
      <c r="B28" s="365" t="s">
        <v>248</v>
      </c>
      <c r="E28" s="367" t="s">
        <v>316</v>
      </c>
      <c r="G28" s="368" t="n">
        <v>60</v>
      </c>
      <c r="H28" s="340" t="n">
        <f aca="false">IF((G28&lt;&gt;0),IF((D28&gt;0)," ",G28)," ")</f>
        <v>60</v>
      </c>
      <c r="I28" s="369" t="n">
        <f aca="false">IF((G28&lt;&gt;0),IF((D28&gt;0)," ",(I$1-A28))," ")</f>
        <v>495</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45767</v>
      </c>
      <c r="B29" s="365" t="s">
        <v>340</v>
      </c>
      <c r="E29" s="367" t="s">
        <v>341</v>
      </c>
      <c r="G29" s="368" t="n">
        <v>120</v>
      </c>
      <c r="H29" s="340" t="n">
        <f aca="false">IF((G29&lt;&gt;0),IF((D29&gt;0)," ",G29)," ")</f>
        <v>120</v>
      </c>
      <c r="I29" s="369" t="n">
        <f aca="false">IF((G29&lt;&gt;0),IF((D29&gt;0)," ",(I$1-A29))," ")</f>
        <v>495</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45768</v>
      </c>
      <c r="B30" s="365" t="s">
        <v>342</v>
      </c>
      <c r="E30" s="367" t="s">
        <v>329</v>
      </c>
      <c r="G30" s="368" t="n">
        <v>8</v>
      </c>
      <c r="H30" s="340" t="n">
        <f aca="false">IF((G30&lt;&gt;0),IF((D30&gt;0)," ",G30)," ")</f>
        <v>8</v>
      </c>
      <c r="I30" s="369" t="n">
        <f aca="false">IF((G30&lt;&gt;0),IF((D30&gt;0)," ",(I$1-A30))," ")</f>
        <v>494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45769</v>
      </c>
      <c r="B31" s="365" t="s">
        <v>343</v>
      </c>
      <c r="E31" s="367" t="s">
        <v>319</v>
      </c>
      <c r="G31" s="368" t="n">
        <v>18</v>
      </c>
      <c r="H31" s="340" t="n">
        <f aca="false">IF((G31&lt;&gt;0),IF((D31&gt;0)," ",G31)," ")</f>
        <v>18</v>
      </c>
      <c r="I31" s="369" t="n">
        <f aca="false">IF((G31&lt;&gt;0),IF((D31&gt;0)," ",(I$1-A31))," ")</f>
        <v>493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45772</v>
      </c>
      <c r="B32" s="365" t="s">
        <v>344</v>
      </c>
      <c r="E32" s="367" t="s">
        <v>319</v>
      </c>
      <c r="G32" s="368" t="n">
        <v>15</v>
      </c>
      <c r="H32" s="340" t="n">
        <f aca="false">IF((G32&lt;&gt;0),IF((D32&gt;0)," ",G32)," ")</f>
        <v>15</v>
      </c>
      <c r="I32" s="369" t="n">
        <f aca="false">IF((G32&lt;&gt;0),IF((D32&gt;0)," ",(I$1-A32))," ")</f>
        <v>490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45772</v>
      </c>
      <c r="B33" s="365" t="s">
        <v>345</v>
      </c>
      <c r="E33" s="367" t="s">
        <v>297</v>
      </c>
      <c r="G33" s="368" t="n">
        <v>38.25</v>
      </c>
      <c r="H33" s="340" t="n">
        <f aca="false">IF((G33&lt;&gt;0),IF((D33&gt;0)," ",G33)," ")</f>
        <v>38.25</v>
      </c>
      <c r="I33" s="369" t="n">
        <f aca="false">IF((G33&lt;&gt;0),IF((D33&gt;0)," ",(I$1-A33))," ")</f>
        <v>490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38.25</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45775</v>
      </c>
      <c r="B34" s="365" t="s">
        <v>249</v>
      </c>
      <c r="E34" s="367" t="s">
        <v>297</v>
      </c>
      <c r="G34" s="368" t="n">
        <v>120</v>
      </c>
      <c r="H34" s="340" t="n">
        <f aca="false">IF((G34&lt;&gt;0),IF((D34&gt;0)," ",G34)," ")</f>
        <v>120</v>
      </c>
      <c r="I34" s="369" t="n">
        <f aca="false">IF((G34&lt;&gt;0),IF((D34&gt;0)," ",(I$1-A34))," ")</f>
        <v>487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45777</v>
      </c>
      <c r="B35" s="365" t="s">
        <v>246</v>
      </c>
      <c r="E35" s="367" t="s">
        <v>346</v>
      </c>
      <c r="G35" s="368" t="n">
        <v>300</v>
      </c>
      <c r="H35" s="340" t="n">
        <f aca="false">IF((G35&lt;&gt;0),IF((D35&gt;0)," ",G35)," ")</f>
        <v>300</v>
      </c>
      <c r="I35" s="369" t="n">
        <f aca="false">IF((G35&lt;&gt;0),IF((D35&gt;0)," ",(I$1-A35))," ")</f>
        <v>485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45777</v>
      </c>
      <c r="B36" s="365" t="s">
        <v>347</v>
      </c>
      <c r="E36" s="367" t="s">
        <v>348</v>
      </c>
      <c r="G36" s="368" t="n">
        <v>3500</v>
      </c>
      <c r="H36" s="340" t="n">
        <f aca="false">IF((G36&lt;&gt;0),IF((D36&gt;0)," ",G36)," ")</f>
        <v>3500</v>
      </c>
      <c r="I36" s="369" t="n">
        <f aca="false">IF((G36&lt;&gt;0),IF((D36&gt;0)," ",(I$1-A36))," ")</f>
        <v>485</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45777</v>
      </c>
      <c r="B37" s="365" t="s">
        <v>349</v>
      </c>
      <c r="E37" s="367" t="s">
        <v>348</v>
      </c>
      <c r="G37" s="368" t="n">
        <v>2200</v>
      </c>
      <c r="H37" s="340" t="n">
        <f aca="false">IF((G37&lt;&gt;0),IF((D37&gt;0)," ",G37)," ")</f>
        <v>2200</v>
      </c>
      <c r="I37" s="369" t="n">
        <f aca="false">IF((G37&lt;&gt;0),IF((D37&gt;0)," ",(I$1-A37))," ")</f>
        <v>485</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32920</v>
      </c>
      <c r="G1" s="345" t="n">
        <f aca="false">SUM(G4:G300)</f>
        <v>0</v>
      </c>
      <c r="H1" s="347" t="n">
        <f aca="false">SUM(H4:H300)</f>
        <v>32920</v>
      </c>
      <c r="I1" s="348" t="n">
        <f aca="true">TODAY()</f>
        <v>46262</v>
      </c>
      <c r="J1" s="345" t="n">
        <f aca="false">SUM(J4:J300)</f>
        <v>0</v>
      </c>
      <c r="K1" s="349" t="n">
        <f aca="false">J1+SalesApr!K1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45780</v>
      </c>
      <c r="B4" s="336" t="s">
        <v>265</v>
      </c>
      <c r="F4" s="336" t="n">
        <v>360</v>
      </c>
      <c r="H4" s="340" t="n">
        <f aca="false">IF((F4&lt;&gt;0),IF((D4&gt;0)," ",F4)," ")</f>
        <v>360</v>
      </c>
      <c r="I4" s="341" t="n">
        <f aca="false">IF((F4&lt;&gt;0),IF((D4&gt;0)," ",(I$1-A4))," ")</f>
        <v>482</v>
      </c>
    </row>
    <row r="5" customFormat="false" ht="12.75" hidden="false" customHeight="false" outlineLevel="0" collapsed="false">
      <c r="A5" s="357" t="n">
        <v>45782</v>
      </c>
      <c r="B5" s="336" t="s">
        <v>266</v>
      </c>
      <c r="F5" s="336" t="n">
        <v>600</v>
      </c>
      <c r="H5" s="340" t="n">
        <f aca="false">IF((F5&lt;&gt;0),IF((D5&gt;0)," ",F5)," ")</f>
        <v>600</v>
      </c>
      <c r="I5" s="341" t="n">
        <f aca="false">IF((F5&lt;&gt;0),IF((D5&gt;0)," ",(I$1-A5))," ")</f>
        <v>480</v>
      </c>
    </row>
    <row r="6" customFormat="false" ht="12.75" hidden="false" customHeight="false" outlineLevel="0" collapsed="false">
      <c r="A6" s="357" t="n">
        <v>45785</v>
      </c>
      <c r="B6" s="336" t="s">
        <v>267</v>
      </c>
      <c r="F6" s="336" t="n">
        <v>480</v>
      </c>
      <c r="H6" s="340" t="n">
        <f aca="false">IF((F6&lt;&gt;0),IF((D6&gt;0)," ",F6)," ")</f>
        <v>480</v>
      </c>
      <c r="I6" s="341" t="n">
        <f aca="false">IF((F6&lt;&gt;0),IF((D6&gt;0)," ",(I$1-A6))," ")</f>
        <v>477</v>
      </c>
    </row>
    <row r="7" customFormat="false" ht="12.75" hidden="false" customHeight="false" outlineLevel="0" collapsed="false">
      <c r="A7" s="357" t="n">
        <v>45787</v>
      </c>
      <c r="B7" s="336" t="s">
        <v>268</v>
      </c>
      <c r="F7" s="336" t="n">
        <v>720</v>
      </c>
      <c r="H7" s="340" t="n">
        <f aca="false">IF((F7&lt;&gt;0),IF((D7&gt;0)," ",F7)," ")</f>
        <v>720</v>
      </c>
      <c r="I7" s="341" t="n">
        <f aca="false">IF((F7&lt;&gt;0),IF((D7&gt;0)," ",(I$1-A7))," ")</f>
        <v>475</v>
      </c>
    </row>
    <row r="8" customFormat="false" ht="12.75" hidden="false" customHeight="false" outlineLevel="0" collapsed="false">
      <c r="A8" s="357" t="n">
        <v>45789</v>
      </c>
      <c r="B8" s="336" t="s">
        <v>350</v>
      </c>
      <c r="F8" s="336" t="n">
        <v>960</v>
      </c>
      <c r="H8" s="340" t="n">
        <f aca="false">IF((F8&lt;&gt;0),IF((D8&gt;0)," ",F8)," ")</f>
        <v>960</v>
      </c>
      <c r="I8" s="341" t="n">
        <f aca="false">IF((F8&lt;&gt;0),IF((D8&gt;0)," ",(I$1-A8))," ")</f>
        <v>473</v>
      </c>
    </row>
    <row r="9" customFormat="false" ht="12.75" hidden="false" customHeight="false" outlineLevel="0" collapsed="false">
      <c r="A9" s="357" t="n">
        <v>45792</v>
      </c>
      <c r="B9" s="336" t="s">
        <v>241</v>
      </c>
      <c r="F9" s="336" t="n">
        <v>25000</v>
      </c>
      <c r="H9" s="340" t="n">
        <f aca="false">IF((F9&lt;&gt;0),IF((D9&gt;0)," ",F9)," ")</f>
        <v>25000</v>
      </c>
      <c r="I9" s="341" t="n">
        <f aca="false">IF((F9&lt;&gt;0),IF((D9&gt;0)," ",(I$1-A9))," ")</f>
        <v>470</v>
      </c>
    </row>
    <row r="10" customFormat="false" ht="12.75" hidden="false" customHeight="false" outlineLevel="0" collapsed="false">
      <c r="A10" s="357" t="n">
        <v>45793</v>
      </c>
      <c r="B10" s="336" t="s">
        <v>351</v>
      </c>
      <c r="F10" s="336" t="n">
        <v>1200</v>
      </c>
      <c r="H10" s="340" t="n">
        <f aca="false">IF((F10&lt;&gt;0),IF((D10&gt;0)," ",F10)," ")</f>
        <v>1200</v>
      </c>
      <c r="I10" s="341" t="n">
        <f aca="false">IF((F10&lt;&gt;0),IF((D10&gt;0)," ",(I$1-A10))," ")</f>
        <v>469</v>
      </c>
    </row>
    <row r="11" customFormat="false" ht="12.75" hidden="false" customHeight="false" outlineLevel="0" collapsed="false">
      <c r="A11" s="357" t="n">
        <v>45795</v>
      </c>
      <c r="B11" s="336" t="s">
        <v>243</v>
      </c>
      <c r="F11" s="336" t="n">
        <v>2400</v>
      </c>
      <c r="H11" s="340" t="n">
        <f aca="false">IF((F11&lt;&gt;0),IF((D11&gt;0)," ",F11)," ")</f>
        <v>2400</v>
      </c>
      <c r="I11" s="341" t="n">
        <f aca="false">IF((F11&lt;&gt;0),IF((D11&gt;0)," ",(I$1-A11))," ")</f>
        <v>467</v>
      </c>
    </row>
    <row r="12" customFormat="false" ht="12.75" hidden="false" customHeight="false" outlineLevel="0" collapsed="false">
      <c r="A12" s="357" t="n">
        <v>45802</v>
      </c>
      <c r="B12" s="336" t="s">
        <v>352</v>
      </c>
      <c r="F12" s="336" t="n">
        <v>1200</v>
      </c>
      <c r="H12" s="340" t="n">
        <f aca="false">IF((F12&lt;&gt;0),IF((D12&gt;0)," ",F12)," ")</f>
        <v>1200</v>
      </c>
      <c r="I12" s="341" t="n">
        <f aca="false">IF((F12&lt;&gt;0),IF((D12&gt;0)," ",(I$1-A12))," ")</f>
        <v>460</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272</v>
      </c>
      <c r="C1" s="346" t="n">
        <f aca="false">PurchasesApr!C1+PurchasesMay!F1+SalesMay!$E$1</f>
        <v>0</v>
      </c>
      <c r="D1" s="371" t="s">
        <v>254</v>
      </c>
      <c r="E1" s="373" t="str">
        <f aca="false">IF((G1-SUM(J1:W1)&lt;&gt;0),(G1-SUM(J1:W1))," ")</f>
        <v> </v>
      </c>
      <c r="F1" s="346" t="n">
        <f aca="false">SUM(F5:F300)</f>
        <v>0</v>
      </c>
      <c r="G1" s="345" t="n">
        <f aca="false">SUM(G4:G300)</f>
        <v>12075</v>
      </c>
      <c r="H1" s="374" t="n">
        <f aca="false">SUM(H5:H300)</f>
        <v>12075</v>
      </c>
      <c r="I1" s="375" t="n">
        <f aca="true">TODAY()</f>
        <v>46262</v>
      </c>
      <c r="J1" s="345" t="n">
        <f aca="false">SUM(J5:J300)</f>
        <v>720</v>
      </c>
      <c r="K1" s="345" t="n">
        <f aca="false">SUM(K5:K300)</f>
        <v>0</v>
      </c>
      <c r="L1" s="345" t="n">
        <f aca="false">SUM(L5:L300)</f>
        <v>5700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IF((C1&lt;Admin!$F$22),((C1-PurchasesApr!C1)*Admin!$G$21),(C1*Admin!$G$21-(C1-Admin!$F$21)*(Admin!$G$21-Admin!$G$22)-PurchasesApr!A1))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45778</v>
      </c>
      <c r="B5" s="365" t="s">
        <v>245</v>
      </c>
      <c r="E5" s="367" t="s">
        <v>314</v>
      </c>
      <c r="G5" s="368" t="n">
        <v>1200</v>
      </c>
      <c r="H5" s="340" t="n">
        <f aca="false">IF((G5&lt;&gt;0),IF((D5&gt;0)," ",G5)," ")</f>
        <v>1200</v>
      </c>
      <c r="I5" s="369" t="n">
        <f aca="false">IF((G5&lt;&gt;0),IF((D5&gt;0)," ",(I$1-A5))," ")</f>
        <v>484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45778</v>
      </c>
      <c r="B6" s="365" t="s">
        <v>315</v>
      </c>
      <c r="E6" s="367" t="s">
        <v>316</v>
      </c>
      <c r="G6" s="368" t="n">
        <v>30</v>
      </c>
      <c r="H6" s="340" t="n">
        <f aca="false">IF((G6&lt;&gt;0),IF((D6&gt;0)," ",G6)," ")</f>
        <v>30</v>
      </c>
      <c r="I6" s="369" t="n">
        <f aca="false">IF((G6&lt;&gt;0),IF((D6&gt;0)," ",(I$1-A6))," ")</f>
        <v>484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45778</v>
      </c>
      <c r="B7" s="365" t="s">
        <v>317</v>
      </c>
      <c r="E7" s="367" t="s">
        <v>316</v>
      </c>
      <c r="G7" s="368" t="n">
        <v>15</v>
      </c>
      <c r="H7" s="340" t="n">
        <f aca="false">IF((G7&lt;&gt;0),IF((D7&gt;0)," ",G7)," ")</f>
        <v>15</v>
      </c>
      <c r="I7" s="369" t="n">
        <f aca="false">IF((G7&lt;&gt;0),IF((D7&gt;0)," ",(I$1-A7))," ")</f>
        <v>484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45778</v>
      </c>
      <c r="B8" s="365" t="s">
        <v>318</v>
      </c>
      <c r="E8" s="367" t="s">
        <v>319</v>
      </c>
      <c r="G8" s="368" t="n">
        <v>45</v>
      </c>
      <c r="H8" s="340" t="n">
        <f aca="false">IF((G8&lt;&gt;0),IF((D8&gt;0)," ",G8)," ")</f>
        <v>45</v>
      </c>
      <c r="I8" s="369" t="n">
        <f aca="false">IF((G8&lt;&gt;0),IF((D8&gt;0)," ",(I$1-A8))," ")</f>
        <v>484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45778</v>
      </c>
      <c r="B9" s="365" t="s">
        <v>321</v>
      </c>
      <c r="E9" s="367" t="s">
        <v>319</v>
      </c>
      <c r="G9" s="368" t="n">
        <v>24</v>
      </c>
      <c r="H9" s="340" t="n">
        <f aca="false">IF((G9&lt;&gt;0),IF((D9&gt;0)," ",G9)," ")</f>
        <v>24</v>
      </c>
      <c r="I9" s="369" t="n">
        <f aca="false">IF((G9&lt;&gt;0),IF((D9&gt;0)," ",(I$1-A9))," ")</f>
        <v>484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45778</v>
      </c>
      <c r="B10" s="365" t="s">
        <v>322</v>
      </c>
      <c r="E10" s="367" t="s">
        <v>316</v>
      </c>
      <c r="G10" s="368" t="n">
        <v>18</v>
      </c>
      <c r="H10" s="340" t="n">
        <f aca="false">IF((G10&lt;&gt;0),IF((D10&gt;0)," ",G10)," ")</f>
        <v>18</v>
      </c>
      <c r="I10" s="369" t="n">
        <f aca="false">IF((G10&lt;&gt;0),IF((D10&gt;0)," ",(I$1-A10))," ")</f>
        <v>484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45780</v>
      </c>
      <c r="B11" s="365" t="s">
        <v>323</v>
      </c>
      <c r="E11" s="367" t="s">
        <v>319</v>
      </c>
      <c r="G11" s="368" t="n">
        <v>180</v>
      </c>
      <c r="H11" s="340" t="n">
        <f aca="false">IF((G11&lt;&gt;0),IF((D11&gt;0)," ",G11)," ")</f>
        <v>180</v>
      </c>
      <c r="I11" s="369" t="n">
        <f aca="false">IF((G11&lt;&gt;0),IF((D11&gt;0)," ",(I$1-A11))," ")</f>
        <v>482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45780</v>
      </c>
      <c r="B12" s="365" t="s">
        <v>324</v>
      </c>
      <c r="E12" s="367" t="s">
        <v>319</v>
      </c>
      <c r="G12" s="368" t="n">
        <v>22</v>
      </c>
      <c r="H12" s="340" t="n">
        <f aca="false">IF((G12&lt;&gt;0),IF((D12&gt;0)," ",G12)," ")</f>
        <v>22</v>
      </c>
      <c r="I12" s="369" t="n">
        <f aca="false">IF((G12&lt;&gt;0),IF((D12&gt;0)," ",(I$1-A12))," ")</f>
        <v>482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45782</v>
      </c>
      <c r="B13" s="365" t="s">
        <v>325</v>
      </c>
      <c r="E13" s="367" t="s">
        <v>319</v>
      </c>
      <c r="G13" s="368" t="n">
        <v>24</v>
      </c>
      <c r="H13" s="340" t="n">
        <f aca="false">IF((G13&lt;&gt;0),IF((D13&gt;0)," ",G13)," ")</f>
        <v>24</v>
      </c>
      <c r="I13" s="369" t="n">
        <f aca="false">IF((G13&lt;&gt;0),IF((D13&gt;0)," ",(I$1-A13))," ")</f>
        <v>480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45782</v>
      </c>
      <c r="B14" s="365" t="s">
        <v>326</v>
      </c>
      <c r="E14" s="367" t="s">
        <v>297</v>
      </c>
      <c r="G14" s="368" t="n">
        <v>180</v>
      </c>
      <c r="H14" s="340" t="n">
        <f aca="false">IF((G14&lt;&gt;0),IF((D14&gt;0)," ",G14)," ")</f>
        <v>180</v>
      </c>
      <c r="I14" s="369" t="n">
        <f aca="false">IF((G14&lt;&gt;0),IF((D14&gt;0)," ",(I$1-A14))," ")</f>
        <v>480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45783</v>
      </c>
      <c r="B15" s="365" t="s">
        <v>354</v>
      </c>
      <c r="E15" s="367" t="s">
        <v>329</v>
      </c>
      <c r="G15" s="368" t="n">
        <v>60</v>
      </c>
      <c r="H15" s="340" t="n">
        <f aca="false">IF((G15&lt;&gt;0),IF((D15&gt;0)," ",G15)," ")</f>
        <v>60</v>
      </c>
      <c r="I15" s="369" t="n">
        <f aca="false">IF((G15&lt;&gt;0),IF((D15&gt;0)," ",(I$1-A15))," ")</f>
        <v>479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45785</v>
      </c>
      <c r="B16" s="365" t="s">
        <v>328</v>
      </c>
      <c r="E16" s="367" t="s">
        <v>329</v>
      </c>
      <c r="G16" s="368" t="n">
        <v>48</v>
      </c>
      <c r="H16" s="340" t="n">
        <f aca="false">IF((G16&lt;&gt;0),IF((D16&gt;0)," ",G16)," ")</f>
        <v>48</v>
      </c>
      <c r="I16" s="369" t="n">
        <f aca="false">IF((G16&lt;&gt;0),IF((D16&gt;0)," ",(I$1-A16))," ")</f>
        <v>477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45785</v>
      </c>
      <c r="B17" s="365" t="s">
        <v>355</v>
      </c>
      <c r="E17" s="367" t="s">
        <v>319</v>
      </c>
      <c r="G17" s="368" t="n">
        <v>240</v>
      </c>
      <c r="H17" s="340" t="n">
        <f aca="false">IF((G17&lt;&gt;0),IF((D17&gt;0)," ",G17)," ")</f>
        <v>240</v>
      </c>
      <c r="I17" s="369" t="n">
        <f aca="false">IF((G17&lt;&gt;0),IF((D17&gt;0)," ",(I$1-A17))," ")</f>
        <v>477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row>
    <row r="18" customFormat="false" ht="12.75" hidden="false" customHeight="false" outlineLevel="0" collapsed="false">
      <c r="A18" s="357" t="n">
        <v>45787</v>
      </c>
      <c r="B18" s="365" t="s">
        <v>330</v>
      </c>
      <c r="E18" s="367" t="s">
        <v>319</v>
      </c>
      <c r="G18" s="368" t="n">
        <v>36</v>
      </c>
      <c r="H18" s="340" t="n">
        <f aca="false">IF((G18&lt;&gt;0),IF((D18&gt;0)," ",G18)," ")</f>
        <v>36</v>
      </c>
      <c r="I18" s="369" t="n">
        <f aca="false">IF((G18&lt;&gt;0),IF((D18&gt;0)," ",(I$1-A18))," ")</f>
        <v>475</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45787</v>
      </c>
      <c r="B19" s="365" t="s">
        <v>356</v>
      </c>
      <c r="E19" s="367" t="s">
        <v>357</v>
      </c>
      <c r="G19" s="368" t="n">
        <v>600</v>
      </c>
      <c r="H19" s="340" t="n">
        <f aca="false">IF((G19&lt;&gt;0),IF((D19&gt;0)," ",G19)," ")</f>
        <v>600</v>
      </c>
      <c r="I19" s="369" t="n">
        <f aca="false">IF((G19&lt;&gt;0),IF((D19&gt;0)," ",(I$1-A19))," ")</f>
        <v>475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45789</v>
      </c>
      <c r="B20" s="365" t="s">
        <v>334</v>
      </c>
      <c r="E20" s="367" t="s">
        <v>297</v>
      </c>
      <c r="G20" s="368" t="n">
        <v>18</v>
      </c>
      <c r="H20" s="340" t="n">
        <f aca="false">IF((G20&lt;&gt;0),IF((D20&gt;0)," ",G20)," ")</f>
        <v>18</v>
      </c>
      <c r="I20" s="369" t="n">
        <f aca="false">IF((G20&lt;&gt;0),IF((D20&gt;0)," ",(I$1-A20))," ")</f>
        <v>473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45791</v>
      </c>
      <c r="B21" s="365" t="s">
        <v>336</v>
      </c>
      <c r="D21" s="365"/>
      <c r="E21" s="367" t="s">
        <v>329</v>
      </c>
      <c r="G21" s="368" t="n">
        <v>24</v>
      </c>
      <c r="H21" s="340" t="n">
        <f aca="false">IF((G21&lt;&gt;0),IF((D21&gt;0)," ",G21)," ")</f>
        <v>24</v>
      </c>
      <c r="I21" s="369" t="n">
        <f aca="false">IF((G21&lt;&gt;0),IF((D21&gt;0)," ",(I$1-A21))," ")</f>
        <v>471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45791</v>
      </c>
      <c r="B22" s="365" t="s">
        <v>337</v>
      </c>
      <c r="D22" s="395"/>
      <c r="E22" s="367" t="s">
        <v>329</v>
      </c>
      <c r="G22" s="368" t="n">
        <v>12</v>
      </c>
      <c r="H22" s="340" t="n">
        <f aca="false">IF((G22&lt;&gt;0),IF((D22&gt;0)," ",G22)," ")</f>
        <v>12</v>
      </c>
      <c r="I22" s="369" t="n">
        <f aca="false">IF((G22&lt;&gt;0),IF((D22&gt;0)," ",(I$1-A22))," ")</f>
        <v>471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45792</v>
      </c>
      <c r="B23" s="365" t="s">
        <v>249</v>
      </c>
      <c r="E23" s="367" t="s">
        <v>297</v>
      </c>
      <c r="G23" s="368" t="n">
        <v>150</v>
      </c>
      <c r="H23" s="340" t="n">
        <f aca="false">IF((G23&lt;&gt;0),IF((D23&gt;0)," ",G23)," ")</f>
        <v>150</v>
      </c>
      <c r="I23" s="369" t="n">
        <f aca="false">IF((G23&lt;&gt;0),IF((D23&gt;0)," ",(I$1-A23))," ")</f>
        <v>470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45792</v>
      </c>
      <c r="B24" s="365" t="s">
        <v>338</v>
      </c>
      <c r="E24" s="367" t="s">
        <v>316</v>
      </c>
      <c r="G24" s="368" t="n">
        <v>12</v>
      </c>
      <c r="H24" s="340" t="n">
        <f aca="false">IF((G24&lt;&gt;0),IF((D24&gt;0)," ",G24)," ")</f>
        <v>12</v>
      </c>
      <c r="I24" s="369" t="n">
        <f aca="false">IF((G24&lt;&gt;0),IF((D24&gt;0)," ",(I$1-A24))," ")</f>
        <v>470</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45792</v>
      </c>
      <c r="B25" s="365" t="s">
        <v>358</v>
      </c>
      <c r="E25" s="367" t="s">
        <v>333</v>
      </c>
      <c r="G25" s="368" t="n">
        <v>480</v>
      </c>
      <c r="H25" s="340" t="n">
        <f aca="false">IF((G25&lt;&gt;0),IF((D25&gt;0)," ",G25)," ")</f>
        <v>480</v>
      </c>
      <c r="I25" s="369" t="n">
        <f aca="false">IF((G25&lt;&gt;0),IF((D25&gt;0)," ",(I$1-A25))," ")</f>
        <v>470</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45792</v>
      </c>
      <c r="B26" s="365" t="s">
        <v>359</v>
      </c>
      <c r="E26" s="367" t="s">
        <v>360</v>
      </c>
      <c r="G26" s="368" t="n">
        <v>1800</v>
      </c>
      <c r="H26" s="340" t="n">
        <f aca="false">IF((G26&lt;&gt;0),IF((D26&gt;0)," ",G26)," ")</f>
        <v>1800</v>
      </c>
      <c r="I26" s="369" t="n">
        <f aca="false">IF((G26&lt;&gt;0),IF((D26&gt;0)," ",(I$1-A26))," ")</f>
        <v>470</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row>
    <row r="27" customFormat="false" ht="12.75" hidden="false" customHeight="false" outlineLevel="0" collapsed="false">
      <c r="A27" s="357" t="n">
        <v>45793</v>
      </c>
      <c r="B27" s="365" t="s">
        <v>361</v>
      </c>
      <c r="E27" s="367" t="s">
        <v>316</v>
      </c>
      <c r="G27" s="368" t="n">
        <v>18</v>
      </c>
      <c r="H27" s="340" t="n">
        <f aca="false">IF((G27&lt;&gt;0),IF((D27&gt;0)," ",G27)," ")</f>
        <v>18</v>
      </c>
      <c r="I27" s="369" t="n">
        <f aca="false">IF((G27&lt;&gt;0),IF((D27&gt;0)," ",(I$1-A27))," ")</f>
        <v>469</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45795</v>
      </c>
      <c r="B28" s="365" t="s">
        <v>339</v>
      </c>
      <c r="E28" s="367" t="s">
        <v>297</v>
      </c>
      <c r="G28" s="368" t="n">
        <v>96</v>
      </c>
      <c r="H28" s="340" t="n">
        <f aca="false">IF((G28&lt;&gt;0),IF((D28&gt;0)," ",G28)," ")</f>
        <v>96</v>
      </c>
      <c r="I28" s="369" t="n">
        <f aca="false">IF((G28&lt;&gt;0),IF((D28&gt;0)," ",(I$1-A28))," ")</f>
        <v>467</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45797</v>
      </c>
      <c r="B29" s="365" t="s">
        <v>248</v>
      </c>
      <c r="E29" s="367" t="s">
        <v>316</v>
      </c>
      <c r="G29" s="368" t="n">
        <v>60</v>
      </c>
      <c r="H29" s="340" t="n">
        <f aca="false">IF((G29&lt;&gt;0),IF((D29&gt;0)," ",G29)," ")</f>
        <v>60</v>
      </c>
      <c r="I29" s="369" t="n">
        <f aca="false">IF((G29&lt;&gt;0),IF((D29&gt;0)," ",(I$1-A29))," ")</f>
        <v>465</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45797</v>
      </c>
      <c r="B30" s="365" t="s">
        <v>362</v>
      </c>
      <c r="E30" s="367" t="s">
        <v>319</v>
      </c>
      <c r="G30" s="368" t="n">
        <v>180</v>
      </c>
      <c r="H30" s="340" t="n">
        <f aca="false">IF((G30&lt;&gt;0),IF((D30&gt;0)," ",G30)," ")</f>
        <v>180</v>
      </c>
      <c r="I30" s="369" t="n">
        <f aca="false">IF((G30&lt;&gt;0),IF((D30&gt;0)," ",(I$1-A30))," ")</f>
        <v>465</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row>
    <row r="31" customFormat="false" ht="12.75" hidden="false" customHeight="false" outlineLevel="0" collapsed="false">
      <c r="A31" s="357" t="n">
        <v>45797</v>
      </c>
      <c r="B31" s="365" t="s">
        <v>363</v>
      </c>
      <c r="E31" s="367" t="s">
        <v>333</v>
      </c>
      <c r="G31" s="368" t="n">
        <v>240</v>
      </c>
      <c r="H31" s="340" t="n">
        <f aca="false">IF((G31&lt;&gt;0),IF((D31&gt;0)," ",G31)," ")</f>
        <v>240</v>
      </c>
      <c r="I31" s="369" t="n">
        <f aca="false">IF((G31&lt;&gt;0),IF((D31&gt;0)," ",(I$1-A31))," ")</f>
        <v>465</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45798</v>
      </c>
      <c r="B32" s="365" t="s">
        <v>342</v>
      </c>
      <c r="E32" s="367" t="s">
        <v>329</v>
      </c>
      <c r="G32" s="368" t="n">
        <v>8</v>
      </c>
      <c r="H32" s="340" t="n">
        <f aca="false">IF((G32&lt;&gt;0),IF((D32&gt;0)," ",G32)," ")</f>
        <v>8</v>
      </c>
      <c r="I32" s="369" t="n">
        <f aca="false">IF((G32&lt;&gt;0),IF((D32&gt;0)," ",(I$1-A32))," ")</f>
        <v>464</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45799</v>
      </c>
      <c r="B33" s="365" t="s">
        <v>343</v>
      </c>
      <c r="E33" s="367" t="s">
        <v>319</v>
      </c>
      <c r="G33" s="368" t="n">
        <v>18</v>
      </c>
      <c r="H33" s="340" t="n">
        <f aca="false">IF((G33&lt;&gt;0),IF((D33&gt;0)," ",G33)," ")</f>
        <v>18</v>
      </c>
      <c r="I33" s="369" t="n">
        <f aca="false">IF((G33&lt;&gt;0),IF((D33&gt;0)," ",(I$1-A33))," ")</f>
        <v>463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row>
    <row r="34" customFormat="false" ht="12.75" hidden="false" customHeight="false" outlineLevel="0" collapsed="false">
      <c r="A34" s="357" t="n">
        <v>45799</v>
      </c>
      <c r="B34" s="365" t="s">
        <v>364</v>
      </c>
      <c r="E34" s="367" t="s">
        <v>297</v>
      </c>
      <c r="G34" s="368" t="n">
        <v>48</v>
      </c>
      <c r="H34" s="340" t="n">
        <f aca="false">IF((G34&lt;&gt;0),IF((D34&gt;0)," ",G34)," ")</f>
        <v>48</v>
      </c>
      <c r="I34" s="369" t="n">
        <f aca="false">IF((G34&lt;&gt;0),IF((D34&gt;0)," ",(I$1-A34))," ")</f>
        <v>463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45802</v>
      </c>
      <c r="B35" s="365" t="s">
        <v>344</v>
      </c>
      <c r="E35" s="367" t="s">
        <v>319</v>
      </c>
      <c r="G35" s="368" t="n">
        <v>15</v>
      </c>
      <c r="H35" s="340" t="n">
        <f aca="false">IF((G35&lt;&gt;0),IF((D35&gt;0)," ",G35)," ")</f>
        <v>15</v>
      </c>
      <c r="I35" s="369" t="n">
        <f aca="false">IF((G35&lt;&gt;0),IF((D35&gt;0)," ",(I$1-A35))," ")</f>
        <v>460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45802</v>
      </c>
      <c r="B36" s="365" t="s">
        <v>345</v>
      </c>
      <c r="E36" s="367" t="s">
        <v>297</v>
      </c>
      <c r="G36" s="368" t="n">
        <v>54</v>
      </c>
      <c r="H36" s="340" t="n">
        <f aca="false">IF((G36&lt;&gt;0),IF((D36&gt;0)," ",G36)," ")</f>
        <v>54</v>
      </c>
      <c r="I36" s="369" t="n">
        <f aca="false">IF((G36&lt;&gt;0),IF((D36&gt;0)," ",(I$1-A36))," ")</f>
        <v>460</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54</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45805</v>
      </c>
      <c r="B37" s="365" t="s">
        <v>249</v>
      </c>
      <c r="E37" s="367" t="s">
        <v>297</v>
      </c>
      <c r="G37" s="368" t="n">
        <v>120</v>
      </c>
      <c r="H37" s="340" t="n">
        <f aca="false">IF((G37&lt;&gt;0),IF((D37&gt;0)," ",G37)," ")</f>
        <v>120</v>
      </c>
      <c r="I37" s="369" t="n">
        <f aca="false">IF((G37&lt;&gt;0),IF((D37&gt;0)," ",(I$1-A37))," ")</f>
        <v>457</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45808</v>
      </c>
      <c r="B38" s="365" t="s">
        <v>246</v>
      </c>
      <c r="E38" s="367" t="s">
        <v>346</v>
      </c>
      <c r="G38" s="368" t="n">
        <v>300</v>
      </c>
      <c r="H38" s="340" t="n">
        <f aca="false">IF((G38&lt;&gt;0),IF((D38&gt;0)," ",G38)," ")</f>
        <v>300</v>
      </c>
      <c r="I38" s="369" t="n">
        <f aca="false">IF((G38&lt;&gt;0),IF((D38&gt;0)," ",(I$1-A38))," ")</f>
        <v>454</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45808</v>
      </c>
      <c r="B39" s="365" t="s">
        <v>347</v>
      </c>
      <c r="E39" s="367" t="s">
        <v>348</v>
      </c>
      <c r="G39" s="368" t="n">
        <v>3500</v>
      </c>
      <c r="H39" s="340" t="n">
        <f aca="false">IF((G39&lt;&gt;0),IF((D39&gt;0)," ",G39)," ")</f>
        <v>3500</v>
      </c>
      <c r="I39" s="369" t="n">
        <f aca="false">IF((G39&lt;&gt;0),IF((D39&gt;0)," ",(I$1-A39))," ")</f>
        <v>454</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t="n">
        <v>45808</v>
      </c>
      <c r="B40" s="365" t="s">
        <v>349</v>
      </c>
      <c r="E40" s="367" t="s">
        <v>348</v>
      </c>
      <c r="G40" s="368" t="n">
        <v>2200</v>
      </c>
      <c r="H40" s="340" t="n">
        <f aca="false">IF((G40&lt;&gt;0),IF((D40&gt;0)," ",G40)," ")</f>
        <v>2200</v>
      </c>
      <c r="I40" s="369" t="n">
        <f aca="false">IF((G40&lt;&gt;0),IF((D40&gt;0)," ",(I$1-A40))," ")</f>
        <v>454</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35200</v>
      </c>
      <c r="G1" s="345" t="n">
        <f aca="false">SUM(G4:G300)</f>
        <v>0</v>
      </c>
      <c r="H1" s="347" t="n">
        <f aca="false">SUM(H4:H300)</f>
        <v>35200</v>
      </c>
      <c r="I1" s="348" t="n">
        <f aca="true">TODAY()</f>
        <v>46262</v>
      </c>
      <c r="J1" s="345" t="n">
        <f aca="false">SUM(J4:J300)</f>
        <v>0</v>
      </c>
      <c r="K1" s="349" t="n">
        <f aca="false">J1+SalesMay!K1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45811</v>
      </c>
      <c r="B4" s="336" t="s">
        <v>265</v>
      </c>
      <c r="F4" s="336" t="n">
        <v>360</v>
      </c>
      <c r="H4" s="340" t="n">
        <f aca="false">IF((F4&lt;&gt;0),IF((D4&gt;0)," ",F4)," ")</f>
        <v>360</v>
      </c>
      <c r="I4" s="341" t="n">
        <f aca="false">IF((F4&lt;&gt;0),IF((D4&gt;0)," ",(I$1-A4))," ")</f>
        <v>451</v>
      </c>
    </row>
    <row r="5" customFormat="false" ht="12.75" hidden="false" customHeight="false" outlineLevel="0" collapsed="false">
      <c r="A5" s="357" t="n">
        <v>45813</v>
      </c>
      <c r="B5" s="336" t="s">
        <v>266</v>
      </c>
      <c r="F5" s="336" t="n">
        <v>600</v>
      </c>
      <c r="H5" s="340" t="n">
        <f aca="false">IF((F5&lt;&gt;0),IF((D5&gt;0)," ",F5)," ")</f>
        <v>600</v>
      </c>
      <c r="I5" s="341" t="n">
        <f aca="false">IF((F5&lt;&gt;0),IF((D5&gt;0)," ",(I$1-A5))," ")</f>
        <v>449</v>
      </c>
    </row>
    <row r="6" customFormat="false" ht="12.75" hidden="false" customHeight="false" outlineLevel="0" collapsed="false">
      <c r="A6" s="357" t="n">
        <v>45816</v>
      </c>
      <c r="B6" s="336" t="s">
        <v>267</v>
      </c>
      <c r="F6" s="336" t="n">
        <v>480</v>
      </c>
      <c r="H6" s="340" t="n">
        <f aca="false">IF((F6&lt;&gt;0),IF((D6&gt;0)," ",F6)," ")</f>
        <v>480</v>
      </c>
      <c r="I6" s="341" t="n">
        <f aca="false">IF((F6&lt;&gt;0),IF((D6&gt;0)," ",(I$1-A6))," ")</f>
        <v>446</v>
      </c>
    </row>
    <row r="7" customFormat="false" ht="12.75" hidden="false" customHeight="false" outlineLevel="0" collapsed="false">
      <c r="A7" s="357" t="n">
        <v>45818</v>
      </c>
      <c r="B7" s="336" t="s">
        <v>268</v>
      </c>
      <c r="F7" s="336" t="n">
        <v>720</v>
      </c>
      <c r="H7" s="340" t="n">
        <f aca="false">IF((F7&lt;&gt;0),IF((D7&gt;0)," ",F7)," ")</f>
        <v>720</v>
      </c>
      <c r="I7" s="341" t="n">
        <f aca="false">IF((F7&lt;&gt;0),IF((D7&gt;0)," ",(I$1-A7))," ")</f>
        <v>444</v>
      </c>
    </row>
    <row r="8" customFormat="false" ht="12.75" hidden="false" customHeight="false" outlineLevel="0" collapsed="false">
      <c r="A8" s="357" t="n">
        <v>45823</v>
      </c>
      <c r="B8" s="336" t="s">
        <v>241</v>
      </c>
      <c r="F8" s="336" t="n">
        <v>25000</v>
      </c>
      <c r="H8" s="340" t="n">
        <f aca="false">IF((F8&lt;&gt;0),IF((D8&gt;0)," ",F8)," ")</f>
        <v>25000</v>
      </c>
      <c r="I8" s="341" t="n">
        <f aca="false">IF((F8&lt;&gt;0),IF((D8&gt;0)," ",(I$1-A8))," ")</f>
        <v>439</v>
      </c>
    </row>
    <row r="9" customFormat="false" ht="12.75" hidden="false" customHeight="false" outlineLevel="0" collapsed="false">
      <c r="A9" s="357" t="n">
        <v>45826</v>
      </c>
      <c r="B9" s="336" t="s">
        <v>243</v>
      </c>
      <c r="F9" s="336" t="n">
        <v>2400</v>
      </c>
      <c r="H9" s="340" t="n">
        <f aca="false">IF((F9&lt;&gt;0),IF((D9&gt;0)," ",F9)," ")</f>
        <v>2400</v>
      </c>
      <c r="I9" s="341" t="n">
        <f aca="false">IF((F9&lt;&gt;0),IF((D9&gt;0)," ",(I$1-A9))," ")</f>
        <v>436</v>
      </c>
    </row>
    <row r="10" customFormat="false" ht="12.75" hidden="false" customHeight="false" outlineLevel="0" collapsed="false">
      <c r="A10" s="357" t="n">
        <v>45828</v>
      </c>
      <c r="B10" s="336" t="s">
        <v>269</v>
      </c>
      <c r="F10" s="336" t="n">
        <v>1800</v>
      </c>
      <c r="H10" s="340" t="n">
        <f aca="false">IF((F10&lt;&gt;0),IF((D10&gt;0)," ",F10)," ")</f>
        <v>1800</v>
      </c>
      <c r="I10" s="341" t="n">
        <f aca="false">IF((F10&lt;&gt;0),IF((D10&gt;0)," ",(I$1-A10))," ")</f>
        <v>434</v>
      </c>
    </row>
    <row r="11" customFormat="false" ht="12.75" hidden="false" customHeight="false" outlineLevel="0" collapsed="false">
      <c r="A11" s="357" t="n">
        <v>45828</v>
      </c>
      <c r="B11" s="336" t="s">
        <v>244</v>
      </c>
      <c r="F11" s="336" t="n">
        <v>2400</v>
      </c>
      <c r="H11" s="340" t="n">
        <f aca="false">IF((F11&lt;&gt;0),IF((D11&gt;0)," ",F11)," ")</f>
        <v>2400</v>
      </c>
      <c r="I11" s="341" t="n">
        <f aca="false">IF((F11&lt;&gt;0),IF((D11&gt;0)," ",(I$1-A11))," ")</f>
        <v>434</v>
      </c>
    </row>
    <row r="12" customFormat="false" ht="12.75" hidden="false" customHeight="false" outlineLevel="0" collapsed="false">
      <c r="A12" s="357" t="n">
        <v>45830</v>
      </c>
      <c r="B12" s="336" t="s">
        <v>365</v>
      </c>
      <c r="F12" s="336" t="n">
        <v>1440</v>
      </c>
      <c r="H12" s="340" t="n">
        <f aca="false">IF((F12&lt;&gt;0),IF((D12&gt;0)," ",F12)," ")</f>
        <v>1440</v>
      </c>
      <c r="I12" s="341" t="n">
        <f aca="false">IF((F12&lt;&gt;0),IF((D12&gt;0)," ",(I$1-A12))," ")</f>
        <v>432</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272</v>
      </c>
      <c r="C1" s="346" t="n">
        <f aca="false">PurchasesMay!C1+PurchasesJun!F1+SalesJun!$E$1</f>
        <v>0</v>
      </c>
      <c r="D1" s="371" t="s">
        <v>254</v>
      </c>
      <c r="E1" s="373" t="str">
        <f aca="false">IF((G1-SUM(J1:W1)&lt;&gt;0),(G1-SUM(J1:W1))," ")</f>
        <v> </v>
      </c>
      <c r="F1" s="346" t="n">
        <f aca="false">SUM(F5:F300)</f>
        <v>0</v>
      </c>
      <c r="G1" s="345" t="n">
        <f aca="false">SUM(G4:G300)</f>
        <v>14757</v>
      </c>
      <c r="H1" s="374" t="n">
        <f aca="false">SUM(H5:H300)</f>
        <v>14757</v>
      </c>
      <c r="I1" s="375" t="n">
        <f aca="true">TODAY()</f>
        <v>46262</v>
      </c>
      <c r="J1" s="345" t="n">
        <f aca="false">SUM(J5:J300)</f>
        <v>360</v>
      </c>
      <c r="K1" s="345" t="n">
        <f aca="false">SUM(K5:K300)</f>
        <v>5000</v>
      </c>
      <c r="L1" s="345" t="n">
        <f aca="false">SUM(L5:L300)</f>
        <v>5700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IF((C1&lt;Admin!$F$22),((C1-PurchasesMay!C1)*Admin!$G$21),(C1*Admin!$G$21-(C1-Admin!$F$21)*(Admin!$G$21-Admin!$G$22)-PurchasesMay!A1))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45809</v>
      </c>
      <c r="B5" s="365" t="s">
        <v>245</v>
      </c>
      <c r="E5" s="367" t="s">
        <v>314</v>
      </c>
      <c r="G5" s="368" t="n">
        <v>1200</v>
      </c>
      <c r="H5" s="340" t="n">
        <f aca="false">IF((G5&lt;&gt;0),IF((D5&gt;0)," ",G5)," ")</f>
        <v>1200</v>
      </c>
      <c r="I5" s="369" t="n">
        <f aca="false">IF((G5&lt;&gt;0),IF((D5&gt;0)," ",(I$1-A5))," ")</f>
        <v>453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45809</v>
      </c>
      <c r="B6" s="365" t="s">
        <v>315</v>
      </c>
      <c r="E6" s="367" t="s">
        <v>316</v>
      </c>
      <c r="G6" s="368" t="n">
        <v>30</v>
      </c>
      <c r="H6" s="340" t="n">
        <f aca="false">IF((G6&lt;&gt;0),IF((D6&gt;0)," ",G6)," ")</f>
        <v>30</v>
      </c>
      <c r="I6" s="369" t="n">
        <f aca="false">IF((G6&lt;&gt;0),IF((D6&gt;0)," ",(I$1-A6))," ")</f>
        <v>453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45809</v>
      </c>
      <c r="B7" s="365" t="s">
        <v>317</v>
      </c>
      <c r="E7" s="367" t="s">
        <v>316</v>
      </c>
      <c r="G7" s="368" t="n">
        <v>15</v>
      </c>
      <c r="H7" s="340" t="n">
        <f aca="false">IF((G7&lt;&gt;0),IF((D7&gt;0)," ",G7)," ")</f>
        <v>15</v>
      </c>
      <c r="I7" s="369" t="n">
        <f aca="false">IF((G7&lt;&gt;0),IF((D7&gt;0)," ",(I$1-A7))," ")</f>
        <v>453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45809</v>
      </c>
      <c r="B8" s="365" t="s">
        <v>318</v>
      </c>
      <c r="E8" s="367" t="s">
        <v>319</v>
      </c>
      <c r="G8" s="368" t="n">
        <v>45</v>
      </c>
      <c r="H8" s="340" t="n">
        <f aca="false">IF((G8&lt;&gt;0),IF((D8&gt;0)," ",G8)," ")</f>
        <v>45</v>
      </c>
      <c r="I8" s="369" t="n">
        <f aca="false">IF((G8&lt;&gt;0),IF((D8&gt;0)," ",(I$1-A8))," ")</f>
        <v>453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45809</v>
      </c>
      <c r="B9" s="365" t="s">
        <v>321</v>
      </c>
      <c r="E9" s="367" t="s">
        <v>319</v>
      </c>
      <c r="G9" s="368" t="n">
        <v>24</v>
      </c>
      <c r="H9" s="340" t="n">
        <f aca="false">IF((G9&lt;&gt;0),IF((D9&gt;0)," ",G9)," ")</f>
        <v>24</v>
      </c>
      <c r="I9" s="369" t="n">
        <f aca="false">IF((G9&lt;&gt;0),IF((D9&gt;0)," ",(I$1-A9))," ")</f>
        <v>453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45809</v>
      </c>
      <c r="B10" s="365" t="s">
        <v>322</v>
      </c>
      <c r="E10" s="367" t="s">
        <v>316</v>
      </c>
      <c r="G10" s="368" t="n">
        <v>18</v>
      </c>
      <c r="H10" s="340" t="n">
        <f aca="false">IF((G10&lt;&gt;0),IF((D10&gt;0)," ",G10)," ")</f>
        <v>18</v>
      </c>
      <c r="I10" s="369" t="n">
        <f aca="false">IF((G10&lt;&gt;0),IF((D10&gt;0)," ",(I$1-A10))," ")</f>
        <v>453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45811</v>
      </c>
      <c r="B11" s="365" t="s">
        <v>323</v>
      </c>
      <c r="E11" s="367" t="s">
        <v>319</v>
      </c>
      <c r="G11" s="368" t="n">
        <v>180</v>
      </c>
      <c r="H11" s="340" t="n">
        <f aca="false">IF((G11&lt;&gt;0),IF((D11&gt;0)," ",G11)," ")</f>
        <v>180</v>
      </c>
      <c r="I11" s="369" t="n">
        <f aca="false">IF((G11&lt;&gt;0),IF((D11&gt;0)," ",(I$1-A11))," ")</f>
        <v>451</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45811</v>
      </c>
      <c r="B12" s="365" t="s">
        <v>324</v>
      </c>
      <c r="E12" s="367" t="s">
        <v>319</v>
      </c>
      <c r="G12" s="368" t="n">
        <v>22</v>
      </c>
      <c r="H12" s="340" t="n">
        <f aca="false">IF((G12&lt;&gt;0),IF((D12&gt;0)," ",G12)," ")</f>
        <v>22</v>
      </c>
      <c r="I12" s="369" t="n">
        <f aca="false">IF((G12&lt;&gt;0),IF((D12&gt;0)," ",(I$1-A12))," ")</f>
        <v>451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45813</v>
      </c>
      <c r="B13" s="365" t="s">
        <v>325</v>
      </c>
      <c r="E13" s="367" t="s">
        <v>319</v>
      </c>
      <c r="G13" s="368" t="n">
        <v>24</v>
      </c>
      <c r="H13" s="340" t="n">
        <f aca="false">IF((G13&lt;&gt;0),IF((D13&gt;0)," ",G13)," ")</f>
        <v>24</v>
      </c>
      <c r="I13" s="369" t="n">
        <f aca="false">IF((G13&lt;&gt;0),IF((D13&gt;0)," ",(I$1-A13))," ")</f>
        <v>449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45813</v>
      </c>
      <c r="B14" s="365" t="s">
        <v>326</v>
      </c>
      <c r="E14" s="367" t="s">
        <v>297</v>
      </c>
      <c r="G14" s="368" t="n">
        <v>180</v>
      </c>
      <c r="H14" s="340" t="n">
        <f aca="false">IF((G14&lt;&gt;0),IF((D14&gt;0)," ",G14)," ")</f>
        <v>180</v>
      </c>
      <c r="I14" s="369" t="n">
        <f aca="false">IF((G14&lt;&gt;0),IF((D14&gt;0)," ",(I$1-A14))," ")</f>
        <v>449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45813</v>
      </c>
      <c r="B15" s="365" t="s">
        <v>327</v>
      </c>
      <c r="E15" s="367" t="s">
        <v>319</v>
      </c>
      <c r="G15" s="368" t="n">
        <v>36</v>
      </c>
      <c r="H15" s="340" t="n">
        <f aca="false">IF((G15&lt;&gt;0),IF((D15&gt;0)," ",G15)," ")</f>
        <v>36</v>
      </c>
      <c r="I15" s="369" t="n">
        <f aca="false">IF((G15&lt;&gt;0),IF((D15&gt;0)," ",(I$1-A15))," ")</f>
        <v>449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45816</v>
      </c>
      <c r="B16" s="365" t="s">
        <v>328</v>
      </c>
      <c r="E16" s="367" t="s">
        <v>329</v>
      </c>
      <c r="G16" s="368" t="n">
        <v>48</v>
      </c>
      <c r="H16" s="340" t="n">
        <f aca="false">IF((G16&lt;&gt;0),IF((D16&gt;0)," ",G16)," ")</f>
        <v>48</v>
      </c>
      <c r="I16" s="369" t="n">
        <f aca="false">IF((G16&lt;&gt;0),IF((D16&gt;0)," ",(I$1-A16))," ")</f>
        <v>446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45818</v>
      </c>
      <c r="B17" s="365" t="s">
        <v>330</v>
      </c>
      <c r="E17" s="367" t="s">
        <v>319</v>
      </c>
      <c r="G17" s="368" t="n">
        <v>36</v>
      </c>
      <c r="H17" s="340" t="n">
        <f aca="false">IF((G17&lt;&gt;0),IF((D17&gt;0)," ",G17)," ")</f>
        <v>36</v>
      </c>
      <c r="I17" s="369" t="n">
        <f aca="false">IF((G17&lt;&gt;0),IF((D17&gt;0)," ",(I$1-A17))," ")</f>
        <v>444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45818</v>
      </c>
      <c r="B18" s="365" t="s">
        <v>366</v>
      </c>
      <c r="E18" s="367" t="s">
        <v>316</v>
      </c>
      <c r="G18" s="368" t="n">
        <v>96</v>
      </c>
      <c r="H18" s="340" t="n">
        <f aca="false">IF((G18&lt;&gt;0),IF((D18&gt;0)," ",G18)," ")</f>
        <v>96</v>
      </c>
      <c r="I18" s="369" t="n">
        <f aca="false">IF((G18&lt;&gt;0),IF((D18&gt;0)," ",(I$1-A18))," ")</f>
        <v>444</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45820</v>
      </c>
      <c r="B19" s="365" t="s">
        <v>334</v>
      </c>
      <c r="E19" s="367" t="s">
        <v>297</v>
      </c>
      <c r="G19" s="368" t="n">
        <v>18</v>
      </c>
      <c r="H19" s="340" t="n">
        <f aca="false">IF((G19&lt;&gt;0),IF((D19&gt;0)," ",G19)," ")</f>
        <v>18</v>
      </c>
      <c r="I19" s="369" t="n">
        <f aca="false">IF((G19&lt;&gt;0),IF((D19&gt;0)," ",(I$1-A19))," ")</f>
        <v>442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45822</v>
      </c>
      <c r="B20" s="365" t="s">
        <v>335</v>
      </c>
      <c r="E20" s="367" t="s">
        <v>319</v>
      </c>
      <c r="G20" s="368" t="n">
        <v>30</v>
      </c>
      <c r="H20" s="340" t="n">
        <f aca="false">IF((G20&lt;&gt;0),IF((D20&gt;0)," ",G20)," ")</f>
        <v>30</v>
      </c>
      <c r="I20" s="369" t="n">
        <f aca="false">IF((G20&lt;&gt;0),IF((D20&gt;0)," ",(I$1-A20))," ")</f>
        <v>440</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row>
    <row r="21" customFormat="false" ht="12.75" hidden="false" customHeight="false" outlineLevel="0" collapsed="false">
      <c r="A21" s="357" t="n">
        <v>45822</v>
      </c>
      <c r="B21" s="365" t="s">
        <v>336</v>
      </c>
      <c r="D21" s="365"/>
      <c r="E21" s="367" t="s">
        <v>329</v>
      </c>
      <c r="G21" s="368" t="n">
        <v>24</v>
      </c>
      <c r="H21" s="340" t="n">
        <f aca="false">IF((G21&lt;&gt;0),IF((D21&gt;0)," ",G21)," ")</f>
        <v>24</v>
      </c>
      <c r="I21" s="369" t="n">
        <f aca="false">IF((G21&lt;&gt;0),IF((D21&gt;0)," ",(I$1-A21))," ")</f>
        <v>440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45822</v>
      </c>
      <c r="B22" s="365" t="s">
        <v>337</v>
      </c>
      <c r="D22" s="395"/>
      <c r="E22" s="367" t="s">
        <v>329</v>
      </c>
      <c r="G22" s="368" t="n">
        <v>12</v>
      </c>
      <c r="H22" s="340" t="n">
        <f aca="false">IF((G22&lt;&gt;0),IF((D22&gt;0)," ",G22)," ")</f>
        <v>12</v>
      </c>
      <c r="I22" s="369" t="n">
        <f aca="false">IF((G22&lt;&gt;0),IF((D22&gt;0)," ",(I$1-A22))," ")</f>
        <v>440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45823</v>
      </c>
      <c r="B23" s="365" t="s">
        <v>249</v>
      </c>
      <c r="E23" s="367" t="s">
        <v>297</v>
      </c>
      <c r="G23" s="368" t="n">
        <v>150</v>
      </c>
      <c r="H23" s="340" t="n">
        <f aca="false">IF((G23&lt;&gt;0),IF((D23&gt;0)," ",G23)," ")</f>
        <v>150</v>
      </c>
      <c r="I23" s="369" t="n">
        <f aca="false">IF((G23&lt;&gt;0),IF((D23&gt;0)," ",(I$1-A23))," ")</f>
        <v>439</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45823</v>
      </c>
      <c r="B24" s="365" t="s">
        <v>338</v>
      </c>
      <c r="E24" s="367" t="s">
        <v>316</v>
      </c>
      <c r="G24" s="368" t="n">
        <v>12</v>
      </c>
      <c r="H24" s="340" t="n">
        <f aca="false">IF((G24&lt;&gt;0),IF((D24&gt;0)," ",G24)," ")</f>
        <v>12</v>
      </c>
      <c r="I24" s="369" t="n">
        <f aca="false">IF((G24&lt;&gt;0),IF((D24&gt;0)," ",(I$1-A24))," ")</f>
        <v>439</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45823</v>
      </c>
      <c r="B25" s="365" t="s">
        <v>367</v>
      </c>
      <c r="E25" s="367" t="s">
        <v>368</v>
      </c>
      <c r="G25" s="368" t="n">
        <v>5000</v>
      </c>
      <c r="H25" s="340" t="n">
        <f aca="false">IF((G25&lt;&gt;0),IF((D25&gt;0)," ",G25)," ")</f>
        <v>5000</v>
      </c>
      <c r="I25" s="369" t="n">
        <f aca="false">IF((G25&lt;&gt;0),IF((D25&gt;0)," ",(I$1-A25))," ")</f>
        <v>439</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45826</v>
      </c>
      <c r="B26" s="365" t="s">
        <v>369</v>
      </c>
      <c r="E26" s="367" t="s">
        <v>329</v>
      </c>
      <c r="G26" s="368" t="n">
        <v>180</v>
      </c>
      <c r="H26" s="340" t="n">
        <f aca="false">IF((G26&lt;&gt;0),IF((D26&gt;0)," ",G26)," ")</f>
        <v>180</v>
      </c>
      <c r="I26" s="369" t="n">
        <f aca="false">IF((G26&lt;&gt;0),IF((D26&gt;0)," ",(I$1-A26))," ")</f>
        <v>436</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45826</v>
      </c>
      <c r="B27" s="365" t="s">
        <v>370</v>
      </c>
      <c r="E27" s="367" t="s">
        <v>333</v>
      </c>
      <c r="G27" s="368" t="n">
        <v>360</v>
      </c>
      <c r="H27" s="340" t="n">
        <f aca="false">IF((G27&lt;&gt;0),IF((D27&gt;0)," ",G27)," ")</f>
        <v>360</v>
      </c>
      <c r="I27" s="369" t="n">
        <f aca="false">IF((G27&lt;&gt;0),IF((D27&gt;0)," ",(I$1-A27))," ")</f>
        <v>436</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45826</v>
      </c>
      <c r="B28" s="365" t="s">
        <v>339</v>
      </c>
      <c r="E28" s="367" t="s">
        <v>297</v>
      </c>
      <c r="G28" s="368" t="n">
        <v>96</v>
      </c>
      <c r="H28" s="340" t="n">
        <f aca="false">IF((G28&lt;&gt;0),IF((D28&gt;0)," ",G28)," ")</f>
        <v>96</v>
      </c>
      <c r="I28" s="369" t="n">
        <f aca="false">IF((G28&lt;&gt;0),IF((D28&gt;0)," ",(I$1-A28))," ")</f>
        <v>436</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45828</v>
      </c>
      <c r="B29" s="365" t="s">
        <v>248</v>
      </c>
      <c r="E29" s="367" t="s">
        <v>316</v>
      </c>
      <c r="G29" s="368" t="n">
        <v>60</v>
      </c>
      <c r="H29" s="340" t="n">
        <f aca="false">IF((G29&lt;&gt;0),IF((D29&gt;0)," ",G29)," ")</f>
        <v>60</v>
      </c>
      <c r="I29" s="369" t="n">
        <f aca="false">IF((G29&lt;&gt;0),IF((D29&gt;0)," ",(I$1-A29))," ")</f>
        <v>434</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45829</v>
      </c>
      <c r="B30" s="365" t="s">
        <v>342</v>
      </c>
      <c r="E30" s="367" t="s">
        <v>329</v>
      </c>
      <c r="G30" s="368" t="n">
        <v>8</v>
      </c>
      <c r="H30" s="340" t="n">
        <f aca="false">IF((G30&lt;&gt;0),IF((D30&gt;0)," ",G30)," ")</f>
        <v>8</v>
      </c>
      <c r="I30" s="369" t="n">
        <f aca="false">IF((G30&lt;&gt;0),IF((D30&gt;0)," ",(I$1-A30))," ")</f>
        <v>433</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45830</v>
      </c>
      <c r="B31" s="365" t="s">
        <v>343</v>
      </c>
      <c r="E31" s="367" t="s">
        <v>319</v>
      </c>
      <c r="G31" s="368" t="n">
        <v>18</v>
      </c>
      <c r="H31" s="340" t="n">
        <f aca="false">IF((G31&lt;&gt;0),IF((D31&gt;0)," ",G31)," ")</f>
        <v>18</v>
      </c>
      <c r="I31" s="369" t="n">
        <f aca="false">IF((G31&lt;&gt;0),IF((D31&gt;0)," ",(I$1-A31))," ")</f>
        <v>432</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45833</v>
      </c>
      <c r="B32" s="365" t="s">
        <v>371</v>
      </c>
      <c r="E32" s="367" t="s">
        <v>314</v>
      </c>
      <c r="G32" s="368" t="n">
        <v>360</v>
      </c>
      <c r="H32" s="340" t="n">
        <f aca="false">IF((G32&lt;&gt;0),IF((D32&gt;0)," ",G32)," ")</f>
        <v>360</v>
      </c>
      <c r="I32" s="369" t="n">
        <f aca="false">IF((G32&lt;&gt;0),IF((D32&gt;0)," ",(I$1-A32))," ")</f>
        <v>429</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45833</v>
      </c>
      <c r="B33" s="365" t="s">
        <v>344</v>
      </c>
      <c r="E33" s="367" t="s">
        <v>319</v>
      </c>
      <c r="G33" s="368" t="n">
        <v>15</v>
      </c>
      <c r="H33" s="340" t="n">
        <f aca="false">IF((G33&lt;&gt;0),IF((D33&gt;0)," ",G33)," ")</f>
        <v>15</v>
      </c>
      <c r="I33" s="369" t="n">
        <f aca="false">IF((G33&lt;&gt;0),IF((D33&gt;0)," ",(I$1-A33))," ")</f>
        <v>429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45833</v>
      </c>
      <c r="B34" s="365" t="s">
        <v>345</v>
      </c>
      <c r="E34" s="367" t="s">
        <v>297</v>
      </c>
      <c r="G34" s="368" t="n">
        <v>90</v>
      </c>
      <c r="H34" s="340" t="n">
        <f aca="false">IF((G34&lt;&gt;0),IF((D34&gt;0)," ",G34)," ")</f>
        <v>90</v>
      </c>
      <c r="I34" s="369" t="n">
        <f aca="false">IF((G34&lt;&gt;0),IF((D34&gt;0)," ",(I$1-A34))," ")</f>
        <v>429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90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45836</v>
      </c>
      <c r="B35" s="365" t="s">
        <v>249</v>
      </c>
      <c r="E35" s="367" t="s">
        <v>297</v>
      </c>
      <c r="G35" s="368" t="n">
        <v>120</v>
      </c>
      <c r="H35" s="340" t="n">
        <f aca="false">IF((G35&lt;&gt;0),IF((D35&gt;0)," ",G35)," ")</f>
        <v>120</v>
      </c>
      <c r="I35" s="369" t="n">
        <f aca="false">IF((G35&lt;&gt;0),IF((D35&gt;0)," ",(I$1-A35))," ")</f>
        <v>426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45838</v>
      </c>
      <c r="B36" s="365" t="s">
        <v>246</v>
      </c>
      <c r="E36" s="367" t="s">
        <v>346</v>
      </c>
      <c r="G36" s="368" t="n">
        <v>300</v>
      </c>
      <c r="H36" s="340" t="n">
        <f aca="false">IF((G36&lt;&gt;0),IF((D36&gt;0)," ",G36)," ")</f>
        <v>300</v>
      </c>
      <c r="I36" s="369" t="n">
        <f aca="false">IF((G36&lt;&gt;0),IF((D36&gt;0)," ",(I$1-A36))," ")</f>
        <v>424</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45838</v>
      </c>
      <c r="B37" s="365" t="s">
        <v>372</v>
      </c>
      <c r="E37" s="367" t="s">
        <v>373</v>
      </c>
      <c r="G37" s="368" t="n">
        <v>250</v>
      </c>
      <c r="H37" s="340" t="n">
        <f aca="false">IF((G37&lt;&gt;0),IF((D37&gt;0)," ",G37)," ")</f>
        <v>250</v>
      </c>
      <c r="I37" s="369" t="n">
        <f aca="false">IF((G37&lt;&gt;0),IF((D37&gt;0)," ",(I$1-A37))," ")</f>
        <v>424</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row>
    <row r="38" customFormat="false" ht="12.75" hidden="false" customHeight="false" outlineLevel="0" collapsed="false">
      <c r="A38" s="357" t="n">
        <v>45838</v>
      </c>
      <c r="B38" s="365" t="s">
        <v>347</v>
      </c>
      <c r="E38" s="367" t="s">
        <v>348</v>
      </c>
      <c r="G38" s="368" t="n">
        <v>3500</v>
      </c>
      <c r="H38" s="340" t="n">
        <f aca="false">IF((G38&lt;&gt;0),IF((D38&gt;0)," ",G38)," ")</f>
        <v>3500</v>
      </c>
      <c r="I38" s="369" t="n">
        <f aca="false">IF((G38&lt;&gt;0),IF((D38&gt;0)," ",(I$1-A38))," ")</f>
        <v>424</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45838</v>
      </c>
      <c r="B39" s="365" t="s">
        <v>349</v>
      </c>
      <c r="E39" s="367" t="s">
        <v>348</v>
      </c>
      <c r="G39" s="368" t="n">
        <v>2200</v>
      </c>
      <c r="H39" s="340" t="n">
        <f aca="false">IF((G39&lt;&gt;0),IF((D39&gt;0)," ",G39)," ")</f>
        <v>2200</v>
      </c>
      <c r="I39" s="369" t="n">
        <f aca="false">IF((G39&lt;&gt;0),IF((D39&gt;0)," ",(I$1-A39))," ")</f>
        <v>424</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33760</v>
      </c>
      <c r="G1" s="345" t="n">
        <f aca="false">SUM(G4:G300)</f>
        <v>0</v>
      </c>
      <c r="H1" s="347" t="n">
        <f aca="false">SUM(H4:H300)</f>
        <v>33760</v>
      </c>
      <c r="I1" s="348" t="n">
        <f aca="true">TODAY()</f>
        <v>46262</v>
      </c>
      <c r="J1" s="345" t="n">
        <f aca="false">SUM(J4:J300)</f>
        <v>0</v>
      </c>
      <c r="K1" s="349" t="n">
        <f aca="false">J1+SalesJun!K1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45839</v>
      </c>
      <c r="B4" s="336" t="s">
        <v>242</v>
      </c>
      <c r="F4" s="336" t="n">
        <v>1200</v>
      </c>
      <c r="H4" s="340" t="n">
        <f aca="false">IF((F4&lt;&gt;0),IF((D4&gt;0)," ",F4)," ")</f>
        <v>1200</v>
      </c>
      <c r="I4" s="341" t="n">
        <f aca="false">IF((F4&lt;&gt;0),IF((D4&gt;0)," ",(I$1-A4))," ")</f>
        <v>423</v>
      </c>
    </row>
    <row r="5" customFormat="false" ht="12.75" hidden="false" customHeight="false" outlineLevel="0" collapsed="false">
      <c r="A5" s="357" t="n">
        <v>45841</v>
      </c>
      <c r="B5" s="336" t="s">
        <v>265</v>
      </c>
      <c r="F5" s="336" t="n">
        <v>360</v>
      </c>
      <c r="H5" s="340" t="n">
        <f aca="false">IF((F5&lt;&gt;0),IF((D5&gt;0)," ",F5)," ")</f>
        <v>360</v>
      </c>
      <c r="I5" s="341" t="n">
        <f aca="false">IF((F5&lt;&gt;0),IF((D5&gt;0)," ",(I$1-A5))," ")</f>
        <v>421</v>
      </c>
    </row>
    <row r="6" customFormat="false" ht="12.75" hidden="false" customHeight="false" outlineLevel="0" collapsed="false">
      <c r="A6" s="357" t="n">
        <v>45843</v>
      </c>
      <c r="B6" s="336" t="s">
        <v>266</v>
      </c>
      <c r="F6" s="336" t="n">
        <v>600</v>
      </c>
      <c r="H6" s="340" t="n">
        <f aca="false">IF((F6&lt;&gt;0),IF((D6&gt;0)," ",F6)," ")</f>
        <v>600</v>
      </c>
      <c r="I6" s="341" t="n">
        <f aca="false">IF((F6&lt;&gt;0),IF((D6&gt;0)," ",(I$1-A6))," ")</f>
        <v>419</v>
      </c>
    </row>
    <row r="7" customFormat="false" ht="12.75" hidden="false" customHeight="false" outlineLevel="0" collapsed="false">
      <c r="A7" s="357" t="n">
        <v>45846</v>
      </c>
      <c r="B7" s="336" t="s">
        <v>267</v>
      </c>
      <c r="F7" s="336" t="n">
        <v>480</v>
      </c>
      <c r="H7" s="340" t="n">
        <f aca="false">IF((F7&lt;&gt;0),IF((D7&gt;0)," ",F7)," ")</f>
        <v>480</v>
      </c>
      <c r="I7" s="341" t="n">
        <f aca="false">IF((F7&lt;&gt;0),IF((D7&gt;0)," ",(I$1-A7))," ")</f>
        <v>416</v>
      </c>
    </row>
    <row r="8" customFormat="false" ht="12.75" hidden="false" customHeight="false" outlineLevel="0" collapsed="false">
      <c r="A8" s="357" t="n">
        <v>45848</v>
      </c>
      <c r="B8" s="336" t="s">
        <v>268</v>
      </c>
      <c r="F8" s="336" t="n">
        <v>720</v>
      </c>
      <c r="H8" s="340" t="n">
        <f aca="false">IF((F8&lt;&gt;0),IF((D8&gt;0)," ",F8)," ")</f>
        <v>720</v>
      </c>
      <c r="I8" s="341" t="n">
        <f aca="false">IF((F8&lt;&gt;0),IF((D8&gt;0)," ",(I$1-A8))," ")</f>
        <v>414</v>
      </c>
    </row>
    <row r="9" customFormat="false" ht="12.75" hidden="false" customHeight="false" outlineLevel="0" collapsed="false">
      <c r="A9" s="357" t="n">
        <v>45852</v>
      </c>
      <c r="B9" s="336" t="s">
        <v>374</v>
      </c>
      <c r="F9" s="336" t="n">
        <v>2160</v>
      </c>
      <c r="H9" s="340" t="n">
        <f aca="false">IF((F9&lt;&gt;0),IF((D9&gt;0)," ",F9)," ")</f>
        <v>2160</v>
      </c>
      <c r="I9" s="341" t="n">
        <f aca="false">IF((F9&lt;&gt;0),IF((D9&gt;0)," ",(I$1-A9))," ")</f>
        <v>410</v>
      </c>
    </row>
    <row r="10" customFormat="false" ht="12.75" hidden="false" customHeight="false" outlineLevel="0" collapsed="false">
      <c r="A10" s="357" t="n">
        <v>45853</v>
      </c>
      <c r="B10" s="336" t="s">
        <v>241</v>
      </c>
      <c r="F10" s="336" t="n">
        <v>25000</v>
      </c>
      <c r="H10" s="340" t="n">
        <f aca="false">IF((F10&lt;&gt;0),IF((D10&gt;0)," ",F10)," ")</f>
        <v>25000</v>
      </c>
      <c r="I10" s="341" t="n">
        <f aca="false">IF((F10&lt;&gt;0),IF((D10&gt;0)," ",(I$1-A10))," ")</f>
        <v>409</v>
      </c>
    </row>
    <row r="11" customFormat="false" ht="12.75" hidden="false" customHeight="false" outlineLevel="0" collapsed="false">
      <c r="A11" s="357" t="n">
        <v>45856</v>
      </c>
      <c r="B11" s="336" t="s">
        <v>243</v>
      </c>
      <c r="F11" s="336" t="n">
        <v>2400</v>
      </c>
      <c r="H11" s="340" t="n">
        <f aca="false">IF((F11&lt;&gt;0),IF((D11&gt;0)," ",F11)," ")</f>
        <v>2400</v>
      </c>
      <c r="I11" s="341" t="n">
        <f aca="false">IF((F11&lt;&gt;0),IF((D11&gt;0)," ",(I$1-A11))," ")</f>
        <v>406</v>
      </c>
    </row>
    <row r="12" customFormat="false" ht="12.75" hidden="false" customHeight="false" outlineLevel="0" collapsed="false">
      <c r="A12" s="357" t="n">
        <v>45866</v>
      </c>
      <c r="B12" s="336" t="s">
        <v>270</v>
      </c>
      <c r="F12" s="336" t="n">
        <v>840</v>
      </c>
      <c r="H12" s="340" t="n">
        <f aca="false">IF((F12&lt;&gt;0),IF((D12&gt;0)," ",F12)," ")</f>
        <v>840</v>
      </c>
      <c r="I12" s="341" t="n">
        <f aca="false">IF((F12&lt;&gt;0),IF((D12&gt;0)," ",(I$1-A12))," ")</f>
        <v>396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272</v>
      </c>
      <c r="C1" s="346" t="n">
        <f aca="false">PurchasesJun!C1+PurchasesJul!F1+SalesJul!$E$1</f>
        <v>0</v>
      </c>
      <c r="D1" s="371" t="s">
        <v>254</v>
      </c>
      <c r="E1" s="373" t="str">
        <f aca="false">IF((G1-SUM(J1:W1)&lt;&gt;0),(G1-SUM(J1:W1))," ")</f>
        <v> </v>
      </c>
      <c r="F1" s="346" t="n">
        <f aca="false">SUM(F5:F300)</f>
        <v>0</v>
      </c>
      <c r="G1" s="345" t="n">
        <f aca="false">SUM(G4:G300)</f>
        <v>14759.25</v>
      </c>
      <c r="H1" s="374" t="n">
        <f aca="false">SUM(H5:H300)</f>
        <v>14759.25</v>
      </c>
      <c r="I1" s="375" t="n">
        <f aca="true">TODAY()</f>
        <v>46262</v>
      </c>
      <c r="J1" s="345" t="n">
        <f aca="false">SUM(J5:J300)</f>
        <v>720</v>
      </c>
      <c r="K1" s="345" t="n">
        <f aca="false">SUM(K5:K300)</f>
        <v>0</v>
      </c>
      <c r="L1" s="345" t="n">
        <f aca="false">SUM(L5:L300)</f>
        <v>5700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IF((C1&lt;Admin!$F$22),((C1-PurchasesJun!C1)*Admin!$G$21),(C1*Admin!$G$21-(C1-Admin!$F$21)*(Admin!$G$21-Admin!$G$22)-PurchasesJun!A1))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true" outlineLevel="0" collapsed="false">
      <c r="A5" s="357" t="n">
        <v>45839</v>
      </c>
      <c r="B5" s="365" t="s">
        <v>245</v>
      </c>
      <c r="E5" s="367" t="s">
        <v>314</v>
      </c>
      <c r="G5" s="368" t="n">
        <v>1200</v>
      </c>
      <c r="H5" s="340" t="n">
        <f aca="false">IF((G5&lt;&gt;0),IF((D5&gt;0)," ",G5)," ")</f>
        <v>1200</v>
      </c>
      <c r="I5" s="369" t="n">
        <f aca="false">IF((G5&lt;&gt;0),IF((D5&gt;0)," ",(I$1-A5))," ")</f>
        <v>423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45839</v>
      </c>
      <c r="B6" s="365" t="s">
        <v>315</v>
      </c>
      <c r="E6" s="367" t="s">
        <v>316</v>
      </c>
      <c r="G6" s="368" t="n">
        <v>30</v>
      </c>
      <c r="H6" s="340" t="n">
        <f aca="false">IF((G6&lt;&gt;0),IF((D6&gt;0)," ",G6)," ")</f>
        <v>30</v>
      </c>
      <c r="I6" s="369" t="n">
        <f aca="false">IF((G6&lt;&gt;0),IF((D6&gt;0)," ",(I$1-A6))," ")</f>
        <v>423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45839</v>
      </c>
      <c r="B7" s="365" t="s">
        <v>317</v>
      </c>
      <c r="E7" s="367" t="s">
        <v>316</v>
      </c>
      <c r="G7" s="368" t="n">
        <v>15</v>
      </c>
      <c r="H7" s="340" t="n">
        <f aca="false">IF((G7&lt;&gt;0),IF((D7&gt;0)," ",G7)," ")</f>
        <v>15</v>
      </c>
      <c r="I7" s="369" t="n">
        <f aca="false">IF((G7&lt;&gt;0),IF((D7&gt;0)," ",(I$1-A7))," ")</f>
        <v>423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45839</v>
      </c>
      <c r="B8" s="365" t="s">
        <v>318</v>
      </c>
      <c r="E8" s="367" t="s">
        <v>319</v>
      </c>
      <c r="G8" s="368" t="n">
        <v>45</v>
      </c>
      <c r="H8" s="340" t="n">
        <f aca="false">IF((G8&lt;&gt;0),IF((D8&gt;0)," ",G8)," ")</f>
        <v>45</v>
      </c>
      <c r="I8" s="369" t="n">
        <f aca="false">IF((G8&lt;&gt;0),IF((D8&gt;0)," ",(I$1-A8))," ")</f>
        <v>423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45839</v>
      </c>
      <c r="B9" s="365" t="s">
        <v>375</v>
      </c>
      <c r="E9" s="367" t="s">
        <v>319</v>
      </c>
      <c r="G9" s="368" t="n">
        <v>3000</v>
      </c>
      <c r="H9" s="340" t="n">
        <f aca="false">IF((G9&lt;&gt;0),IF((D9&gt;0)," ",G9)," ")</f>
        <v>3000</v>
      </c>
      <c r="I9" s="369" t="n">
        <f aca="false">IF((G9&lt;&gt;0),IF((D9&gt;0)," ",(I$1-A9))," ")</f>
        <v>423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row>
    <row r="10" customFormat="false" ht="12.75" hidden="false" customHeight="false" outlineLevel="0" collapsed="false">
      <c r="A10" s="357" t="n">
        <v>45839</v>
      </c>
      <c r="B10" s="365" t="s">
        <v>321</v>
      </c>
      <c r="E10" s="367" t="s">
        <v>319</v>
      </c>
      <c r="G10" s="368" t="n">
        <v>24</v>
      </c>
      <c r="H10" s="340" t="n">
        <f aca="false">IF((G10&lt;&gt;0),IF((D10&gt;0)," ",G10)," ")</f>
        <v>24</v>
      </c>
      <c r="I10" s="369" t="n">
        <f aca="false">IF((G10&lt;&gt;0),IF((D10&gt;0)," ",(I$1-A10))," ")</f>
        <v>423</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45839</v>
      </c>
      <c r="B11" s="365" t="s">
        <v>322</v>
      </c>
      <c r="E11" s="367" t="s">
        <v>316</v>
      </c>
      <c r="G11" s="368" t="n">
        <v>18</v>
      </c>
      <c r="H11" s="340" t="n">
        <f aca="false">IF((G11&lt;&gt;0),IF((D11&gt;0)," ",G11)," ")</f>
        <v>18</v>
      </c>
      <c r="I11" s="369" t="n">
        <f aca="false">IF((G11&lt;&gt;0),IF((D11&gt;0)," ",(I$1-A11))," ")</f>
        <v>423</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45841</v>
      </c>
      <c r="B12" s="365" t="s">
        <v>323</v>
      </c>
      <c r="E12" s="367" t="s">
        <v>319</v>
      </c>
      <c r="G12" s="368" t="n">
        <v>180</v>
      </c>
      <c r="H12" s="340" t="n">
        <f aca="false">IF((G12&lt;&gt;0),IF((D12&gt;0)," ",G12)," ")</f>
        <v>180</v>
      </c>
      <c r="I12" s="369" t="n">
        <f aca="false">IF((G12&lt;&gt;0),IF((D12&gt;0)," ",(I$1-A12))," ")</f>
        <v>421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45841</v>
      </c>
      <c r="B13" s="365" t="s">
        <v>324</v>
      </c>
      <c r="E13" s="367" t="s">
        <v>319</v>
      </c>
      <c r="G13" s="368" t="n">
        <v>22</v>
      </c>
      <c r="H13" s="340" t="n">
        <f aca="false">IF((G13&lt;&gt;0),IF((D13&gt;0)," ",G13)," ")</f>
        <v>22</v>
      </c>
      <c r="I13" s="369" t="n">
        <f aca="false">IF((G13&lt;&gt;0),IF((D13&gt;0)," ",(I$1-A13))," ")</f>
        <v>421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45843</v>
      </c>
      <c r="B14" s="365" t="s">
        <v>325</v>
      </c>
      <c r="E14" s="367" t="s">
        <v>319</v>
      </c>
      <c r="G14" s="368" t="n">
        <v>24</v>
      </c>
      <c r="H14" s="340" t="n">
        <f aca="false">IF((G14&lt;&gt;0),IF((D14&gt;0)," ",G14)," ")</f>
        <v>24</v>
      </c>
      <c r="I14" s="369" t="n">
        <f aca="false">IF((G14&lt;&gt;0),IF((D14&gt;0)," ",(I$1-A14))," ")</f>
        <v>419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45843</v>
      </c>
      <c r="B15" s="365" t="s">
        <v>376</v>
      </c>
      <c r="E15" s="367" t="s">
        <v>357</v>
      </c>
      <c r="G15" s="368" t="n">
        <v>480</v>
      </c>
      <c r="H15" s="340" t="n">
        <f aca="false">IF((G15&lt;&gt;0),IF((D15&gt;0)," ",G15)," ")</f>
        <v>480</v>
      </c>
      <c r="I15" s="369" t="n">
        <f aca="false">IF((G15&lt;&gt;0),IF((D15&gt;0)," ",(I$1-A15))," ")</f>
        <v>419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45843</v>
      </c>
      <c r="B16" s="365" t="s">
        <v>326</v>
      </c>
      <c r="E16" s="367" t="s">
        <v>297</v>
      </c>
      <c r="G16" s="368" t="n">
        <v>180</v>
      </c>
      <c r="H16" s="340" t="n">
        <f aca="false">IF((G16&lt;&gt;0),IF((D16&gt;0)," ",G16)," ")</f>
        <v>180</v>
      </c>
      <c r="I16" s="369" t="n">
        <f aca="false">IF((G16&lt;&gt;0),IF((D16&gt;0)," ",(I$1-A16))," ")</f>
        <v>419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45846</v>
      </c>
      <c r="B17" s="365" t="s">
        <v>328</v>
      </c>
      <c r="E17" s="367" t="s">
        <v>329</v>
      </c>
      <c r="G17" s="368" t="n">
        <v>48</v>
      </c>
      <c r="H17" s="340" t="n">
        <f aca="false">IF((G17&lt;&gt;0),IF((D17&gt;0)," ",G17)," ")</f>
        <v>48</v>
      </c>
      <c r="I17" s="369" t="n">
        <f aca="false">IF((G17&lt;&gt;0),IF((D17&gt;0)," ",(I$1-A17))," ")</f>
        <v>416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45848</v>
      </c>
      <c r="B18" s="365" t="s">
        <v>330</v>
      </c>
      <c r="E18" s="367" t="s">
        <v>319</v>
      </c>
      <c r="G18" s="368" t="n">
        <v>36</v>
      </c>
      <c r="H18" s="340" t="n">
        <f aca="false">IF((G18&lt;&gt;0),IF((D18&gt;0)," ",G18)," ")</f>
        <v>36</v>
      </c>
      <c r="I18" s="369" t="n">
        <f aca="false">IF((G18&lt;&gt;0),IF((D18&gt;0)," ",(I$1-A18))," ")</f>
        <v>414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45848</v>
      </c>
      <c r="B19" s="365" t="s">
        <v>331</v>
      </c>
      <c r="E19" s="367" t="s">
        <v>319</v>
      </c>
      <c r="G19" s="368" t="n">
        <v>180</v>
      </c>
      <c r="H19" s="340" t="n">
        <f aca="false">IF((G19&lt;&gt;0),IF((D19&gt;0)," ",G19)," ")</f>
        <v>180</v>
      </c>
      <c r="I19" s="369" t="n">
        <f aca="false">IF((G19&lt;&gt;0),IF((D19&gt;0)," ",(I$1-A19))," ")</f>
        <v>414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45848</v>
      </c>
      <c r="B20" s="365" t="s">
        <v>332</v>
      </c>
      <c r="E20" s="367" t="s">
        <v>333</v>
      </c>
      <c r="G20" s="368" t="n">
        <v>720</v>
      </c>
      <c r="H20" s="340" t="n">
        <f aca="false">IF((G20&lt;&gt;0),IF((D20&gt;0)," ",G20)," ")</f>
        <v>720</v>
      </c>
      <c r="I20" s="369" t="n">
        <f aca="false">IF((G20&lt;&gt;0),IF((D20&gt;0)," ",(I$1-A20))," ")</f>
        <v>414</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45850</v>
      </c>
      <c r="B21" s="365" t="s">
        <v>334</v>
      </c>
      <c r="D21" s="365"/>
      <c r="E21" s="367" t="s">
        <v>297</v>
      </c>
      <c r="G21" s="368" t="n">
        <v>18</v>
      </c>
      <c r="H21" s="340" t="n">
        <f aca="false">IF((G21&lt;&gt;0),IF((D21&gt;0)," ",G21)," ")</f>
        <v>18</v>
      </c>
      <c r="I21" s="369" t="n">
        <f aca="false">IF((G21&lt;&gt;0),IF((D21&gt;0)," ",(I$1-A21))," ")</f>
        <v>412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45850</v>
      </c>
      <c r="B22" s="365" t="s">
        <v>377</v>
      </c>
      <c r="D22" s="395"/>
      <c r="E22" s="367" t="s">
        <v>319</v>
      </c>
      <c r="G22" s="368" t="n">
        <v>480</v>
      </c>
      <c r="H22" s="340" t="n">
        <f aca="false">IF((G22&lt;&gt;0),IF((D22&gt;0)," ",G22)," ")</f>
        <v>480</v>
      </c>
      <c r="I22" s="369" t="n">
        <f aca="false">IF((G22&lt;&gt;0),IF((D22&gt;0)," ",(I$1-A22))," ")</f>
        <v>412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row>
    <row r="23" customFormat="false" ht="12.75" hidden="false" customHeight="false" outlineLevel="0" collapsed="false">
      <c r="A23" s="357" t="n">
        <v>45852</v>
      </c>
      <c r="B23" s="365" t="s">
        <v>336</v>
      </c>
      <c r="E23" s="367" t="s">
        <v>329</v>
      </c>
      <c r="G23" s="368" t="n">
        <v>24</v>
      </c>
      <c r="H23" s="340" t="n">
        <f aca="false">IF((G23&lt;&gt;0),IF((D23&gt;0)," ",G23)," ")</f>
        <v>24</v>
      </c>
      <c r="I23" s="369" t="n">
        <f aca="false">IF((G23&lt;&gt;0),IF((D23&gt;0)," ",(I$1-A23))," ")</f>
        <v>410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45852</v>
      </c>
      <c r="B24" s="365" t="s">
        <v>337</v>
      </c>
      <c r="E24" s="367" t="s">
        <v>329</v>
      </c>
      <c r="G24" s="368" t="n">
        <v>12</v>
      </c>
      <c r="H24" s="340" t="n">
        <f aca="false">IF((G24&lt;&gt;0),IF((D24&gt;0)," ",G24)," ")</f>
        <v>12</v>
      </c>
      <c r="I24" s="369" t="n">
        <f aca="false">IF((G24&lt;&gt;0),IF((D24&gt;0)," ",(I$1-A24))," ")</f>
        <v>410</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45853</v>
      </c>
      <c r="B25" s="365" t="s">
        <v>249</v>
      </c>
      <c r="E25" s="367" t="s">
        <v>297</v>
      </c>
      <c r="G25" s="368" t="n">
        <v>150</v>
      </c>
      <c r="H25" s="340" t="n">
        <f aca="false">IF((G25&lt;&gt;0),IF((D25&gt;0)," ",G25)," ")</f>
        <v>150</v>
      </c>
      <c r="I25" s="369" t="n">
        <f aca="false">IF((G25&lt;&gt;0),IF((D25&gt;0)," ",(I$1-A25))," ")</f>
        <v>409</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45853</v>
      </c>
      <c r="B26" s="365" t="s">
        <v>338</v>
      </c>
      <c r="E26" s="367" t="s">
        <v>316</v>
      </c>
      <c r="G26" s="368" t="n">
        <v>12</v>
      </c>
      <c r="H26" s="340" t="n">
        <f aca="false">IF((G26&lt;&gt;0),IF((D26&gt;0)," ",G26)," ")</f>
        <v>12</v>
      </c>
      <c r="I26" s="369" t="n">
        <f aca="false">IF((G26&lt;&gt;0),IF((D26&gt;0)," ",(I$1-A26))," ")</f>
        <v>409</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45853</v>
      </c>
      <c r="B27" s="365" t="s">
        <v>378</v>
      </c>
      <c r="E27" s="367" t="s">
        <v>360</v>
      </c>
      <c r="G27" s="368" t="n">
        <v>1200</v>
      </c>
      <c r="H27" s="340" t="n">
        <f aca="false">IF((G27&lt;&gt;0),IF((D27&gt;0)," ",G27)," ")</f>
        <v>1200</v>
      </c>
      <c r="I27" s="369" t="n">
        <f aca="false">IF((G27&lt;&gt;0),IF((D27&gt;0)," ",(I$1-A27))," ")</f>
        <v>409</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row>
    <row r="28" customFormat="false" ht="12.75" hidden="false" customHeight="false" outlineLevel="0" collapsed="false">
      <c r="A28" s="357" t="n">
        <v>45854</v>
      </c>
      <c r="B28" s="365" t="s">
        <v>361</v>
      </c>
      <c r="E28" s="367" t="s">
        <v>316</v>
      </c>
      <c r="G28" s="368" t="n">
        <v>24</v>
      </c>
      <c r="H28" s="340" t="n">
        <f aca="false">IF((G28&lt;&gt;0),IF((D28&gt;0)," ",G28)," ")</f>
        <v>24</v>
      </c>
      <c r="I28" s="369" t="n">
        <f aca="false">IF((G28&lt;&gt;0),IF((D28&gt;0)," ",(I$1-A28))," ")</f>
        <v>408</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45856</v>
      </c>
      <c r="B29" s="365" t="s">
        <v>339</v>
      </c>
      <c r="E29" s="367" t="s">
        <v>297</v>
      </c>
      <c r="G29" s="368" t="n">
        <v>96</v>
      </c>
      <c r="H29" s="340" t="n">
        <f aca="false">IF((G29&lt;&gt;0),IF((D29&gt;0)," ",G29)," ")</f>
        <v>96</v>
      </c>
      <c r="I29" s="369" t="n">
        <f aca="false">IF((G29&lt;&gt;0),IF((D29&gt;0)," ",(I$1-A29))," ")</f>
        <v>406</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45858</v>
      </c>
      <c r="B30" s="365" t="s">
        <v>248</v>
      </c>
      <c r="E30" s="367" t="s">
        <v>316</v>
      </c>
      <c r="G30" s="368" t="n">
        <v>60</v>
      </c>
      <c r="H30" s="340" t="n">
        <f aca="false">IF((G30&lt;&gt;0),IF((D30&gt;0)," ",G30)," ")</f>
        <v>60</v>
      </c>
      <c r="I30" s="369" t="n">
        <f aca="false">IF((G30&lt;&gt;0),IF((D30&gt;0)," ",(I$1-A30))," ")</f>
        <v>404</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45858</v>
      </c>
      <c r="B31" s="365" t="s">
        <v>379</v>
      </c>
      <c r="E31" s="367" t="s">
        <v>319</v>
      </c>
      <c r="G31" s="368" t="n">
        <v>120</v>
      </c>
      <c r="H31" s="340" t="n">
        <f aca="false">IF((G31&lt;&gt;0),IF((D31&gt;0)," ",G31)," ")</f>
        <v>120</v>
      </c>
      <c r="I31" s="369" t="n">
        <f aca="false">IF((G31&lt;&gt;0),IF((D31&gt;0)," ",(I$1-A31))," ")</f>
        <v>404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row>
    <row r="32" customFormat="false" ht="12.75" hidden="false" customHeight="false" outlineLevel="0" collapsed="false">
      <c r="A32" s="357" t="n">
        <v>45858</v>
      </c>
      <c r="B32" s="365" t="s">
        <v>340</v>
      </c>
      <c r="E32" s="367" t="s">
        <v>341</v>
      </c>
      <c r="G32" s="368" t="n">
        <v>180</v>
      </c>
      <c r="H32" s="340" t="n">
        <f aca="false">IF((G32&lt;&gt;0),IF((D32&gt;0)," ",G32)," ")</f>
        <v>180</v>
      </c>
      <c r="I32" s="369" t="n">
        <f aca="false">IF((G32&lt;&gt;0),IF((D32&gt;0)," ",(I$1-A32))," ")</f>
        <v>404</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45859</v>
      </c>
      <c r="B33" s="365" t="s">
        <v>342</v>
      </c>
      <c r="E33" s="367" t="s">
        <v>329</v>
      </c>
      <c r="G33" s="368" t="n">
        <v>8</v>
      </c>
      <c r="H33" s="340" t="n">
        <f aca="false">IF((G33&lt;&gt;0),IF((D33&gt;0)," ",G33)," ")</f>
        <v>8</v>
      </c>
      <c r="I33" s="369" t="n">
        <f aca="false">IF((G33&lt;&gt;0),IF((D33&gt;0)," ",(I$1-A33))," ")</f>
        <v>403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45860</v>
      </c>
      <c r="B34" s="365" t="s">
        <v>343</v>
      </c>
      <c r="E34" s="367" t="s">
        <v>319</v>
      </c>
      <c r="G34" s="368" t="n">
        <v>18</v>
      </c>
      <c r="H34" s="340" t="n">
        <f aca="false">IF((G34&lt;&gt;0),IF((D34&gt;0)," ",G34)," ")</f>
        <v>18</v>
      </c>
      <c r="I34" s="369" t="n">
        <f aca="false">IF((G34&lt;&gt;0),IF((D34&gt;0)," ",(I$1-A34))," ")</f>
        <v>402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row>
    <row r="35" customFormat="false" ht="12.75" hidden="false" customHeight="false" outlineLevel="0" collapsed="false">
      <c r="A35" s="357" t="n">
        <v>45863</v>
      </c>
      <c r="B35" s="365" t="s">
        <v>344</v>
      </c>
      <c r="E35" s="367" t="s">
        <v>319</v>
      </c>
      <c r="G35" s="368" t="n">
        <v>15</v>
      </c>
      <c r="H35" s="340" t="n">
        <f aca="false">IF((G35&lt;&gt;0),IF((D35&gt;0)," ",G35)," ")</f>
        <v>15</v>
      </c>
      <c r="I35" s="369" t="n">
        <f aca="false">IF((G35&lt;&gt;0),IF((D35&gt;0)," ",(I$1-A35))," ")</f>
        <v>399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45863</v>
      </c>
      <c r="B36" s="365" t="s">
        <v>345</v>
      </c>
      <c r="E36" s="367" t="s">
        <v>297</v>
      </c>
      <c r="G36" s="368" t="n">
        <v>20.25</v>
      </c>
      <c r="H36" s="340" t="n">
        <f aca="false">IF((G36&lt;&gt;0),IF((D36&gt;0)," ",G36)," ")</f>
        <v>20.25</v>
      </c>
      <c r="I36" s="369" t="n">
        <f aca="false">IF((G36&lt;&gt;0),IF((D36&gt;0)," ",(I$1-A36))," ")</f>
        <v>399</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20.25</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45866</v>
      </c>
      <c r="B37" s="365" t="s">
        <v>249</v>
      </c>
      <c r="E37" s="367" t="s">
        <v>297</v>
      </c>
      <c r="G37" s="368" t="n">
        <v>120</v>
      </c>
      <c r="H37" s="340" t="n">
        <f aca="false">IF((G37&lt;&gt;0),IF((D37&gt;0)," ",G37)," ")</f>
        <v>120</v>
      </c>
      <c r="I37" s="369" t="n">
        <f aca="false">IF((G37&lt;&gt;0),IF((D37&gt;0)," ",(I$1-A37))," ")</f>
        <v>396</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45869</v>
      </c>
      <c r="B38" s="365" t="s">
        <v>246</v>
      </c>
      <c r="E38" s="367" t="s">
        <v>346</v>
      </c>
      <c r="G38" s="368" t="n">
        <v>300</v>
      </c>
      <c r="H38" s="340" t="n">
        <f aca="false">IF((G38&lt;&gt;0),IF((D38&gt;0)," ",G38)," ")</f>
        <v>300</v>
      </c>
      <c r="I38" s="369" t="n">
        <f aca="false">IF((G38&lt;&gt;0),IF((D38&gt;0)," ",(I$1-A38))," ")</f>
        <v>393</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45869</v>
      </c>
      <c r="B39" s="365" t="s">
        <v>347</v>
      </c>
      <c r="E39" s="367" t="s">
        <v>348</v>
      </c>
      <c r="G39" s="368" t="n">
        <v>3500</v>
      </c>
      <c r="H39" s="340" t="n">
        <f aca="false">IF((G39&lt;&gt;0),IF((D39&gt;0)," ",G39)," ")</f>
        <v>3500</v>
      </c>
      <c r="I39" s="369" t="n">
        <f aca="false">IF((G39&lt;&gt;0),IF((D39&gt;0)," ",(I$1-A39))," ")</f>
        <v>393</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t="n">
        <v>45869</v>
      </c>
      <c r="B40" s="365" t="s">
        <v>349</v>
      </c>
      <c r="E40" s="367" t="s">
        <v>348</v>
      </c>
      <c r="G40" s="368" t="n">
        <v>2200</v>
      </c>
      <c r="H40" s="340" t="n">
        <f aca="false">IF((G40&lt;&gt;0),IF((D40&gt;0)," ",G40)," ")</f>
        <v>2200</v>
      </c>
      <c r="I40" s="369" t="n">
        <f aca="false">IF((G40&lt;&gt;0),IF((D40&gt;0)," ",(I$1-A40))," ")</f>
        <v>393</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36020</v>
      </c>
      <c r="G1" s="345" t="n">
        <f aca="false">SUM(G4:G300)</f>
        <v>0</v>
      </c>
      <c r="H1" s="347" t="n">
        <f aca="false">SUM(H4:H300)</f>
        <v>36020</v>
      </c>
      <c r="I1" s="348" t="n">
        <f aca="true">TODAY()</f>
        <v>46262</v>
      </c>
      <c r="J1" s="345" t="n">
        <f aca="false">SUM(J4:J300)</f>
        <v>0</v>
      </c>
      <c r="K1" s="349" t="n">
        <f aca="false">J1+SalesJul!K1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45870</v>
      </c>
      <c r="B4" s="336" t="s">
        <v>380</v>
      </c>
      <c r="F4" s="336" t="n">
        <v>2500</v>
      </c>
      <c r="H4" s="340" t="n">
        <f aca="false">IF((F4&lt;&gt;0),IF((D4&gt;0)," ",F4)," ")</f>
        <v>2500</v>
      </c>
      <c r="I4" s="341" t="n">
        <f aca="false">IF((F4&lt;&gt;0),IF((D4&gt;0)," ",(I$1-A4))," ")</f>
        <v>392</v>
      </c>
    </row>
    <row r="5" customFormat="false" ht="12.75" hidden="false" customHeight="false" outlineLevel="0" collapsed="false">
      <c r="A5" s="357" t="n">
        <v>45872</v>
      </c>
      <c r="B5" s="336" t="s">
        <v>265</v>
      </c>
      <c r="F5" s="336" t="n">
        <v>360</v>
      </c>
      <c r="H5" s="340" t="n">
        <f aca="false">IF((F5&lt;&gt;0),IF((D5&gt;0)," ",F5)," ")</f>
        <v>360</v>
      </c>
      <c r="I5" s="341" t="n">
        <f aca="false">IF((F5&lt;&gt;0),IF((D5&gt;0)," ",(I$1-A5))," ")</f>
        <v>390</v>
      </c>
    </row>
    <row r="6" customFormat="false" ht="12.75" hidden="false" customHeight="false" outlineLevel="0" collapsed="false">
      <c r="A6" s="357" t="n">
        <v>45874</v>
      </c>
      <c r="B6" s="336" t="s">
        <v>266</v>
      </c>
      <c r="F6" s="336" t="n">
        <v>600</v>
      </c>
      <c r="H6" s="340" t="n">
        <f aca="false">IF((F6&lt;&gt;0),IF((D6&gt;0)," ",F6)," ")</f>
        <v>600</v>
      </c>
      <c r="I6" s="341" t="n">
        <f aca="false">IF((F6&lt;&gt;0),IF((D6&gt;0)," ",(I$1-A6))," ")</f>
        <v>388</v>
      </c>
    </row>
    <row r="7" customFormat="false" ht="12.75" hidden="false" customHeight="false" outlineLevel="0" collapsed="false">
      <c r="A7" s="357" t="n">
        <v>45877</v>
      </c>
      <c r="B7" s="336" t="s">
        <v>267</v>
      </c>
      <c r="F7" s="336" t="n">
        <v>480</v>
      </c>
      <c r="H7" s="340" t="n">
        <f aca="false">IF((F7&lt;&gt;0),IF((D7&gt;0)," ",F7)," ")</f>
        <v>480</v>
      </c>
      <c r="I7" s="341" t="n">
        <f aca="false">IF((F7&lt;&gt;0),IF((D7&gt;0)," ",(I$1-A7))," ")</f>
        <v>385</v>
      </c>
    </row>
    <row r="8" customFormat="false" ht="12.75" hidden="false" customHeight="false" outlineLevel="0" collapsed="false">
      <c r="A8" s="357" t="n">
        <v>45879</v>
      </c>
      <c r="B8" s="336" t="s">
        <v>268</v>
      </c>
      <c r="F8" s="336" t="n">
        <v>720</v>
      </c>
      <c r="H8" s="340" t="n">
        <f aca="false">IF((F8&lt;&gt;0),IF((D8&gt;0)," ",F8)," ")</f>
        <v>720</v>
      </c>
      <c r="I8" s="341" t="n">
        <f aca="false">IF((F8&lt;&gt;0),IF((D8&gt;0)," ",(I$1-A8))," ")</f>
        <v>383</v>
      </c>
    </row>
    <row r="9" customFormat="false" ht="12.75" hidden="false" customHeight="false" outlineLevel="0" collapsed="false">
      <c r="A9" s="357" t="n">
        <v>45881</v>
      </c>
      <c r="B9" s="336" t="s">
        <v>350</v>
      </c>
      <c r="F9" s="336" t="n">
        <v>960</v>
      </c>
      <c r="H9" s="340" t="n">
        <f aca="false">IF((F9&lt;&gt;0),IF((D9&gt;0)," ",F9)," ")</f>
        <v>960</v>
      </c>
      <c r="I9" s="341" t="n">
        <f aca="false">IF((F9&lt;&gt;0),IF((D9&gt;0)," ",(I$1-A9))," ")</f>
        <v>381</v>
      </c>
    </row>
    <row r="10" customFormat="false" ht="12.75" hidden="false" customHeight="false" outlineLevel="0" collapsed="false">
      <c r="A10" s="357" t="n">
        <v>45884</v>
      </c>
      <c r="B10" s="336" t="s">
        <v>241</v>
      </c>
      <c r="F10" s="336" t="n">
        <v>25000</v>
      </c>
      <c r="H10" s="340" t="n">
        <f aca="false">IF((F10&lt;&gt;0),IF((D10&gt;0)," ",F10)," ")</f>
        <v>25000</v>
      </c>
      <c r="I10" s="341" t="n">
        <f aca="false">IF((F10&lt;&gt;0),IF((D10&gt;0)," ",(I$1-A10))," ")</f>
        <v>378</v>
      </c>
    </row>
    <row r="11" customFormat="false" ht="12.75" hidden="false" customHeight="false" outlineLevel="0" collapsed="false">
      <c r="A11" s="357" t="n">
        <v>45887</v>
      </c>
      <c r="B11" s="336" t="s">
        <v>243</v>
      </c>
      <c r="F11" s="336" t="n">
        <v>2400</v>
      </c>
      <c r="H11" s="340" t="n">
        <f aca="false">IF((F11&lt;&gt;0),IF((D11&gt;0)," ",F11)," ")</f>
        <v>2400</v>
      </c>
      <c r="I11" s="341" t="n">
        <f aca="false">IF((F11&lt;&gt;0),IF((D11&gt;0)," ",(I$1-A11))," ")</f>
        <v>375</v>
      </c>
    </row>
    <row r="12" customFormat="false" ht="12.75" hidden="false" customHeight="false" outlineLevel="0" collapsed="false">
      <c r="A12" s="357" t="n">
        <v>45889</v>
      </c>
      <c r="B12" s="336" t="s">
        <v>269</v>
      </c>
      <c r="F12" s="336" t="n">
        <v>1800</v>
      </c>
      <c r="H12" s="340" t="n">
        <f aca="false">IF((F12&lt;&gt;0),IF((D12&gt;0)," ",F12)," ")</f>
        <v>1800</v>
      </c>
      <c r="I12" s="341" t="n">
        <f aca="false">IF((F12&lt;&gt;0),IF((D12&gt;0)," ",(I$1-A12))," ")</f>
        <v>373</v>
      </c>
    </row>
    <row r="13" customFormat="false" ht="12.75" hidden="false" customHeight="false" outlineLevel="0" collapsed="false">
      <c r="A13" s="357" t="n">
        <v>45894</v>
      </c>
      <c r="B13" s="336" t="s">
        <v>352</v>
      </c>
      <c r="F13" s="336" t="n">
        <v>1200</v>
      </c>
      <c r="H13" s="340" t="n">
        <f aca="false">IF((F13&lt;&gt;0),IF((D13&gt;0)," ",F13)," ")</f>
        <v>1200</v>
      </c>
      <c r="I13" s="341" t="n">
        <f aca="false">IF((F13&lt;&gt;0),IF((D13&gt;0)," ",(I$1-A13))," ")</f>
        <v>368</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272</v>
      </c>
      <c r="C1" s="346" t="n">
        <f aca="false">PurchasesJul!C1+PurchasesAug!F1+SalesAug!$E$1</f>
        <v>0</v>
      </c>
      <c r="D1" s="371" t="s">
        <v>254</v>
      </c>
      <c r="E1" s="373" t="str">
        <f aca="false">IF((G1-SUM(J1:W1)&lt;&gt;0),(G1-SUM(J1:W1))," ")</f>
        <v> </v>
      </c>
      <c r="F1" s="346" t="n">
        <f aca="false">SUM(F5:F300)</f>
        <v>0</v>
      </c>
      <c r="G1" s="345" t="n">
        <f aca="false">SUM(G4:G300)</f>
        <v>10105.25</v>
      </c>
      <c r="H1" s="374" t="n">
        <f aca="false">SUM(H5:H300)</f>
        <v>10105.25</v>
      </c>
      <c r="I1" s="375" t="n">
        <f aca="true">TODAY()</f>
        <v>46262</v>
      </c>
      <c r="J1" s="345" t="n">
        <f aca="false">SUM(J5:J300)</f>
        <v>540</v>
      </c>
      <c r="K1" s="345" t="n">
        <f aca="false">SUM(K5:K300)</f>
        <v>0</v>
      </c>
      <c r="L1" s="345" t="n">
        <f aca="false">SUM(L5:L300)</f>
        <v>6500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IF((C1&lt;Admin!$F$22),((C1-PurchasesJul!C1)*Admin!$G$21),(C1*Admin!$G$21-(C1-Admin!$F$21)*(Admin!$G$21-Admin!$G$22)-PurchasesJul!A1))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45870</v>
      </c>
      <c r="B5" s="365" t="s">
        <v>245</v>
      </c>
      <c r="E5" s="367" t="s">
        <v>314</v>
      </c>
      <c r="G5" s="368" t="n">
        <v>1200</v>
      </c>
      <c r="H5" s="340" t="n">
        <f aca="false">IF((G5&lt;&gt;0),IF((D5&gt;0)," ",G5)," ")</f>
        <v>1200</v>
      </c>
      <c r="I5" s="369" t="n">
        <f aca="false">IF((G5&lt;&gt;0),IF((D5&gt;0)," ",(I$1-A5))," ")</f>
        <v>392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45870</v>
      </c>
      <c r="B6" s="365" t="s">
        <v>315</v>
      </c>
      <c r="E6" s="367" t="s">
        <v>316</v>
      </c>
      <c r="G6" s="368" t="n">
        <v>30</v>
      </c>
      <c r="H6" s="340" t="n">
        <f aca="false">IF((G6&lt;&gt;0),IF((D6&gt;0)," ",G6)," ")</f>
        <v>30</v>
      </c>
      <c r="I6" s="369" t="n">
        <f aca="false">IF((G6&lt;&gt;0),IF((D6&gt;0)," ",(I$1-A6))," ")</f>
        <v>392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45870</v>
      </c>
      <c r="B7" s="365" t="s">
        <v>317</v>
      </c>
      <c r="E7" s="367" t="s">
        <v>316</v>
      </c>
      <c r="G7" s="368" t="n">
        <v>15</v>
      </c>
      <c r="H7" s="340" t="n">
        <f aca="false">IF((G7&lt;&gt;0),IF((D7&gt;0)," ",G7)," ")</f>
        <v>15</v>
      </c>
      <c r="I7" s="369" t="n">
        <f aca="false">IF((G7&lt;&gt;0),IF((D7&gt;0)," ",(I$1-A7))," ")</f>
        <v>392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45870</v>
      </c>
      <c r="B8" s="365" t="s">
        <v>318</v>
      </c>
      <c r="E8" s="367" t="s">
        <v>319</v>
      </c>
      <c r="G8" s="368" t="n">
        <v>45</v>
      </c>
      <c r="H8" s="340" t="n">
        <f aca="false">IF((G8&lt;&gt;0),IF((D8&gt;0)," ",G8)," ")</f>
        <v>45</v>
      </c>
      <c r="I8" s="369" t="n">
        <f aca="false">IF((G8&lt;&gt;0),IF((D8&gt;0)," ",(I$1-A8))," ")</f>
        <v>392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45870</v>
      </c>
      <c r="B9" s="365" t="s">
        <v>321</v>
      </c>
      <c r="E9" s="367" t="s">
        <v>319</v>
      </c>
      <c r="G9" s="368" t="n">
        <v>24</v>
      </c>
      <c r="H9" s="340" t="n">
        <f aca="false">IF((G9&lt;&gt;0),IF((D9&gt;0)," ",G9)," ")</f>
        <v>24</v>
      </c>
      <c r="I9" s="369" t="n">
        <f aca="false">IF((G9&lt;&gt;0),IF((D9&gt;0)," ",(I$1-A9))," ")</f>
        <v>392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45870</v>
      </c>
      <c r="B10" s="365" t="s">
        <v>322</v>
      </c>
      <c r="E10" s="367" t="s">
        <v>316</v>
      </c>
      <c r="G10" s="368" t="n">
        <v>18</v>
      </c>
      <c r="H10" s="340" t="n">
        <f aca="false">IF((G10&lt;&gt;0),IF((D10&gt;0)," ",G10)," ")</f>
        <v>18</v>
      </c>
      <c r="I10" s="369" t="n">
        <f aca="false">IF((G10&lt;&gt;0),IF((D10&gt;0)," ",(I$1-A10))," ")</f>
        <v>392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45872</v>
      </c>
      <c r="B11" s="365" t="s">
        <v>323</v>
      </c>
      <c r="E11" s="367" t="s">
        <v>319</v>
      </c>
      <c r="G11" s="368" t="n">
        <v>180</v>
      </c>
      <c r="H11" s="340" t="n">
        <f aca="false">IF((G11&lt;&gt;0),IF((D11&gt;0)," ",G11)," ")</f>
        <v>180</v>
      </c>
      <c r="I11" s="369" t="n">
        <f aca="false">IF((G11&lt;&gt;0),IF((D11&gt;0)," ",(I$1-A11))," ")</f>
        <v>390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45872</v>
      </c>
      <c r="B12" s="365" t="s">
        <v>324</v>
      </c>
      <c r="E12" s="367" t="s">
        <v>319</v>
      </c>
      <c r="G12" s="368" t="n">
        <v>22</v>
      </c>
      <c r="H12" s="340" t="n">
        <f aca="false">IF((G12&lt;&gt;0),IF((D12&gt;0)," ",G12)," ")</f>
        <v>22</v>
      </c>
      <c r="I12" s="369" t="n">
        <f aca="false">IF((G12&lt;&gt;0),IF((D12&gt;0)," ",(I$1-A12))," ")</f>
        <v>390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45874</v>
      </c>
      <c r="B13" s="365" t="s">
        <v>325</v>
      </c>
      <c r="E13" s="367" t="s">
        <v>319</v>
      </c>
      <c r="G13" s="368" t="n">
        <v>24</v>
      </c>
      <c r="H13" s="340" t="n">
        <f aca="false">IF((G13&lt;&gt;0),IF((D13&gt;0)," ",G13)," ")</f>
        <v>24</v>
      </c>
      <c r="I13" s="369" t="n">
        <f aca="false">IF((G13&lt;&gt;0),IF((D13&gt;0)," ",(I$1-A13))," ")</f>
        <v>388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45874</v>
      </c>
      <c r="B14" s="365" t="s">
        <v>326</v>
      </c>
      <c r="E14" s="367" t="s">
        <v>297</v>
      </c>
      <c r="G14" s="368" t="n">
        <v>180</v>
      </c>
      <c r="H14" s="340" t="n">
        <f aca="false">IF((G14&lt;&gt;0),IF((D14&gt;0)," ",G14)," ")</f>
        <v>180</v>
      </c>
      <c r="I14" s="369" t="n">
        <f aca="false">IF((G14&lt;&gt;0),IF((D14&gt;0)," ",(I$1-A14))," ")</f>
        <v>388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45874</v>
      </c>
      <c r="B15" s="365" t="s">
        <v>327</v>
      </c>
      <c r="E15" s="367" t="s">
        <v>319</v>
      </c>
      <c r="G15" s="368" t="n">
        <v>36</v>
      </c>
      <c r="H15" s="340" t="n">
        <f aca="false">IF((G15&lt;&gt;0),IF((D15&gt;0)," ",G15)," ")</f>
        <v>36</v>
      </c>
      <c r="I15" s="369" t="n">
        <f aca="false">IF((G15&lt;&gt;0),IF((D15&gt;0)," ",(I$1-A15))," ")</f>
        <v>388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45875</v>
      </c>
      <c r="B16" s="365" t="s">
        <v>354</v>
      </c>
      <c r="E16" s="367" t="s">
        <v>329</v>
      </c>
      <c r="G16" s="368" t="n">
        <v>48</v>
      </c>
      <c r="H16" s="340" t="n">
        <f aca="false">IF((G16&lt;&gt;0),IF((D16&gt;0)," ",G16)," ")</f>
        <v>48</v>
      </c>
      <c r="I16" s="369" t="n">
        <f aca="false">IF((G16&lt;&gt;0),IF((D16&gt;0)," ",(I$1-A16))," ")</f>
        <v>387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45877</v>
      </c>
      <c r="B17" s="365" t="s">
        <v>328</v>
      </c>
      <c r="E17" s="367" t="s">
        <v>329</v>
      </c>
      <c r="G17" s="368" t="n">
        <v>48</v>
      </c>
      <c r="H17" s="340" t="n">
        <f aca="false">IF((G17&lt;&gt;0),IF((D17&gt;0)," ",G17)," ")</f>
        <v>48</v>
      </c>
      <c r="I17" s="369" t="n">
        <f aca="false">IF((G17&lt;&gt;0),IF((D17&gt;0)," ",(I$1-A17))," ")</f>
        <v>385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45879</v>
      </c>
      <c r="B18" s="365" t="s">
        <v>330</v>
      </c>
      <c r="E18" s="367" t="s">
        <v>319</v>
      </c>
      <c r="G18" s="368" t="n">
        <v>36</v>
      </c>
      <c r="H18" s="340" t="n">
        <f aca="false">IF((G18&lt;&gt;0),IF((D18&gt;0)," ",G18)," ")</f>
        <v>36</v>
      </c>
      <c r="I18" s="369" t="n">
        <f aca="false">IF((G18&lt;&gt;0),IF((D18&gt;0)," ",(I$1-A18))," ")</f>
        <v>383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45881</v>
      </c>
      <c r="B19" s="365" t="s">
        <v>334</v>
      </c>
      <c r="E19" s="367" t="s">
        <v>297</v>
      </c>
      <c r="G19" s="368" t="n">
        <v>18</v>
      </c>
      <c r="H19" s="340" t="n">
        <f aca="false">IF((G19&lt;&gt;0),IF((D19&gt;0)," ",G19)," ")</f>
        <v>18</v>
      </c>
      <c r="I19" s="369" t="n">
        <f aca="false">IF((G19&lt;&gt;0),IF((D19&gt;0)," ",(I$1-A19))," ")</f>
        <v>381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45883</v>
      </c>
      <c r="B20" s="365" t="s">
        <v>335</v>
      </c>
      <c r="E20" s="367" t="s">
        <v>319</v>
      </c>
      <c r="G20" s="368" t="n">
        <v>48</v>
      </c>
      <c r="H20" s="340" t="n">
        <f aca="false">IF((G20&lt;&gt;0),IF((D20&gt;0)," ",G20)," ")</f>
        <v>48</v>
      </c>
      <c r="I20" s="369" t="n">
        <f aca="false">IF((G20&lt;&gt;0),IF((D20&gt;0)," ",(I$1-A20))," ")</f>
        <v>379</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row>
    <row r="21" customFormat="false" ht="12.75" hidden="false" customHeight="false" outlineLevel="0" collapsed="false">
      <c r="A21" s="357" t="n">
        <v>45883</v>
      </c>
      <c r="B21" s="365" t="s">
        <v>336</v>
      </c>
      <c r="D21" s="365"/>
      <c r="E21" s="367" t="s">
        <v>329</v>
      </c>
      <c r="G21" s="368" t="n">
        <v>24</v>
      </c>
      <c r="H21" s="340" t="n">
        <f aca="false">IF((G21&lt;&gt;0),IF((D21&gt;0)," ",G21)," ")</f>
        <v>24</v>
      </c>
      <c r="I21" s="369" t="n">
        <f aca="false">IF((G21&lt;&gt;0),IF((D21&gt;0)," ",(I$1-A21))," ")</f>
        <v>379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45883</v>
      </c>
      <c r="B22" s="365" t="s">
        <v>337</v>
      </c>
      <c r="D22" s="395"/>
      <c r="E22" s="367" t="s">
        <v>329</v>
      </c>
      <c r="G22" s="368" t="n">
        <v>12</v>
      </c>
      <c r="H22" s="340" t="n">
        <f aca="false">IF((G22&lt;&gt;0),IF((D22&gt;0)," ",G22)," ")</f>
        <v>12</v>
      </c>
      <c r="I22" s="369" t="n">
        <f aca="false">IF((G22&lt;&gt;0),IF((D22&gt;0)," ",(I$1-A22))," ")</f>
        <v>379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45884</v>
      </c>
      <c r="B23" s="365" t="s">
        <v>249</v>
      </c>
      <c r="E23" s="367" t="s">
        <v>297</v>
      </c>
      <c r="G23" s="368" t="n">
        <v>150</v>
      </c>
      <c r="H23" s="340" t="n">
        <f aca="false">IF((G23&lt;&gt;0),IF((D23&gt;0)," ",G23)," ")</f>
        <v>150</v>
      </c>
      <c r="I23" s="369" t="n">
        <f aca="false">IF((G23&lt;&gt;0),IF((D23&gt;0)," ",(I$1-A23))," ")</f>
        <v>378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45884</v>
      </c>
      <c r="B24" s="365" t="s">
        <v>338</v>
      </c>
      <c r="E24" s="367" t="s">
        <v>316</v>
      </c>
      <c r="G24" s="368" t="n">
        <v>12</v>
      </c>
      <c r="H24" s="340" t="n">
        <f aca="false">IF((G24&lt;&gt;0),IF((D24&gt;0)," ",G24)," ")</f>
        <v>12</v>
      </c>
      <c r="I24" s="369" t="n">
        <f aca="false">IF((G24&lt;&gt;0),IF((D24&gt;0)," ",(I$1-A24))," ")</f>
        <v>378</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45884</v>
      </c>
      <c r="B25" s="365" t="s">
        <v>358</v>
      </c>
      <c r="E25" s="367" t="s">
        <v>333</v>
      </c>
      <c r="G25" s="368" t="n">
        <v>360</v>
      </c>
      <c r="H25" s="340" t="n">
        <f aca="false">IF((G25&lt;&gt;0),IF((D25&gt;0)," ",G25)," ")</f>
        <v>360</v>
      </c>
      <c r="I25" s="369" t="n">
        <f aca="false">IF((G25&lt;&gt;0),IF((D25&gt;0)," ",(I$1-A25))," ")</f>
        <v>378</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45887</v>
      </c>
      <c r="B26" s="365" t="s">
        <v>381</v>
      </c>
      <c r="E26" s="367" t="s">
        <v>341</v>
      </c>
      <c r="G26" s="368" t="n">
        <v>240</v>
      </c>
      <c r="H26" s="340" t="n">
        <f aca="false">IF((G26&lt;&gt;0),IF((D26&gt;0)," ",G26)," ")</f>
        <v>240</v>
      </c>
      <c r="I26" s="369" t="n">
        <f aca="false">IF((G26&lt;&gt;0),IF((D26&gt;0)," ",(I$1-A26))," ")</f>
        <v>375</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45887</v>
      </c>
      <c r="B27" s="365" t="s">
        <v>339</v>
      </c>
      <c r="E27" s="367" t="s">
        <v>297</v>
      </c>
      <c r="G27" s="368" t="n">
        <v>96</v>
      </c>
      <c r="H27" s="340" t="n">
        <f aca="false">IF((G27&lt;&gt;0),IF((D27&gt;0)," ",G27)," ")</f>
        <v>96</v>
      </c>
      <c r="I27" s="369" t="n">
        <f aca="false">IF((G27&lt;&gt;0),IF((D27&gt;0)," ",(I$1-A27))," ")</f>
        <v>375</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45889</v>
      </c>
      <c r="B28" s="365" t="s">
        <v>248</v>
      </c>
      <c r="E28" s="367" t="s">
        <v>316</v>
      </c>
      <c r="G28" s="368" t="n">
        <v>60</v>
      </c>
      <c r="H28" s="340" t="n">
        <f aca="false">IF((G28&lt;&gt;0),IF((D28&gt;0)," ",G28)," ")</f>
        <v>60</v>
      </c>
      <c r="I28" s="369" t="n">
        <f aca="false">IF((G28&lt;&gt;0),IF((D28&gt;0)," ",(I$1-A28))," ")</f>
        <v>373</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45889</v>
      </c>
      <c r="B29" s="365" t="s">
        <v>382</v>
      </c>
      <c r="E29" s="367" t="s">
        <v>348</v>
      </c>
      <c r="G29" s="368" t="n">
        <v>800</v>
      </c>
      <c r="H29" s="340" t="n">
        <f aca="false">IF((G29&lt;&gt;0),IF((D29&gt;0)," ",G29)," ")</f>
        <v>800</v>
      </c>
      <c r="I29" s="369" t="n">
        <f aca="false">IF((G29&lt;&gt;0),IF((D29&gt;0)," ",(I$1-A29))," ")</f>
        <v>373</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45889</v>
      </c>
      <c r="B30" s="365" t="s">
        <v>363</v>
      </c>
      <c r="E30" s="367" t="s">
        <v>333</v>
      </c>
      <c r="G30" s="368" t="n">
        <v>180</v>
      </c>
      <c r="H30" s="340" t="n">
        <f aca="false">IF((G30&lt;&gt;0),IF((D30&gt;0)," ",G30)," ")</f>
        <v>180</v>
      </c>
      <c r="I30" s="369" t="n">
        <f aca="false">IF((G30&lt;&gt;0),IF((D30&gt;0)," ",(I$1-A30))," ")</f>
        <v>373</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45890</v>
      </c>
      <c r="B31" s="365" t="s">
        <v>342</v>
      </c>
      <c r="E31" s="367" t="s">
        <v>329</v>
      </c>
      <c r="G31" s="368" t="n">
        <v>8</v>
      </c>
      <c r="H31" s="340" t="n">
        <f aca="false">IF((G31&lt;&gt;0),IF((D31&gt;0)," ",G31)," ")</f>
        <v>8</v>
      </c>
      <c r="I31" s="369" t="n">
        <f aca="false">IF((G31&lt;&gt;0),IF((D31&gt;0)," ",(I$1-A31))," ")</f>
        <v>372</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45891</v>
      </c>
      <c r="B32" s="365" t="s">
        <v>343</v>
      </c>
      <c r="E32" s="367" t="s">
        <v>319</v>
      </c>
      <c r="G32" s="368" t="n">
        <v>18</v>
      </c>
      <c r="H32" s="340" t="n">
        <f aca="false">IF((G32&lt;&gt;0),IF((D32&gt;0)," ",G32)," ")</f>
        <v>18</v>
      </c>
      <c r="I32" s="369" t="n">
        <f aca="false">IF((G32&lt;&gt;0),IF((D32&gt;0)," ",(I$1-A32))," ")</f>
        <v>371</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row>
    <row r="33" customFormat="false" ht="12.75" hidden="false" customHeight="false" outlineLevel="0" collapsed="false">
      <c r="A33" s="357" t="n">
        <v>45894</v>
      </c>
      <c r="B33" s="365" t="s">
        <v>344</v>
      </c>
      <c r="E33" s="367" t="s">
        <v>319</v>
      </c>
      <c r="G33" s="368" t="n">
        <v>15</v>
      </c>
      <c r="H33" s="340" t="n">
        <f aca="false">IF((G33&lt;&gt;0),IF((D33&gt;0)," ",G33)," ")</f>
        <v>15</v>
      </c>
      <c r="I33" s="369" t="n">
        <f aca="false">IF((G33&lt;&gt;0),IF((D33&gt;0)," ",(I$1-A33))," ")</f>
        <v>368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45894</v>
      </c>
      <c r="B34" s="365" t="s">
        <v>345</v>
      </c>
      <c r="E34" s="367" t="s">
        <v>297</v>
      </c>
      <c r="G34" s="368" t="n">
        <v>38.25</v>
      </c>
      <c r="H34" s="340" t="n">
        <f aca="false">IF((G34&lt;&gt;0),IF((D34&gt;0)," ",G34)," ")</f>
        <v>38.25</v>
      </c>
      <c r="I34" s="369" t="n">
        <f aca="false">IF((G34&lt;&gt;0),IF((D34&gt;0)," ",(I$1-A34))," ")</f>
        <v>368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38.25</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45897</v>
      </c>
      <c r="B35" s="365" t="s">
        <v>249</v>
      </c>
      <c r="E35" s="367" t="s">
        <v>297</v>
      </c>
      <c r="G35" s="368" t="n">
        <v>120</v>
      </c>
      <c r="H35" s="340" t="n">
        <f aca="false">IF((G35&lt;&gt;0),IF((D35&gt;0)," ",G35)," ")</f>
        <v>120</v>
      </c>
      <c r="I35" s="369" t="n">
        <f aca="false">IF((G35&lt;&gt;0),IF((D35&gt;0)," ",(I$1-A35))," ")</f>
        <v>365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45900</v>
      </c>
      <c r="B36" s="365" t="s">
        <v>246</v>
      </c>
      <c r="E36" s="367" t="s">
        <v>346</v>
      </c>
      <c r="G36" s="368" t="n">
        <v>300</v>
      </c>
      <c r="H36" s="340" t="n">
        <f aca="false">IF((G36&lt;&gt;0),IF((D36&gt;0)," ",G36)," ")</f>
        <v>300</v>
      </c>
      <c r="I36" s="369" t="n">
        <f aca="false">IF((G36&lt;&gt;0),IF((D36&gt;0)," ",(I$1-A36))," ")</f>
        <v>362</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45900</v>
      </c>
      <c r="B37" s="365" t="s">
        <v>347</v>
      </c>
      <c r="E37" s="367" t="s">
        <v>348</v>
      </c>
      <c r="G37" s="368" t="n">
        <v>3500</v>
      </c>
      <c r="H37" s="340" t="n">
        <f aca="false">IF((G37&lt;&gt;0),IF((D37&gt;0)," ",G37)," ")</f>
        <v>3500</v>
      </c>
      <c r="I37" s="369" t="n">
        <f aca="false">IF((G37&lt;&gt;0),IF((D37&gt;0)," ",(I$1-A37))," ")</f>
        <v>362</v>
      </c>
      <c r="J37" s="336" t="str">
        <f aca="false">IF((E37="s"),G37," ")</f>
        <v> </v>
      </c>
      <c r="K37" s="336" t="str">
        <f aca="false">IF((E37="d"),G37," ")</f>
        <v> </v>
      </c>
      <c r="L37" s="336" t="n">
        <f aca="false">IF((E37="e"),G37," ")</f>
        <v>3500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45900</v>
      </c>
      <c r="B38" s="365" t="s">
        <v>349</v>
      </c>
      <c r="E38" s="367" t="s">
        <v>348</v>
      </c>
      <c r="G38" s="368" t="n">
        <v>2200</v>
      </c>
      <c r="H38" s="340" t="n">
        <f aca="false">IF((G38&lt;&gt;0),IF((D38&gt;0)," ",G38)," ")</f>
        <v>2200</v>
      </c>
      <c r="I38" s="369" t="n">
        <f aca="false">IF((G38&lt;&gt;0),IF((D38&gt;0)," ",(I$1-A38))," ")</f>
        <v>362</v>
      </c>
      <c r="J38" s="336" t="str">
        <f aca="false">IF((E38="s"),G38," ")</f>
        <v> </v>
      </c>
      <c r="K38" s="336" t="str">
        <f aca="false">IF((E38="d"),G38," ")</f>
        <v> </v>
      </c>
      <c r="L38" s="336" t="n">
        <f aca="false">IF((E38="e"),G38," ")</f>
        <v>2200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33760</v>
      </c>
      <c r="G1" s="345" t="n">
        <f aca="false">SUM(G4:G300)</f>
        <v>0</v>
      </c>
      <c r="H1" s="347" t="n">
        <f aca="false">SUM(H4:H300)</f>
        <v>33760</v>
      </c>
      <c r="I1" s="348" t="n">
        <f aca="true">TODAY()</f>
        <v>46262</v>
      </c>
      <c r="J1" s="345" t="n">
        <f aca="false">SUM(J4:J300)</f>
        <v>0</v>
      </c>
      <c r="K1" s="349" t="n">
        <f aca="false">J1+SalesAug!K1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45903</v>
      </c>
      <c r="B4" s="336" t="s">
        <v>265</v>
      </c>
      <c r="F4" s="336" t="n">
        <v>360</v>
      </c>
      <c r="H4" s="340" t="n">
        <f aca="false">IF((F4&lt;&gt;0),IF((D4&gt;0)," ",F4)," ")</f>
        <v>360</v>
      </c>
      <c r="I4" s="341" t="n">
        <f aca="false">IF((F4&lt;&gt;0),IF((D4&gt;0)," ",(I$1-A4))," ")</f>
        <v>359</v>
      </c>
    </row>
    <row r="5" customFormat="false" ht="12.75" hidden="false" customHeight="false" outlineLevel="0" collapsed="false">
      <c r="A5" s="357" t="n">
        <v>45905</v>
      </c>
      <c r="B5" s="336" t="s">
        <v>266</v>
      </c>
      <c r="F5" s="336" t="n">
        <v>600</v>
      </c>
      <c r="H5" s="340" t="n">
        <f aca="false">IF((F5&lt;&gt;0),IF((D5&gt;0)," ",F5)," ")</f>
        <v>600</v>
      </c>
      <c r="I5" s="341" t="n">
        <f aca="false">IF((F5&lt;&gt;0),IF((D5&gt;0)," ",(I$1-A5))," ")</f>
        <v>357</v>
      </c>
    </row>
    <row r="6" customFormat="false" ht="12.75" hidden="false" customHeight="false" outlineLevel="0" collapsed="false">
      <c r="A6" s="357" t="n">
        <v>45908</v>
      </c>
      <c r="B6" s="336" t="s">
        <v>267</v>
      </c>
      <c r="F6" s="336" t="n">
        <v>480</v>
      </c>
      <c r="H6" s="340" t="n">
        <f aca="false">IF((F6&lt;&gt;0),IF((D6&gt;0)," ",F6)," ")</f>
        <v>480</v>
      </c>
      <c r="I6" s="341" t="n">
        <f aca="false">IF((F6&lt;&gt;0),IF((D6&gt;0)," ",(I$1-A6))," ")</f>
        <v>354</v>
      </c>
    </row>
    <row r="7" customFormat="false" ht="12.75" hidden="false" customHeight="false" outlineLevel="0" collapsed="false">
      <c r="A7" s="357" t="n">
        <v>45910</v>
      </c>
      <c r="B7" s="336" t="s">
        <v>268</v>
      </c>
      <c r="F7" s="336" t="n">
        <v>720</v>
      </c>
      <c r="H7" s="340" t="n">
        <f aca="false">IF((F7&lt;&gt;0),IF((D7&gt;0)," ",F7)," ")</f>
        <v>720</v>
      </c>
      <c r="I7" s="341" t="n">
        <f aca="false">IF((F7&lt;&gt;0),IF((D7&gt;0)," ",(I$1-A7))," ")</f>
        <v>352</v>
      </c>
    </row>
    <row r="8" customFormat="false" ht="12.75" hidden="false" customHeight="false" outlineLevel="0" collapsed="false">
      <c r="A8" s="357" t="n">
        <v>45915</v>
      </c>
      <c r="B8" s="336" t="s">
        <v>241</v>
      </c>
      <c r="F8" s="336" t="n">
        <v>25000</v>
      </c>
      <c r="H8" s="340" t="n">
        <f aca="false">IF((F8&lt;&gt;0),IF((D8&gt;0)," ",F8)," ")</f>
        <v>25000</v>
      </c>
      <c r="I8" s="341" t="n">
        <f aca="false">IF((F8&lt;&gt;0),IF((D8&gt;0)," ",(I$1-A8))," ")</f>
        <v>347</v>
      </c>
    </row>
    <row r="9" customFormat="false" ht="12.75" hidden="false" customHeight="false" outlineLevel="0" collapsed="false">
      <c r="A9" s="357" t="n">
        <v>45916</v>
      </c>
      <c r="B9" s="336" t="s">
        <v>351</v>
      </c>
      <c r="F9" s="336" t="n">
        <v>1200</v>
      </c>
      <c r="H9" s="340" t="n">
        <f aca="false">IF((F9&lt;&gt;0),IF((D9&gt;0)," ",F9)," ")</f>
        <v>1200</v>
      </c>
      <c r="I9" s="341" t="n">
        <f aca="false">IF((F9&lt;&gt;0),IF((D9&gt;0)," ",(I$1-A9))," ")</f>
        <v>346</v>
      </c>
    </row>
    <row r="10" customFormat="false" ht="12.75" hidden="false" customHeight="false" outlineLevel="0" collapsed="false">
      <c r="A10" s="357" t="n">
        <v>45918</v>
      </c>
      <c r="B10" s="336" t="s">
        <v>243</v>
      </c>
      <c r="F10" s="336" t="n">
        <v>2400</v>
      </c>
      <c r="H10" s="340" t="n">
        <f aca="false">IF((F10&lt;&gt;0),IF((D10&gt;0)," ",F10)," ")</f>
        <v>2400</v>
      </c>
      <c r="I10" s="341" t="n">
        <f aca="false">IF((F10&lt;&gt;0),IF((D10&gt;0)," ",(I$1-A10))," ")</f>
        <v>344</v>
      </c>
    </row>
    <row r="11" customFormat="false" ht="12.75" hidden="false" customHeight="false" outlineLevel="0" collapsed="false">
      <c r="A11" s="357" t="n">
        <v>45920</v>
      </c>
      <c r="B11" s="336" t="s">
        <v>383</v>
      </c>
      <c r="F11" s="336" t="n">
        <v>960</v>
      </c>
      <c r="H11" s="340" t="n">
        <f aca="false">IF((F11&lt;&gt;0),IF((D11&gt;0)," ",F11)," ")</f>
        <v>960</v>
      </c>
      <c r="I11" s="341" t="n">
        <f aca="false">IF((F11&lt;&gt;0),IF((D11&gt;0)," ",(I$1-A11))," ")</f>
        <v>342</v>
      </c>
    </row>
    <row r="12" customFormat="false" ht="12.75" hidden="false" customHeight="false" outlineLevel="0" collapsed="false">
      <c r="A12" s="357" t="n">
        <v>45922</v>
      </c>
      <c r="B12" s="336" t="s">
        <v>365</v>
      </c>
      <c r="F12" s="336" t="n">
        <v>1440</v>
      </c>
      <c r="H12" s="340" t="n">
        <f aca="false">IF((F12&lt;&gt;0),IF((D12&gt;0)," ",F12)," ")</f>
        <v>1440</v>
      </c>
      <c r="I12" s="341" t="n">
        <f aca="false">IF((F12&lt;&gt;0),IF((D12&gt;0)," ",(I$1-A12))," ")</f>
        <v>340</v>
      </c>
    </row>
    <row r="13" customFormat="false" ht="12.75" hidden="false" customHeight="false" outlineLevel="0" collapsed="false">
      <c r="A13" s="357" t="n">
        <v>45925</v>
      </c>
      <c r="B13" s="336" t="s">
        <v>384</v>
      </c>
      <c r="F13" s="336" t="n">
        <v>600</v>
      </c>
      <c r="H13" s="340" t="n">
        <f aca="false">IF((F13&lt;&gt;0),IF((D13&gt;0)," ",F13)," ")</f>
        <v>600</v>
      </c>
      <c r="I13" s="341" t="n">
        <f aca="false">IF((F13&lt;&gt;0),IF((D13&gt;0)," ",(I$1-A13))," ")</f>
        <v>337</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272</v>
      </c>
      <c r="C1" s="346" t="n">
        <f aca="false">PurchasesAug!C1+PurchasesSep!F1+SalesSep!$E$1</f>
        <v>0</v>
      </c>
      <c r="D1" s="371" t="s">
        <v>254</v>
      </c>
      <c r="E1" s="373" t="str">
        <f aca="false">IF((G1-SUM(J1:W1)&lt;&gt;0),(G1-SUM(J1:W1))," ")</f>
        <v> </v>
      </c>
      <c r="F1" s="346" t="n">
        <f aca="false">SUM(F5:F300)</f>
        <v>0</v>
      </c>
      <c r="G1" s="345" t="n">
        <f aca="false">SUM(G4:G300)</f>
        <v>10675</v>
      </c>
      <c r="H1" s="374" t="n">
        <f aca="false">SUM(H5:H300)</f>
        <v>10675</v>
      </c>
      <c r="I1" s="375" t="n">
        <f aca="true">TODAY()</f>
        <v>46262</v>
      </c>
      <c r="J1" s="345" t="n">
        <f aca="false">SUM(J5:J300)</f>
        <v>240</v>
      </c>
      <c r="K1" s="345" t="n">
        <f aca="false">SUM(K5:K300)</f>
        <v>0</v>
      </c>
      <c r="L1" s="345" t="n">
        <f aca="false">SUM(L5:L300)</f>
        <v>5700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IF((C1&lt;Admin!$F$22),((C1-PurchasesAug!C1)*Admin!$G$21),(C1*Admin!$G$21-(C1-Admin!$F$21)*(Admin!$G$21-Admin!$G$22)-PurchasesAug!A1))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45901</v>
      </c>
      <c r="B5" s="365" t="s">
        <v>245</v>
      </c>
      <c r="E5" s="367" t="s">
        <v>314</v>
      </c>
      <c r="G5" s="368" t="n">
        <v>1200</v>
      </c>
      <c r="H5" s="340" t="n">
        <f aca="false">IF((G5&lt;&gt;0),IF((D5&gt;0)," ",G5)," ")</f>
        <v>1200</v>
      </c>
      <c r="I5" s="369" t="n">
        <f aca="false">IF((G5&lt;&gt;0),IF((D5&gt;0)," ",(I$1-A5))," ")</f>
        <v>361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45901</v>
      </c>
      <c r="B6" s="365" t="s">
        <v>315</v>
      </c>
      <c r="E6" s="367" t="s">
        <v>316</v>
      </c>
      <c r="G6" s="368" t="n">
        <v>30</v>
      </c>
      <c r="H6" s="340" t="n">
        <f aca="false">IF((G6&lt;&gt;0),IF((D6&gt;0)," ",G6)," ")</f>
        <v>30</v>
      </c>
      <c r="I6" s="369" t="n">
        <f aca="false">IF((G6&lt;&gt;0),IF((D6&gt;0)," ",(I$1-A6))," ")</f>
        <v>361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45901</v>
      </c>
      <c r="B7" s="365" t="s">
        <v>317</v>
      </c>
      <c r="E7" s="367" t="s">
        <v>316</v>
      </c>
      <c r="G7" s="368" t="n">
        <v>15</v>
      </c>
      <c r="H7" s="340" t="n">
        <f aca="false">IF((G7&lt;&gt;0),IF((D7&gt;0)," ",G7)," ")</f>
        <v>15</v>
      </c>
      <c r="I7" s="369" t="n">
        <f aca="false">IF((G7&lt;&gt;0),IF((D7&gt;0)," ",(I$1-A7))," ")</f>
        <v>361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45901</v>
      </c>
      <c r="B8" s="365" t="s">
        <v>318</v>
      </c>
      <c r="E8" s="367" t="s">
        <v>319</v>
      </c>
      <c r="G8" s="368" t="n">
        <v>45</v>
      </c>
      <c r="H8" s="340" t="n">
        <f aca="false">IF((G8&lt;&gt;0),IF((D8&gt;0)," ",G8)," ")</f>
        <v>45</v>
      </c>
      <c r="I8" s="369" t="n">
        <f aca="false">IF((G8&lt;&gt;0),IF((D8&gt;0)," ",(I$1-A8))," ")</f>
        <v>361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45901</v>
      </c>
      <c r="B9" s="365" t="s">
        <v>321</v>
      </c>
      <c r="E9" s="367" t="s">
        <v>319</v>
      </c>
      <c r="G9" s="368" t="n">
        <v>24</v>
      </c>
      <c r="H9" s="340" t="n">
        <f aca="false">IF((G9&lt;&gt;0),IF((D9&gt;0)," ",G9)," ")</f>
        <v>24</v>
      </c>
      <c r="I9" s="369" t="n">
        <f aca="false">IF((G9&lt;&gt;0),IF((D9&gt;0)," ",(I$1-A9))," ")</f>
        <v>361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45901</v>
      </c>
      <c r="B10" s="365" t="s">
        <v>322</v>
      </c>
      <c r="E10" s="367" t="s">
        <v>316</v>
      </c>
      <c r="G10" s="368" t="n">
        <v>18</v>
      </c>
      <c r="H10" s="340" t="n">
        <f aca="false">IF((G10&lt;&gt;0),IF((D10&gt;0)," ",G10)," ")</f>
        <v>18</v>
      </c>
      <c r="I10" s="369" t="n">
        <f aca="false">IF((G10&lt;&gt;0),IF((D10&gt;0)," ",(I$1-A10))," ")</f>
        <v>361</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45903</v>
      </c>
      <c r="B11" s="365" t="s">
        <v>323</v>
      </c>
      <c r="E11" s="367" t="s">
        <v>319</v>
      </c>
      <c r="G11" s="368" t="n">
        <v>180</v>
      </c>
      <c r="H11" s="340" t="n">
        <f aca="false">IF((G11&lt;&gt;0),IF((D11&gt;0)," ",G11)," ")</f>
        <v>180</v>
      </c>
      <c r="I11" s="369" t="n">
        <f aca="false">IF((G11&lt;&gt;0),IF((D11&gt;0)," ",(I$1-A11))," ")</f>
        <v>359</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45903</v>
      </c>
      <c r="B12" s="365" t="s">
        <v>324</v>
      </c>
      <c r="E12" s="367" t="s">
        <v>319</v>
      </c>
      <c r="G12" s="368" t="n">
        <v>22</v>
      </c>
      <c r="H12" s="340" t="n">
        <f aca="false">IF((G12&lt;&gt;0),IF((D12&gt;0)," ",G12)," ")</f>
        <v>22</v>
      </c>
      <c r="I12" s="369" t="n">
        <f aca="false">IF((G12&lt;&gt;0),IF((D12&gt;0)," ",(I$1-A12))," ")</f>
        <v>359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45905</v>
      </c>
      <c r="B13" s="365" t="s">
        <v>325</v>
      </c>
      <c r="E13" s="367" t="s">
        <v>319</v>
      </c>
      <c r="G13" s="368" t="n">
        <v>24</v>
      </c>
      <c r="H13" s="340" t="n">
        <f aca="false">IF((G13&lt;&gt;0),IF((D13&gt;0)," ",G13)," ")</f>
        <v>24</v>
      </c>
      <c r="I13" s="369" t="n">
        <f aca="false">IF((G13&lt;&gt;0),IF((D13&gt;0)," ",(I$1-A13))," ")</f>
        <v>357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45905</v>
      </c>
      <c r="B14" s="365" t="s">
        <v>326</v>
      </c>
      <c r="E14" s="367" t="s">
        <v>297</v>
      </c>
      <c r="G14" s="368" t="n">
        <v>180</v>
      </c>
      <c r="H14" s="340" t="n">
        <f aca="false">IF((G14&lt;&gt;0),IF((D14&gt;0)," ",G14)," ")</f>
        <v>180</v>
      </c>
      <c r="I14" s="369" t="n">
        <f aca="false">IF((G14&lt;&gt;0),IF((D14&gt;0)," ",(I$1-A14))," ")</f>
        <v>357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45908</v>
      </c>
      <c r="B15" s="365" t="s">
        <v>328</v>
      </c>
      <c r="E15" s="367" t="s">
        <v>329</v>
      </c>
      <c r="G15" s="368" t="n">
        <v>48</v>
      </c>
      <c r="H15" s="340" t="n">
        <f aca="false">IF((G15&lt;&gt;0),IF((D15&gt;0)," ",G15)," ")</f>
        <v>48</v>
      </c>
      <c r="I15" s="369" t="n">
        <f aca="false">IF((G15&lt;&gt;0),IF((D15&gt;0)," ",(I$1-A15))," ")</f>
        <v>354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45908</v>
      </c>
      <c r="B16" s="365" t="s">
        <v>355</v>
      </c>
      <c r="E16" s="367" t="s">
        <v>319</v>
      </c>
      <c r="G16" s="368" t="n">
        <v>360</v>
      </c>
      <c r="H16" s="340" t="n">
        <f aca="false">IF((G16&lt;&gt;0),IF((D16&gt;0)," ",G16)," ")</f>
        <v>360</v>
      </c>
      <c r="I16" s="369" t="n">
        <f aca="false">IF((G16&lt;&gt;0),IF((D16&gt;0)," ",(I$1-A16))," ")</f>
        <v>354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row>
    <row r="17" customFormat="false" ht="12.75" hidden="false" customHeight="false" outlineLevel="0" collapsed="false">
      <c r="A17" s="357" t="n">
        <v>45910</v>
      </c>
      <c r="B17" s="365" t="s">
        <v>330</v>
      </c>
      <c r="E17" s="367" t="s">
        <v>319</v>
      </c>
      <c r="G17" s="368" t="n">
        <v>36</v>
      </c>
      <c r="H17" s="340" t="n">
        <f aca="false">IF((G17&lt;&gt;0),IF((D17&gt;0)," ",G17)," ")</f>
        <v>36</v>
      </c>
      <c r="I17" s="369" t="n">
        <f aca="false">IF((G17&lt;&gt;0),IF((D17&gt;0)," ",(I$1-A17))," ")</f>
        <v>352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45910</v>
      </c>
      <c r="B18" s="365" t="s">
        <v>338</v>
      </c>
      <c r="E18" s="367" t="s">
        <v>319</v>
      </c>
      <c r="G18" s="368" t="n">
        <v>96</v>
      </c>
      <c r="H18" s="340" t="n">
        <f aca="false">IF((G18&lt;&gt;0),IF((D18&gt;0)," ",G18)," ")</f>
        <v>96</v>
      </c>
      <c r="I18" s="369" t="n">
        <f aca="false">IF((G18&lt;&gt;0),IF((D18&gt;0)," ",(I$1-A18))," ")</f>
        <v>352</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row>
    <row r="19" customFormat="false" ht="12.75" hidden="false" customHeight="false" outlineLevel="0" collapsed="false">
      <c r="A19" s="357" t="n">
        <v>45912</v>
      </c>
      <c r="B19" s="365" t="s">
        <v>334</v>
      </c>
      <c r="E19" s="367" t="s">
        <v>297</v>
      </c>
      <c r="G19" s="368" t="n">
        <v>18</v>
      </c>
      <c r="H19" s="340" t="n">
        <f aca="false">IF((G19&lt;&gt;0),IF((D19&gt;0)," ",G19)," ")</f>
        <v>18</v>
      </c>
      <c r="I19" s="369" t="n">
        <f aca="false">IF((G19&lt;&gt;0),IF((D19&gt;0)," ",(I$1-A19))," ")</f>
        <v>350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45914</v>
      </c>
      <c r="B20" s="365" t="s">
        <v>336</v>
      </c>
      <c r="E20" s="367" t="s">
        <v>329</v>
      </c>
      <c r="G20" s="368" t="n">
        <v>24</v>
      </c>
      <c r="H20" s="340" t="n">
        <f aca="false">IF((G20&lt;&gt;0),IF((D20&gt;0)," ",G20)," ")</f>
        <v>24</v>
      </c>
      <c r="I20" s="369" t="n">
        <f aca="false">IF((G20&lt;&gt;0),IF((D20&gt;0)," ",(I$1-A20))," ")</f>
        <v>348</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45914</v>
      </c>
      <c r="B21" s="365" t="s">
        <v>337</v>
      </c>
      <c r="D21" s="365"/>
      <c r="E21" s="367" t="s">
        <v>329</v>
      </c>
      <c r="G21" s="368" t="n">
        <v>12</v>
      </c>
      <c r="H21" s="340" t="n">
        <f aca="false">IF((G21&lt;&gt;0),IF((D21&gt;0)," ",G21)," ")</f>
        <v>12</v>
      </c>
      <c r="I21" s="369" t="n">
        <f aca="false">IF((G21&lt;&gt;0),IF((D21&gt;0)," ",(I$1-A21))," ")</f>
        <v>348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45915</v>
      </c>
      <c r="B22" s="365" t="s">
        <v>249</v>
      </c>
      <c r="D22" s="395"/>
      <c r="E22" s="367" t="s">
        <v>297</v>
      </c>
      <c r="G22" s="368" t="n">
        <v>150</v>
      </c>
      <c r="H22" s="340" t="n">
        <f aca="false">IF((G22&lt;&gt;0),IF((D22&gt;0)," ",G22)," ")</f>
        <v>150</v>
      </c>
      <c r="I22" s="369" t="n">
        <f aca="false">IF((G22&lt;&gt;0),IF((D22&gt;0)," ",(I$1-A22))," ")</f>
        <v>347</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45915</v>
      </c>
      <c r="B23" s="365" t="s">
        <v>338</v>
      </c>
      <c r="E23" s="367" t="s">
        <v>316</v>
      </c>
      <c r="G23" s="368" t="n">
        <v>12</v>
      </c>
      <c r="H23" s="340" t="n">
        <f aca="false">IF((G23&lt;&gt;0),IF((D23&gt;0)," ",G23)," ")</f>
        <v>12</v>
      </c>
      <c r="I23" s="369" t="n">
        <f aca="false">IF((G23&lt;&gt;0),IF((D23&gt;0)," ",(I$1-A23))," ")</f>
        <v>347</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45915</v>
      </c>
      <c r="B24" s="365" t="s">
        <v>385</v>
      </c>
      <c r="E24" s="367" t="s">
        <v>346</v>
      </c>
      <c r="G24" s="368" t="n">
        <v>960</v>
      </c>
      <c r="H24" s="340" t="n">
        <f aca="false">IF((G24&lt;&gt;0),IF((D24&gt;0)," ",G24)," ")</f>
        <v>960</v>
      </c>
      <c r="I24" s="369" t="n">
        <f aca="false">IF((G24&lt;&gt;0),IF((D24&gt;0)," ",(I$1-A24))," ")</f>
        <v>347</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45916</v>
      </c>
      <c r="B25" s="365" t="s">
        <v>361</v>
      </c>
      <c r="E25" s="367" t="s">
        <v>316</v>
      </c>
      <c r="G25" s="368" t="n">
        <v>12</v>
      </c>
      <c r="H25" s="340" t="n">
        <f aca="false">IF((G25&lt;&gt;0),IF((D25&gt;0)," ",G25)," ")</f>
        <v>12</v>
      </c>
      <c r="I25" s="369" t="n">
        <f aca="false">IF((G25&lt;&gt;0),IF((D25&gt;0)," ",(I$1-A25))," ")</f>
        <v>346</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45918</v>
      </c>
      <c r="B26" s="365" t="s">
        <v>370</v>
      </c>
      <c r="E26" s="367" t="s">
        <v>333</v>
      </c>
      <c r="G26" s="368" t="n">
        <v>240</v>
      </c>
      <c r="H26" s="340" t="n">
        <f aca="false">IF((G26&lt;&gt;0),IF((D26&gt;0)," ",G26)," ")</f>
        <v>240</v>
      </c>
      <c r="I26" s="369" t="n">
        <f aca="false">IF((G26&lt;&gt;0),IF((D26&gt;0)," ",(I$1-A26))," ")</f>
        <v>344</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45918</v>
      </c>
      <c r="B27" s="365" t="s">
        <v>339</v>
      </c>
      <c r="E27" s="367" t="s">
        <v>297</v>
      </c>
      <c r="G27" s="368" t="n">
        <v>96</v>
      </c>
      <c r="H27" s="340" t="n">
        <f aca="false">IF((G27&lt;&gt;0),IF((D27&gt;0)," ",G27)," ")</f>
        <v>96</v>
      </c>
      <c r="I27" s="369" t="n">
        <f aca="false">IF((G27&lt;&gt;0),IF((D27&gt;0)," ",(I$1-A27))," ")</f>
        <v>344</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45920</v>
      </c>
      <c r="B28" s="365" t="s">
        <v>248</v>
      </c>
      <c r="E28" s="367" t="s">
        <v>316</v>
      </c>
      <c r="G28" s="368" t="n">
        <v>60</v>
      </c>
      <c r="H28" s="340" t="n">
        <f aca="false">IF((G28&lt;&gt;0),IF((D28&gt;0)," ",G28)," ")</f>
        <v>60</v>
      </c>
      <c r="I28" s="369" t="n">
        <f aca="false">IF((G28&lt;&gt;0),IF((D28&gt;0)," ",(I$1-A28))," ")</f>
        <v>342</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45921</v>
      </c>
      <c r="B29" s="365" t="s">
        <v>342</v>
      </c>
      <c r="E29" s="367" t="s">
        <v>329</v>
      </c>
      <c r="G29" s="368" t="n">
        <v>8</v>
      </c>
      <c r="H29" s="340" t="n">
        <f aca="false">IF((G29&lt;&gt;0),IF((D29&gt;0)," ",G29)," ")</f>
        <v>8</v>
      </c>
      <c r="I29" s="369" t="n">
        <f aca="false">IF((G29&lt;&gt;0),IF((D29&gt;0)," ",(I$1-A29))," ")</f>
        <v>341</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45922</v>
      </c>
      <c r="B30" s="365" t="s">
        <v>343</v>
      </c>
      <c r="E30" s="367" t="s">
        <v>319</v>
      </c>
      <c r="G30" s="368" t="n">
        <v>18</v>
      </c>
      <c r="H30" s="340" t="n">
        <f aca="false">IF((G30&lt;&gt;0),IF((D30&gt;0)," ",G30)," ")</f>
        <v>18</v>
      </c>
      <c r="I30" s="369" t="n">
        <f aca="false">IF((G30&lt;&gt;0),IF((D30&gt;0)," ",(I$1-A30))," ")</f>
        <v>340</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row>
    <row r="31" customFormat="false" ht="12.75" hidden="false" customHeight="false" outlineLevel="0" collapsed="false">
      <c r="A31" s="357" t="n">
        <v>45922</v>
      </c>
      <c r="B31" s="365" t="s">
        <v>364</v>
      </c>
      <c r="E31" s="367" t="s">
        <v>297</v>
      </c>
      <c r="G31" s="368" t="n">
        <v>72</v>
      </c>
      <c r="H31" s="340" t="n">
        <f aca="false">IF((G31&lt;&gt;0),IF((D31&gt;0)," ",G31)," ")</f>
        <v>72</v>
      </c>
      <c r="I31" s="369" t="n">
        <f aca="false">IF((G31&lt;&gt;0),IF((D31&gt;0)," ",(I$1-A31))," ")</f>
        <v>340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45925</v>
      </c>
      <c r="B32" s="365" t="s">
        <v>371</v>
      </c>
      <c r="E32" s="367" t="s">
        <v>314</v>
      </c>
      <c r="G32" s="368" t="n">
        <v>300</v>
      </c>
      <c r="H32" s="340" t="n">
        <f aca="false">IF((G32&lt;&gt;0),IF((D32&gt;0)," ",G32)," ")</f>
        <v>300</v>
      </c>
      <c r="I32" s="369" t="n">
        <f aca="false">IF((G32&lt;&gt;0),IF((D32&gt;0)," ",(I$1-A32))," ")</f>
        <v>337</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45925</v>
      </c>
      <c r="B33" s="365" t="s">
        <v>344</v>
      </c>
      <c r="E33" s="367" t="s">
        <v>319</v>
      </c>
      <c r="G33" s="368" t="n">
        <v>15</v>
      </c>
      <c r="H33" s="340" t="n">
        <f aca="false">IF((G33&lt;&gt;0),IF((D33&gt;0)," ",G33)," ")</f>
        <v>15</v>
      </c>
      <c r="I33" s="369" t="n">
        <f aca="false">IF((G33&lt;&gt;0),IF((D33&gt;0)," ",(I$1-A33))," ")</f>
        <v>337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45925</v>
      </c>
      <c r="B34" s="365" t="s">
        <v>345</v>
      </c>
      <c r="E34" s="367" t="s">
        <v>297</v>
      </c>
      <c r="G34" s="368" t="n">
        <v>72</v>
      </c>
      <c r="H34" s="340" t="n">
        <f aca="false">IF((G34&lt;&gt;0),IF((D34&gt;0)," ",G34)," ")</f>
        <v>72</v>
      </c>
      <c r="I34" s="369" t="n">
        <f aca="false">IF((G34&lt;&gt;0),IF((D34&gt;0)," ",(I$1-A34))," ")</f>
        <v>337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72</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45928</v>
      </c>
      <c r="B35" s="365" t="s">
        <v>249</v>
      </c>
      <c r="E35" s="367" t="s">
        <v>297</v>
      </c>
      <c r="G35" s="368" t="n">
        <v>120</v>
      </c>
      <c r="H35" s="340" t="n">
        <f aca="false">IF((G35&lt;&gt;0),IF((D35&gt;0)," ",G35)," ")</f>
        <v>120</v>
      </c>
      <c r="I35" s="369" t="n">
        <f aca="false">IF((G35&lt;&gt;0),IF((D35&gt;0)," ",(I$1-A35))," ")</f>
        <v>334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45930</v>
      </c>
      <c r="B36" s="365" t="s">
        <v>246</v>
      </c>
      <c r="E36" s="367" t="s">
        <v>346</v>
      </c>
      <c r="G36" s="368" t="n">
        <v>300</v>
      </c>
      <c r="H36" s="340" t="n">
        <f aca="false">IF((G36&lt;&gt;0),IF((D36&gt;0)," ",G36)," ")</f>
        <v>300</v>
      </c>
      <c r="I36" s="369" t="n">
        <f aca="false">IF((G36&lt;&gt;0),IF((D36&gt;0)," ",(I$1-A36))," ")</f>
        <v>332</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45930</v>
      </c>
      <c r="B37" s="365" t="s">
        <v>372</v>
      </c>
      <c r="E37" s="367" t="s">
        <v>373</v>
      </c>
      <c r="G37" s="368" t="n">
        <v>208</v>
      </c>
      <c r="H37" s="340" t="n">
        <f aca="false">IF((G37&lt;&gt;0),IF((D37&gt;0)," ",G37)," ")</f>
        <v>208</v>
      </c>
      <c r="I37" s="369" t="n">
        <f aca="false">IF((G37&lt;&gt;0),IF((D37&gt;0)," ",(I$1-A37))," ")</f>
        <v>332</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row>
    <row r="38" customFormat="false" ht="12.75" hidden="false" customHeight="false" outlineLevel="0" collapsed="false">
      <c r="A38" s="357" t="n">
        <v>45930</v>
      </c>
      <c r="B38" s="365" t="s">
        <v>347</v>
      </c>
      <c r="E38" s="367" t="s">
        <v>348</v>
      </c>
      <c r="G38" s="368" t="n">
        <v>3500</v>
      </c>
      <c r="H38" s="340" t="n">
        <f aca="false">IF((G38&lt;&gt;0),IF((D38&gt;0)," ",G38)," ")</f>
        <v>3500</v>
      </c>
      <c r="I38" s="369" t="n">
        <f aca="false">IF((G38&lt;&gt;0),IF((D38&gt;0)," ",(I$1-A38))," ")</f>
        <v>332</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45930</v>
      </c>
      <c r="B39" s="365" t="s">
        <v>349</v>
      </c>
      <c r="E39" s="367" t="s">
        <v>348</v>
      </c>
      <c r="G39" s="368" t="n">
        <v>2200</v>
      </c>
      <c r="H39" s="340" t="n">
        <f aca="false">IF((G39&lt;&gt;0),IF((D39&gt;0)," ",G39)," ")</f>
        <v>2200</v>
      </c>
      <c r="I39" s="369" t="n">
        <f aca="false">IF((G39&lt;&gt;0),IF((D39&gt;0)," ",(I$1-A39))," ")</f>
        <v>332</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35560</v>
      </c>
      <c r="G1" s="345" t="n">
        <f aca="false">SUM(G4:G300)</f>
        <v>0</v>
      </c>
      <c r="H1" s="347" t="n">
        <f aca="false">SUM(H4:H300)</f>
        <v>35560</v>
      </c>
      <c r="I1" s="348" t="n">
        <f aca="true">TODAY()</f>
        <v>46262</v>
      </c>
      <c r="J1" s="345" t="n">
        <f aca="false">SUM(J4:J300)</f>
        <v>0</v>
      </c>
      <c r="K1" s="349" t="n">
        <f aca="false">J1+SalesSep!K1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45931</v>
      </c>
      <c r="B4" s="336" t="s">
        <v>242</v>
      </c>
      <c r="F4" s="336" t="n">
        <v>1200</v>
      </c>
      <c r="H4" s="340" t="n">
        <f aca="false">IF((F4&lt;&gt;0),IF((D4&gt;0)," ",F4)," ")</f>
        <v>1200</v>
      </c>
      <c r="I4" s="341" t="n">
        <f aca="false">IF((F4&lt;&gt;0),IF((D4&gt;0)," ",(I$1-A4))," ")</f>
        <v>331</v>
      </c>
    </row>
    <row r="5" customFormat="false" ht="12.75" hidden="false" customHeight="false" outlineLevel="0" collapsed="false">
      <c r="A5" s="357" t="n">
        <v>45933</v>
      </c>
      <c r="B5" s="336" t="s">
        <v>265</v>
      </c>
      <c r="F5" s="336" t="n">
        <v>360</v>
      </c>
      <c r="H5" s="340" t="n">
        <f aca="false">IF((F5&lt;&gt;0),IF((D5&gt;0)," ",F5)," ")</f>
        <v>360</v>
      </c>
      <c r="I5" s="341" t="n">
        <f aca="false">IF((F5&lt;&gt;0),IF((D5&gt;0)," ",(I$1-A5))," ")</f>
        <v>329</v>
      </c>
    </row>
    <row r="6" customFormat="false" ht="12.75" hidden="false" customHeight="false" outlineLevel="0" collapsed="false">
      <c r="A6" s="357" t="n">
        <v>45935</v>
      </c>
      <c r="B6" s="336" t="s">
        <v>266</v>
      </c>
      <c r="F6" s="336" t="n">
        <v>600</v>
      </c>
      <c r="H6" s="340" t="n">
        <f aca="false">IF((F6&lt;&gt;0),IF((D6&gt;0)," ",F6)," ")</f>
        <v>600</v>
      </c>
      <c r="I6" s="341" t="n">
        <f aca="false">IF((F6&lt;&gt;0),IF((D6&gt;0)," ",(I$1-A6))," ")</f>
        <v>327</v>
      </c>
    </row>
    <row r="7" customFormat="false" ht="12.75" hidden="false" customHeight="false" outlineLevel="0" collapsed="false">
      <c r="A7" s="357" t="n">
        <v>45938</v>
      </c>
      <c r="B7" s="336" t="s">
        <v>267</v>
      </c>
      <c r="F7" s="336" t="n">
        <v>480</v>
      </c>
      <c r="H7" s="340" t="n">
        <f aca="false">IF((F7&lt;&gt;0),IF((D7&gt;0)," ",F7)," ")</f>
        <v>480</v>
      </c>
      <c r="I7" s="341" t="n">
        <f aca="false">IF((F7&lt;&gt;0),IF((D7&gt;0)," ",(I$1-A7))," ")</f>
        <v>324</v>
      </c>
    </row>
    <row r="8" customFormat="false" ht="12.75" hidden="false" customHeight="false" outlineLevel="0" collapsed="false">
      <c r="A8" s="357" t="n">
        <v>45940</v>
      </c>
      <c r="B8" s="336" t="s">
        <v>268</v>
      </c>
      <c r="F8" s="336" t="n">
        <v>720</v>
      </c>
      <c r="H8" s="340" t="n">
        <f aca="false">IF((F8&lt;&gt;0),IF((D8&gt;0)," ",F8)," ")</f>
        <v>720</v>
      </c>
      <c r="I8" s="341" t="n">
        <f aca="false">IF((F8&lt;&gt;0),IF((D8&gt;0)," ",(I$1-A8))," ")</f>
        <v>322</v>
      </c>
    </row>
    <row r="9" customFormat="false" ht="12.75" hidden="false" customHeight="false" outlineLevel="0" collapsed="false">
      <c r="A9" s="357" t="n">
        <v>45944</v>
      </c>
      <c r="B9" s="336" t="s">
        <v>374</v>
      </c>
      <c r="F9" s="336" t="n">
        <v>2160</v>
      </c>
      <c r="H9" s="340" t="n">
        <f aca="false">IF((F9&lt;&gt;0),IF((D9&gt;0)," ",F9)," ")</f>
        <v>2160</v>
      </c>
      <c r="I9" s="341" t="n">
        <f aca="false">IF((F9&lt;&gt;0),IF((D9&gt;0)," ",(I$1-A9))," ")</f>
        <v>318</v>
      </c>
    </row>
    <row r="10" customFormat="false" ht="12.75" hidden="false" customHeight="false" outlineLevel="0" collapsed="false">
      <c r="A10" s="357" t="n">
        <v>45945</v>
      </c>
      <c r="B10" s="336" t="s">
        <v>241</v>
      </c>
      <c r="F10" s="336" t="n">
        <v>25000</v>
      </c>
      <c r="H10" s="340" t="n">
        <f aca="false">IF((F10&lt;&gt;0),IF((D10&gt;0)," ",F10)," ")</f>
        <v>25000</v>
      </c>
      <c r="I10" s="341" t="n">
        <f aca="false">IF((F10&lt;&gt;0),IF((D10&gt;0)," ",(I$1-A10))," ")</f>
        <v>317</v>
      </c>
    </row>
    <row r="11" customFormat="false" ht="12.75" hidden="false" customHeight="false" outlineLevel="0" collapsed="false">
      <c r="A11" s="357" t="n">
        <v>45948</v>
      </c>
      <c r="B11" s="336" t="s">
        <v>243</v>
      </c>
      <c r="F11" s="336" t="n">
        <v>2400</v>
      </c>
      <c r="H11" s="340" t="n">
        <f aca="false">IF((F11&lt;&gt;0),IF((D11&gt;0)," ",F11)," ")</f>
        <v>2400</v>
      </c>
      <c r="I11" s="341" t="n">
        <f aca="false">IF((F11&lt;&gt;0),IF((D11&gt;0)," ",(I$1-A11))," ")</f>
        <v>314</v>
      </c>
    </row>
    <row r="12" customFormat="false" ht="12.75" hidden="false" customHeight="false" outlineLevel="0" collapsed="false">
      <c r="A12" s="357" t="n">
        <v>45950</v>
      </c>
      <c r="B12" s="336" t="s">
        <v>269</v>
      </c>
      <c r="F12" s="336" t="n">
        <v>1800</v>
      </c>
      <c r="H12" s="340" t="n">
        <f aca="false">IF((F12&lt;&gt;0),IF((D12&gt;0)," ",F12)," ")</f>
        <v>1800</v>
      </c>
      <c r="I12" s="341" t="n">
        <f aca="false">IF((F12&lt;&gt;0),IF((D12&gt;0)," ",(I$1-A12))," ")</f>
        <v>312</v>
      </c>
    </row>
    <row r="13" customFormat="false" ht="12.75" hidden="false" customHeight="false" outlineLevel="0" collapsed="false">
      <c r="A13" s="357" t="n">
        <v>45958</v>
      </c>
      <c r="B13" s="336" t="s">
        <v>270</v>
      </c>
      <c r="F13" s="336" t="n">
        <v>840</v>
      </c>
      <c r="H13" s="340" t="n">
        <f aca="false">IF((F13&lt;&gt;0),IF((D13&gt;0)," ",F13)," ")</f>
        <v>840</v>
      </c>
      <c r="I13" s="341" t="n">
        <f aca="false">IF((F13&lt;&gt;0),IF((D13&gt;0)," ",(I$1-A13))," ")</f>
        <v>304</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272</v>
      </c>
      <c r="C1" s="346" t="n">
        <f aca="false">PurchasesSep!C1+PurchasesOct!F1+SalesOct!$E$1</f>
        <v>0</v>
      </c>
      <c r="D1" s="371" t="s">
        <v>254</v>
      </c>
      <c r="E1" s="373" t="str">
        <f aca="false">IF((G1-SUM(J1:W1)&lt;&gt;0),(G1-SUM(J1:W1))," ")</f>
        <v> </v>
      </c>
      <c r="F1" s="346" t="n">
        <f aca="false">SUM(F5:F300)</f>
        <v>0</v>
      </c>
      <c r="G1" s="345" t="n">
        <f aca="false">SUM(G4:G300)</f>
        <v>48705.75</v>
      </c>
      <c r="H1" s="374" t="n">
        <f aca="false">SUM(H5:H300)</f>
        <v>48705.75</v>
      </c>
      <c r="I1" s="375" t="n">
        <f aca="true">TODAY()</f>
        <v>46262</v>
      </c>
      <c r="J1" s="345" t="n">
        <f aca="false">SUM(J5:J300)</f>
        <v>480</v>
      </c>
      <c r="K1" s="345" t="n">
        <f aca="false">SUM(K5:K300)</f>
        <v>0</v>
      </c>
      <c r="L1" s="345" t="n">
        <f aca="false">SUM(L5:L300)</f>
        <v>5700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IF((C1&lt;Admin!$F$22),((C1-PurchasesSep!C1)*Admin!$G$21),(C1*Admin!$G$21-(C1-Admin!$F$21)*(Admin!$G$21-Admin!$G$22)-PurchasesSep!A1))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45931</v>
      </c>
      <c r="B5" s="365" t="s">
        <v>245</v>
      </c>
      <c r="E5" s="367" t="s">
        <v>314</v>
      </c>
      <c r="G5" s="368" t="n">
        <v>1200</v>
      </c>
      <c r="H5" s="340" t="n">
        <f aca="false">IF((G5&lt;&gt;0),IF((D5&gt;0)," ",G5)," ")</f>
        <v>1200</v>
      </c>
      <c r="I5" s="369" t="n">
        <f aca="false">IF((G5&lt;&gt;0),IF((D5&gt;0)," ",(I$1-A5))," ")</f>
        <v>331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45931</v>
      </c>
      <c r="B6" s="365" t="s">
        <v>315</v>
      </c>
      <c r="E6" s="367" t="s">
        <v>316</v>
      </c>
      <c r="G6" s="368" t="n">
        <v>30</v>
      </c>
      <c r="H6" s="340" t="n">
        <f aca="false">IF((G6&lt;&gt;0),IF((D6&gt;0)," ",G6)," ")</f>
        <v>30</v>
      </c>
      <c r="I6" s="369" t="n">
        <f aca="false">IF((G6&lt;&gt;0),IF((D6&gt;0)," ",(I$1-A6))," ")</f>
        <v>331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45931</v>
      </c>
      <c r="B7" s="365" t="s">
        <v>317</v>
      </c>
      <c r="E7" s="367" t="s">
        <v>316</v>
      </c>
      <c r="G7" s="368" t="n">
        <v>15</v>
      </c>
      <c r="H7" s="340" t="n">
        <f aca="false">IF((G7&lt;&gt;0),IF((D7&gt;0)," ",G7)," ")</f>
        <v>15</v>
      </c>
      <c r="I7" s="369" t="n">
        <f aca="false">IF((G7&lt;&gt;0),IF((D7&gt;0)," ",(I$1-A7))," ")</f>
        <v>331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45931</v>
      </c>
      <c r="B8" s="365" t="s">
        <v>318</v>
      </c>
      <c r="E8" s="367" t="s">
        <v>319</v>
      </c>
      <c r="G8" s="368" t="n">
        <v>45</v>
      </c>
      <c r="H8" s="340" t="n">
        <f aca="false">IF((G8&lt;&gt;0),IF((D8&gt;0)," ",G8)," ")</f>
        <v>45</v>
      </c>
      <c r="I8" s="369" t="n">
        <f aca="false">IF((G8&lt;&gt;0),IF((D8&gt;0)," ",(I$1-A8))," ")</f>
        <v>331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45931</v>
      </c>
      <c r="B9" s="365" t="s">
        <v>386</v>
      </c>
      <c r="E9" s="367" t="s">
        <v>319</v>
      </c>
      <c r="G9" s="368" t="n">
        <v>360</v>
      </c>
      <c r="H9" s="340" t="n">
        <f aca="false">IF((G9&lt;&gt;0),IF((D9&gt;0)," ",G9)," ")</f>
        <v>360</v>
      </c>
      <c r="I9" s="369" t="n">
        <f aca="false">IF((G9&lt;&gt;0),IF((D9&gt;0)," ",(I$1-A9))," ")</f>
        <v>331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row>
    <row r="10" customFormat="false" ht="12.75" hidden="false" customHeight="false" outlineLevel="0" collapsed="false">
      <c r="A10" s="357" t="n">
        <v>45931</v>
      </c>
      <c r="B10" s="365" t="s">
        <v>321</v>
      </c>
      <c r="E10" s="367" t="s">
        <v>319</v>
      </c>
      <c r="G10" s="368" t="n">
        <v>24</v>
      </c>
      <c r="H10" s="340" t="n">
        <f aca="false">IF((G10&lt;&gt;0),IF((D10&gt;0)," ",G10)," ")</f>
        <v>24</v>
      </c>
      <c r="I10" s="369" t="n">
        <f aca="false">IF((G10&lt;&gt;0),IF((D10&gt;0)," ",(I$1-A10))," ")</f>
        <v>331</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45931</v>
      </c>
      <c r="B11" s="365" t="s">
        <v>322</v>
      </c>
      <c r="E11" s="367" t="s">
        <v>316</v>
      </c>
      <c r="G11" s="368" t="n">
        <v>18</v>
      </c>
      <c r="H11" s="340" t="n">
        <f aca="false">IF((G11&lt;&gt;0),IF((D11&gt;0)," ",G11)," ")</f>
        <v>18</v>
      </c>
      <c r="I11" s="369" t="n">
        <f aca="false">IF((G11&lt;&gt;0),IF((D11&gt;0)," ",(I$1-A11))," ")</f>
        <v>331</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45933</v>
      </c>
      <c r="B12" s="365" t="s">
        <v>323</v>
      </c>
      <c r="E12" s="367" t="s">
        <v>319</v>
      </c>
      <c r="G12" s="368" t="n">
        <v>180</v>
      </c>
      <c r="H12" s="340" t="n">
        <f aca="false">IF((G12&lt;&gt;0),IF((D12&gt;0)," ",G12)," ")</f>
        <v>180</v>
      </c>
      <c r="I12" s="369" t="n">
        <f aca="false">IF((G12&lt;&gt;0),IF((D12&gt;0)," ",(I$1-A12))," ")</f>
        <v>329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45933</v>
      </c>
      <c r="B13" s="365" t="s">
        <v>324</v>
      </c>
      <c r="E13" s="367" t="s">
        <v>319</v>
      </c>
      <c r="G13" s="368" t="n">
        <v>22</v>
      </c>
      <c r="H13" s="340" t="n">
        <f aca="false">IF((G13&lt;&gt;0),IF((D13&gt;0)," ",G13)," ")</f>
        <v>22</v>
      </c>
      <c r="I13" s="369" t="n">
        <f aca="false">IF((G13&lt;&gt;0),IF((D13&gt;0)," ",(I$1-A13))," ")</f>
        <v>329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45935</v>
      </c>
      <c r="B14" s="365" t="s">
        <v>325</v>
      </c>
      <c r="E14" s="367" t="s">
        <v>319</v>
      </c>
      <c r="G14" s="368" t="n">
        <v>24</v>
      </c>
      <c r="H14" s="340" t="n">
        <f aca="false">IF((G14&lt;&gt;0),IF((D14&gt;0)," ",G14)," ")</f>
        <v>24</v>
      </c>
      <c r="I14" s="369" t="n">
        <f aca="false">IF((G14&lt;&gt;0),IF((D14&gt;0)," ",(I$1-A14))," ")</f>
        <v>327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45935</v>
      </c>
      <c r="B15" s="365" t="s">
        <v>326</v>
      </c>
      <c r="E15" s="367" t="s">
        <v>297</v>
      </c>
      <c r="G15" s="368" t="n">
        <v>180</v>
      </c>
      <c r="H15" s="340" t="n">
        <f aca="false">IF((G15&lt;&gt;0),IF((D15&gt;0)," ",G15)," ")</f>
        <v>180</v>
      </c>
      <c r="I15" s="369" t="n">
        <f aca="false">IF((G15&lt;&gt;0),IF((D15&gt;0)," ",(I$1-A15))," ")</f>
        <v>327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45935</v>
      </c>
      <c r="B16" s="365" t="s">
        <v>327</v>
      </c>
      <c r="E16" s="367" t="s">
        <v>319</v>
      </c>
      <c r="G16" s="368" t="n">
        <v>36</v>
      </c>
      <c r="H16" s="340" t="n">
        <f aca="false">IF((G16&lt;&gt;0),IF((D16&gt;0)," ",G16)," ")</f>
        <v>36</v>
      </c>
      <c r="I16" s="369" t="n">
        <f aca="false">IF((G16&lt;&gt;0),IF((D16&gt;0)," ",(I$1-A16))," ")</f>
        <v>327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45938</v>
      </c>
      <c r="B17" s="365" t="s">
        <v>328</v>
      </c>
      <c r="E17" s="367" t="s">
        <v>329</v>
      </c>
      <c r="G17" s="368" t="n">
        <v>48</v>
      </c>
      <c r="H17" s="340" t="n">
        <f aca="false">IF((G17&lt;&gt;0),IF((D17&gt;0)," ",G17)," ")</f>
        <v>48</v>
      </c>
      <c r="I17" s="369" t="n">
        <f aca="false">IF((G17&lt;&gt;0),IF((D17&gt;0)," ",(I$1-A17))," ")</f>
        <v>324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45940</v>
      </c>
      <c r="B18" s="365" t="s">
        <v>330</v>
      </c>
      <c r="E18" s="367" t="s">
        <v>319</v>
      </c>
      <c r="G18" s="368" t="n">
        <v>36</v>
      </c>
      <c r="H18" s="340" t="n">
        <f aca="false">IF((G18&lt;&gt;0),IF((D18&gt;0)," ",G18)," ")</f>
        <v>36</v>
      </c>
      <c r="I18" s="369" t="n">
        <f aca="false">IF((G18&lt;&gt;0),IF((D18&gt;0)," ",(I$1-A18))," ")</f>
        <v>322</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45940</v>
      </c>
      <c r="B19" s="365" t="s">
        <v>331</v>
      </c>
      <c r="E19" s="367" t="s">
        <v>319</v>
      </c>
      <c r="G19" s="368" t="n">
        <v>180</v>
      </c>
      <c r="H19" s="340" t="n">
        <f aca="false">IF((G19&lt;&gt;0),IF((D19&gt;0)," ",G19)," ")</f>
        <v>180</v>
      </c>
      <c r="I19" s="369" t="n">
        <f aca="false">IF((G19&lt;&gt;0),IF((D19&gt;0)," ",(I$1-A19))," ")</f>
        <v>322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45940</v>
      </c>
      <c r="B20" s="365" t="s">
        <v>332</v>
      </c>
      <c r="E20" s="367" t="s">
        <v>333</v>
      </c>
      <c r="G20" s="368" t="n">
        <v>480</v>
      </c>
      <c r="H20" s="340" t="n">
        <f aca="false">IF((G20&lt;&gt;0),IF((D20&gt;0)," ",G20)," ")</f>
        <v>480</v>
      </c>
      <c r="I20" s="369" t="n">
        <f aca="false">IF((G20&lt;&gt;0),IF((D20&gt;0)," ",(I$1-A20))," ")</f>
        <v>322</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45940</v>
      </c>
      <c r="B21" s="365" t="s">
        <v>356</v>
      </c>
      <c r="D21" s="365"/>
      <c r="E21" s="367" t="s">
        <v>357</v>
      </c>
      <c r="G21" s="368" t="n">
        <v>1800</v>
      </c>
      <c r="H21" s="340" t="n">
        <f aca="false">IF((G21&lt;&gt;0),IF((D21&gt;0)," ",G21)," ")</f>
        <v>1800</v>
      </c>
      <c r="I21" s="369" t="n">
        <f aca="false">IF((G21&lt;&gt;0),IF((D21&gt;0)," ",(I$1-A21))," ")</f>
        <v>322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45942</v>
      </c>
      <c r="B22" s="365" t="s">
        <v>334</v>
      </c>
      <c r="D22" s="395"/>
      <c r="E22" s="367" t="s">
        <v>297</v>
      </c>
      <c r="G22" s="368" t="n">
        <v>18</v>
      </c>
      <c r="H22" s="340" t="n">
        <f aca="false">IF((G22&lt;&gt;0),IF((D22&gt;0)," ",G22)," ")</f>
        <v>18</v>
      </c>
      <c r="I22" s="369" t="n">
        <f aca="false">IF((G22&lt;&gt;0),IF((D22&gt;0)," ",(I$1-A22))," ")</f>
        <v>320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45944</v>
      </c>
      <c r="B23" s="365" t="s">
        <v>335</v>
      </c>
      <c r="E23" s="367" t="s">
        <v>319</v>
      </c>
      <c r="G23" s="368" t="n">
        <v>36</v>
      </c>
      <c r="H23" s="340" t="n">
        <f aca="false">IF((G23&lt;&gt;0),IF((D23&gt;0)," ",G23)," ")</f>
        <v>36</v>
      </c>
      <c r="I23" s="369" t="n">
        <f aca="false">IF((G23&lt;&gt;0),IF((D23&gt;0)," ",(I$1-A23))," ")</f>
        <v>318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row>
    <row r="24" customFormat="false" ht="12.75" hidden="false" customHeight="false" outlineLevel="0" collapsed="false">
      <c r="A24" s="357" t="n">
        <v>45944</v>
      </c>
      <c r="B24" s="365" t="s">
        <v>336</v>
      </c>
      <c r="E24" s="367" t="s">
        <v>329</v>
      </c>
      <c r="G24" s="368" t="n">
        <v>24</v>
      </c>
      <c r="H24" s="340" t="n">
        <f aca="false">IF((G24&lt;&gt;0),IF((D24&gt;0)," ",G24)," ")</f>
        <v>24</v>
      </c>
      <c r="I24" s="369" t="n">
        <f aca="false">IF((G24&lt;&gt;0),IF((D24&gt;0)," ",(I$1-A24))," ")</f>
        <v>318</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45944</v>
      </c>
      <c r="B25" s="365" t="s">
        <v>337</v>
      </c>
      <c r="E25" s="367" t="s">
        <v>329</v>
      </c>
      <c r="G25" s="368" t="n">
        <v>12</v>
      </c>
      <c r="H25" s="340" t="n">
        <f aca="false">IF((G25&lt;&gt;0),IF((D25&gt;0)," ",G25)," ")</f>
        <v>12</v>
      </c>
      <c r="I25" s="369" t="n">
        <f aca="false">IF((G25&lt;&gt;0),IF((D25&gt;0)," ",(I$1-A25))," ")</f>
        <v>318</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45945</v>
      </c>
      <c r="B26" s="365" t="s">
        <v>249</v>
      </c>
      <c r="E26" s="367" t="s">
        <v>297</v>
      </c>
      <c r="G26" s="368" t="n">
        <v>150</v>
      </c>
      <c r="H26" s="340" t="n">
        <f aca="false">IF((G26&lt;&gt;0),IF((D26&gt;0)," ",G26)," ")</f>
        <v>150</v>
      </c>
      <c r="I26" s="369" t="n">
        <f aca="false">IF((G26&lt;&gt;0),IF((D26&gt;0)," ",(I$1-A26))," ")</f>
        <v>317</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45945</v>
      </c>
      <c r="B27" s="365" t="s">
        <v>338</v>
      </c>
      <c r="E27" s="367" t="s">
        <v>316</v>
      </c>
      <c r="G27" s="368" t="n">
        <v>12</v>
      </c>
      <c r="H27" s="340" t="n">
        <f aca="false">IF((G27&lt;&gt;0),IF((D27&gt;0)," ",G27)," ")</f>
        <v>12</v>
      </c>
      <c r="I27" s="369" t="n">
        <f aca="false">IF((G27&lt;&gt;0),IF((D27&gt;0)," ",(I$1-A27))," ")</f>
        <v>317</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45945</v>
      </c>
      <c r="B28" s="365" t="s">
        <v>387</v>
      </c>
      <c r="E28" s="367" t="s">
        <v>357</v>
      </c>
      <c r="G28" s="368" t="n">
        <v>1200</v>
      </c>
      <c r="H28" s="340" t="n">
        <f aca="false">IF((G28&lt;&gt;0),IF((D28&gt;0)," ",G28)," ")</f>
        <v>1200</v>
      </c>
      <c r="I28" s="369" t="n">
        <f aca="false">IF((G28&lt;&gt;0),IF((D28&gt;0)," ",(I$1-A28))," ")</f>
        <v>317</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45948</v>
      </c>
      <c r="B29" s="365" t="s">
        <v>369</v>
      </c>
      <c r="E29" s="367" t="s">
        <v>329</v>
      </c>
      <c r="G29" s="368" t="n">
        <v>120</v>
      </c>
      <c r="H29" s="340" t="n">
        <f aca="false">IF((G29&lt;&gt;0),IF((D29&gt;0)," ",G29)," ")</f>
        <v>120</v>
      </c>
      <c r="I29" s="369" t="n">
        <f aca="false">IF((G29&lt;&gt;0),IF((D29&gt;0)," ",(I$1-A29))," ")</f>
        <v>314</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45948</v>
      </c>
      <c r="B30" s="365" t="s">
        <v>339</v>
      </c>
      <c r="E30" s="367" t="s">
        <v>297</v>
      </c>
      <c r="G30" s="368" t="n">
        <v>96</v>
      </c>
      <c r="H30" s="340" t="n">
        <f aca="false">IF((G30&lt;&gt;0),IF((D30&gt;0)," ",G30)," ")</f>
        <v>96</v>
      </c>
      <c r="I30" s="369" t="n">
        <f aca="false">IF((G30&lt;&gt;0),IF((D30&gt;0)," ",(I$1-A30))," ")</f>
        <v>314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45950</v>
      </c>
      <c r="B31" s="365" t="s">
        <v>248</v>
      </c>
      <c r="E31" s="367" t="s">
        <v>316</v>
      </c>
      <c r="G31" s="368" t="n">
        <v>60</v>
      </c>
      <c r="H31" s="340" t="n">
        <f aca="false">IF((G31&lt;&gt;0),IF((D31&gt;0)," ",G31)," ")</f>
        <v>60</v>
      </c>
      <c r="I31" s="369" t="n">
        <f aca="false">IF((G31&lt;&gt;0),IF((D31&gt;0)," ",(I$1-A31))," ")</f>
        <v>312</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45950</v>
      </c>
      <c r="B32" s="365" t="s">
        <v>340</v>
      </c>
      <c r="E32" s="367" t="s">
        <v>341</v>
      </c>
      <c r="G32" s="368" t="n">
        <v>96</v>
      </c>
      <c r="H32" s="340" t="n">
        <f aca="false">IF((G32&lt;&gt;0),IF((D32&gt;0)," ",G32)," ")</f>
        <v>96</v>
      </c>
      <c r="I32" s="369" t="n">
        <f aca="false">IF((G32&lt;&gt;0),IF((D32&gt;0)," ",(I$1-A32))," ")</f>
        <v>312</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45951</v>
      </c>
      <c r="B33" s="365" t="s">
        <v>342</v>
      </c>
      <c r="E33" s="367" t="s">
        <v>329</v>
      </c>
      <c r="G33" s="368" t="n">
        <v>8</v>
      </c>
      <c r="H33" s="340" t="n">
        <f aca="false">IF((G33&lt;&gt;0),IF((D33&gt;0)," ",G33)," ")</f>
        <v>8</v>
      </c>
      <c r="I33" s="369" t="n">
        <f aca="false">IF((G33&lt;&gt;0),IF((D33&gt;0)," ",(I$1-A33))," ")</f>
        <v>311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45952</v>
      </c>
      <c r="B34" s="365" t="s">
        <v>343</v>
      </c>
      <c r="E34" s="367" t="s">
        <v>319</v>
      </c>
      <c r="G34" s="368" t="n">
        <v>18</v>
      </c>
      <c r="H34" s="340" t="n">
        <f aca="false">IF((G34&lt;&gt;0),IF((D34&gt;0)," ",G34)," ")</f>
        <v>18</v>
      </c>
      <c r="I34" s="369" t="n">
        <f aca="false">IF((G34&lt;&gt;0),IF((D34&gt;0)," ",(I$1-A34))," ")</f>
        <v>310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row>
    <row r="35" customFormat="false" ht="12.75" hidden="false" customHeight="false" outlineLevel="0" collapsed="false">
      <c r="A35" s="357" t="n">
        <v>45955</v>
      </c>
      <c r="B35" s="365" t="s">
        <v>344</v>
      </c>
      <c r="E35" s="367" t="s">
        <v>319</v>
      </c>
      <c r="G35" s="368" t="n">
        <v>15</v>
      </c>
      <c r="H35" s="340" t="n">
        <f aca="false">IF((G35&lt;&gt;0),IF((D35&gt;0)," ",G35)," ")</f>
        <v>15</v>
      </c>
      <c r="I35" s="369" t="n">
        <f aca="false">IF((G35&lt;&gt;0),IF((D35&gt;0)," ",(I$1-A35))," ")</f>
        <v>307</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45955</v>
      </c>
      <c r="B36" s="365" t="s">
        <v>345</v>
      </c>
      <c r="E36" s="367" t="s">
        <v>297</v>
      </c>
      <c r="G36" s="368" t="n">
        <v>42.75</v>
      </c>
      <c r="H36" s="340" t="n">
        <f aca="false">IF((G36&lt;&gt;0),IF((D36&gt;0)," ",G36)," ")</f>
        <v>42.75</v>
      </c>
      <c r="I36" s="369" t="n">
        <f aca="false">IF((G36&lt;&gt;0),IF((D36&gt;0)," ",(I$1-A36))," ")</f>
        <v>307</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42.75</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45955</v>
      </c>
      <c r="B37" s="365" t="s">
        <v>388</v>
      </c>
      <c r="E37" s="367" t="s">
        <v>360</v>
      </c>
      <c r="G37" s="368" t="n">
        <v>36000</v>
      </c>
      <c r="H37" s="340" t="n">
        <f aca="false">IF((G37&lt;&gt;0),IF((D37&gt;0)," ",G37)," ")</f>
        <v>36000</v>
      </c>
      <c r="I37" s="369" t="n">
        <f aca="false">IF((G37&lt;&gt;0),IF((D37&gt;0)," ",(I$1-A37))," ")</f>
        <v>307</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row>
    <row r="38" customFormat="false" ht="12.75" hidden="false" customHeight="false" outlineLevel="0" collapsed="false">
      <c r="A38" s="357" t="n">
        <v>45958</v>
      </c>
      <c r="B38" s="365" t="s">
        <v>249</v>
      </c>
      <c r="E38" s="367" t="s">
        <v>297</v>
      </c>
      <c r="G38" s="368" t="n">
        <v>120</v>
      </c>
      <c r="H38" s="340" t="n">
        <f aca="false">IF((G38&lt;&gt;0),IF((D38&gt;0)," ",G38)," ")</f>
        <v>120</v>
      </c>
      <c r="I38" s="369" t="n">
        <f aca="false">IF((G38&lt;&gt;0),IF((D38&gt;0)," ",(I$1-A38))," ")</f>
        <v>304</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45961</v>
      </c>
      <c r="B39" s="365" t="s">
        <v>246</v>
      </c>
      <c r="E39" s="367" t="s">
        <v>346</v>
      </c>
      <c r="G39" s="368" t="n">
        <v>300</v>
      </c>
      <c r="H39" s="340" t="n">
        <f aca="false">IF((G39&lt;&gt;0),IF((D39&gt;0)," ",G39)," ")</f>
        <v>300</v>
      </c>
      <c r="I39" s="369" t="n">
        <f aca="false">IF((G39&lt;&gt;0),IF((D39&gt;0)," ",(I$1-A39))," ")</f>
        <v>301</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t="n">
        <v>45961</v>
      </c>
      <c r="B40" s="365" t="s">
        <v>347</v>
      </c>
      <c r="E40" s="367" t="s">
        <v>348</v>
      </c>
      <c r="G40" s="368" t="n">
        <v>3500</v>
      </c>
      <c r="H40" s="340" t="n">
        <f aca="false">IF((G40&lt;&gt;0),IF((D40&gt;0)," ",G40)," ")</f>
        <v>3500</v>
      </c>
      <c r="I40" s="369" t="n">
        <f aca="false">IF((G40&lt;&gt;0),IF((D40&gt;0)," ",(I$1-A40))," ")</f>
        <v>301</v>
      </c>
      <c r="J40" s="336" t="str">
        <f aca="false">IF((E40="s"),G40," ")</f>
        <v> </v>
      </c>
      <c r="K40" s="336" t="str">
        <f aca="false">IF((E40="d"),G40," ")</f>
        <v> </v>
      </c>
      <c r="L40" s="336" t="n">
        <f aca="false">IF((E40="e"),G40," ")</f>
        <v>3500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t="n">
        <v>45961</v>
      </c>
      <c r="B41" s="365" t="s">
        <v>349</v>
      </c>
      <c r="E41" s="367" t="s">
        <v>348</v>
      </c>
      <c r="G41" s="368" t="n">
        <v>2200</v>
      </c>
      <c r="H41" s="340" t="n">
        <f aca="false">IF((G41&lt;&gt;0),IF((D41&gt;0)," ",G41)," ")</f>
        <v>2200</v>
      </c>
      <c r="I41" s="369" t="n">
        <f aca="false">IF((G41&lt;&gt;0),IF((D41&gt;0)," ",(I$1-A41))," ")</f>
        <v>301</v>
      </c>
      <c r="J41" s="336" t="str">
        <f aca="false">IF((E41="s"),G41," ")</f>
        <v> </v>
      </c>
      <c r="K41" s="336" t="str">
        <f aca="false">IF((E41="d"),G41," ")</f>
        <v> </v>
      </c>
      <c r="L41" s="336" t="n">
        <f aca="false">IF((E41="e"),G41," ")</f>
        <v>2200</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35320</v>
      </c>
      <c r="G1" s="345" t="n">
        <f aca="false">SUM(G4:G300)</f>
        <v>0</v>
      </c>
      <c r="H1" s="347" t="n">
        <f aca="false">SUM(H4:H300)</f>
        <v>35320</v>
      </c>
      <c r="I1" s="348" t="n">
        <f aca="true">TODAY()</f>
        <v>46262</v>
      </c>
      <c r="J1" s="345" t="n">
        <f aca="false">SUM(J4:J300)</f>
        <v>0</v>
      </c>
      <c r="K1" s="349" t="n">
        <f aca="false">J1+SalesOct!K1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45964</v>
      </c>
      <c r="B4" s="336" t="s">
        <v>265</v>
      </c>
      <c r="F4" s="336" t="n">
        <v>360</v>
      </c>
      <c r="H4" s="340" t="n">
        <f aca="false">IF((F4&lt;&gt;0),IF((D4&gt;0)," ",F4)," ")</f>
        <v>360</v>
      </c>
      <c r="I4" s="341" t="n">
        <f aca="false">IF((F4&lt;&gt;0),IF((D4&gt;0)," ",(I$1-A4))," ")</f>
        <v>298</v>
      </c>
    </row>
    <row r="5" customFormat="false" ht="12.75" hidden="false" customHeight="false" outlineLevel="0" collapsed="false">
      <c r="A5" s="357" t="n">
        <v>45966</v>
      </c>
      <c r="B5" s="336" t="s">
        <v>266</v>
      </c>
      <c r="F5" s="336" t="n">
        <v>600</v>
      </c>
      <c r="H5" s="340" t="n">
        <f aca="false">IF((F5&lt;&gt;0),IF((D5&gt;0)," ",F5)," ")</f>
        <v>600</v>
      </c>
      <c r="I5" s="341" t="n">
        <f aca="false">IF((F5&lt;&gt;0),IF((D5&gt;0)," ",(I$1-A5))," ")</f>
        <v>296</v>
      </c>
    </row>
    <row r="6" customFormat="false" ht="12.75" hidden="false" customHeight="false" outlineLevel="0" collapsed="false">
      <c r="A6" s="357" t="n">
        <v>45969</v>
      </c>
      <c r="B6" s="336" t="s">
        <v>267</v>
      </c>
      <c r="F6" s="336" t="n">
        <v>480</v>
      </c>
      <c r="H6" s="340" t="n">
        <f aca="false">IF((F6&lt;&gt;0),IF((D6&gt;0)," ",F6)," ")</f>
        <v>480</v>
      </c>
      <c r="I6" s="341" t="n">
        <f aca="false">IF((F6&lt;&gt;0),IF((D6&gt;0)," ",(I$1-A6))," ")</f>
        <v>293</v>
      </c>
    </row>
    <row r="7" customFormat="false" ht="12.75" hidden="false" customHeight="false" outlineLevel="0" collapsed="false">
      <c r="A7" s="357" t="n">
        <v>45971</v>
      </c>
      <c r="B7" s="336" t="s">
        <v>268</v>
      </c>
      <c r="F7" s="336" t="n">
        <v>720</v>
      </c>
      <c r="H7" s="340" t="n">
        <f aca="false">IF((F7&lt;&gt;0),IF((D7&gt;0)," ",F7)," ")</f>
        <v>720</v>
      </c>
      <c r="I7" s="341" t="n">
        <f aca="false">IF((F7&lt;&gt;0),IF((D7&gt;0)," ",(I$1-A7))," ")</f>
        <v>291</v>
      </c>
    </row>
    <row r="8" customFormat="false" ht="12.75" hidden="false" customHeight="false" outlineLevel="0" collapsed="false">
      <c r="A8" s="357" t="n">
        <v>45973</v>
      </c>
      <c r="B8" s="336" t="s">
        <v>350</v>
      </c>
      <c r="F8" s="336" t="n">
        <v>960</v>
      </c>
      <c r="H8" s="340" t="n">
        <f aca="false">IF((F8&lt;&gt;0),IF((D8&gt;0)," ",F8)," ")</f>
        <v>960</v>
      </c>
      <c r="I8" s="341" t="n">
        <f aca="false">IF((F8&lt;&gt;0),IF((D8&gt;0)," ",(I$1-A8))," ")</f>
        <v>289</v>
      </c>
    </row>
    <row r="9" customFormat="false" ht="12.75" hidden="false" customHeight="false" outlineLevel="0" collapsed="false">
      <c r="A9" s="357" t="n">
        <v>45976</v>
      </c>
      <c r="B9" s="336" t="s">
        <v>241</v>
      </c>
      <c r="F9" s="336" t="n">
        <v>25000</v>
      </c>
      <c r="H9" s="340" t="n">
        <f aca="false">IF((F9&lt;&gt;0),IF((D9&gt;0)," ",F9)," ")</f>
        <v>25000</v>
      </c>
      <c r="I9" s="341" t="n">
        <f aca="false">IF((F9&lt;&gt;0),IF((D9&gt;0)," ",(I$1-A9))," ")</f>
        <v>286</v>
      </c>
    </row>
    <row r="10" customFormat="false" ht="12.75" hidden="false" customHeight="false" outlineLevel="0" collapsed="false">
      <c r="A10" s="357" t="n">
        <v>45979</v>
      </c>
      <c r="B10" s="336" t="s">
        <v>243</v>
      </c>
      <c r="F10" s="336" t="n">
        <v>2400</v>
      </c>
      <c r="H10" s="340" t="n">
        <f aca="false">IF((F10&lt;&gt;0),IF((D10&gt;0)," ",F10)," ")</f>
        <v>2400</v>
      </c>
      <c r="I10" s="341" t="n">
        <f aca="false">IF((F10&lt;&gt;0),IF((D10&gt;0)," ",(I$1-A10))," ")</f>
        <v>283</v>
      </c>
    </row>
    <row r="11" customFormat="false" ht="12.75" hidden="false" customHeight="false" outlineLevel="0" collapsed="false">
      <c r="A11" s="357" t="n">
        <v>45981</v>
      </c>
      <c r="B11" s="336" t="s">
        <v>389</v>
      </c>
      <c r="F11" s="336" t="n">
        <v>3600</v>
      </c>
      <c r="H11" s="340" t="n">
        <f aca="false">IF((F11&lt;&gt;0),IF((D11&gt;0)," ",F11)," ")</f>
        <v>3600</v>
      </c>
      <c r="I11" s="341" t="n">
        <f aca="false">IF((F11&lt;&gt;0),IF((D11&gt;0)," ",(I$1-A11))," ")</f>
        <v>281</v>
      </c>
    </row>
    <row r="12" customFormat="false" ht="12.75" hidden="false" customHeight="false" outlineLevel="0" collapsed="false">
      <c r="A12" s="357" t="n">
        <v>45986</v>
      </c>
      <c r="B12" s="336" t="s">
        <v>352</v>
      </c>
      <c r="F12" s="336" t="n">
        <v>1200</v>
      </c>
      <c r="H12" s="340" t="n">
        <f aca="false">IF((F12&lt;&gt;0),IF((D12&gt;0)," ",F12)," ")</f>
        <v>1200</v>
      </c>
      <c r="I12" s="341" t="n">
        <f aca="false">IF((F12&lt;&gt;0),IF((D12&gt;0)," ",(I$1-A12))," ")</f>
        <v>276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272</v>
      </c>
      <c r="C1" s="346" t="n">
        <f aca="false">PurchasesOct!C1+PurchasesNov!F1+SalesNov!$E$1</f>
        <v>0</v>
      </c>
      <c r="D1" s="371" t="s">
        <v>254</v>
      </c>
      <c r="E1" s="373" t="str">
        <f aca="false">IF((G1-SUM(J1:W1)&lt;&gt;0),(G1-SUM(J1:W1))," ")</f>
        <v> </v>
      </c>
      <c r="F1" s="346" t="n">
        <f aca="false">SUM(F5:F300)</f>
        <v>0</v>
      </c>
      <c r="G1" s="345" t="n">
        <f aca="false">SUM(G4:G300)</f>
        <v>12618</v>
      </c>
      <c r="H1" s="374" t="n">
        <f aca="false">SUM(H5:H300)</f>
        <v>12618</v>
      </c>
      <c r="I1" s="375" t="n">
        <f aca="true">TODAY()</f>
        <v>46262</v>
      </c>
      <c r="J1" s="345" t="n">
        <f aca="false">SUM(J5:J300)</f>
        <v>840</v>
      </c>
      <c r="K1" s="345" t="n">
        <f aca="false">SUM(K5:K300)</f>
        <v>3000</v>
      </c>
      <c r="L1" s="345" t="n">
        <f aca="false">SUM(L5:L300)</f>
        <v>5700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IF((C1&lt;Admin!$F$22),((C1-PurchasesOct!C1)*Admin!$G$21),(C1*Admin!$G$21-(C1-Admin!$F$21)*(Admin!$G$21-Admin!$G$22)-PurchasesOct!A1))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45962</v>
      </c>
      <c r="B5" s="365" t="s">
        <v>245</v>
      </c>
      <c r="E5" s="367" t="s">
        <v>314</v>
      </c>
      <c r="G5" s="368" t="n">
        <v>1200</v>
      </c>
      <c r="H5" s="340" t="n">
        <f aca="false">IF((G5&lt;&gt;0),IF((D5&gt;0)," ",G5)," ")</f>
        <v>1200</v>
      </c>
      <c r="I5" s="369" t="n">
        <f aca="false">IF((G5&lt;&gt;0),IF((D5&gt;0)," ",(I$1-A5))," ")</f>
        <v>300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45962</v>
      </c>
      <c r="B6" s="365" t="s">
        <v>315</v>
      </c>
      <c r="E6" s="367" t="s">
        <v>316</v>
      </c>
      <c r="G6" s="368" t="n">
        <v>30</v>
      </c>
      <c r="H6" s="340" t="n">
        <f aca="false">IF((G6&lt;&gt;0),IF((D6&gt;0)," ",G6)," ")</f>
        <v>30</v>
      </c>
      <c r="I6" s="369" t="n">
        <f aca="false">IF((G6&lt;&gt;0),IF((D6&gt;0)," ",(I$1-A6))," ")</f>
        <v>300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45962</v>
      </c>
      <c r="B7" s="365" t="s">
        <v>317</v>
      </c>
      <c r="E7" s="367" t="s">
        <v>316</v>
      </c>
      <c r="G7" s="368" t="n">
        <v>15</v>
      </c>
      <c r="H7" s="340" t="n">
        <f aca="false">IF((G7&lt;&gt;0),IF((D7&gt;0)," ",G7)," ")</f>
        <v>15</v>
      </c>
      <c r="I7" s="369" t="n">
        <f aca="false">IF((G7&lt;&gt;0),IF((D7&gt;0)," ",(I$1-A7))," ")</f>
        <v>300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45962</v>
      </c>
      <c r="B8" s="365" t="s">
        <v>318</v>
      </c>
      <c r="E8" s="367" t="s">
        <v>319</v>
      </c>
      <c r="G8" s="368" t="n">
        <v>45</v>
      </c>
      <c r="H8" s="340" t="n">
        <f aca="false">IF((G8&lt;&gt;0),IF((D8&gt;0)," ",G8)," ")</f>
        <v>45</v>
      </c>
      <c r="I8" s="369" t="n">
        <f aca="false">IF((G8&lt;&gt;0),IF((D8&gt;0)," ",(I$1-A8))," ")</f>
        <v>300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45962</v>
      </c>
      <c r="B9" s="365" t="s">
        <v>321</v>
      </c>
      <c r="E9" s="367" t="s">
        <v>319</v>
      </c>
      <c r="G9" s="368" t="n">
        <v>24</v>
      </c>
      <c r="H9" s="340" t="n">
        <f aca="false">IF((G9&lt;&gt;0),IF((D9&gt;0)," ",G9)," ")</f>
        <v>24</v>
      </c>
      <c r="I9" s="369" t="n">
        <f aca="false">IF((G9&lt;&gt;0),IF((D9&gt;0)," ",(I$1-A9))," ")</f>
        <v>300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45962</v>
      </c>
      <c r="B10" s="365" t="s">
        <v>322</v>
      </c>
      <c r="E10" s="367" t="s">
        <v>316</v>
      </c>
      <c r="G10" s="368" t="n">
        <v>18</v>
      </c>
      <c r="H10" s="340" t="n">
        <f aca="false">IF((G10&lt;&gt;0),IF((D10&gt;0)," ",G10)," ")</f>
        <v>18</v>
      </c>
      <c r="I10" s="369" t="n">
        <f aca="false">IF((G10&lt;&gt;0),IF((D10&gt;0)," ",(I$1-A10))," ")</f>
        <v>300</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45964</v>
      </c>
      <c r="B11" s="365" t="s">
        <v>323</v>
      </c>
      <c r="E11" s="367" t="s">
        <v>319</v>
      </c>
      <c r="G11" s="368" t="n">
        <v>180</v>
      </c>
      <c r="H11" s="340" t="n">
        <f aca="false">IF((G11&lt;&gt;0),IF((D11&gt;0)," ",G11)," ")</f>
        <v>180</v>
      </c>
      <c r="I11" s="369" t="n">
        <f aca="false">IF((G11&lt;&gt;0),IF((D11&gt;0)," ",(I$1-A11))," ")</f>
        <v>298</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45964</v>
      </c>
      <c r="B12" s="365" t="s">
        <v>324</v>
      </c>
      <c r="E12" s="367" t="s">
        <v>319</v>
      </c>
      <c r="G12" s="368" t="n">
        <v>22</v>
      </c>
      <c r="H12" s="340" t="n">
        <f aca="false">IF((G12&lt;&gt;0),IF((D12&gt;0)," ",G12)," ")</f>
        <v>22</v>
      </c>
      <c r="I12" s="369" t="n">
        <f aca="false">IF((G12&lt;&gt;0),IF((D12&gt;0)," ",(I$1-A12))," ")</f>
        <v>298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45966</v>
      </c>
      <c r="B13" s="365" t="s">
        <v>325</v>
      </c>
      <c r="E13" s="367" t="s">
        <v>319</v>
      </c>
      <c r="G13" s="368" t="n">
        <v>24</v>
      </c>
      <c r="H13" s="340" t="n">
        <f aca="false">IF((G13&lt;&gt;0),IF((D13&gt;0)," ",G13)," ")</f>
        <v>24</v>
      </c>
      <c r="I13" s="369" t="n">
        <f aca="false">IF((G13&lt;&gt;0),IF((D13&gt;0)," ",(I$1-A13))," ")</f>
        <v>296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45966</v>
      </c>
      <c r="B14" s="365" t="s">
        <v>326</v>
      </c>
      <c r="E14" s="367" t="s">
        <v>297</v>
      </c>
      <c r="G14" s="368" t="n">
        <v>180</v>
      </c>
      <c r="H14" s="340" t="n">
        <f aca="false">IF((G14&lt;&gt;0),IF((D14&gt;0)," ",G14)," ")</f>
        <v>180</v>
      </c>
      <c r="I14" s="369" t="n">
        <f aca="false">IF((G14&lt;&gt;0),IF((D14&gt;0)," ",(I$1-A14))," ")</f>
        <v>296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45967</v>
      </c>
      <c r="B15" s="365" t="s">
        <v>354</v>
      </c>
      <c r="E15" s="367" t="s">
        <v>329</v>
      </c>
      <c r="G15" s="368" t="n">
        <v>72</v>
      </c>
      <c r="H15" s="340" t="n">
        <f aca="false">IF((G15&lt;&gt;0),IF((D15&gt;0)," ",G15)," ")</f>
        <v>72</v>
      </c>
      <c r="I15" s="369" t="n">
        <f aca="false">IF((G15&lt;&gt;0),IF((D15&gt;0)," ",(I$1-A15))," ")</f>
        <v>295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45969</v>
      </c>
      <c r="B16" s="365" t="s">
        <v>328</v>
      </c>
      <c r="E16" s="367" t="s">
        <v>329</v>
      </c>
      <c r="G16" s="368" t="n">
        <v>48</v>
      </c>
      <c r="H16" s="340" t="n">
        <f aca="false">IF((G16&lt;&gt;0),IF((D16&gt;0)," ",G16)," ")</f>
        <v>48</v>
      </c>
      <c r="I16" s="369" t="n">
        <f aca="false">IF((G16&lt;&gt;0),IF((D16&gt;0)," ",(I$1-A16))," ")</f>
        <v>293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45971</v>
      </c>
      <c r="B17" s="365" t="s">
        <v>330</v>
      </c>
      <c r="E17" s="367" t="s">
        <v>319</v>
      </c>
      <c r="G17" s="368" t="n">
        <v>36</v>
      </c>
      <c r="H17" s="340" t="n">
        <f aca="false">IF((G17&lt;&gt;0),IF((D17&gt;0)," ",G17)," ")</f>
        <v>36</v>
      </c>
      <c r="I17" s="369" t="n">
        <f aca="false">IF((G17&lt;&gt;0),IF((D17&gt;0)," ",(I$1-A17))," ")</f>
        <v>291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45973</v>
      </c>
      <c r="B18" s="365" t="s">
        <v>334</v>
      </c>
      <c r="E18" s="367" t="s">
        <v>297</v>
      </c>
      <c r="G18" s="368" t="n">
        <v>18</v>
      </c>
      <c r="H18" s="340" t="n">
        <f aca="false">IF((G18&lt;&gt;0),IF((D18&gt;0)," ",G18)," ")</f>
        <v>18</v>
      </c>
      <c r="I18" s="369" t="n">
        <f aca="false">IF((G18&lt;&gt;0),IF((D18&gt;0)," ",(I$1-A18))," ")</f>
        <v>289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45975</v>
      </c>
      <c r="B19" s="365" t="s">
        <v>336</v>
      </c>
      <c r="E19" s="367" t="s">
        <v>329</v>
      </c>
      <c r="G19" s="368" t="n">
        <v>24</v>
      </c>
      <c r="H19" s="340" t="n">
        <f aca="false">IF((G19&lt;&gt;0),IF((D19&gt;0)," ",G19)," ")</f>
        <v>24</v>
      </c>
      <c r="I19" s="369" t="n">
        <f aca="false">IF((G19&lt;&gt;0),IF((D19&gt;0)," ",(I$1-A19))," ")</f>
        <v>287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45975</v>
      </c>
      <c r="B20" s="365" t="s">
        <v>337</v>
      </c>
      <c r="E20" s="367" t="s">
        <v>329</v>
      </c>
      <c r="G20" s="368" t="n">
        <v>12</v>
      </c>
      <c r="H20" s="340" t="n">
        <f aca="false">IF((G20&lt;&gt;0),IF((D20&gt;0)," ",G20)," ")</f>
        <v>12</v>
      </c>
      <c r="I20" s="369" t="n">
        <f aca="false">IF((G20&lt;&gt;0),IF((D20&gt;0)," ",(I$1-A20))," ")</f>
        <v>287</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45976</v>
      </c>
      <c r="B21" s="365" t="s">
        <v>249</v>
      </c>
      <c r="D21" s="365"/>
      <c r="E21" s="367" t="s">
        <v>297</v>
      </c>
      <c r="G21" s="368" t="n">
        <v>150</v>
      </c>
      <c r="H21" s="340" t="n">
        <f aca="false">IF((G21&lt;&gt;0),IF((D21&gt;0)," ",G21)," ")</f>
        <v>150</v>
      </c>
      <c r="I21" s="369" t="n">
        <f aca="false">IF((G21&lt;&gt;0),IF((D21&gt;0)," ",(I$1-A21))," ")</f>
        <v>286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45976</v>
      </c>
      <c r="B22" s="365" t="s">
        <v>338</v>
      </c>
      <c r="D22" s="395"/>
      <c r="E22" s="367" t="s">
        <v>316</v>
      </c>
      <c r="G22" s="368" t="n">
        <v>12</v>
      </c>
      <c r="H22" s="340" t="n">
        <f aca="false">IF((G22&lt;&gt;0),IF((D22&gt;0)," ",G22)," ")</f>
        <v>12</v>
      </c>
      <c r="I22" s="369" t="n">
        <f aca="false">IF((G22&lt;&gt;0),IF((D22&gt;0)," ",(I$1-A22))," ")</f>
        <v>286</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45976</v>
      </c>
      <c r="B23" s="365" t="s">
        <v>358</v>
      </c>
      <c r="E23" s="367" t="s">
        <v>333</v>
      </c>
      <c r="G23" s="368" t="n">
        <v>540</v>
      </c>
      <c r="H23" s="340" t="n">
        <f aca="false">IF((G23&lt;&gt;0),IF((D23&gt;0)," ",G23)," ")</f>
        <v>540</v>
      </c>
      <c r="I23" s="369" t="n">
        <f aca="false">IF((G23&lt;&gt;0),IF((D23&gt;0)," ",(I$1-A23))," ")</f>
        <v>286</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45976</v>
      </c>
      <c r="B24" s="365" t="s">
        <v>367</v>
      </c>
      <c r="E24" s="367" t="s">
        <v>368</v>
      </c>
      <c r="G24" s="368" t="n">
        <v>3000</v>
      </c>
      <c r="H24" s="340" t="n">
        <f aca="false">IF((G24&lt;&gt;0),IF((D24&gt;0)," ",G24)," ")</f>
        <v>3000</v>
      </c>
      <c r="I24" s="369" t="n">
        <f aca="false">IF((G24&lt;&gt;0),IF((D24&gt;0)," ",(I$1-A24))," ")</f>
        <v>286</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45977</v>
      </c>
      <c r="B25" s="365" t="s">
        <v>361</v>
      </c>
      <c r="E25" s="367" t="s">
        <v>316</v>
      </c>
      <c r="G25" s="368" t="n">
        <v>30</v>
      </c>
      <c r="H25" s="340" t="n">
        <f aca="false">IF((G25&lt;&gt;0),IF((D25&gt;0)," ",G25)," ")</f>
        <v>30</v>
      </c>
      <c r="I25" s="369" t="n">
        <f aca="false">IF((G25&lt;&gt;0),IF((D25&gt;0)," ",(I$1-A25))," ")</f>
        <v>285</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45979</v>
      </c>
      <c r="B26" s="365" t="s">
        <v>339</v>
      </c>
      <c r="E26" s="367" t="s">
        <v>297</v>
      </c>
      <c r="G26" s="368" t="n">
        <v>96</v>
      </c>
      <c r="H26" s="340" t="n">
        <f aca="false">IF((G26&lt;&gt;0),IF((D26&gt;0)," ",G26)," ")</f>
        <v>96</v>
      </c>
      <c r="I26" s="369" t="n">
        <f aca="false">IF((G26&lt;&gt;0),IF((D26&gt;0)," ",(I$1-A26))," ")</f>
        <v>283</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45981</v>
      </c>
      <c r="B27" s="365" t="s">
        <v>248</v>
      </c>
      <c r="E27" s="367" t="s">
        <v>316</v>
      </c>
      <c r="G27" s="368" t="n">
        <v>60</v>
      </c>
      <c r="H27" s="340" t="n">
        <f aca="false">IF((G27&lt;&gt;0),IF((D27&gt;0)," ",G27)," ")</f>
        <v>60</v>
      </c>
      <c r="I27" s="369" t="n">
        <f aca="false">IF((G27&lt;&gt;0),IF((D27&gt;0)," ",(I$1-A27))," ")</f>
        <v>281</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45981</v>
      </c>
      <c r="B28" s="365" t="s">
        <v>362</v>
      </c>
      <c r="E28" s="367" t="s">
        <v>319</v>
      </c>
      <c r="G28" s="368" t="n">
        <v>240</v>
      </c>
      <c r="H28" s="340" t="n">
        <f aca="false">IF((G28&lt;&gt;0),IF((D28&gt;0)," ",G28)," ")</f>
        <v>240</v>
      </c>
      <c r="I28" s="369" t="n">
        <f aca="false">IF((G28&lt;&gt;0),IF((D28&gt;0)," ",(I$1-A28))," ")</f>
        <v>281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row>
    <row r="29" customFormat="false" ht="12.75" hidden="false" customHeight="false" outlineLevel="0" collapsed="false">
      <c r="A29" s="357" t="n">
        <v>45981</v>
      </c>
      <c r="B29" s="365" t="s">
        <v>363</v>
      </c>
      <c r="E29" s="367" t="s">
        <v>333</v>
      </c>
      <c r="G29" s="368" t="n">
        <v>300</v>
      </c>
      <c r="H29" s="340" t="n">
        <f aca="false">IF((G29&lt;&gt;0),IF((D29&gt;0)," ",G29)," ")</f>
        <v>300</v>
      </c>
      <c r="I29" s="369" t="n">
        <f aca="false">IF((G29&lt;&gt;0),IF((D29&gt;0)," ",(I$1-A29))," ")</f>
        <v>281</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45982</v>
      </c>
      <c r="B30" s="365" t="s">
        <v>342</v>
      </c>
      <c r="E30" s="367" t="s">
        <v>329</v>
      </c>
      <c r="G30" s="368" t="n">
        <v>8</v>
      </c>
      <c r="H30" s="340" t="n">
        <f aca="false">IF((G30&lt;&gt;0),IF((D30&gt;0)," ",G30)," ")</f>
        <v>8</v>
      </c>
      <c r="I30" s="369" t="n">
        <f aca="false">IF((G30&lt;&gt;0),IF((D30&gt;0)," ",(I$1-A30))," ")</f>
        <v>280</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45983</v>
      </c>
      <c r="B31" s="365" t="s">
        <v>343</v>
      </c>
      <c r="E31" s="367" t="s">
        <v>319</v>
      </c>
      <c r="G31" s="368" t="n">
        <v>18</v>
      </c>
      <c r="H31" s="340" t="n">
        <f aca="false">IF((G31&lt;&gt;0),IF((D31&gt;0)," ",G31)," ")</f>
        <v>18</v>
      </c>
      <c r="I31" s="369" t="n">
        <f aca="false">IF((G31&lt;&gt;0),IF((D31&gt;0)," ",(I$1-A31))," ")</f>
        <v>279</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45986</v>
      </c>
      <c r="B32" s="365" t="s">
        <v>344</v>
      </c>
      <c r="E32" s="367" t="s">
        <v>319</v>
      </c>
      <c r="G32" s="368" t="n">
        <v>15</v>
      </c>
      <c r="H32" s="340" t="n">
        <f aca="false">IF((G32&lt;&gt;0),IF((D32&gt;0)," ",G32)," ")</f>
        <v>15</v>
      </c>
      <c r="I32" s="369" t="n">
        <f aca="false">IF((G32&lt;&gt;0),IF((D32&gt;0)," ",(I$1-A32))," ")</f>
        <v>276</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45986</v>
      </c>
      <c r="B33" s="365" t="s">
        <v>345</v>
      </c>
      <c r="E33" s="367" t="s">
        <v>297</v>
      </c>
      <c r="G33" s="368" t="n">
        <v>81</v>
      </c>
      <c r="H33" s="340" t="n">
        <f aca="false">IF((G33&lt;&gt;0),IF((D33&gt;0)," ",G33)," ")</f>
        <v>81</v>
      </c>
      <c r="I33" s="369" t="n">
        <f aca="false">IF((G33&lt;&gt;0),IF((D33&gt;0)," ",(I$1-A33))," ")</f>
        <v>276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81</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45989</v>
      </c>
      <c r="B34" s="365" t="s">
        <v>249</v>
      </c>
      <c r="E34" s="367" t="s">
        <v>297</v>
      </c>
      <c r="G34" s="368" t="n">
        <v>120</v>
      </c>
      <c r="H34" s="340" t="n">
        <f aca="false">IF((G34&lt;&gt;0),IF((D34&gt;0)," ",G34)," ")</f>
        <v>120</v>
      </c>
      <c r="I34" s="369" t="n">
        <f aca="false">IF((G34&lt;&gt;0),IF((D34&gt;0)," ",(I$1-A34))," ")</f>
        <v>273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45991</v>
      </c>
      <c r="B35" s="365" t="s">
        <v>246</v>
      </c>
      <c r="E35" s="367" t="s">
        <v>346</v>
      </c>
      <c r="G35" s="368" t="n">
        <v>300</v>
      </c>
      <c r="H35" s="340" t="n">
        <f aca="false">IF((G35&lt;&gt;0),IF((D35&gt;0)," ",G35)," ")</f>
        <v>300</v>
      </c>
      <c r="I35" s="369" t="n">
        <f aca="false">IF((G35&lt;&gt;0),IF((D35&gt;0)," ",(I$1-A35))," ")</f>
        <v>271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45991</v>
      </c>
      <c r="B36" s="365" t="s">
        <v>347</v>
      </c>
      <c r="E36" s="367" t="s">
        <v>348</v>
      </c>
      <c r="G36" s="368" t="n">
        <v>3500</v>
      </c>
      <c r="H36" s="340" t="n">
        <f aca="false">IF((G36&lt;&gt;0),IF((D36&gt;0)," ",G36)," ")</f>
        <v>3500</v>
      </c>
      <c r="I36" s="369" t="n">
        <f aca="false">IF((G36&lt;&gt;0),IF((D36&gt;0)," ",(I$1-A36))," ")</f>
        <v>271</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45991</v>
      </c>
      <c r="B37" s="365" t="s">
        <v>349</v>
      </c>
      <c r="E37" s="367" t="s">
        <v>348</v>
      </c>
      <c r="G37" s="368" t="n">
        <v>2200</v>
      </c>
      <c r="H37" s="340" t="n">
        <f aca="false">IF((G37&lt;&gt;0),IF((D37&gt;0)," ",G37)," ")</f>
        <v>2200</v>
      </c>
      <c r="I37" s="369" t="n">
        <f aca="false">IF((G37&lt;&gt;0),IF((D37&gt;0)," ",(I$1-A37))," ")</f>
        <v>271</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32800</v>
      </c>
      <c r="G1" s="345" t="n">
        <f aca="false">SUM(G4:G300)</f>
        <v>0</v>
      </c>
      <c r="H1" s="347" t="n">
        <f aca="false">SUM(H4:H300)</f>
        <v>32800</v>
      </c>
      <c r="I1" s="348" t="n">
        <f aca="true">TODAY()</f>
        <v>46262</v>
      </c>
      <c r="J1" s="345" t="n">
        <f aca="false">SUM(J4:J300)</f>
        <v>0</v>
      </c>
      <c r="K1" s="349" t="n">
        <f aca="false">J1+SalesNov!K1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45994</v>
      </c>
      <c r="B4" s="336" t="s">
        <v>265</v>
      </c>
      <c r="F4" s="336" t="n">
        <v>360</v>
      </c>
      <c r="H4" s="340" t="n">
        <f aca="false">IF((F4&lt;&gt;0),IF((D4&gt;0)," ",F4)," ")</f>
        <v>360</v>
      </c>
      <c r="I4" s="341" t="n">
        <f aca="false">IF((F4&lt;&gt;0),IF((D4&gt;0)," ",(I$1-A4))," ")</f>
        <v>268</v>
      </c>
    </row>
    <row r="5" customFormat="false" ht="12.75" hidden="false" customHeight="false" outlineLevel="0" collapsed="false">
      <c r="A5" s="357" t="n">
        <v>45996</v>
      </c>
      <c r="B5" s="336" t="s">
        <v>266</v>
      </c>
      <c r="F5" s="336" t="n">
        <v>600</v>
      </c>
      <c r="H5" s="340" t="n">
        <f aca="false">IF((F5&lt;&gt;0),IF((D5&gt;0)," ",F5)," ")</f>
        <v>600</v>
      </c>
      <c r="I5" s="341" t="n">
        <f aca="false">IF((F5&lt;&gt;0),IF((D5&gt;0)," ",(I$1-A5))," ")</f>
        <v>266</v>
      </c>
    </row>
    <row r="6" customFormat="false" ht="12.75" hidden="false" customHeight="false" outlineLevel="0" collapsed="false">
      <c r="A6" s="357" t="n">
        <v>45999</v>
      </c>
      <c r="B6" s="336" t="s">
        <v>267</v>
      </c>
      <c r="F6" s="336" t="n">
        <v>480</v>
      </c>
      <c r="H6" s="340" t="n">
        <f aca="false">IF((F6&lt;&gt;0),IF((D6&gt;0)," ",F6)," ")</f>
        <v>480</v>
      </c>
      <c r="I6" s="341" t="n">
        <f aca="false">IF((F6&lt;&gt;0),IF((D6&gt;0)," ",(I$1-A6))," ")</f>
        <v>263</v>
      </c>
    </row>
    <row r="7" customFormat="false" ht="12.75" hidden="false" customHeight="false" outlineLevel="0" collapsed="false">
      <c r="A7" s="357" t="n">
        <v>46001</v>
      </c>
      <c r="B7" s="336" t="s">
        <v>268</v>
      </c>
      <c r="F7" s="336" t="n">
        <v>720</v>
      </c>
      <c r="H7" s="340" t="n">
        <f aca="false">IF((F7&lt;&gt;0),IF((D7&gt;0)," ",F7)," ")</f>
        <v>720</v>
      </c>
      <c r="I7" s="341" t="n">
        <f aca="false">IF((F7&lt;&gt;0),IF((D7&gt;0)," ",(I$1-A7))," ")</f>
        <v>261</v>
      </c>
    </row>
    <row r="8" customFormat="false" ht="12.75" hidden="false" customHeight="false" outlineLevel="0" collapsed="false">
      <c r="A8" s="357" t="n">
        <v>46006</v>
      </c>
      <c r="B8" s="336" t="s">
        <v>241</v>
      </c>
      <c r="F8" s="336" t="n">
        <v>25000</v>
      </c>
      <c r="H8" s="340" t="n">
        <f aca="false">IF((F8&lt;&gt;0),IF((D8&gt;0)," ",F8)," ")</f>
        <v>25000</v>
      </c>
      <c r="I8" s="341" t="n">
        <f aca="false">IF((F8&lt;&gt;0),IF((D8&gt;0)," ",(I$1-A8))," ")</f>
        <v>256</v>
      </c>
    </row>
    <row r="9" customFormat="false" ht="12.75" hidden="false" customHeight="false" outlineLevel="0" collapsed="false">
      <c r="A9" s="357" t="n">
        <v>46009</v>
      </c>
      <c r="B9" s="336" t="s">
        <v>243</v>
      </c>
      <c r="F9" s="336" t="n">
        <v>2400</v>
      </c>
      <c r="H9" s="340" t="n">
        <f aca="false">IF((F9&lt;&gt;0),IF((D9&gt;0)," ",F9)," ")</f>
        <v>2400</v>
      </c>
      <c r="I9" s="341" t="n">
        <f aca="false">IF((F9&lt;&gt;0),IF((D9&gt;0)," ",(I$1-A9))," ")</f>
        <v>253</v>
      </c>
    </row>
    <row r="10" customFormat="false" ht="12.75" hidden="false" customHeight="false" outlineLevel="0" collapsed="false">
      <c r="A10" s="357" t="n">
        <v>46011</v>
      </c>
      <c r="B10" s="336" t="s">
        <v>269</v>
      </c>
      <c r="F10" s="336" t="n">
        <v>1800</v>
      </c>
      <c r="H10" s="340" t="n">
        <f aca="false">IF((F10&lt;&gt;0),IF((D10&gt;0)," ",F10)," ")</f>
        <v>1800</v>
      </c>
      <c r="I10" s="341" t="n">
        <f aca="false">IF((F10&lt;&gt;0),IF((D10&gt;0)," ",(I$1-A10))," ")</f>
        <v>251</v>
      </c>
    </row>
    <row r="11" customFormat="false" ht="12.75" hidden="false" customHeight="false" outlineLevel="0" collapsed="false">
      <c r="A11" s="357" t="n">
        <v>46013</v>
      </c>
      <c r="B11" s="336" t="s">
        <v>365</v>
      </c>
      <c r="F11" s="336" t="n">
        <v>1440</v>
      </c>
      <c r="H11" s="340" t="n">
        <f aca="false">IF((F11&lt;&gt;0),IF((D11&gt;0)," ",F11)," ")</f>
        <v>1440</v>
      </c>
      <c r="I11" s="341" t="n">
        <f aca="false">IF((F11&lt;&gt;0),IF((D11&gt;0)," ",(I$1-A11))," ")</f>
        <v>249</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272</v>
      </c>
      <c r="C1" s="346" t="n">
        <f aca="false">PurchasesNov!C1+PurchasesDec!F1+SalesDec!$E$1</f>
        <v>0</v>
      </c>
      <c r="D1" s="371" t="s">
        <v>254</v>
      </c>
      <c r="E1" s="373" t="str">
        <f aca="false">IF((G1-SUM(J1:W1)&lt;&gt;0),(G1-SUM(J1:W1))," ")</f>
        <v> </v>
      </c>
      <c r="F1" s="346" t="n">
        <f aca="false">SUM(F5:F300)</f>
        <v>0</v>
      </c>
      <c r="G1" s="345" t="n">
        <f aca="false">SUM(G4:G300)</f>
        <v>15151.5</v>
      </c>
      <c r="H1" s="374" t="n">
        <f aca="false">SUM(H5:H300)</f>
        <v>15151.5</v>
      </c>
      <c r="I1" s="375" t="n">
        <f aca="true">TODAY()</f>
        <v>46262</v>
      </c>
      <c r="J1" s="345" t="n">
        <f aca="false">SUM(J5:J300)</f>
        <v>480</v>
      </c>
      <c r="K1" s="345" t="n">
        <f aca="false">SUM(K5:K300)</f>
        <v>0</v>
      </c>
      <c r="L1" s="345" t="n">
        <f aca="false">SUM(L5:L300)</f>
        <v>5700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IF((C1&lt;Admin!$F$22),((C1-PurchasesNov!C1)*Admin!$G$21),(C1*Admin!$G$21-(C1-Admin!$F$21)*(Admin!$G$21-Admin!$G$22)-PurchasesNov!A1))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45992</v>
      </c>
      <c r="B5" s="365" t="s">
        <v>245</v>
      </c>
      <c r="E5" s="367" t="s">
        <v>314</v>
      </c>
      <c r="G5" s="368" t="n">
        <v>1200</v>
      </c>
      <c r="H5" s="340" t="n">
        <f aca="false">IF((G5&lt;&gt;0),IF((D5&gt;0)," ",G5)," ")</f>
        <v>1200</v>
      </c>
      <c r="I5" s="369" t="n">
        <f aca="false">IF((G5&lt;&gt;0),IF((D5&gt;0)," ",(I$1-A5))," ")</f>
        <v>270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45992</v>
      </c>
      <c r="B6" s="365" t="s">
        <v>315</v>
      </c>
      <c r="E6" s="367" t="s">
        <v>316</v>
      </c>
      <c r="G6" s="368" t="n">
        <v>30</v>
      </c>
      <c r="H6" s="340" t="n">
        <f aca="false">IF((G6&lt;&gt;0),IF((D6&gt;0)," ",G6)," ")</f>
        <v>30</v>
      </c>
      <c r="I6" s="369" t="n">
        <f aca="false">IF((G6&lt;&gt;0),IF((D6&gt;0)," ",(I$1-A6))," ")</f>
        <v>270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45992</v>
      </c>
      <c r="B7" s="365" t="s">
        <v>317</v>
      </c>
      <c r="E7" s="367" t="s">
        <v>316</v>
      </c>
      <c r="G7" s="368" t="n">
        <v>15</v>
      </c>
      <c r="H7" s="340" t="n">
        <f aca="false">IF((G7&lt;&gt;0),IF((D7&gt;0)," ",G7)," ")</f>
        <v>15</v>
      </c>
      <c r="I7" s="369" t="n">
        <f aca="false">IF((G7&lt;&gt;0),IF((D7&gt;0)," ",(I$1-A7))," ")</f>
        <v>270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45992</v>
      </c>
      <c r="B8" s="365" t="s">
        <v>318</v>
      </c>
      <c r="E8" s="367" t="s">
        <v>319</v>
      </c>
      <c r="G8" s="368" t="n">
        <v>45</v>
      </c>
      <c r="H8" s="340" t="n">
        <f aca="false">IF((G8&lt;&gt;0),IF((D8&gt;0)," ",G8)," ")</f>
        <v>45</v>
      </c>
      <c r="I8" s="369" t="n">
        <f aca="false">IF((G8&lt;&gt;0),IF((D8&gt;0)," ",(I$1-A8))," ")</f>
        <v>270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45992</v>
      </c>
      <c r="B9" s="365" t="s">
        <v>321</v>
      </c>
      <c r="E9" s="367" t="s">
        <v>319</v>
      </c>
      <c r="G9" s="368" t="n">
        <v>24</v>
      </c>
      <c r="H9" s="340" t="n">
        <f aca="false">IF((G9&lt;&gt;0),IF((D9&gt;0)," ",G9)," ")</f>
        <v>24</v>
      </c>
      <c r="I9" s="369" t="n">
        <f aca="false">IF((G9&lt;&gt;0),IF((D9&gt;0)," ",(I$1-A9))," ")</f>
        <v>270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45992</v>
      </c>
      <c r="B10" s="365" t="s">
        <v>322</v>
      </c>
      <c r="E10" s="367" t="s">
        <v>316</v>
      </c>
      <c r="G10" s="368" t="n">
        <v>18</v>
      </c>
      <c r="H10" s="340" t="n">
        <f aca="false">IF((G10&lt;&gt;0),IF((D10&gt;0)," ",G10)," ")</f>
        <v>18</v>
      </c>
      <c r="I10" s="369" t="n">
        <f aca="false">IF((G10&lt;&gt;0),IF((D10&gt;0)," ",(I$1-A10))," ")</f>
        <v>270</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45994</v>
      </c>
      <c r="B11" s="365" t="s">
        <v>323</v>
      </c>
      <c r="E11" s="367" t="s">
        <v>319</v>
      </c>
      <c r="G11" s="368" t="n">
        <v>180</v>
      </c>
      <c r="H11" s="340" t="n">
        <f aca="false">IF((G11&lt;&gt;0),IF((D11&gt;0)," ",G11)," ")</f>
        <v>180</v>
      </c>
      <c r="I11" s="369" t="n">
        <f aca="false">IF((G11&lt;&gt;0),IF((D11&gt;0)," ",(I$1-A11))," ")</f>
        <v>268</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45994</v>
      </c>
      <c r="B12" s="365" t="s">
        <v>324</v>
      </c>
      <c r="E12" s="367" t="s">
        <v>319</v>
      </c>
      <c r="G12" s="368" t="n">
        <v>22</v>
      </c>
      <c r="H12" s="340" t="n">
        <f aca="false">IF((G12&lt;&gt;0),IF((D12&gt;0)," ",G12)," ")</f>
        <v>22</v>
      </c>
      <c r="I12" s="369" t="n">
        <f aca="false">IF((G12&lt;&gt;0),IF((D12&gt;0)," ",(I$1-A12))," ")</f>
        <v>268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45996</v>
      </c>
      <c r="B13" s="365" t="s">
        <v>325</v>
      </c>
      <c r="E13" s="367" t="s">
        <v>319</v>
      </c>
      <c r="G13" s="368" t="n">
        <v>24</v>
      </c>
      <c r="H13" s="340" t="n">
        <f aca="false">IF((G13&lt;&gt;0),IF((D13&gt;0)," ",G13)," ")</f>
        <v>24</v>
      </c>
      <c r="I13" s="369" t="n">
        <f aca="false">IF((G13&lt;&gt;0),IF((D13&gt;0)," ",(I$1-A13))," ")</f>
        <v>266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45996</v>
      </c>
      <c r="B14" s="365" t="s">
        <v>326</v>
      </c>
      <c r="E14" s="367" t="s">
        <v>297</v>
      </c>
      <c r="G14" s="368" t="n">
        <v>180</v>
      </c>
      <c r="H14" s="340" t="n">
        <f aca="false">IF((G14&lt;&gt;0),IF((D14&gt;0)," ",G14)," ")</f>
        <v>180</v>
      </c>
      <c r="I14" s="369" t="n">
        <f aca="false">IF((G14&lt;&gt;0),IF((D14&gt;0)," ",(I$1-A14))," ")</f>
        <v>266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45996</v>
      </c>
      <c r="B15" s="365" t="s">
        <v>327</v>
      </c>
      <c r="E15" s="367" t="s">
        <v>319</v>
      </c>
      <c r="G15" s="368" t="n">
        <v>36</v>
      </c>
      <c r="H15" s="340" t="n">
        <f aca="false">IF((G15&lt;&gt;0),IF((D15&gt;0)," ",G15)," ")</f>
        <v>36</v>
      </c>
      <c r="I15" s="369" t="n">
        <f aca="false">IF((G15&lt;&gt;0),IF((D15&gt;0)," ",(I$1-A15))," ")</f>
        <v>266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45999</v>
      </c>
      <c r="B16" s="365" t="s">
        <v>328</v>
      </c>
      <c r="E16" s="367" t="s">
        <v>329</v>
      </c>
      <c r="G16" s="368" t="n">
        <v>48</v>
      </c>
      <c r="H16" s="340" t="n">
        <f aca="false">IF((G16&lt;&gt;0),IF((D16&gt;0)," ",G16)," ")</f>
        <v>48</v>
      </c>
      <c r="I16" s="369" t="n">
        <f aca="false">IF((G16&lt;&gt;0),IF((D16&gt;0)," ",(I$1-A16))," ")</f>
        <v>263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46001</v>
      </c>
      <c r="B17" s="365" t="s">
        <v>330</v>
      </c>
      <c r="E17" s="367" t="s">
        <v>319</v>
      </c>
      <c r="G17" s="368" t="n">
        <v>36</v>
      </c>
      <c r="H17" s="340" t="n">
        <f aca="false">IF((G17&lt;&gt;0),IF((D17&gt;0)," ",G17)," ")</f>
        <v>36</v>
      </c>
      <c r="I17" s="369" t="n">
        <f aca="false">IF((G17&lt;&gt;0),IF((D17&gt;0)," ",(I$1-A17))," ")</f>
        <v>261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46001</v>
      </c>
      <c r="B18" s="365" t="s">
        <v>366</v>
      </c>
      <c r="E18" s="367" t="s">
        <v>316</v>
      </c>
      <c r="G18" s="368" t="n">
        <v>120</v>
      </c>
      <c r="H18" s="340" t="n">
        <f aca="false">IF((G18&lt;&gt;0),IF((D18&gt;0)," ",G18)," ")</f>
        <v>120</v>
      </c>
      <c r="I18" s="369" t="n">
        <f aca="false">IF((G18&lt;&gt;0),IF((D18&gt;0)," ",(I$1-A18))," ")</f>
        <v>261</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46003</v>
      </c>
      <c r="B19" s="365" t="s">
        <v>334</v>
      </c>
      <c r="E19" s="367" t="s">
        <v>297</v>
      </c>
      <c r="G19" s="368" t="n">
        <v>18</v>
      </c>
      <c r="H19" s="340" t="n">
        <f aca="false">IF((G19&lt;&gt;0),IF((D19&gt;0)," ",G19)," ")</f>
        <v>18</v>
      </c>
      <c r="I19" s="369" t="n">
        <f aca="false">IF((G19&lt;&gt;0),IF((D19&gt;0)," ",(I$1-A19))," ")</f>
        <v>259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46005</v>
      </c>
      <c r="B20" s="365" t="s">
        <v>335</v>
      </c>
      <c r="E20" s="367" t="s">
        <v>319</v>
      </c>
      <c r="G20" s="368" t="n">
        <v>24</v>
      </c>
      <c r="H20" s="340" t="n">
        <f aca="false">IF((G20&lt;&gt;0),IF((D20&gt;0)," ",G20)," ")</f>
        <v>24</v>
      </c>
      <c r="I20" s="369" t="n">
        <f aca="false">IF((G20&lt;&gt;0),IF((D20&gt;0)," ",(I$1-A20))," ")</f>
        <v>257</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row>
    <row r="21" customFormat="false" ht="12.75" hidden="false" customHeight="false" outlineLevel="0" collapsed="false">
      <c r="A21" s="357" t="n">
        <v>46005</v>
      </c>
      <c r="B21" s="365" t="s">
        <v>336</v>
      </c>
      <c r="D21" s="365"/>
      <c r="E21" s="367" t="s">
        <v>329</v>
      </c>
      <c r="G21" s="368" t="n">
        <v>24</v>
      </c>
      <c r="H21" s="340" t="n">
        <f aca="false">IF((G21&lt;&gt;0),IF((D21&gt;0)," ",G21)," ")</f>
        <v>24</v>
      </c>
      <c r="I21" s="369" t="n">
        <f aca="false">IF((G21&lt;&gt;0),IF((D21&gt;0)," ",(I$1-A21))," ")</f>
        <v>257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46005</v>
      </c>
      <c r="B22" s="365" t="s">
        <v>337</v>
      </c>
      <c r="D22" s="395"/>
      <c r="E22" s="367" t="s">
        <v>329</v>
      </c>
      <c r="G22" s="368" t="n">
        <v>12</v>
      </c>
      <c r="H22" s="340" t="n">
        <f aca="false">IF((G22&lt;&gt;0),IF((D22&gt;0)," ",G22)," ")</f>
        <v>12</v>
      </c>
      <c r="I22" s="369" t="n">
        <f aca="false">IF((G22&lt;&gt;0),IF((D22&gt;0)," ",(I$1-A22))," ")</f>
        <v>257</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46006</v>
      </c>
      <c r="B23" s="365" t="s">
        <v>249</v>
      </c>
      <c r="E23" s="367" t="s">
        <v>297</v>
      </c>
      <c r="G23" s="368" t="n">
        <v>150</v>
      </c>
      <c r="H23" s="340" t="n">
        <f aca="false">IF((G23&lt;&gt;0),IF((D23&gt;0)," ",G23)," ")</f>
        <v>150</v>
      </c>
      <c r="I23" s="369" t="n">
        <f aca="false">IF((G23&lt;&gt;0),IF((D23&gt;0)," ",(I$1-A23))," ")</f>
        <v>256</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46006</v>
      </c>
      <c r="B24" s="365" t="s">
        <v>338</v>
      </c>
      <c r="E24" s="367" t="s">
        <v>316</v>
      </c>
      <c r="G24" s="368" t="n">
        <v>12</v>
      </c>
      <c r="H24" s="340" t="n">
        <f aca="false">IF((G24&lt;&gt;0),IF((D24&gt;0)," ",G24)," ")</f>
        <v>12</v>
      </c>
      <c r="I24" s="369" t="n">
        <f aca="false">IF((G24&lt;&gt;0),IF((D24&gt;0)," ",(I$1-A24))," ")</f>
        <v>256</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46006</v>
      </c>
      <c r="B25" s="365" t="s">
        <v>390</v>
      </c>
      <c r="E25" s="367" t="s">
        <v>391</v>
      </c>
      <c r="G25" s="368" t="n">
        <v>500</v>
      </c>
      <c r="H25" s="340" t="n">
        <f aca="false">IF((G25&lt;&gt;0),IF((D25&gt;0)," ",G25)," ")</f>
        <v>500</v>
      </c>
      <c r="I25" s="369" t="n">
        <f aca="false">IF((G25&lt;&gt;0),IF((D25&gt;0)," ",(I$1-A25))," ")</f>
        <v>256</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row>
    <row r="26" customFormat="false" ht="12.75" hidden="false" customHeight="false" outlineLevel="0" collapsed="false">
      <c r="A26" s="357" t="n">
        <v>46009</v>
      </c>
      <c r="B26" s="365" t="s">
        <v>370</v>
      </c>
      <c r="E26" s="367" t="s">
        <v>333</v>
      </c>
      <c r="G26" s="368" t="n">
        <v>480</v>
      </c>
      <c r="H26" s="340" t="n">
        <f aca="false">IF((G26&lt;&gt;0),IF((D26&gt;0)," ",G26)," ")</f>
        <v>480</v>
      </c>
      <c r="I26" s="369" t="n">
        <f aca="false">IF((G26&lt;&gt;0),IF((D26&gt;0)," ",(I$1-A26))," ")</f>
        <v>253</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46009</v>
      </c>
      <c r="B27" s="365" t="s">
        <v>339</v>
      </c>
      <c r="E27" s="367" t="s">
        <v>297</v>
      </c>
      <c r="G27" s="368" t="n">
        <v>96</v>
      </c>
      <c r="H27" s="340" t="n">
        <f aca="false">IF((G27&lt;&gt;0),IF((D27&gt;0)," ",G27)," ")</f>
        <v>96</v>
      </c>
      <c r="I27" s="369" t="n">
        <f aca="false">IF((G27&lt;&gt;0),IF((D27&gt;0)," ",(I$1-A27))," ")</f>
        <v>253</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46011</v>
      </c>
      <c r="B28" s="365" t="s">
        <v>248</v>
      </c>
      <c r="E28" s="367" t="s">
        <v>316</v>
      </c>
      <c r="G28" s="368" t="n">
        <v>60</v>
      </c>
      <c r="H28" s="340" t="n">
        <f aca="false">IF((G28&lt;&gt;0),IF((D28&gt;0)," ",G28)," ")</f>
        <v>60</v>
      </c>
      <c r="I28" s="369" t="n">
        <f aca="false">IF((G28&lt;&gt;0),IF((D28&gt;0)," ",(I$1-A28))," ")</f>
        <v>251</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46012</v>
      </c>
      <c r="B29" s="365" t="s">
        <v>342</v>
      </c>
      <c r="E29" s="367" t="s">
        <v>329</v>
      </c>
      <c r="G29" s="368" t="n">
        <v>8</v>
      </c>
      <c r="H29" s="340" t="n">
        <f aca="false">IF((G29&lt;&gt;0),IF((D29&gt;0)," ",G29)," ")</f>
        <v>8</v>
      </c>
      <c r="I29" s="369" t="n">
        <f aca="false">IF((G29&lt;&gt;0),IF((D29&gt;0)," ",(I$1-A29))," ")</f>
        <v>250</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46013</v>
      </c>
      <c r="B30" s="365" t="s">
        <v>343</v>
      </c>
      <c r="E30" s="367" t="s">
        <v>319</v>
      </c>
      <c r="G30" s="368" t="n">
        <v>18</v>
      </c>
      <c r="H30" s="340" t="n">
        <f aca="false">IF((G30&lt;&gt;0),IF((D30&gt;0)," ",G30)," ")</f>
        <v>18</v>
      </c>
      <c r="I30" s="369" t="n">
        <f aca="false">IF((G30&lt;&gt;0),IF((D30&gt;0)," ",(I$1-A30))," ")</f>
        <v>249</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row>
    <row r="31" customFormat="false" ht="12.75" hidden="false" customHeight="false" outlineLevel="0" collapsed="false">
      <c r="A31" s="357" t="n">
        <v>46016</v>
      </c>
      <c r="B31" s="365" t="s">
        <v>371</v>
      </c>
      <c r="E31" s="367" t="s">
        <v>314</v>
      </c>
      <c r="G31" s="368" t="n">
        <v>420</v>
      </c>
      <c r="H31" s="340" t="n">
        <f aca="false">IF((G31&lt;&gt;0),IF((D31&gt;0)," ",G31)," ")</f>
        <v>420</v>
      </c>
      <c r="I31" s="369" t="n">
        <f aca="false">IF((G31&lt;&gt;0),IF((D31&gt;0)," ",(I$1-A31))," ")</f>
        <v>246</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46016</v>
      </c>
      <c r="B32" s="365" t="s">
        <v>344</v>
      </c>
      <c r="E32" s="367" t="s">
        <v>319</v>
      </c>
      <c r="G32" s="368" t="n">
        <v>15</v>
      </c>
      <c r="H32" s="340" t="n">
        <f aca="false">IF((G32&lt;&gt;0),IF((D32&gt;0)," ",G32)," ")</f>
        <v>15</v>
      </c>
      <c r="I32" s="369" t="n">
        <f aca="false">IF((G32&lt;&gt;0),IF((D32&gt;0)," ",(I$1-A32))," ")</f>
        <v>246</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46016</v>
      </c>
      <c r="B33" s="365" t="s">
        <v>345</v>
      </c>
      <c r="E33" s="367" t="s">
        <v>297</v>
      </c>
      <c r="G33" s="368" t="n">
        <v>49.5</v>
      </c>
      <c r="H33" s="340" t="n">
        <f aca="false">IF((G33&lt;&gt;0),IF((D33&gt;0)," ",G33)," ")</f>
        <v>49.5</v>
      </c>
      <c r="I33" s="369" t="n">
        <f aca="false">IF((G33&lt;&gt;0),IF((D33&gt;0)," ",(I$1-A33))," ")</f>
        <v>246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49.5</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46019</v>
      </c>
      <c r="B34" s="365" t="s">
        <v>249</v>
      </c>
      <c r="E34" s="367" t="s">
        <v>297</v>
      </c>
      <c r="G34" s="368" t="n">
        <v>120</v>
      </c>
      <c r="H34" s="340" t="n">
        <f aca="false">IF((G34&lt;&gt;0),IF((D34&gt;0)," ",G34)," ")</f>
        <v>120</v>
      </c>
      <c r="I34" s="369" t="n">
        <f aca="false">IF((G34&lt;&gt;0),IF((D34&gt;0)," ",(I$1-A34))," ")</f>
        <v>243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46022</v>
      </c>
      <c r="B35" s="365" t="s">
        <v>246</v>
      </c>
      <c r="E35" s="367" t="s">
        <v>346</v>
      </c>
      <c r="G35" s="368" t="n">
        <v>300</v>
      </c>
      <c r="H35" s="340" t="n">
        <f aca="false">IF((G35&lt;&gt;0),IF((D35&gt;0)," ",G35)," ")</f>
        <v>300</v>
      </c>
      <c r="I35" s="369" t="n">
        <f aca="false">IF((G35&lt;&gt;0),IF((D35&gt;0)," ",(I$1-A35))," ")</f>
        <v>240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46022</v>
      </c>
      <c r="B36" s="365" t="s">
        <v>392</v>
      </c>
      <c r="E36" s="367" t="s">
        <v>319</v>
      </c>
      <c r="G36" s="368" t="n">
        <v>5000</v>
      </c>
      <c r="H36" s="340" t="n">
        <f aca="false">IF((G36&lt;&gt;0),IF((D36&gt;0)," ",G36)," ")</f>
        <v>5000</v>
      </c>
      <c r="I36" s="369" t="n">
        <f aca="false">IF((G36&lt;&gt;0),IF((D36&gt;0)," ",(I$1-A36))," ")</f>
        <v>240</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row>
    <row r="37" customFormat="false" ht="12.75" hidden="false" customHeight="false" outlineLevel="0" collapsed="false">
      <c r="A37" s="357" t="n">
        <v>46022</v>
      </c>
      <c r="B37" s="365" t="s">
        <v>372</v>
      </c>
      <c r="E37" s="367" t="s">
        <v>373</v>
      </c>
      <c r="G37" s="368" t="n">
        <v>167</v>
      </c>
      <c r="H37" s="340" t="n">
        <f aca="false">IF((G37&lt;&gt;0),IF((D37&gt;0)," ",G37)," ")</f>
        <v>167</v>
      </c>
      <c r="I37" s="369" t="n">
        <f aca="false">IF((G37&lt;&gt;0),IF((D37&gt;0)," ",(I$1-A37))," ")</f>
        <v>240</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row>
    <row r="38" customFormat="false" ht="12.75" hidden="false" customHeight="false" outlineLevel="0" collapsed="false">
      <c r="A38" s="357" t="n">
        <v>46022</v>
      </c>
      <c r="B38" s="365" t="s">
        <v>347</v>
      </c>
      <c r="E38" s="367" t="s">
        <v>348</v>
      </c>
      <c r="G38" s="368" t="n">
        <v>3500</v>
      </c>
      <c r="H38" s="340" t="n">
        <f aca="false">IF((G38&lt;&gt;0),IF((D38&gt;0)," ",G38)," ")</f>
        <v>3500</v>
      </c>
      <c r="I38" s="369" t="n">
        <f aca="false">IF((G38&lt;&gt;0),IF((D38&gt;0)," ",(I$1-A38))," ")</f>
        <v>240</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46022</v>
      </c>
      <c r="B39" s="365" t="s">
        <v>349</v>
      </c>
      <c r="E39" s="367" t="s">
        <v>348</v>
      </c>
      <c r="G39" s="368" t="n">
        <v>2200</v>
      </c>
      <c r="H39" s="340" t="n">
        <f aca="false">IF((G39&lt;&gt;0),IF((D39&gt;0)," ",G39)," ")</f>
        <v>2200</v>
      </c>
      <c r="I39" s="369" t="n">
        <f aca="false">IF((G39&lt;&gt;0),IF((D39&gt;0)," ",(I$1-A39))," ")</f>
        <v>240</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35440</v>
      </c>
      <c r="G1" s="345" t="n">
        <f aca="false">SUM(G4:G300)</f>
        <v>0</v>
      </c>
      <c r="H1" s="347" t="n">
        <f aca="false">SUM(H4:H300)</f>
        <v>35440</v>
      </c>
      <c r="I1" s="348" t="n">
        <f aca="true">TODAY()</f>
        <v>46262</v>
      </c>
      <c r="J1" s="345" t="n">
        <f aca="false">SUM(J4:J300)</f>
        <v>0</v>
      </c>
      <c r="K1" s="349" t="n">
        <f aca="false">J1+SalesDec!K1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46023</v>
      </c>
      <c r="B4" s="336" t="s">
        <v>242</v>
      </c>
      <c r="F4" s="336" t="n">
        <v>1200</v>
      </c>
      <c r="H4" s="340" t="n">
        <f aca="false">IF((F4&lt;&gt;0),IF((D4&gt;0)," ",F4)," ")</f>
        <v>1200</v>
      </c>
      <c r="I4" s="341" t="n">
        <f aca="false">IF((F4&lt;&gt;0),IF((D4&gt;0)," ",(I$1-A4))," ")</f>
        <v>239</v>
      </c>
    </row>
    <row r="5" customFormat="false" ht="12.75" hidden="false" customHeight="false" outlineLevel="0" collapsed="false">
      <c r="A5" s="357" t="n">
        <v>46025</v>
      </c>
      <c r="B5" s="336" t="s">
        <v>265</v>
      </c>
      <c r="F5" s="336" t="n">
        <v>360</v>
      </c>
      <c r="H5" s="340" t="n">
        <f aca="false">IF((F5&lt;&gt;0),IF((D5&gt;0)," ",F5)," ")</f>
        <v>360</v>
      </c>
      <c r="I5" s="341" t="n">
        <f aca="false">IF((F5&lt;&gt;0),IF((D5&gt;0)," ",(I$1-A5))," ")</f>
        <v>237</v>
      </c>
    </row>
    <row r="6" customFormat="false" ht="12.75" hidden="false" customHeight="false" outlineLevel="0" collapsed="false">
      <c r="A6" s="357" t="n">
        <v>46027</v>
      </c>
      <c r="B6" s="336" t="s">
        <v>266</v>
      </c>
      <c r="F6" s="336" t="n">
        <v>600</v>
      </c>
      <c r="H6" s="340" t="n">
        <f aca="false">IF((F6&lt;&gt;0),IF((D6&gt;0)," ",F6)," ")</f>
        <v>600</v>
      </c>
      <c r="I6" s="341" t="n">
        <f aca="false">IF((F6&lt;&gt;0),IF((D6&gt;0)," ",(I$1-A6))," ")</f>
        <v>235</v>
      </c>
    </row>
    <row r="7" customFormat="false" ht="12.75" hidden="false" customHeight="false" outlineLevel="0" collapsed="false">
      <c r="A7" s="357" t="n">
        <v>46030</v>
      </c>
      <c r="B7" s="336" t="s">
        <v>267</v>
      </c>
      <c r="F7" s="336" t="n">
        <v>480</v>
      </c>
      <c r="H7" s="340" t="n">
        <f aca="false">IF((F7&lt;&gt;0),IF((D7&gt;0)," ",F7)," ")</f>
        <v>480</v>
      </c>
      <c r="I7" s="341" t="n">
        <f aca="false">IF((F7&lt;&gt;0),IF((D7&gt;0)," ",(I$1-A7))," ")</f>
        <v>232</v>
      </c>
    </row>
    <row r="8" customFormat="false" ht="12.75" hidden="false" customHeight="false" outlineLevel="0" collapsed="false">
      <c r="A8" s="357" t="n">
        <v>46032</v>
      </c>
      <c r="B8" s="336" t="s">
        <v>268</v>
      </c>
      <c r="F8" s="336" t="n">
        <v>720</v>
      </c>
      <c r="H8" s="340" t="n">
        <f aca="false">IF((F8&lt;&gt;0),IF((D8&gt;0)," ",F8)," ")</f>
        <v>720</v>
      </c>
      <c r="I8" s="341" t="n">
        <f aca="false">IF((F8&lt;&gt;0),IF((D8&gt;0)," ",(I$1-A8))," ")</f>
        <v>230</v>
      </c>
    </row>
    <row r="9" customFormat="false" ht="12.75" hidden="false" customHeight="false" outlineLevel="0" collapsed="false">
      <c r="A9" s="357" t="n">
        <v>46036</v>
      </c>
      <c r="B9" s="336" t="s">
        <v>374</v>
      </c>
      <c r="F9" s="336" t="n">
        <v>2160</v>
      </c>
      <c r="H9" s="340" t="n">
        <f aca="false">IF((F9&lt;&gt;0),IF((D9&gt;0)," ",F9)," ")</f>
        <v>2160</v>
      </c>
      <c r="I9" s="341" t="n">
        <f aca="false">IF((F9&lt;&gt;0),IF((D9&gt;0)," ",(I$1-A9))," ")</f>
        <v>226</v>
      </c>
    </row>
    <row r="10" customFormat="false" ht="12.75" hidden="false" customHeight="false" outlineLevel="0" collapsed="false">
      <c r="A10" s="357" t="n">
        <v>46037</v>
      </c>
      <c r="B10" s="336" t="s">
        <v>241</v>
      </c>
      <c r="F10" s="336" t="n">
        <v>25000</v>
      </c>
      <c r="H10" s="340" t="n">
        <f aca="false">IF((F10&lt;&gt;0),IF((D10&gt;0)," ",F10)," ")</f>
        <v>25000</v>
      </c>
      <c r="I10" s="341" t="n">
        <f aca="false">IF((F10&lt;&gt;0),IF((D10&gt;0)," ",(I$1-A10))," ")</f>
        <v>225</v>
      </c>
    </row>
    <row r="11" customFormat="false" ht="12.75" hidden="false" customHeight="false" outlineLevel="0" collapsed="false">
      <c r="A11" s="357" t="n">
        <v>46038</v>
      </c>
      <c r="B11" s="336" t="s">
        <v>351</v>
      </c>
      <c r="F11" s="336" t="n">
        <v>1200</v>
      </c>
      <c r="H11" s="340" t="n">
        <f aca="false">IF((F11&lt;&gt;0),IF((D11&gt;0)," ",F11)," ")</f>
        <v>1200</v>
      </c>
      <c r="I11" s="341" t="n">
        <f aca="false">IF((F11&lt;&gt;0),IF((D11&gt;0)," ",(I$1-A11))," ")</f>
        <v>224</v>
      </c>
    </row>
    <row r="12" customFormat="false" ht="12.75" hidden="false" customHeight="false" outlineLevel="0" collapsed="false">
      <c r="A12" s="357" t="n">
        <v>46040</v>
      </c>
      <c r="B12" s="336" t="s">
        <v>243</v>
      </c>
      <c r="F12" s="336" t="n">
        <v>2400</v>
      </c>
      <c r="H12" s="340" t="n">
        <f aca="false">IF((F12&lt;&gt;0),IF((D12&gt;0)," ",F12)," ")</f>
        <v>2400</v>
      </c>
      <c r="I12" s="341" t="n">
        <f aca="false">IF((F12&lt;&gt;0),IF((D12&gt;0)," ",(I$1-A12))," ")</f>
        <v>222</v>
      </c>
    </row>
    <row r="13" customFormat="false" ht="12.75" hidden="false" customHeight="false" outlineLevel="0" collapsed="false">
      <c r="A13" s="357" t="n">
        <v>46047</v>
      </c>
      <c r="B13" s="336" t="s">
        <v>393</v>
      </c>
      <c r="F13" s="336" t="n">
        <v>480</v>
      </c>
      <c r="H13" s="340" t="n">
        <f aca="false">IF((F13&lt;&gt;0),IF((D13&gt;0)," ",F13)," ")</f>
        <v>480</v>
      </c>
      <c r="I13" s="341" t="n">
        <f aca="false">IF((F13&lt;&gt;0),IF((D13&gt;0)," ",(I$1-A13))," ")</f>
        <v>215</v>
      </c>
    </row>
    <row r="14" customFormat="false" ht="12.75" hidden="false" customHeight="false" outlineLevel="0" collapsed="false">
      <c r="A14" s="357" t="n">
        <v>46050</v>
      </c>
      <c r="B14" s="336" t="s">
        <v>270</v>
      </c>
      <c r="F14" s="336" t="n">
        <v>840</v>
      </c>
      <c r="H14" s="340" t="n">
        <f aca="false">IF((F14&lt;&gt;0),IF((D14&gt;0)," ",F14)," ")</f>
        <v>840</v>
      </c>
      <c r="I14" s="341" t="n">
        <f aca="false">IF((F14&lt;&gt;0),IF((D14&gt;0)," ",(I$1-A14))," ")</f>
        <v>212</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272</v>
      </c>
      <c r="C1" s="346" t="n">
        <f aca="false">PurchasesDec!C1+PurchasesJan!F1+SalesJan!$E$1</f>
        <v>0</v>
      </c>
      <c r="D1" s="371" t="s">
        <v>254</v>
      </c>
      <c r="E1" s="373" t="str">
        <f aca="false">IF((G1-SUM(J1:W1)&lt;&gt;0),(G1-SUM(J1:W1))," ")</f>
        <v> </v>
      </c>
      <c r="F1" s="346" t="n">
        <f aca="false">SUM(F5:F300)</f>
        <v>0</v>
      </c>
      <c r="G1" s="345" t="n">
        <f aca="false">SUM(G4:G300)</f>
        <v>10211.25</v>
      </c>
      <c r="H1" s="374" t="n">
        <f aca="false">SUM(H5:H300)</f>
        <v>10211.25</v>
      </c>
      <c r="I1" s="375" t="n">
        <f aca="true">TODAY()</f>
        <v>46262</v>
      </c>
      <c r="J1" s="345" t="n">
        <f aca="false">SUM(J5:J300)</f>
        <v>600</v>
      </c>
      <c r="K1" s="345" t="n">
        <f aca="false">SUM(K5:K300)</f>
        <v>0</v>
      </c>
      <c r="L1" s="345" t="n">
        <f aca="false">SUM(L5:L300)</f>
        <v>5700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IF((C1&lt;Admin!$F$22),((C1-PurchasesDec!C1)*Admin!$G$21),(C1*Admin!$G$21-(C1-Admin!$F$21)*(Admin!$G$21-Admin!$G$22)-PurchasesDec!A1))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46023</v>
      </c>
      <c r="B5" s="365" t="s">
        <v>245</v>
      </c>
      <c r="E5" s="367" t="s">
        <v>314</v>
      </c>
      <c r="G5" s="368" t="n">
        <v>1200</v>
      </c>
      <c r="H5" s="340" t="n">
        <f aca="false">IF((G5&lt;&gt;0),IF((D5&gt;0)," ",G5)," ")</f>
        <v>1200</v>
      </c>
      <c r="I5" s="369" t="n">
        <f aca="false">IF((G5&lt;&gt;0),IF((D5&gt;0)," ",(I$1-A5))," ")</f>
        <v>239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46023</v>
      </c>
      <c r="B6" s="365" t="s">
        <v>315</v>
      </c>
      <c r="E6" s="367" t="s">
        <v>316</v>
      </c>
      <c r="G6" s="368" t="n">
        <v>30</v>
      </c>
      <c r="H6" s="340" t="n">
        <f aca="false">IF((G6&lt;&gt;0),IF((D6&gt;0)," ",G6)," ")</f>
        <v>30</v>
      </c>
      <c r="I6" s="369" t="n">
        <f aca="false">IF((G6&lt;&gt;0),IF((D6&gt;0)," ",(I$1-A6))," ")</f>
        <v>239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46023</v>
      </c>
      <c r="B7" s="365" t="s">
        <v>317</v>
      </c>
      <c r="E7" s="367" t="s">
        <v>316</v>
      </c>
      <c r="G7" s="368" t="n">
        <v>15</v>
      </c>
      <c r="H7" s="340" t="n">
        <f aca="false">IF((G7&lt;&gt;0),IF((D7&gt;0)," ",G7)," ")</f>
        <v>15</v>
      </c>
      <c r="I7" s="369" t="n">
        <f aca="false">IF((G7&lt;&gt;0),IF((D7&gt;0)," ",(I$1-A7))," ")</f>
        <v>239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46023</v>
      </c>
      <c r="B8" s="365" t="s">
        <v>318</v>
      </c>
      <c r="E8" s="367" t="s">
        <v>319</v>
      </c>
      <c r="G8" s="368" t="n">
        <v>45</v>
      </c>
      <c r="H8" s="340" t="n">
        <f aca="false">IF((G8&lt;&gt;0),IF((D8&gt;0)," ",G8)," ")</f>
        <v>45</v>
      </c>
      <c r="I8" s="369" t="n">
        <f aca="false">IF((G8&lt;&gt;0),IF((D8&gt;0)," ",(I$1-A8))," ")</f>
        <v>239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46023</v>
      </c>
      <c r="B9" s="365" t="s">
        <v>321</v>
      </c>
      <c r="E9" s="367" t="s">
        <v>319</v>
      </c>
      <c r="G9" s="368" t="n">
        <v>24</v>
      </c>
      <c r="H9" s="340" t="n">
        <f aca="false">IF((G9&lt;&gt;0),IF((D9&gt;0)," ",G9)," ")</f>
        <v>24</v>
      </c>
      <c r="I9" s="369" t="n">
        <f aca="false">IF((G9&lt;&gt;0),IF((D9&gt;0)," ",(I$1-A9))," ")</f>
        <v>239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46023</v>
      </c>
      <c r="B10" s="365" t="s">
        <v>322</v>
      </c>
      <c r="E10" s="367" t="s">
        <v>316</v>
      </c>
      <c r="G10" s="368" t="n">
        <v>18</v>
      </c>
      <c r="H10" s="340" t="n">
        <f aca="false">IF((G10&lt;&gt;0),IF((D10&gt;0)," ",G10)," ")</f>
        <v>18</v>
      </c>
      <c r="I10" s="369" t="n">
        <f aca="false">IF((G10&lt;&gt;0),IF((D10&gt;0)," ",(I$1-A10))," ")</f>
        <v>239</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46025</v>
      </c>
      <c r="B11" s="365" t="s">
        <v>323</v>
      </c>
      <c r="E11" s="367" t="s">
        <v>319</v>
      </c>
      <c r="G11" s="368" t="n">
        <v>180</v>
      </c>
      <c r="H11" s="340" t="n">
        <f aca="false">IF((G11&lt;&gt;0),IF((D11&gt;0)," ",G11)," ")</f>
        <v>180</v>
      </c>
      <c r="I11" s="369" t="n">
        <f aca="false">IF((G11&lt;&gt;0),IF((D11&gt;0)," ",(I$1-A11))," ")</f>
        <v>237</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46025</v>
      </c>
      <c r="B12" s="365" t="s">
        <v>324</v>
      </c>
      <c r="E12" s="367" t="s">
        <v>319</v>
      </c>
      <c r="G12" s="368" t="n">
        <v>22</v>
      </c>
      <c r="H12" s="340" t="n">
        <f aca="false">IF((G12&lt;&gt;0),IF((D12&gt;0)," ",G12)," ")</f>
        <v>22</v>
      </c>
      <c r="I12" s="369" t="n">
        <f aca="false">IF((G12&lt;&gt;0),IF((D12&gt;0)," ",(I$1-A12))," ")</f>
        <v>237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46027</v>
      </c>
      <c r="B13" s="365" t="s">
        <v>325</v>
      </c>
      <c r="E13" s="367" t="s">
        <v>319</v>
      </c>
      <c r="G13" s="368" t="n">
        <v>24</v>
      </c>
      <c r="H13" s="340" t="n">
        <f aca="false">IF((G13&lt;&gt;0),IF((D13&gt;0)," ",G13)," ")</f>
        <v>24</v>
      </c>
      <c r="I13" s="369" t="n">
        <f aca="false">IF((G13&lt;&gt;0),IF((D13&gt;0)," ",(I$1-A13))," ")</f>
        <v>235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46027</v>
      </c>
      <c r="B14" s="365" t="s">
        <v>376</v>
      </c>
      <c r="E14" s="367" t="s">
        <v>357</v>
      </c>
      <c r="G14" s="368" t="n">
        <v>480</v>
      </c>
      <c r="H14" s="340" t="n">
        <f aca="false">IF((G14&lt;&gt;0),IF((D14&gt;0)," ",G14)," ")</f>
        <v>480</v>
      </c>
      <c r="I14" s="369" t="n">
        <f aca="false">IF((G14&lt;&gt;0),IF((D14&gt;0)," ",(I$1-A14))," ")</f>
        <v>235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46027</v>
      </c>
      <c r="B15" s="365" t="s">
        <v>326</v>
      </c>
      <c r="E15" s="367" t="s">
        <v>297</v>
      </c>
      <c r="G15" s="368" t="n">
        <v>180</v>
      </c>
      <c r="H15" s="340" t="n">
        <f aca="false">IF((G15&lt;&gt;0),IF((D15&gt;0)," ",G15)," ")</f>
        <v>180</v>
      </c>
      <c r="I15" s="369" t="n">
        <f aca="false">IF((G15&lt;&gt;0),IF((D15&gt;0)," ",(I$1-A15))," ")</f>
        <v>235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46030</v>
      </c>
      <c r="B16" s="365" t="s">
        <v>328</v>
      </c>
      <c r="E16" s="367" t="s">
        <v>329</v>
      </c>
      <c r="G16" s="368" t="n">
        <v>48</v>
      </c>
      <c r="H16" s="340" t="n">
        <f aca="false">IF((G16&lt;&gt;0),IF((D16&gt;0)," ",G16)," ")</f>
        <v>48</v>
      </c>
      <c r="I16" s="369" t="n">
        <f aca="false">IF((G16&lt;&gt;0),IF((D16&gt;0)," ",(I$1-A16))," ")</f>
        <v>232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46030</v>
      </c>
      <c r="B17" s="365" t="s">
        <v>355</v>
      </c>
      <c r="E17" s="367" t="s">
        <v>319</v>
      </c>
      <c r="G17" s="368" t="n">
        <v>180</v>
      </c>
      <c r="H17" s="340" t="n">
        <f aca="false">IF((G17&lt;&gt;0),IF((D17&gt;0)," ",G17)," ")</f>
        <v>180</v>
      </c>
      <c r="I17" s="369" t="n">
        <f aca="false">IF((G17&lt;&gt;0),IF((D17&gt;0)," ",(I$1-A17))," ")</f>
        <v>232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row>
    <row r="18" customFormat="false" ht="12.75" hidden="false" customHeight="false" outlineLevel="0" collapsed="false">
      <c r="A18" s="357" t="n">
        <v>46032</v>
      </c>
      <c r="B18" s="365" t="s">
        <v>330</v>
      </c>
      <c r="E18" s="367" t="s">
        <v>319</v>
      </c>
      <c r="G18" s="368" t="n">
        <v>36</v>
      </c>
      <c r="H18" s="340" t="n">
        <f aca="false">IF((G18&lt;&gt;0),IF((D18&gt;0)," ",G18)," ")</f>
        <v>36</v>
      </c>
      <c r="I18" s="369" t="n">
        <f aca="false">IF((G18&lt;&gt;0),IF((D18&gt;0)," ",(I$1-A18))," ")</f>
        <v>230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46032</v>
      </c>
      <c r="B19" s="365" t="s">
        <v>331</v>
      </c>
      <c r="E19" s="367" t="s">
        <v>319</v>
      </c>
      <c r="G19" s="368" t="n">
        <v>180</v>
      </c>
      <c r="H19" s="340" t="n">
        <f aca="false">IF((G19&lt;&gt;0),IF((D19&gt;0)," ",G19)," ")</f>
        <v>180</v>
      </c>
      <c r="I19" s="369" t="n">
        <f aca="false">IF((G19&lt;&gt;0),IF((D19&gt;0)," ",(I$1-A19))," ")</f>
        <v>230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46032</v>
      </c>
      <c r="B20" s="365" t="s">
        <v>332</v>
      </c>
      <c r="E20" s="367" t="s">
        <v>333</v>
      </c>
      <c r="G20" s="368" t="n">
        <v>600</v>
      </c>
      <c r="H20" s="340" t="n">
        <f aca="false">IF((G20&lt;&gt;0),IF((D20&gt;0)," ",G20)," ")</f>
        <v>600</v>
      </c>
      <c r="I20" s="369" t="n">
        <f aca="false">IF((G20&lt;&gt;0),IF((D20&gt;0)," ",(I$1-A20))," ")</f>
        <v>230</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46034</v>
      </c>
      <c r="B21" s="365" t="s">
        <v>334</v>
      </c>
      <c r="D21" s="365"/>
      <c r="E21" s="367" t="s">
        <v>297</v>
      </c>
      <c r="G21" s="368" t="n">
        <v>18</v>
      </c>
      <c r="H21" s="340" t="n">
        <f aca="false">IF((G21&lt;&gt;0),IF((D21&gt;0)," ",G21)," ")</f>
        <v>18</v>
      </c>
      <c r="I21" s="369" t="n">
        <f aca="false">IF((G21&lt;&gt;0),IF((D21&gt;0)," ",(I$1-A21))," ")</f>
        <v>228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46036</v>
      </c>
      <c r="B22" s="365" t="s">
        <v>336</v>
      </c>
      <c r="D22" s="395"/>
      <c r="E22" s="367" t="s">
        <v>329</v>
      </c>
      <c r="G22" s="368" t="n">
        <v>24</v>
      </c>
      <c r="H22" s="340" t="n">
        <f aca="false">IF((G22&lt;&gt;0),IF((D22&gt;0)," ",G22)," ")</f>
        <v>24</v>
      </c>
      <c r="I22" s="369" t="n">
        <f aca="false">IF((G22&lt;&gt;0),IF((D22&gt;0)," ",(I$1-A22))," ")</f>
        <v>226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46036</v>
      </c>
      <c r="B23" s="365" t="s">
        <v>337</v>
      </c>
      <c r="E23" s="367" t="s">
        <v>329</v>
      </c>
      <c r="G23" s="368" t="n">
        <v>12</v>
      </c>
      <c r="H23" s="340" t="n">
        <f aca="false">IF((G23&lt;&gt;0),IF((D23&gt;0)," ",G23)," ")</f>
        <v>12</v>
      </c>
      <c r="I23" s="369" t="n">
        <f aca="false">IF((G23&lt;&gt;0),IF((D23&gt;0)," ",(I$1-A23))," ")</f>
        <v>226</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46037</v>
      </c>
      <c r="B24" s="365" t="s">
        <v>249</v>
      </c>
      <c r="E24" s="367" t="s">
        <v>297</v>
      </c>
      <c r="G24" s="368" t="n">
        <v>150</v>
      </c>
      <c r="H24" s="340" t="n">
        <f aca="false">IF((G24&lt;&gt;0),IF((D24&gt;0)," ",G24)," ")</f>
        <v>150</v>
      </c>
      <c r="I24" s="369" t="n">
        <f aca="false">IF((G24&lt;&gt;0),IF((D24&gt;0)," ",(I$1-A24))," ")</f>
        <v>225</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46037</v>
      </c>
      <c r="B25" s="365" t="s">
        <v>338</v>
      </c>
      <c r="E25" s="367" t="s">
        <v>316</v>
      </c>
      <c r="G25" s="368" t="n">
        <v>12</v>
      </c>
      <c r="H25" s="340" t="n">
        <f aca="false">IF((G25&lt;&gt;0),IF((D25&gt;0)," ",G25)," ")</f>
        <v>12</v>
      </c>
      <c r="I25" s="369" t="n">
        <f aca="false">IF((G25&lt;&gt;0),IF((D25&gt;0)," ",(I$1-A25))," ")</f>
        <v>225</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46038</v>
      </c>
      <c r="B26" s="365" t="s">
        <v>361</v>
      </c>
      <c r="E26" s="367" t="s">
        <v>316</v>
      </c>
      <c r="G26" s="368" t="n">
        <v>18</v>
      </c>
      <c r="H26" s="340" t="n">
        <f aca="false">IF((G26&lt;&gt;0),IF((D26&gt;0)," ",G26)," ")</f>
        <v>18</v>
      </c>
      <c r="I26" s="369" t="n">
        <f aca="false">IF((G26&lt;&gt;0),IF((D26&gt;0)," ",(I$1-A26))," ")</f>
        <v>224</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46040</v>
      </c>
      <c r="B27" s="365" t="s">
        <v>339</v>
      </c>
      <c r="E27" s="367" t="s">
        <v>297</v>
      </c>
      <c r="G27" s="368" t="n">
        <v>96</v>
      </c>
      <c r="H27" s="340" t="n">
        <f aca="false">IF((G27&lt;&gt;0),IF((D27&gt;0)," ",G27)," ")</f>
        <v>96</v>
      </c>
      <c r="I27" s="369" t="n">
        <f aca="false">IF((G27&lt;&gt;0),IF((D27&gt;0)," ",(I$1-A27))," ")</f>
        <v>222</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46042</v>
      </c>
      <c r="B28" s="365" t="s">
        <v>248</v>
      </c>
      <c r="E28" s="367" t="s">
        <v>316</v>
      </c>
      <c r="G28" s="368" t="n">
        <v>60</v>
      </c>
      <c r="H28" s="340" t="n">
        <f aca="false">IF((G28&lt;&gt;0),IF((D28&gt;0)," ",G28)," ")</f>
        <v>60</v>
      </c>
      <c r="I28" s="369" t="n">
        <f aca="false">IF((G28&lt;&gt;0),IF((D28&gt;0)," ",(I$1-A28))," ")</f>
        <v>220</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46042</v>
      </c>
      <c r="B29" s="365" t="s">
        <v>379</v>
      </c>
      <c r="E29" s="367" t="s">
        <v>319</v>
      </c>
      <c r="G29" s="368" t="n">
        <v>180</v>
      </c>
      <c r="H29" s="340" t="n">
        <f aca="false">IF((G29&lt;&gt;0),IF((D29&gt;0)," ",G29)," ")</f>
        <v>180</v>
      </c>
      <c r="I29" s="369" t="n">
        <f aca="false">IF((G29&lt;&gt;0),IF((D29&gt;0)," ",(I$1-A29))," ")</f>
        <v>220</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row>
    <row r="30" customFormat="false" ht="12.75" hidden="false" customHeight="false" outlineLevel="0" collapsed="false">
      <c r="A30" s="357" t="n">
        <v>46042</v>
      </c>
      <c r="B30" s="365" t="s">
        <v>340</v>
      </c>
      <c r="E30" s="367" t="s">
        <v>341</v>
      </c>
      <c r="G30" s="368" t="n">
        <v>144</v>
      </c>
      <c r="H30" s="340" t="n">
        <f aca="false">IF((G30&lt;&gt;0),IF((D30&gt;0)," ",G30)," ")</f>
        <v>144</v>
      </c>
      <c r="I30" s="369" t="n">
        <f aca="false">IF((G30&lt;&gt;0),IF((D30&gt;0)," ",(I$1-A30))," ")</f>
        <v>220</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46043</v>
      </c>
      <c r="B31" s="365" t="s">
        <v>342</v>
      </c>
      <c r="E31" s="367" t="s">
        <v>329</v>
      </c>
      <c r="G31" s="368" t="n">
        <v>8</v>
      </c>
      <c r="H31" s="340" t="n">
        <f aca="false">IF((G31&lt;&gt;0),IF((D31&gt;0)," ",G31)," ")</f>
        <v>8</v>
      </c>
      <c r="I31" s="369" t="n">
        <f aca="false">IF((G31&lt;&gt;0),IF((D31&gt;0)," ",(I$1-A31))," ")</f>
        <v>219</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46044</v>
      </c>
      <c r="B32" s="365" t="s">
        <v>343</v>
      </c>
      <c r="E32" s="367" t="s">
        <v>319</v>
      </c>
      <c r="G32" s="368" t="n">
        <v>18</v>
      </c>
      <c r="H32" s="340" t="n">
        <f aca="false">IF((G32&lt;&gt;0),IF((D32&gt;0)," ",G32)," ")</f>
        <v>18</v>
      </c>
      <c r="I32" s="369" t="n">
        <f aca="false">IF((G32&lt;&gt;0),IF((D32&gt;0)," ",(I$1-A32))," ")</f>
        <v>218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row>
    <row r="33" customFormat="false" ht="12.75" hidden="false" customHeight="false" outlineLevel="0" collapsed="false">
      <c r="A33" s="357" t="n">
        <v>46044</v>
      </c>
      <c r="B33" s="365" t="s">
        <v>364</v>
      </c>
      <c r="E33" s="367" t="s">
        <v>297</v>
      </c>
      <c r="G33" s="368" t="n">
        <v>36</v>
      </c>
      <c r="H33" s="340" t="n">
        <f aca="false">IF((G33&lt;&gt;0),IF((D33&gt;0)," ",G33)," ")</f>
        <v>36</v>
      </c>
      <c r="I33" s="369" t="n">
        <f aca="false">IF((G33&lt;&gt;0),IF((D33&gt;0)," ",(I$1-A33))," ")</f>
        <v>218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46047</v>
      </c>
      <c r="B34" s="365" t="s">
        <v>344</v>
      </c>
      <c r="E34" s="367" t="s">
        <v>319</v>
      </c>
      <c r="G34" s="368" t="n">
        <v>15</v>
      </c>
      <c r="H34" s="340" t="n">
        <f aca="false">IF((G34&lt;&gt;0),IF((D34&gt;0)," ",G34)," ")</f>
        <v>15</v>
      </c>
      <c r="I34" s="369" t="n">
        <f aca="false">IF((G34&lt;&gt;0),IF((D34&gt;0)," ",(I$1-A34))," ")</f>
        <v>215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row>
    <row r="35" customFormat="false" ht="12.75" hidden="false" customHeight="false" outlineLevel="0" collapsed="false">
      <c r="A35" s="357" t="n">
        <v>46047</v>
      </c>
      <c r="B35" s="365" t="s">
        <v>345</v>
      </c>
      <c r="E35" s="367" t="s">
        <v>297</v>
      </c>
      <c r="G35" s="368" t="n">
        <v>38.25</v>
      </c>
      <c r="H35" s="340" t="n">
        <f aca="false">IF((G35&lt;&gt;0),IF((D35&gt;0)," ",G35)," ")</f>
        <v>38.25</v>
      </c>
      <c r="I35" s="369" t="n">
        <f aca="false">IF((G35&lt;&gt;0),IF((D35&gt;0)," ",(I$1-A35))," ")</f>
        <v>215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38.25</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46050</v>
      </c>
      <c r="B36" s="365" t="s">
        <v>249</v>
      </c>
      <c r="E36" s="367" t="s">
        <v>297</v>
      </c>
      <c r="G36" s="368" t="n">
        <v>120</v>
      </c>
      <c r="H36" s="340" t="n">
        <f aca="false">IF((G36&lt;&gt;0),IF((D36&gt;0)," ",G36)," ")</f>
        <v>120</v>
      </c>
      <c r="I36" s="369" t="n">
        <f aca="false">IF((G36&lt;&gt;0),IF((D36&gt;0)," ",(I$1-A36))," ")</f>
        <v>212</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46053</v>
      </c>
      <c r="B37" s="365" t="s">
        <v>246</v>
      </c>
      <c r="E37" s="367" t="s">
        <v>346</v>
      </c>
      <c r="G37" s="368" t="n">
        <v>300</v>
      </c>
      <c r="H37" s="340" t="n">
        <f aca="false">IF((G37&lt;&gt;0),IF((D37&gt;0)," ",G37)," ")</f>
        <v>300</v>
      </c>
      <c r="I37" s="369" t="n">
        <f aca="false">IF((G37&lt;&gt;0),IF((D37&gt;0)," ",(I$1-A37))," ")</f>
        <v>209</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46053</v>
      </c>
      <c r="B38" s="365" t="s">
        <v>347</v>
      </c>
      <c r="E38" s="367" t="s">
        <v>348</v>
      </c>
      <c r="G38" s="368" t="n">
        <v>3500</v>
      </c>
      <c r="H38" s="340" t="n">
        <f aca="false">IF((G38&lt;&gt;0),IF((D38&gt;0)," ",G38)," ")</f>
        <v>3500</v>
      </c>
      <c r="I38" s="369" t="n">
        <f aca="false">IF((G38&lt;&gt;0),IF((D38&gt;0)," ",(I$1-A38))," ")</f>
        <v>209</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46053</v>
      </c>
      <c r="B39" s="365" t="s">
        <v>349</v>
      </c>
      <c r="E39" s="367" t="s">
        <v>348</v>
      </c>
      <c r="G39" s="368" t="n">
        <v>2200</v>
      </c>
      <c r="H39" s="340" t="n">
        <f aca="false">IF((G39&lt;&gt;0),IF((D39&gt;0)," ",G39)," ")</f>
        <v>2200</v>
      </c>
      <c r="I39" s="369" t="n">
        <f aca="false">IF((G39&lt;&gt;0),IF((D39&gt;0)," ",(I$1-A39))," ")</f>
        <v>209</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34360</v>
      </c>
      <c r="G1" s="345" t="n">
        <f aca="false">SUM(G4:G300)</f>
        <v>0</v>
      </c>
      <c r="H1" s="347" t="n">
        <f aca="false">SUM(H4:H300)</f>
        <v>34360</v>
      </c>
      <c r="I1" s="348" t="n">
        <f aca="true">TODAY()</f>
        <v>46262</v>
      </c>
      <c r="J1" s="345" t="n">
        <f aca="false">SUM(J4:J300)</f>
        <v>0</v>
      </c>
      <c r="K1" s="349" t="n">
        <f aca="false">J1+SalesJan!K1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46056</v>
      </c>
      <c r="B4" s="336" t="s">
        <v>265</v>
      </c>
      <c r="F4" s="336" t="n">
        <v>360</v>
      </c>
      <c r="H4" s="340" t="n">
        <f aca="false">IF((F4&lt;&gt;0),IF((D4&gt;0)," ",F4)," ")</f>
        <v>360</v>
      </c>
      <c r="I4" s="341" t="n">
        <f aca="false">IF((F4&lt;&gt;0),IF((D4&gt;0)," ",(I$1-A4))," ")</f>
        <v>206</v>
      </c>
    </row>
    <row r="5" customFormat="false" ht="12.75" hidden="false" customHeight="false" outlineLevel="0" collapsed="false">
      <c r="A5" s="357" t="n">
        <v>46058</v>
      </c>
      <c r="B5" s="336" t="s">
        <v>266</v>
      </c>
      <c r="F5" s="336" t="n">
        <v>600</v>
      </c>
      <c r="H5" s="340" t="n">
        <f aca="false">IF((F5&lt;&gt;0),IF((D5&gt;0)," ",F5)," ")</f>
        <v>600</v>
      </c>
      <c r="I5" s="341" t="n">
        <f aca="false">IF((F5&lt;&gt;0),IF((D5&gt;0)," ",(I$1-A5))," ")</f>
        <v>204</v>
      </c>
    </row>
    <row r="6" customFormat="false" ht="12.75" hidden="false" customHeight="false" outlineLevel="0" collapsed="false">
      <c r="A6" s="357" t="n">
        <v>46061</v>
      </c>
      <c r="B6" s="336" t="s">
        <v>267</v>
      </c>
      <c r="F6" s="336" t="n">
        <v>480</v>
      </c>
      <c r="H6" s="340" t="n">
        <f aca="false">IF((F6&lt;&gt;0),IF((D6&gt;0)," ",F6)," ")</f>
        <v>480</v>
      </c>
      <c r="I6" s="341" t="n">
        <f aca="false">IF((F6&lt;&gt;0),IF((D6&gt;0)," ",(I$1-A6))," ")</f>
        <v>201</v>
      </c>
    </row>
    <row r="7" customFormat="false" ht="12.75" hidden="false" customHeight="false" outlineLevel="0" collapsed="false">
      <c r="A7" s="357" t="n">
        <v>46063</v>
      </c>
      <c r="B7" s="336" t="s">
        <v>268</v>
      </c>
      <c r="F7" s="336" t="n">
        <v>720</v>
      </c>
      <c r="H7" s="340" t="n">
        <f aca="false">IF((F7&lt;&gt;0),IF((D7&gt;0)," ",F7)," ")</f>
        <v>720</v>
      </c>
      <c r="I7" s="341" t="n">
        <f aca="false">IF((F7&lt;&gt;0),IF((D7&gt;0)," ",(I$1-A7))," ")</f>
        <v>199</v>
      </c>
    </row>
    <row r="8" customFormat="false" ht="12.75" hidden="false" customHeight="false" outlineLevel="0" collapsed="false">
      <c r="A8" s="357" t="n">
        <v>46068</v>
      </c>
      <c r="B8" s="336" t="s">
        <v>241</v>
      </c>
      <c r="F8" s="336" t="n">
        <v>25000</v>
      </c>
      <c r="H8" s="340" t="n">
        <f aca="false">IF((F8&lt;&gt;0),IF((D8&gt;0)," ",F8)," ")</f>
        <v>25000</v>
      </c>
      <c r="I8" s="341" t="n">
        <f aca="false">IF((F8&lt;&gt;0),IF((D8&gt;0)," ",(I$1-A8))," ")</f>
        <v>194</v>
      </c>
    </row>
    <row r="9" customFormat="false" ht="12.75" hidden="false" customHeight="false" outlineLevel="0" collapsed="false">
      <c r="A9" s="357" t="n">
        <v>46071</v>
      </c>
      <c r="B9" s="336" t="s">
        <v>243</v>
      </c>
      <c r="F9" s="336" t="n">
        <v>2400</v>
      </c>
      <c r="H9" s="340" t="n">
        <f aca="false">IF((F9&lt;&gt;0),IF((D9&gt;0)," ",F9)," ")</f>
        <v>2400</v>
      </c>
      <c r="I9" s="341" t="n">
        <f aca="false">IF((F9&lt;&gt;0),IF((D9&gt;0)," ",(I$1-A9))," ")</f>
        <v>191</v>
      </c>
    </row>
    <row r="10" customFormat="false" ht="12.75" hidden="false" customHeight="false" outlineLevel="0" collapsed="false">
      <c r="A10" s="357" t="n">
        <v>46073</v>
      </c>
      <c r="B10" s="336" t="s">
        <v>269</v>
      </c>
      <c r="F10" s="336" t="n">
        <v>1800</v>
      </c>
      <c r="H10" s="340" t="n">
        <f aca="false">IF((F10&lt;&gt;0),IF((D10&gt;0)," ",F10)," ")</f>
        <v>1800</v>
      </c>
      <c r="I10" s="341" t="n">
        <f aca="false">IF((F10&lt;&gt;0),IF((D10&gt;0)," ",(I$1-A10))," ")</f>
        <v>189</v>
      </c>
    </row>
    <row r="11" customFormat="false" ht="12.75" hidden="false" customHeight="false" outlineLevel="0" collapsed="false">
      <c r="A11" s="357" t="n">
        <v>46073</v>
      </c>
      <c r="B11" s="336" t="s">
        <v>394</v>
      </c>
      <c r="F11" s="336" t="n">
        <v>1800</v>
      </c>
      <c r="H11" s="340" t="n">
        <f aca="false">IF((F11&lt;&gt;0),IF((D11&gt;0)," ",F11)," ")</f>
        <v>1800</v>
      </c>
      <c r="I11" s="341" t="n">
        <f aca="false">IF((F11&lt;&gt;0),IF((D11&gt;0)," ",(I$1-A11))," ")</f>
        <v>189</v>
      </c>
    </row>
    <row r="12" customFormat="false" ht="12.75" hidden="false" customHeight="false" outlineLevel="0" collapsed="false">
      <c r="A12" s="357" t="n">
        <v>46078</v>
      </c>
      <c r="B12" s="336" t="s">
        <v>352</v>
      </c>
      <c r="F12" s="336" t="n">
        <v>1200</v>
      </c>
      <c r="H12" s="340" t="n">
        <f aca="false">IF((F12&lt;&gt;0),IF((D12&gt;0)," ",F12)," ")</f>
        <v>1200</v>
      </c>
      <c r="I12" s="341" t="n">
        <f aca="false">IF((F12&lt;&gt;0),IF((D12&gt;0)," ",(I$1-A12))," ")</f>
        <v>184</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272</v>
      </c>
      <c r="C1" s="346" t="n">
        <f aca="false">PurchasesJan!C1+PurchasesFeb!F1+SalesFeb!$E$1</f>
        <v>0</v>
      </c>
      <c r="D1" s="371" t="s">
        <v>254</v>
      </c>
      <c r="E1" s="373" t="str">
        <f aca="false">IF((G1-SUM(J1:W1)&lt;&gt;0),(G1-SUM(J1:W1))," ")</f>
        <v> </v>
      </c>
      <c r="F1" s="346" t="n">
        <f aca="false">SUM(F5:F300)</f>
        <v>0</v>
      </c>
      <c r="G1" s="345" t="n">
        <f aca="false">SUM(G4:G300)</f>
        <v>10096.5</v>
      </c>
      <c r="H1" s="374" t="n">
        <f aca="false">SUM(H5:H300)</f>
        <v>10096.5</v>
      </c>
      <c r="I1" s="375" t="n">
        <f aca="true">TODAY()</f>
        <v>46262</v>
      </c>
      <c r="J1" s="345" t="n">
        <f aca="false">SUM(J5:J300)</f>
        <v>660</v>
      </c>
      <c r="K1" s="345" t="n">
        <f aca="false">SUM(K5:K300)</f>
        <v>0</v>
      </c>
      <c r="L1" s="345" t="n">
        <f aca="false">SUM(L5:L300)</f>
        <v>5700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IF((C1&lt;Admin!$F$22),((C1-PurchasesJan!C1)*Admin!$G$21),(C1*Admin!$G$21-(C1-Admin!$F$21)*(Admin!$G$21-Admin!$G$22)-PurchasesJan!A1))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46054</v>
      </c>
      <c r="B5" s="365" t="s">
        <v>245</v>
      </c>
      <c r="E5" s="367" t="s">
        <v>314</v>
      </c>
      <c r="G5" s="368" t="n">
        <v>1200</v>
      </c>
      <c r="H5" s="340" t="n">
        <f aca="false">IF((G5&lt;&gt;0),IF((D5&gt;0)," ",G5)," ")</f>
        <v>1200</v>
      </c>
      <c r="I5" s="369" t="n">
        <f aca="false">IF((G5&lt;&gt;0),IF((D5&gt;0)," ",(I$1-A5))," ")</f>
        <v>208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46054</v>
      </c>
      <c r="B6" s="365" t="s">
        <v>315</v>
      </c>
      <c r="E6" s="367" t="s">
        <v>316</v>
      </c>
      <c r="G6" s="368" t="n">
        <v>30</v>
      </c>
      <c r="H6" s="340" t="n">
        <f aca="false">IF((G6&lt;&gt;0),IF((D6&gt;0)," ",G6)," ")</f>
        <v>30</v>
      </c>
      <c r="I6" s="369" t="n">
        <f aca="false">IF((G6&lt;&gt;0),IF((D6&gt;0)," ",(I$1-A6))," ")</f>
        <v>208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46054</v>
      </c>
      <c r="B7" s="365" t="s">
        <v>317</v>
      </c>
      <c r="E7" s="367" t="s">
        <v>316</v>
      </c>
      <c r="G7" s="368" t="n">
        <v>15</v>
      </c>
      <c r="H7" s="340" t="n">
        <f aca="false">IF((G7&lt;&gt;0),IF((D7&gt;0)," ",G7)," ")</f>
        <v>15</v>
      </c>
      <c r="I7" s="369" t="n">
        <f aca="false">IF((G7&lt;&gt;0),IF((D7&gt;0)," ",(I$1-A7))," ")</f>
        <v>208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46054</v>
      </c>
      <c r="B8" s="365" t="s">
        <v>318</v>
      </c>
      <c r="E8" s="367" t="s">
        <v>319</v>
      </c>
      <c r="G8" s="368" t="n">
        <v>45</v>
      </c>
      <c r="H8" s="340" t="n">
        <f aca="false">IF((G8&lt;&gt;0),IF((D8&gt;0)," ",G8)," ")</f>
        <v>45</v>
      </c>
      <c r="I8" s="369" t="n">
        <f aca="false">IF((G8&lt;&gt;0),IF((D8&gt;0)," ",(I$1-A8))," ")</f>
        <v>208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46054</v>
      </c>
      <c r="B9" s="365" t="s">
        <v>321</v>
      </c>
      <c r="E9" s="367" t="s">
        <v>319</v>
      </c>
      <c r="G9" s="368" t="n">
        <v>24</v>
      </c>
      <c r="H9" s="340" t="n">
        <f aca="false">IF((G9&lt;&gt;0),IF((D9&gt;0)," ",G9)," ")</f>
        <v>24</v>
      </c>
      <c r="I9" s="369" t="n">
        <f aca="false">IF((G9&lt;&gt;0),IF((D9&gt;0)," ",(I$1-A9))," ")</f>
        <v>208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46054</v>
      </c>
      <c r="B10" s="365" t="s">
        <v>322</v>
      </c>
      <c r="E10" s="367" t="s">
        <v>316</v>
      </c>
      <c r="G10" s="368" t="n">
        <v>18</v>
      </c>
      <c r="H10" s="340" t="n">
        <f aca="false">IF((G10&lt;&gt;0),IF((D10&gt;0)," ",G10)," ")</f>
        <v>18</v>
      </c>
      <c r="I10" s="369" t="n">
        <f aca="false">IF((G10&lt;&gt;0),IF((D10&gt;0)," ",(I$1-A10))," ")</f>
        <v>208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46056</v>
      </c>
      <c r="B11" s="365" t="s">
        <v>323</v>
      </c>
      <c r="E11" s="367" t="s">
        <v>319</v>
      </c>
      <c r="G11" s="368" t="n">
        <v>180</v>
      </c>
      <c r="H11" s="340" t="n">
        <f aca="false">IF((G11&lt;&gt;0),IF((D11&gt;0)," ",G11)," ")</f>
        <v>180</v>
      </c>
      <c r="I11" s="369" t="n">
        <f aca="false">IF((G11&lt;&gt;0),IF((D11&gt;0)," ",(I$1-A11))," ")</f>
        <v>206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46056</v>
      </c>
      <c r="B12" s="365" t="s">
        <v>324</v>
      </c>
      <c r="E12" s="367" t="s">
        <v>319</v>
      </c>
      <c r="G12" s="368" t="n">
        <v>22</v>
      </c>
      <c r="H12" s="340" t="n">
        <f aca="false">IF((G12&lt;&gt;0),IF((D12&gt;0)," ",G12)," ")</f>
        <v>22</v>
      </c>
      <c r="I12" s="369" t="n">
        <f aca="false">IF((G12&lt;&gt;0),IF((D12&gt;0)," ",(I$1-A12))," ")</f>
        <v>206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46058</v>
      </c>
      <c r="B13" s="365" t="s">
        <v>325</v>
      </c>
      <c r="E13" s="367" t="s">
        <v>319</v>
      </c>
      <c r="G13" s="368" t="n">
        <v>24</v>
      </c>
      <c r="H13" s="340" t="n">
        <f aca="false">IF((G13&lt;&gt;0),IF((D13&gt;0)," ",G13)," ")</f>
        <v>24</v>
      </c>
      <c r="I13" s="369" t="n">
        <f aca="false">IF((G13&lt;&gt;0),IF((D13&gt;0)," ",(I$1-A13))," ")</f>
        <v>204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46058</v>
      </c>
      <c r="B14" s="365" t="s">
        <v>326</v>
      </c>
      <c r="E14" s="367" t="s">
        <v>297</v>
      </c>
      <c r="G14" s="368" t="n">
        <v>180</v>
      </c>
      <c r="H14" s="340" t="n">
        <f aca="false">IF((G14&lt;&gt;0),IF((D14&gt;0)," ",G14)," ")</f>
        <v>180</v>
      </c>
      <c r="I14" s="369" t="n">
        <f aca="false">IF((G14&lt;&gt;0),IF((D14&gt;0)," ",(I$1-A14))," ")</f>
        <v>204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46058</v>
      </c>
      <c r="B15" s="365" t="s">
        <v>327</v>
      </c>
      <c r="E15" s="367" t="s">
        <v>319</v>
      </c>
      <c r="G15" s="368" t="n">
        <v>36</v>
      </c>
      <c r="H15" s="340" t="n">
        <f aca="false">IF((G15&lt;&gt;0),IF((D15&gt;0)," ",G15)," ")</f>
        <v>36</v>
      </c>
      <c r="I15" s="369" t="n">
        <f aca="false">IF((G15&lt;&gt;0),IF((D15&gt;0)," ",(I$1-A15))," ")</f>
        <v>204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46059</v>
      </c>
      <c r="B16" s="365" t="s">
        <v>354</v>
      </c>
      <c r="E16" s="367" t="s">
        <v>329</v>
      </c>
      <c r="G16" s="368" t="n">
        <v>36</v>
      </c>
      <c r="H16" s="340" t="n">
        <f aca="false">IF((G16&lt;&gt;0),IF((D16&gt;0)," ",G16)," ")</f>
        <v>36</v>
      </c>
      <c r="I16" s="369" t="n">
        <f aca="false">IF((G16&lt;&gt;0),IF((D16&gt;0)," ",(I$1-A16))," ")</f>
        <v>203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46061</v>
      </c>
      <c r="B17" s="365" t="s">
        <v>328</v>
      </c>
      <c r="E17" s="367" t="s">
        <v>329</v>
      </c>
      <c r="G17" s="368" t="n">
        <v>48</v>
      </c>
      <c r="H17" s="340" t="n">
        <f aca="false">IF((G17&lt;&gt;0),IF((D17&gt;0)," ",G17)," ")</f>
        <v>48</v>
      </c>
      <c r="I17" s="369" t="n">
        <f aca="false">IF((G17&lt;&gt;0),IF((D17&gt;0)," ",(I$1-A17))," ")</f>
        <v>201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46063</v>
      </c>
      <c r="B18" s="365" t="s">
        <v>330</v>
      </c>
      <c r="E18" s="367" t="s">
        <v>319</v>
      </c>
      <c r="G18" s="368" t="n">
        <v>36</v>
      </c>
      <c r="H18" s="340" t="n">
        <f aca="false">IF((G18&lt;&gt;0),IF((D18&gt;0)," ",G18)," ")</f>
        <v>36</v>
      </c>
      <c r="I18" s="369" t="n">
        <f aca="false">IF((G18&lt;&gt;0),IF((D18&gt;0)," ",(I$1-A18))," ")</f>
        <v>199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46065</v>
      </c>
      <c r="B19" s="365" t="s">
        <v>334</v>
      </c>
      <c r="E19" s="367" t="s">
        <v>297</v>
      </c>
      <c r="G19" s="368" t="n">
        <v>18</v>
      </c>
      <c r="H19" s="340" t="n">
        <f aca="false">IF((G19&lt;&gt;0),IF((D19&gt;0)," ",G19)," ")</f>
        <v>18</v>
      </c>
      <c r="I19" s="369" t="n">
        <f aca="false">IF((G19&lt;&gt;0),IF((D19&gt;0)," ",(I$1-A19))," ")</f>
        <v>197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46065</v>
      </c>
      <c r="B20" s="365" t="s">
        <v>377</v>
      </c>
      <c r="E20" s="367" t="s">
        <v>319</v>
      </c>
      <c r="G20" s="368" t="n">
        <v>360</v>
      </c>
      <c r="H20" s="340" t="n">
        <f aca="false">IF((G20&lt;&gt;0),IF((D20&gt;0)," ",G20)," ")</f>
        <v>360</v>
      </c>
      <c r="I20" s="369" t="n">
        <f aca="false">IF((G20&lt;&gt;0),IF((D20&gt;0)," ",(I$1-A20))," ")</f>
        <v>197</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row>
    <row r="21" customFormat="false" ht="12.75" hidden="false" customHeight="false" outlineLevel="0" collapsed="false">
      <c r="A21" s="357" t="n">
        <v>46067</v>
      </c>
      <c r="B21" s="365" t="s">
        <v>335</v>
      </c>
      <c r="D21" s="365"/>
      <c r="E21" s="367" t="s">
        <v>319</v>
      </c>
      <c r="G21" s="368" t="n">
        <v>18</v>
      </c>
      <c r="H21" s="340" t="n">
        <f aca="false">IF((G21&lt;&gt;0),IF((D21&gt;0)," ",G21)," ")</f>
        <v>18</v>
      </c>
      <c r="I21" s="369" t="n">
        <f aca="false">IF((G21&lt;&gt;0),IF((D21&gt;0)," ",(I$1-A21))," ")</f>
        <v>195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row>
    <row r="22" customFormat="false" ht="12.75" hidden="false" customHeight="false" outlineLevel="0" collapsed="false">
      <c r="A22" s="357" t="n">
        <v>46067</v>
      </c>
      <c r="B22" s="365" t="s">
        <v>336</v>
      </c>
      <c r="D22" s="395"/>
      <c r="E22" s="367" t="s">
        <v>329</v>
      </c>
      <c r="G22" s="368" t="n">
        <v>24</v>
      </c>
      <c r="H22" s="340" t="n">
        <f aca="false">IF((G22&lt;&gt;0),IF((D22&gt;0)," ",G22)," ")</f>
        <v>24</v>
      </c>
      <c r="I22" s="369" t="n">
        <f aca="false">IF((G22&lt;&gt;0),IF((D22&gt;0)," ",(I$1-A22))," ")</f>
        <v>195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46067</v>
      </c>
      <c r="B23" s="365" t="s">
        <v>337</v>
      </c>
      <c r="E23" s="367" t="s">
        <v>329</v>
      </c>
      <c r="G23" s="368" t="n">
        <v>12</v>
      </c>
      <c r="H23" s="340" t="n">
        <f aca="false">IF((G23&lt;&gt;0),IF((D23&gt;0)," ",G23)," ")</f>
        <v>12</v>
      </c>
      <c r="I23" s="369" t="n">
        <f aca="false">IF((G23&lt;&gt;0),IF((D23&gt;0)," ",(I$1-A23))," ")</f>
        <v>195</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46068</v>
      </c>
      <c r="B24" s="365" t="s">
        <v>249</v>
      </c>
      <c r="E24" s="367" t="s">
        <v>297</v>
      </c>
      <c r="G24" s="368" t="n">
        <v>150</v>
      </c>
      <c r="H24" s="340" t="n">
        <f aca="false">IF((G24&lt;&gt;0),IF((D24&gt;0)," ",G24)," ")</f>
        <v>150</v>
      </c>
      <c r="I24" s="369" t="n">
        <f aca="false">IF((G24&lt;&gt;0),IF((D24&gt;0)," ",(I$1-A24))," ")</f>
        <v>194</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46068</v>
      </c>
      <c r="B25" s="365" t="s">
        <v>338</v>
      </c>
      <c r="E25" s="367" t="s">
        <v>316</v>
      </c>
      <c r="G25" s="368" t="n">
        <v>12</v>
      </c>
      <c r="H25" s="340" t="n">
        <f aca="false">IF((G25&lt;&gt;0),IF((D25&gt;0)," ",G25)," ")</f>
        <v>12</v>
      </c>
      <c r="I25" s="369" t="n">
        <f aca="false">IF((G25&lt;&gt;0),IF((D25&gt;0)," ",(I$1-A25))," ")</f>
        <v>194</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46068</v>
      </c>
      <c r="B26" s="365" t="s">
        <v>358</v>
      </c>
      <c r="E26" s="367" t="s">
        <v>333</v>
      </c>
      <c r="G26" s="368" t="n">
        <v>420</v>
      </c>
      <c r="H26" s="340" t="n">
        <f aca="false">IF((G26&lt;&gt;0),IF((D26&gt;0)," ",G26)," ")</f>
        <v>420</v>
      </c>
      <c r="I26" s="369" t="n">
        <f aca="false">IF((G26&lt;&gt;0),IF((D26&gt;0)," ",(I$1-A26))," ")</f>
        <v>194</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46071</v>
      </c>
      <c r="B27" s="365" t="s">
        <v>381</v>
      </c>
      <c r="E27" s="367" t="s">
        <v>341</v>
      </c>
      <c r="G27" s="368" t="n">
        <v>360</v>
      </c>
      <c r="H27" s="340" t="n">
        <f aca="false">IF((G27&lt;&gt;0),IF((D27&gt;0)," ",G27)," ")</f>
        <v>360</v>
      </c>
      <c r="I27" s="369" t="n">
        <f aca="false">IF((G27&lt;&gt;0),IF((D27&gt;0)," ",(I$1-A27))," ")</f>
        <v>191</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46071</v>
      </c>
      <c r="B28" s="365" t="s">
        <v>369</v>
      </c>
      <c r="E28" s="367" t="s">
        <v>329</v>
      </c>
      <c r="G28" s="368" t="n">
        <v>240</v>
      </c>
      <c r="H28" s="340" t="n">
        <f aca="false">IF((G28&lt;&gt;0),IF((D28&gt;0)," ",G28)," ")</f>
        <v>240</v>
      </c>
      <c r="I28" s="369" t="n">
        <f aca="false">IF((G28&lt;&gt;0),IF((D28&gt;0)," ",(I$1-A28))," ")</f>
        <v>191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46071</v>
      </c>
      <c r="B29" s="365" t="s">
        <v>339</v>
      </c>
      <c r="E29" s="367" t="s">
        <v>297</v>
      </c>
      <c r="G29" s="368" t="n">
        <v>96</v>
      </c>
      <c r="H29" s="340" t="n">
        <f aca="false">IF((G29&lt;&gt;0),IF((D29&gt;0)," ",G29)," ")</f>
        <v>96</v>
      </c>
      <c r="I29" s="369" t="n">
        <f aca="false">IF((G29&lt;&gt;0),IF((D29&gt;0)," ",(I$1-A29))," ")</f>
        <v>191</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46073</v>
      </c>
      <c r="B30" s="365" t="s">
        <v>248</v>
      </c>
      <c r="E30" s="367" t="s">
        <v>316</v>
      </c>
      <c r="G30" s="368" t="n">
        <v>60</v>
      </c>
      <c r="H30" s="340" t="n">
        <f aca="false">IF((G30&lt;&gt;0),IF((D30&gt;0)," ",G30)," ")</f>
        <v>60</v>
      </c>
      <c r="I30" s="369" t="n">
        <f aca="false">IF((G30&lt;&gt;0),IF((D30&gt;0)," ",(I$1-A30))," ")</f>
        <v>189</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46073</v>
      </c>
      <c r="B31" s="365" t="s">
        <v>363</v>
      </c>
      <c r="E31" s="367" t="s">
        <v>333</v>
      </c>
      <c r="G31" s="368" t="n">
        <v>240</v>
      </c>
      <c r="H31" s="340" t="n">
        <f aca="false">IF((G31&lt;&gt;0),IF((D31&gt;0)," ",G31)," ")</f>
        <v>240</v>
      </c>
      <c r="I31" s="369" t="n">
        <f aca="false">IF((G31&lt;&gt;0),IF((D31&gt;0)," ",(I$1-A31))," ")</f>
        <v>189</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46074</v>
      </c>
      <c r="B32" s="365" t="s">
        <v>342</v>
      </c>
      <c r="E32" s="367" t="s">
        <v>329</v>
      </c>
      <c r="G32" s="368" t="n">
        <v>8</v>
      </c>
      <c r="H32" s="340" t="n">
        <f aca="false">IF((G32&lt;&gt;0),IF((D32&gt;0)," ",G32)," ")</f>
        <v>8</v>
      </c>
      <c r="I32" s="369" t="n">
        <f aca="false">IF((G32&lt;&gt;0),IF((D32&gt;0)," ",(I$1-A32))," ")</f>
        <v>188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46075</v>
      </c>
      <c r="B33" s="365" t="s">
        <v>343</v>
      </c>
      <c r="E33" s="367" t="s">
        <v>319</v>
      </c>
      <c r="G33" s="368" t="n">
        <v>18</v>
      </c>
      <c r="H33" s="340" t="n">
        <f aca="false">IF((G33&lt;&gt;0),IF((D33&gt;0)," ",G33)," ")</f>
        <v>18</v>
      </c>
      <c r="I33" s="369" t="n">
        <f aca="false">IF((G33&lt;&gt;0),IF((D33&gt;0)," ",(I$1-A33))," ")</f>
        <v>187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row>
    <row r="34" customFormat="false" ht="12.75" hidden="false" customHeight="false" outlineLevel="0" collapsed="false">
      <c r="A34" s="357" t="n">
        <v>46078</v>
      </c>
      <c r="B34" s="365" t="s">
        <v>344</v>
      </c>
      <c r="E34" s="367" t="s">
        <v>319</v>
      </c>
      <c r="G34" s="368" t="n">
        <v>15</v>
      </c>
      <c r="H34" s="340" t="n">
        <f aca="false">IF((G34&lt;&gt;0),IF((D34&gt;0)," ",G34)," ")</f>
        <v>15</v>
      </c>
      <c r="I34" s="369" t="n">
        <f aca="false">IF((G34&lt;&gt;0),IF((D34&gt;0)," ",(I$1-A34))," ")</f>
        <v>184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row>
    <row r="35" customFormat="false" ht="12.75" hidden="false" customHeight="false" outlineLevel="0" collapsed="false">
      <c r="A35" s="357" t="n">
        <v>46078</v>
      </c>
      <c r="B35" s="365" t="s">
        <v>345</v>
      </c>
      <c r="E35" s="367" t="s">
        <v>297</v>
      </c>
      <c r="G35" s="368" t="n">
        <v>31.5</v>
      </c>
      <c r="H35" s="340" t="n">
        <f aca="false">IF((G35&lt;&gt;0),IF((D35&gt;0)," ",G35)," ")</f>
        <v>31.5</v>
      </c>
      <c r="I35" s="369" t="n">
        <f aca="false">IF((G35&lt;&gt;0),IF((D35&gt;0)," ",(I$1-A35))," ")</f>
        <v>184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31.5</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46081</v>
      </c>
      <c r="B36" s="365" t="s">
        <v>246</v>
      </c>
      <c r="E36" s="367" t="s">
        <v>346</v>
      </c>
      <c r="G36" s="368" t="n">
        <v>300</v>
      </c>
      <c r="H36" s="340" t="n">
        <f aca="false">IF((G36&lt;&gt;0),IF((D36&gt;0)," ",G36)," ")</f>
        <v>300</v>
      </c>
      <c r="I36" s="369" t="n">
        <f aca="false">IF((G36&lt;&gt;0),IF((D36&gt;0)," ",(I$1-A36))," ")</f>
        <v>181</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46081</v>
      </c>
      <c r="B37" s="365" t="s">
        <v>249</v>
      </c>
      <c r="E37" s="367" t="s">
        <v>297</v>
      </c>
      <c r="G37" s="368" t="n">
        <v>120</v>
      </c>
      <c r="H37" s="340" t="n">
        <f aca="false">IF((G37&lt;&gt;0),IF((D37&gt;0)," ",G37)," ")</f>
        <v>120</v>
      </c>
      <c r="I37" s="369" t="n">
        <f aca="false">IF((G37&lt;&gt;0),IF((D37&gt;0)," ",(I$1-A37))," ")</f>
        <v>181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46081</v>
      </c>
      <c r="B38" s="365" t="s">
        <v>347</v>
      </c>
      <c r="E38" s="367" t="s">
        <v>348</v>
      </c>
      <c r="G38" s="368" t="n">
        <v>3500</v>
      </c>
      <c r="H38" s="340" t="n">
        <f aca="false">IF((G38&lt;&gt;0),IF((D38&gt;0)," ",G38)," ")</f>
        <v>3500</v>
      </c>
      <c r="I38" s="369" t="n">
        <f aca="false">IF((G38&lt;&gt;0),IF((D38&gt;0)," ",(I$1-A38))," ")</f>
        <v>181</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46081</v>
      </c>
      <c r="B39" s="365" t="s">
        <v>349</v>
      </c>
      <c r="E39" s="367" t="s">
        <v>348</v>
      </c>
      <c r="G39" s="368" t="n">
        <v>2200</v>
      </c>
      <c r="H39" s="340" t="n">
        <f aca="false">IF((G39&lt;&gt;0),IF((D39&gt;0)," ",G39)," ")</f>
        <v>2200</v>
      </c>
      <c r="I39" s="369" t="n">
        <f aca="false">IF((G39&lt;&gt;0),IF((D39&gt;0)," ",(I$1-A39))," ")</f>
        <v>181</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31360</v>
      </c>
      <c r="G1" s="345" t="n">
        <f aca="false">SUM(G4:G300)</f>
        <v>0</v>
      </c>
      <c r="H1" s="347" t="n">
        <f aca="false">SUM(H4:H300)</f>
        <v>31360</v>
      </c>
      <c r="I1" s="348" t="n">
        <f aca="true">TODAY()</f>
        <v>46262</v>
      </c>
      <c r="J1" s="345" t="n">
        <f aca="false">SUM(J4:J300)</f>
        <v>0</v>
      </c>
      <c r="K1" s="349" t="n">
        <f aca="false">J1+SalesFeb!K1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46084</v>
      </c>
      <c r="B4" s="336" t="s">
        <v>265</v>
      </c>
      <c r="F4" s="336" t="n">
        <v>360</v>
      </c>
      <c r="H4" s="340" t="n">
        <f aca="false">IF((F4&lt;&gt;0),IF((D4&gt;0)," ",F4)," ")</f>
        <v>360</v>
      </c>
      <c r="I4" s="341" t="n">
        <f aca="false">IF((F4&lt;&gt;0),IF((D4&gt;0)," ",(I$1-A4))," ")</f>
        <v>178</v>
      </c>
    </row>
    <row r="5" customFormat="false" ht="12.75" hidden="false" customHeight="false" outlineLevel="0" collapsed="false">
      <c r="A5" s="357" t="n">
        <v>46086</v>
      </c>
      <c r="B5" s="336" t="s">
        <v>266</v>
      </c>
      <c r="F5" s="336" t="n">
        <v>600</v>
      </c>
      <c r="H5" s="340" t="n">
        <f aca="false">IF((F5&lt;&gt;0),IF((D5&gt;0)," ",F5)," ")</f>
        <v>600</v>
      </c>
      <c r="I5" s="341" t="n">
        <f aca="false">IF((F5&lt;&gt;0),IF((D5&gt;0)," ",(I$1-A5))," ")</f>
        <v>176</v>
      </c>
    </row>
    <row r="6" customFormat="false" ht="12.75" hidden="false" customHeight="false" outlineLevel="0" collapsed="false">
      <c r="A6" s="357" t="n">
        <v>46089</v>
      </c>
      <c r="B6" s="336" t="s">
        <v>267</v>
      </c>
      <c r="F6" s="336" t="n">
        <v>480</v>
      </c>
      <c r="H6" s="340" t="n">
        <f aca="false">IF((F6&lt;&gt;0),IF((D6&gt;0)," ",F6)," ")</f>
        <v>480</v>
      </c>
      <c r="I6" s="341" t="n">
        <f aca="false">IF((F6&lt;&gt;0),IF((D6&gt;0)," ",(I$1-A6))," ")</f>
        <v>173</v>
      </c>
    </row>
    <row r="7" customFormat="false" ht="12.75" hidden="false" customHeight="false" outlineLevel="0" collapsed="false">
      <c r="A7" s="357" t="n">
        <v>46091</v>
      </c>
      <c r="B7" s="336" t="s">
        <v>268</v>
      </c>
      <c r="F7" s="336" t="n">
        <v>720</v>
      </c>
      <c r="H7" s="340" t="n">
        <f aca="false">IF((F7&lt;&gt;0),IF((D7&gt;0)," ",F7)," ")</f>
        <v>720</v>
      </c>
      <c r="I7" s="341" t="n">
        <f aca="false">IF((F7&lt;&gt;0),IF((D7&gt;0)," ",(I$1-A7))," ")</f>
        <v>171</v>
      </c>
    </row>
    <row r="8" customFormat="false" ht="12.75" hidden="false" customHeight="false" outlineLevel="0" collapsed="false">
      <c r="A8" s="357" t="n">
        <v>46096</v>
      </c>
      <c r="B8" s="336" t="s">
        <v>241</v>
      </c>
      <c r="F8" s="336" t="n">
        <v>25000</v>
      </c>
      <c r="H8" s="340" t="n">
        <f aca="false">IF((F8&lt;&gt;0),IF((D8&gt;0)," ",F8)," ")</f>
        <v>25000</v>
      </c>
      <c r="I8" s="341" t="n">
        <f aca="false">IF((F8&lt;&gt;0),IF((D8&gt;0)," ",(I$1-A8))," ")</f>
        <v>166</v>
      </c>
    </row>
    <row r="9" customFormat="false" ht="12.75" hidden="false" customHeight="false" outlineLevel="0" collapsed="false">
      <c r="A9" s="357" t="n">
        <v>46099</v>
      </c>
      <c r="B9" s="336" t="s">
        <v>243</v>
      </c>
      <c r="F9" s="336" t="n">
        <v>2400</v>
      </c>
      <c r="H9" s="340" t="n">
        <f aca="false">IF((F9&lt;&gt;0),IF((D9&gt;0)," ",F9)," ")</f>
        <v>2400</v>
      </c>
      <c r="I9" s="341" t="n">
        <f aca="false">IF((F9&lt;&gt;0),IF((D9&gt;0)," ",(I$1-A9))," ")</f>
        <v>163</v>
      </c>
    </row>
    <row r="10" customFormat="false" ht="12.75" hidden="false" customHeight="false" outlineLevel="0" collapsed="false">
      <c r="A10" s="357" t="n">
        <v>46103</v>
      </c>
      <c r="B10" s="336" t="s">
        <v>365</v>
      </c>
      <c r="F10" s="336" t="n">
        <v>1440</v>
      </c>
      <c r="H10" s="340" t="n">
        <f aca="false">IF((F10&lt;&gt;0),IF((D10&gt;0)," ",F10)," ")</f>
        <v>1440</v>
      </c>
      <c r="I10" s="341" t="n">
        <f aca="false">IF((F10&lt;&gt;0),IF((D10&gt;0)," ",(I$1-A10))," ")</f>
        <v>159</v>
      </c>
    </row>
    <row r="11" customFormat="false" ht="12.75" hidden="false" customHeight="false" outlineLevel="0" collapsed="false">
      <c r="A11" s="357" t="n">
        <v>46112</v>
      </c>
      <c r="B11" s="336" t="s">
        <v>395</v>
      </c>
      <c r="F11" s="336" t="n">
        <v>360</v>
      </c>
      <c r="H11" s="340" t="n">
        <f aca="false">IF((F11&lt;&gt;0),IF((D11&gt;0)," ",F11)," ")</f>
        <v>360</v>
      </c>
      <c r="I11" s="341" t="n">
        <f aca="false">IF((F11&lt;&gt;0),IF((D11&gt;0)," ",(I$1-A11))," ")</f>
        <v>150</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272</v>
      </c>
      <c r="C1" s="346" t="n">
        <f aca="false">PurchasesFeb!C1+PurchasesMar!F1+SalesMar!$E$1</f>
        <v>0</v>
      </c>
      <c r="D1" s="371" t="s">
        <v>254</v>
      </c>
      <c r="E1" s="373" t="str">
        <f aca="false">IF((G1-SUM(J1:W1)&lt;&gt;0),(G1-SUM(J1:W1))," ")</f>
        <v> </v>
      </c>
      <c r="F1" s="346" t="n">
        <f aca="false">SUM(F5:F300)</f>
        <v>0</v>
      </c>
      <c r="G1" s="345" t="n">
        <f aca="false">SUM(G4:G300)</f>
        <v>9426.5</v>
      </c>
      <c r="H1" s="374" t="n">
        <f aca="false">SUM(H5:H300)</f>
        <v>9426.5</v>
      </c>
      <c r="I1" s="375" t="n">
        <f aca="true">TODAY()</f>
        <v>46262</v>
      </c>
      <c r="J1" s="345" t="n">
        <f aca="false">SUM(J5:J300)</f>
        <v>300</v>
      </c>
      <c r="K1" s="345" t="n">
        <f aca="false">SUM(K5:K300)</f>
        <v>0</v>
      </c>
      <c r="L1" s="345" t="n">
        <f aca="false">SUM(L5:L300)</f>
        <v>5700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353</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IF((C1&lt;Admin!$F$22),((C1-PurchasesFeb!C1)*Admin!$G$21),(C1*Admin!$G$21-(C1-Admin!$F$21)*(Admin!$G$21-Admin!$G$22)-PurchasesFeb!A1))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46082</v>
      </c>
      <c r="B5" s="365" t="s">
        <v>245</v>
      </c>
      <c r="E5" s="367" t="s">
        <v>314</v>
      </c>
      <c r="G5" s="368" t="n">
        <v>1200</v>
      </c>
      <c r="H5" s="340" t="n">
        <f aca="false">IF((G5&lt;&gt;0),IF((D5&gt;0)," ",G5)," ")</f>
        <v>1200</v>
      </c>
      <c r="I5" s="369" t="n">
        <f aca="false">IF((G5&lt;&gt;0),IF((D5&gt;0)," ",(I$1-A5))," ")</f>
        <v>180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46082</v>
      </c>
      <c r="B6" s="365" t="s">
        <v>315</v>
      </c>
      <c r="E6" s="367" t="s">
        <v>316</v>
      </c>
      <c r="G6" s="368" t="n">
        <v>30</v>
      </c>
      <c r="H6" s="340" t="n">
        <f aca="false">IF((G6&lt;&gt;0),IF((D6&gt;0)," ",G6)," ")</f>
        <v>30</v>
      </c>
      <c r="I6" s="369" t="n">
        <f aca="false">IF((G6&lt;&gt;0),IF((D6&gt;0)," ",(I$1-A6))," ")</f>
        <v>180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46082</v>
      </c>
      <c r="B7" s="365" t="s">
        <v>317</v>
      </c>
      <c r="E7" s="367" t="s">
        <v>316</v>
      </c>
      <c r="G7" s="368" t="n">
        <v>15</v>
      </c>
      <c r="H7" s="340" t="n">
        <f aca="false">IF((G7&lt;&gt;0),IF((D7&gt;0)," ",G7)," ")</f>
        <v>15</v>
      </c>
      <c r="I7" s="369" t="n">
        <f aca="false">IF((G7&lt;&gt;0),IF((D7&gt;0)," ",(I$1-A7))," ")</f>
        <v>180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46082</v>
      </c>
      <c r="B8" s="365" t="s">
        <v>318</v>
      </c>
      <c r="E8" s="367" t="s">
        <v>319</v>
      </c>
      <c r="G8" s="368" t="n">
        <v>45</v>
      </c>
      <c r="H8" s="340" t="n">
        <f aca="false">IF((G8&lt;&gt;0),IF((D8&gt;0)," ",G8)," ")</f>
        <v>45</v>
      </c>
      <c r="I8" s="369" t="n">
        <f aca="false">IF((G8&lt;&gt;0),IF((D8&gt;0)," ",(I$1-A8))," ")</f>
        <v>180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46082</v>
      </c>
      <c r="B9" s="365" t="s">
        <v>321</v>
      </c>
      <c r="E9" s="367" t="s">
        <v>319</v>
      </c>
      <c r="G9" s="368" t="n">
        <v>24</v>
      </c>
      <c r="H9" s="340" t="n">
        <f aca="false">IF((G9&lt;&gt;0),IF((D9&gt;0)," ",G9)," ")</f>
        <v>24</v>
      </c>
      <c r="I9" s="369" t="n">
        <f aca="false">IF((G9&lt;&gt;0),IF((D9&gt;0)," ",(I$1-A9))," ")</f>
        <v>180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46082</v>
      </c>
      <c r="B10" s="365" t="s">
        <v>322</v>
      </c>
      <c r="E10" s="367" t="s">
        <v>316</v>
      </c>
      <c r="G10" s="368" t="n">
        <v>18</v>
      </c>
      <c r="H10" s="340" t="n">
        <f aca="false">IF((G10&lt;&gt;0),IF((D10&gt;0)," ",G10)," ")</f>
        <v>18</v>
      </c>
      <c r="I10" s="369" t="n">
        <f aca="false">IF((G10&lt;&gt;0),IF((D10&gt;0)," ",(I$1-A10))," ")</f>
        <v>180</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46084</v>
      </c>
      <c r="B11" s="365" t="s">
        <v>323</v>
      </c>
      <c r="E11" s="367" t="s">
        <v>319</v>
      </c>
      <c r="G11" s="368" t="n">
        <v>180</v>
      </c>
      <c r="H11" s="340" t="n">
        <f aca="false">IF((G11&lt;&gt;0),IF((D11&gt;0)," ",G11)," ")</f>
        <v>180</v>
      </c>
      <c r="I11" s="369" t="n">
        <f aca="false">IF((G11&lt;&gt;0),IF((D11&gt;0)," ",(I$1-A11))," ")</f>
        <v>178</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46084</v>
      </c>
      <c r="B12" s="365" t="s">
        <v>324</v>
      </c>
      <c r="E12" s="367" t="s">
        <v>319</v>
      </c>
      <c r="G12" s="368" t="n">
        <v>22</v>
      </c>
      <c r="H12" s="340" t="n">
        <f aca="false">IF((G12&lt;&gt;0),IF((D12&gt;0)," ",G12)," ")</f>
        <v>22</v>
      </c>
      <c r="I12" s="369" t="n">
        <f aca="false">IF((G12&lt;&gt;0),IF((D12&gt;0)," ",(I$1-A12))," ")</f>
        <v>178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46086</v>
      </c>
      <c r="B13" s="365" t="s">
        <v>325</v>
      </c>
      <c r="E13" s="367" t="s">
        <v>319</v>
      </c>
      <c r="G13" s="368" t="n">
        <v>24</v>
      </c>
      <c r="H13" s="340" t="n">
        <f aca="false">IF((G13&lt;&gt;0),IF((D13&gt;0)," ",G13)," ")</f>
        <v>24</v>
      </c>
      <c r="I13" s="369" t="n">
        <f aca="false">IF((G13&lt;&gt;0),IF((D13&gt;0)," ",(I$1-A13))," ")</f>
        <v>176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46086</v>
      </c>
      <c r="B14" s="365" t="s">
        <v>326</v>
      </c>
      <c r="E14" s="367" t="s">
        <v>297</v>
      </c>
      <c r="G14" s="368" t="n">
        <v>180</v>
      </c>
      <c r="H14" s="340" t="n">
        <f aca="false">IF((G14&lt;&gt;0),IF((D14&gt;0)," ",G14)," ")</f>
        <v>180</v>
      </c>
      <c r="I14" s="369" t="n">
        <f aca="false">IF((G14&lt;&gt;0),IF((D14&gt;0)," ",(I$1-A14))," ")</f>
        <v>176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46089</v>
      </c>
      <c r="B15" s="365" t="s">
        <v>328</v>
      </c>
      <c r="E15" s="367" t="s">
        <v>329</v>
      </c>
      <c r="G15" s="368" t="n">
        <v>48</v>
      </c>
      <c r="H15" s="340" t="n">
        <f aca="false">IF((G15&lt;&gt;0),IF((D15&gt;0)," ",G15)," ")</f>
        <v>48</v>
      </c>
      <c r="I15" s="369" t="n">
        <f aca="false">IF((G15&lt;&gt;0),IF((D15&gt;0)," ",(I$1-A15))," ")</f>
        <v>173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46091</v>
      </c>
      <c r="B16" s="365" t="s">
        <v>330</v>
      </c>
      <c r="E16" s="367" t="s">
        <v>319</v>
      </c>
      <c r="G16" s="368" t="n">
        <v>36</v>
      </c>
      <c r="H16" s="340" t="n">
        <f aca="false">IF((G16&lt;&gt;0),IF((D16&gt;0)," ",G16)," ")</f>
        <v>36</v>
      </c>
      <c r="I16" s="369" t="n">
        <f aca="false">IF((G16&lt;&gt;0),IF((D16&gt;0)," ",(I$1-A16))," ")</f>
        <v>171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46091</v>
      </c>
      <c r="B17" s="365" t="s">
        <v>338</v>
      </c>
      <c r="E17" s="367" t="s">
        <v>319</v>
      </c>
      <c r="G17" s="368" t="n">
        <v>144</v>
      </c>
      <c r="H17" s="340" t="n">
        <f aca="false">IF((G17&lt;&gt;0),IF((D17&gt;0)," ",G17)," ")</f>
        <v>144</v>
      </c>
      <c r="I17" s="369" t="n">
        <f aca="false">IF((G17&lt;&gt;0),IF((D17&gt;0)," ",(I$1-A17))," ")</f>
        <v>171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row>
    <row r="18" customFormat="false" ht="12.75" hidden="false" customHeight="false" outlineLevel="0" collapsed="false">
      <c r="A18" s="357" t="n">
        <v>46093</v>
      </c>
      <c r="B18" s="365" t="s">
        <v>334</v>
      </c>
      <c r="E18" s="367" t="s">
        <v>297</v>
      </c>
      <c r="G18" s="368" t="n">
        <v>18</v>
      </c>
      <c r="H18" s="340" t="n">
        <f aca="false">IF((G18&lt;&gt;0),IF((D18&gt;0)," ",G18)," ")</f>
        <v>18</v>
      </c>
      <c r="I18" s="369" t="n">
        <f aca="false">IF((G18&lt;&gt;0),IF((D18&gt;0)," ",(I$1-A18))," ")</f>
        <v>169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46095</v>
      </c>
      <c r="B19" s="365" t="s">
        <v>336</v>
      </c>
      <c r="E19" s="367" t="s">
        <v>329</v>
      </c>
      <c r="G19" s="368" t="n">
        <v>24</v>
      </c>
      <c r="H19" s="340" t="n">
        <f aca="false">IF((G19&lt;&gt;0),IF((D19&gt;0)," ",G19)," ")</f>
        <v>24</v>
      </c>
      <c r="I19" s="369" t="n">
        <f aca="false">IF((G19&lt;&gt;0),IF((D19&gt;0)," ",(I$1-A19))," ")</f>
        <v>167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46095</v>
      </c>
      <c r="B20" s="365" t="s">
        <v>337</v>
      </c>
      <c r="E20" s="367" t="s">
        <v>329</v>
      </c>
      <c r="G20" s="368" t="n">
        <v>12</v>
      </c>
      <c r="H20" s="340" t="n">
        <f aca="false">IF((G20&lt;&gt;0),IF((D20&gt;0)," ",G20)," ")</f>
        <v>12</v>
      </c>
      <c r="I20" s="369" t="n">
        <f aca="false">IF((G20&lt;&gt;0),IF((D20&gt;0)," ",(I$1-A20))," ")</f>
        <v>167</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46096</v>
      </c>
      <c r="B21" s="365" t="s">
        <v>249</v>
      </c>
      <c r="D21" s="365"/>
      <c r="E21" s="367" t="s">
        <v>297</v>
      </c>
      <c r="G21" s="368" t="n">
        <v>150</v>
      </c>
      <c r="H21" s="340" t="n">
        <f aca="false">IF((G21&lt;&gt;0),IF((D21&gt;0)," ",G21)," ")</f>
        <v>150</v>
      </c>
      <c r="I21" s="369" t="n">
        <f aca="false">IF((G21&lt;&gt;0),IF((D21&gt;0)," ",(I$1-A21))," ")</f>
        <v>166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46096</v>
      </c>
      <c r="B22" s="365" t="s">
        <v>338</v>
      </c>
      <c r="D22" s="395"/>
      <c r="E22" s="367" t="s">
        <v>316</v>
      </c>
      <c r="G22" s="368" t="n">
        <v>12</v>
      </c>
      <c r="H22" s="340" t="n">
        <f aca="false">IF((G22&lt;&gt;0),IF((D22&gt;0)," ",G22)," ")</f>
        <v>12</v>
      </c>
      <c r="I22" s="369" t="n">
        <f aca="false">IF((G22&lt;&gt;0),IF((D22&gt;0)," ",(I$1-A22))," ")</f>
        <v>166</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46097</v>
      </c>
      <c r="B23" s="365" t="s">
        <v>361</v>
      </c>
      <c r="E23" s="367" t="s">
        <v>316</v>
      </c>
      <c r="G23" s="368" t="n">
        <v>24</v>
      </c>
      <c r="H23" s="340" t="n">
        <f aca="false">IF((G23&lt;&gt;0),IF((D23&gt;0)," ",G23)," ")</f>
        <v>24</v>
      </c>
      <c r="I23" s="369" t="n">
        <f aca="false">IF((G23&lt;&gt;0),IF((D23&gt;0)," ",(I$1-A23))," ")</f>
        <v>165</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46099</v>
      </c>
      <c r="B24" s="365" t="s">
        <v>370</v>
      </c>
      <c r="E24" s="367" t="s">
        <v>333</v>
      </c>
      <c r="G24" s="368" t="n">
        <v>300</v>
      </c>
      <c r="H24" s="340" t="n">
        <f aca="false">IF((G24&lt;&gt;0),IF((D24&gt;0)," ",G24)," ")</f>
        <v>300</v>
      </c>
      <c r="I24" s="369" t="n">
        <f aca="false">IF((G24&lt;&gt;0),IF((D24&gt;0)," ",(I$1-A24))," ")</f>
        <v>163</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46099</v>
      </c>
      <c r="B25" s="365" t="s">
        <v>339</v>
      </c>
      <c r="E25" s="367" t="s">
        <v>297</v>
      </c>
      <c r="G25" s="368" t="n">
        <v>96</v>
      </c>
      <c r="H25" s="340" t="n">
        <f aca="false">IF((G25&lt;&gt;0),IF((D25&gt;0)," ",G25)," ")</f>
        <v>96</v>
      </c>
      <c r="I25" s="369" t="n">
        <f aca="false">IF((G25&lt;&gt;0),IF((D25&gt;0)," ",(I$1-A25))," ")</f>
        <v>163</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46101</v>
      </c>
      <c r="B26" s="365" t="s">
        <v>248</v>
      </c>
      <c r="E26" s="367" t="s">
        <v>316</v>
      </c>
      <c r="G26" s="368" t="n">
        <v>60</v>
      </c>
      <c r="H26" s="340" t="n">
        <f aca="false">IF((G26&lt;&gt;0),IF((D26&gt;0)," ",G26)," ")</f>
        <v>60</v>
      </c>
      <c r="I26" s="369" t="n">
        <f aca="false">IF((G26&lt;&gt;0),IF((D26&gt;0)," ",(I$1-A26))," ")</f>
        <v>161</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46102</v>
      </c>
      <c r="B27" s="365" t="s">
        <v>342</v>
      </c>
      <c r="E27" s="367" t="s">
        <v>329</v>
      </c>
      <c r="G27" s="368" t="n">
        <v>8</v>
      </c>
      <c r="H27" s="340" t="n">
        <f aca="false">IF((G27&lt;&gt;0),IF((D27&gt;0)," ",G27)," ")</f>
        <v>8</v>
      </c>
      <c r="I27" s="369" t="n">
        <f aca="false">IF((G27&lt;&gt;0),IF((D27&gt;0)," ",(I$1-A27))," ")</f>
        <v>160</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46103</v>
      </c>
      <c r="B28" s="365" t="s">
        <v>343</v>
      </c>
      <c r="E28" s="367" t="s">
        <v>319</v>
      </c>
      <c r="G28" s="368" t="n">
        <v>18</v>
      </c>
      <c r="H28" s="340" t="n">
        <f aca="false">IF((G28&lt;&gt;0),IF((D28&gt;0)," ",G28)," ")</f>
        <v>18</v>
      </c>
      <c r="I28" s="369" t="n">
        <f aca="false">IF((G28&lt;&gt;0),IF((D28&gt;0)," ",(I$1-A28))," ")</f>
        <v>159</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row>
    <row r="29" customFormat="false" ht="12.75" hidden="false" customHeight="false" outlineLevel="0" collapsed="false">
      <c r="A29" s="357" t="n">
        <v>46103</v>
      </c>
      <c r="B29" s="365" t="s">
        <v>364</v>
      </c>
      <c r="E29" s="367" t="s">
        <v>297</v>
      </c>
      <c r="G29" s="368" t="n">
        <v>60</v>
      </c>
      <c r="H29" s="340" t="n">
        <f aca="false">IF((G29&lt;&gt;0),IF((D29&gt;0)," ",G29)," ")</f>
        <v>60</v>
      </c>
      <c r="I29" s="369" t="n">
        <f aca="false">IF((G29&lt;&gt;0),IF((D29&gt;0)," ",(I$1-A29))," ")</f>
        <v>159</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46106</v>
      </c>
      <c r="B30" s="365" t="s">
        <v>371</v>
      </c>
      <c r="E30" s="367" t="s">
        <v>314</v>
      </c>
      <c r="G30" s="368" t="n">
        <v>360</v>
      </c>
      <c r="H30" s="340" t="n">
        <f aca="false">IF((G30&lt;&gt;0),IF((D30&gt;0)," ",G30)," ")</f>
        <v>360</v>
      </c>
      <c r="I30" s="369" t="n">
        <f aca="false">IF((G30&lt;&gt;0),IF((D30&gt;0)," ",(I$1-A30))," ")</f>
        <v>156</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46106</v>
      </c>
      <c r="B31" s="365" t="s">
        <v>344</v>
      </c>
      <c r="E31" s="367" t="s">
        <v>319</v>
      </c>
      <c r="G31" s="368" t="n">
        <v>15</v>
      </c>
      <c r="H31" s="340" t="n">
        <f aca="false">IF((G31&lt;&gt;0),IF((D31&gt;0)," ",G31)," ")</f>
        <v>15</v>
      </c>
      <c r="I31" s="369" t="n">
        <f aca="false">IF((G31&lt;&gt;0),IF((D31&gt;0)," ",(I$1-A31))," ")</f>
        <v>156</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row>
    <row r="32" customFormat="false" ht="12.75" hidden="false" customHeight="false" outlineLevel="0" collapsed="false">
      <c r="A32" s="357" t="n">
        <v>46106</v>
      </c>
      <c r="B32" s="365" t="s">
        <v>345</v>
      </c>
      <c r="E32" s="367" t="s">
        <v>297</v>
      </c>
      <c r="G32" s="368" t="n">
        <v>58.5</v>
      </c>
      <c r="H32" s="340" t="n">
        <f aca="false">IF((G32&lt;&gt;0),IF((D32&gt;0)," ",G32)," ")</f>
        <v>58.5</v>
      </c>
      <c r="I32" s="369" t="n">
        <f aca="false">IF((G32&lt;&gt;0),IF((D32&gt;0)," ",(I$1-A32))," ")</f>
        <v>156</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58.5</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46109</v>
      </c>
      <c r="B33" s="365" t="s">
        <v>249</v>
      </c>
      <c r="E33" s="367" t="s">
        <v>297</v>
      </c>
      <c r="G33" s="368" t="n">
        <v>120</v>
      </c>
      <c r="H33" s="340" t="n">
        <f aca="false">IF((G33&lt;&gt;0),IF((D33&gt;0)," ",G33)," ")</f>
        <v>120</v>
      </c>
      <c r="I33" s="369" t="n">
        <f aca="false">IF((G33&lt;&gt;0),IF((D33&gt;0)," ",(I$1-A33))," ")</f>
        <v>153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46112</v>
      </c>
      <c r="B34" s="365" t="s">
        <v>246</v>
      </c>
      <c r="E34" s="367" t="s">
        <v>346</v>
      </c>
      <c r="G34" s="368" t="n">
        <v>300</v>
      </c>
      <c r="H34" s="340" t="n">
        <f aca="false">IF((G34&lt;&gt;0),IF((D34&gt;0)," ",G34)," ")</f>
        <v>300</v>
      </c>
      <c r="I34" s="369" t="n">
        <f aca="false">IF((G34&lt;&gt;0),IF((D34&gt;0)," ",(I$1-A34))," ")</f>
        <v>150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46112</v>
      </c>
      <c r="B35" s="365" t="s">
        <v>372</v>
      </c>
      <c r="E35" s="367" t="s">
        <v>373</v>
      </c>
      <c r="G35" s="368" t="n">
        <v>125</v>
      </c>
      <c r="H35" s="340" t="n">
        <f aca="false">IF((G35&lt;&gt;0),IF((D35&gt;0)," ",G35)," ")</f>
        <v>125</v>
      </c>
      <c r="I35" s="369" t="n">
        <f aca="false">IF((G35&lt;&gt;0),IF((D35&gt;0)," ",(I$1-A35))," ")</f>
        <v>150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row>
    <row r="36" customFormat="false" ht="12.75" hidden="false" customHeight="false" outlineLevel="0" collapsed="false">
      <c r="A36" s="357" t="n">
        <v>46112</v>
      </c>
      <c r="B36" s="365" t="s">
        <v>347</v>
      </c>
      <c r="E36" s="367" t="s">
        <v>348</v>
      </c>
      <c r="G36" s="368" t="n">
        <v>3500</v>
      </c>
      <c r="H36" s="340" t="n">
        <f aca="false">IF((G36&lt;&gt;0),IF((D36&gt;0)," ",G36)," ")</f>
        <v>3500</v>
      </c>
      <c r="I36" s="369" t="n">
        <f aca="false">IF((G36&lt;&gt;0),IF((D36&gt;0)," ",(I$1-A36))," ")</f>
        <v>150</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46112</v>
      </c>
      <c r="B37" s="365" t="s">
        <v>349</v>
      </c>
      <c r="E37" s="367" t="s">
        <v>348</v>
      </c>
      <c r="G37" s="368" t="n">
        <v>2200</v>
      </c>
      <c r="H37" s="340" t="n">
        <f aca="false">IF((G37&lt;&gt;0),IF((D37&gt;0)," ",G37)," ")</f>
        <v>2200</v>
      </c>
      <c r="I37" s="369" t="n">
        <f aca="false">IF((G37&lt;&gt;0),IF((D37&gt;0)," ",(I$1-A37))," ")</f>
        <v>150</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396</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397</v>
      </c>
      <c r="E2" s="411"/>
      <c r="F2" s="411"/>
      <c r="G2" s="412" t="str">
        <f aca="false">B23</f>
        <v>2026-27</v>
      </c>
      <c r="H2" s="68"/>
      <c r="I2" s="68"/>
      <c r="J2" s="413" t="s">
        <v>398</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70</v>
      </c>
      <c r="E4" s="418"/>
      <c r="F4" s="418"/>
      <c r="G4" s="419" t="n">
        <v>1</v>
      </c>
      <c r="H4" s="68"/>
      <c r="I4" s="418" t="s">
        <v>399</v>
      </c>
      <c r="J4" s="418"/>
      <c r="K4" s="418"/>
      <c r="L4" s="418"/>
      <c r="M4" s="418"/>
      <c r="N4" s="420" t="n">
        <v>12570</v>
      </c>
      <c r="O4" s="415" t="s">
        <v>30</v>
      </c>
    </row>
    <row r="5" customFormat="false" ht="12" hidden="false" customHeight="true" outlineLevel="0" collapsed="false">
      <c r="A5" s="68"/>
      <c r="B5" s="410" t="n">
        <v>46142</v>
      </c>
      <c r="C5" s="68"/>
      <c r="D5" s="418" t="s">
        <v>400</v>
      </c>
      <c r="E5" s="418"/>
      <c r="F5" s="418"/>
      <c r="G5" s="419" t="n">
        <v>0.14</v>
      </c>
      <c r="H5" s="68"/>
      <c r="I5" s="68"/>
      <c r="J5" s="68"/>
      <c r="K5" s="68"/>
      <c r="L5" s="68"/>
      <c r="M5" s="68"/>
      <c r="N5" s="415"/>
      <c r="O5" s="415"/>
    </row>
    <row r="6" customFormat="false" ht="12" hidden="false" customHeight="true" outlineLevel="0" collapsed="false">
      <c r="A6" s="68"/>
      <c r="B6" s="410" t="n">
        <v>46173</v>
      </c>
      <c r="C6" s="68"/>
      <c r="D6" s="68"/>
      <c r="E6" s="68"/>
      <c r="F6" s="68"/>
      <c r="G6" s="415"/>
      <c r="H6" s="68"/>
      <c r="I6" s="68" t="s">
        <v>401</v>
      </c>
      <c r="J6" s="68"/>
      <c r="K6" s="68"/>
      <c r="L6" s="68"/>
      <c r="M6" s="68"/>
      <c r="N6" s="419" t="n">
        <v>0</v>
      </c>
      <c r="O6" s="415" t="s">
        <v>402</v>
      </c>
    </row>
    <row r="7" customFormat="false" ht="12" hidden="false" customHeight="true" outlineLevel="0" collapsed="false">
      <c r="A7" s="68"/>
      <c r="B7" s="410" t="n">
        <v>46203</v>
      </c>
      <c r="C7" s="68"/>
      <c r="D7" s="418" t="s">
        <v>403</v>
      </c>
      <c r="E7" s="418"/>
      <c r="F7" s="418"/>
      <c r="G7" s="415"/>
      <c r="H7" s="68"/>
      <c r="I7" s="418" t="s">
        <v>404</v>
      </c>
      <c r="J7" s="418"/>
      <c r="K7" s="418"/>
      <c r="L7" s="418"/>
      <c r="M7" s="418"/>
      <c r="N7" s="419" t="n">
        <v>0.2</v>
      </c>
      <c r="O7" s="415" t="s">
        <v>402</v>
      </c>
    </row>
    <row r="8" customFormat="false" ht="12" hidden="false" customHeight="true" outlineLevel="0" collapsed="false">
      <c r="A8" s="68"/>
      <c r="B8" s="410" t="n">
        <v>46234</v>
      </c>
      <c r="C8" s="68"/>
      <c r="D8" s="68" t="s">
        <v>405</v>
      </c>
      <c r="E8" s="421" t="n">
        <v>12000</v>
      </c>
      <c r="F8" s="68" t="s">
        <v>406</v>
      </c>
      <c r="G8" s="421" t="n">
        <v>3000</v>
      </c>
      <c r="H8" s="68"/>
      <c r="I8" s="418" t="s">
        <v>407</v>
      </c>
      <c r="J8" s="418"/>
      <c r="K8" s="418"/>
      <c r="L8" s="418"/>
      <c r="M8" s="418"/>
      <c r="N8" s="419" t="n">
        <v>0.4</v>
      </c>
      <c r="O8" s="415" t="s">
        <v>402</v>
      </c>
    </row>
    <row r="9" customFormat="false" ht="12" hidden="false" customHeight="true" outlineLevel="0" collapsed="false">
      <c r="A9" s="68"/>
      <c r="B9" s="410" t="n">
        <v>46265</v>
      </c>
      <c r="C9" s="68"/>
      <c r="D9" s="68"/>
      <c r="E9" s="415"/>
      <c r="F9" s="68"/>
      <c r="G9" s="415"/>
      <c r="H9" s="68"/>
      <c r="I9" s="68"/>
      <c r="J9" s="68"/>
      <c r="K9" s="68"/>
      <c r="L9" s="68"/>
      <c r="M9" s="68"/>
      <c r="N9" s="415"/>
      <c r="O9" s="415"/>
    </row>
    <row r="10" customFormat="false" ht="12" hidden="false" customHeight="true" outlineLevel="0" collapsed="false">
      <c r="A10" s="68"/>
      <c r="B10" s="410" t="n">
        <v>46295</v>
      </c>
      <c r="C10" s="68"/>
      <c r="D10" s="68"/>
      <c r="E10" s="415"/>
      <c r="F10" s="68"/>
      <c r="G10" s="415"/>
      <c r="H10" s="68"/>
      <c r="I10" s="418" t="s">
        <v>408</v>
      </c>
      <c r="J10" s="418"/>
      <c r="K10" s="418"/>
      <c r="L10" s="422" t="s">
        <v>409</v>
      </c>
      <c r="M10" s="422" t="s">
        <v>410</v>
      </c>
      <c r="N10" s="423" t="s">
        <v>411</v>
      </c>
      <c r="O10" s="415"/>
    </row>
    <row r="11" customFormat="false" ht="12" hidden="false" customHeight="true" outlineLevel="0" collapsed="false">
      <c r="A11" s="68"/>
      <c r="B11" s="410" t="n">
        <v>46326</v>
      </c>
      <c r="C11" s="68"/>
      <c r="D11" s="411" t="s">
        <v>412</v>
      </c>
      <c r="E11" s="411"/>
      <c r="F11" s="411"/>
      <c r="G11" s="415" t="s">
        <v>402</v>
      </c>
      <c r="H11" s="68"/>
      <c r="I11" s="68" t="s">
        <v>413</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414</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208</v>
      </c>
      <c r="E13" s="418"/>
      <c r="F13" s="418"/>
      <c r="G13" s="419" t="n">
        <v>0</v>
      </c>
      <c r="H13" s="68"/>
      <c r="I13" s="68" t="s">
        <v>415</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210</v>
      </c>
      <c r="E14" s="418"/>
      <c r="F14" s="418"/>
      <c r="G14" s="419" t="n">
        <v>0.1</v>
      </c>
      <c r="H14" s="68"/>
      <c r="I14" s="68"/>
      <c r="J14" s="68"/>
      <c r="K14" s="68"/>
      <c r="L14" s="68"/>
      <c r="M14" s="68"/>
      <c r="N14" s="68"/>
      <c r="O14" s="68"/>
    </row>
    <row r="15" customFormat="false" ht="12" hidden="false" customHeight="true" outlineLevel="0" collapsed="false">
      <c r="A15" s="68"/>
      <c r="B15" s="410" t="n">
        <v>46446</v>
      </c>
      <c r="C15" s="68"/>
      <c r="D15" s="418" t="s">
        <v>212</v>
      </c>
      <c r="E15" s="418"/>
      <c r="F15" s="418"/>
      <c r="G15" s="419" t="n">
        <v>0.2</v>
      </c>
      <c r="H15" s="68"/>
      <c r="I15" s="411" t="s">
        <v>416</v>
      </c>
      <c r="J15" s="411"/>
      <c r="K15" s="411"/>
      <c r="L15" s="414" t="str">
        <f aca="false">G2</f>
        <v>2026-27</v>
      </c>
      <c r="M15" s="68"/>
      <c r="N15" s="68"/>
      <c r="O15" s="68"/>
    </row>
    <row r="16" customFormat="false" ht="12" hidden="false" customHeight="true" outlineLevel="0" collapsed="false">
      <c r="A16" s="68"/>
      <c r="B16" s="410" t="n">
        <v>46477</v>
      </c>
      <c r="C16" s="68"/>
      <c r="D16" s="418" t="s">
        <v>417</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418</v>
      </c>
      <c r="E17" s="418"/>
      <c r="F17" s="418"/>
      <c r="G17" s="419" t="n">
        <v>0.25</v>
      </c>
      <c r="H17" s="68"/>
      <c r="I17" s="418" t="s">
        <v>419</v>
      </c>
      <c r="J17" s="418"/>
      <c r="K17" s="418"/>
      <c r="L17" s="425" t="n">
        <v>0</v>
      </c>
      <c r="M17" s="68" t="s">
        <v>420</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421</v>
      </c>
      <c r="E19" s="411"/>
      <c r="F19" s="415" t="s">
        <v>422</v>
      </c>
      <c r="G19" s="415" t="s">
        <v>423</v>
      </c>
      <c r="H19" s="68"/>
      <c r="I19" s="426" t="s">
        <v>424</v>
      </c>
      <c r="J19" s="426"/>
      <c r="K19" s="426"/>
      <c r="L19" s="68"/>
      <c r="M19" s="427" t="s">
        <v>425</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30</v>
      </c>
    </row>
    <row r="21" customFormat="false" ht="12" hidden="false" customHeight="true" outlineLevel="0" collapsed="false">
      <c r="A21" s="68"/>
      <c r="B21" s="410" t="n">
        <v>46783</v>
      </c>
      <c r="C21" s="68"/>
      <c r="D21" s="418" t="s">
        <v>426</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427</v>
      </c>
      <c r="E22" s="68"/>
      <c r="F22" s="421" t="n">
        <v>10001</v>
      </c>
      <c r="G22" s="425" t="n">
        <v>0.25</v>
      </c>
      <c r="H22" s="68"/>
      <c r="I22" s="426" t="s">
        <v>428</v>
      </c>
      <c r="J22" s="426"/>
      <c r="K22" s="426"/>
      <c r="L22" s="68"/>
      <c r="M22" s="427" t="s">
        <v>429</v>
      </c>
      <c r="N22" s="68"/>
      <c r="O22" s="68"/>
    </row>
    <row r="23" customFormat="false" ht="12" hidden="false" customHeight="true" outlineLevel="0" collapsed="false">
      <c r="A23" s="68"/>
      <c r="B23" s="417" t="s">
        <v>430</v>
      </c>
      <c r="C23" s="68"/>
      <c r="D23" s="68"/>
      <c r="E23" s="68"/>
      <c r="F23" s="415"/>
      <c r="G23" s="430"/>
      <c r="H23" s="68"/>
      <c r="I23" s="426"/>
      <c r="J23" s="426"/>
      <c r="K23" s="426"/>
      <c r="L23" s="428" t="n">
        <v>0.02</v>
      </c>
      <c r="M23" s="427"/>
      <c r="N23" s="421" t="n">
        <v>50270</v>
      </c>
      <c r="O23" s="415" t="s">
        <v>30</v>
      </c>
    </row>
    <row r="24" customFormat="false" ht="12" hidden="false" customHeight="true" outlineLevel="0" collapsed="false">
      <c r="A24" s="68"/>
      <c r="B24" s="417" t="s">
        <v>431</v>
      </c>
      <c r="C24" s="68"/>
      <c r="D24" s="411" t="s">
        <v>432</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433</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