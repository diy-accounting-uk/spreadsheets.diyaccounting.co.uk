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<sst xmlns="http://schemas.openxmlformats.org/spreadsheetml/2006/main" count="2710" uniqueCount="605">
  <si>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</si>
  <si>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</si>
  <si>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</si>
  <si>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</si>
  <si>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</si>
  <si>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</si>
  <si>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t xml:space="preserve">Copyright (C) 2006-2026 DIY Accounting Limited</t>
  </si>
  <si>
    <t xml:space="preserve">Licensed under the PolyForm Internal Use License 1.0.0 with an additional grant for accountants. Free to use, source available: https://spreadsheets.diyaccounting.co.uk</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</si>
  <si>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</si>
  <si>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</si>
  <si>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</si>
  <si>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</si>
  <si>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</si>
  <si>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</si>
  <si>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</si>
  <si>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</si>
  <si>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</si>
  <si>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</si>
  <si>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</si>
  <si>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</si>
  <si>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</si>
  <si>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</si>
  <si>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</si>
  <si>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</si>
  <si>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</si>
  <si>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</si>
  <si>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</si>
  <si>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</si>
  <si>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</si>
  <si>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</si>
  <si>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</si>
  <si>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</si>
  <si>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</si>
  <si>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</si>
  <si>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</si>
  <si>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</si>
  <si>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</si>
  <si>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</si>
  <si>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</si>
  <si>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</si>
  <si>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</si>
  <si>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</si>
  <si>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</si>
  <si>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</si>
  <si>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</si>
  <si>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9</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</si>
  <si>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</si>
  <si>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</si>
  <si>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</si>
  <si>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the VAT threshold shown above</t>
    </r>
  </si>
  <si>
    <t xml:space="preserve">you may just put your total expenses in box 20,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</si>
  <si>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</si>
  <si>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</si>
  <si>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</si>
  <si>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</si>
  <si>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</si>
  <si>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</si>
  <si>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</si>
  <si>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</si>
  <si>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</si>
  <si>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</si>
  <si>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</si>
  <si>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11 to 19</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</si>
  <si>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</si>
  <si>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</si>
  <si>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</si>
  <si>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9 + box 10 minus box 20)</t>
  </si>
  <si>
    <t xml:space="preserve">income (box 9 + box 10 minus box 20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</si>
  <si>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</si>
  <si>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</si>
  <si>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</si>
  <si>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</si>
  <si>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</si>
  <si>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</si>
  <si>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</si>
  <si>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</si>
  <si>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</si>
  <si>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</si>
  <si>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</si>
  <si>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</si>
  <si>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</si>
  <si>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</si>
  <si>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</si>
  <si>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</si>
  <si>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28</t>
    </r>
  </si>
  <si>
    <t xml:space="preserve">Net business profit for tax purposes (if box 21 + box 26 +</t>
  </si>
  <si>
    <t xml:space="preserve">Any other business income not included in boxes 9 or 10</t>
  </si>
  <si>
    <t xml:space="preserve">box 27 minus boxes 22 to 25)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</si>
  <si>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</si>
  <si>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</si>
  <si>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</si>
  <si>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22 to 25</t>
  </si>
  <si>
    <t xml:space="preserve">if box 28 + box 30 minus box 29 is positive</t>
  </si>
  <si>
    <t xml:space="preserve">minus (box 21 + box 26 + box 27) is positive)</t>
  </si>
  <si>
    <t xml:space="preserve">Losses, Class 4 NICs and deductions</t>
  </si>
  <si>
    <r>
      <rPr>
        <sz val="8"/>
        <rFont val="Arial"/>
        <family val="2"/>
        <charset val="1"/>
      </rPr>
      <t xml:space="preserve">If you have made a loss for tax purposes (box 32), read page SESN 7 of the </t>
    </r>
    <r>
      <rPr>
        <i val="true"/>
        <sz val="8"/>
        <rFont val="Arial"/>
        <family val="2"/>
        <charset val="1"/>
      </rPr>
      <t xml:space="preserve">notes</t>
    </r>
    <r>
      <rPr>
        <sz val="8"/>
        <rFont val="Arial"/>
        <family val="2"/>
        <charset val="1"/>
      </rPr>
      <t xml:space="preserve"> and fill in boxes 33 to 35 as appropriate.</t>
    </r>
  </si>
  <si>
    <t xml:space="preserve">Loss from this tax year set-off against other income</t>
  </si>
  <si>
    <t xml:space="preserve">for </t>
  </si>
  <si>
    <t xml:space="preserve">choose to pay Class 2 NICs voluntarily, put 'X' in the box</t>
  </si>
  <si>
    <t xml:space="preserve">Loss to be carried back to previous year(s) and set-off</t>
  </si>
  <si>
    <t xml:space="preserve">If you are exempt from paying Class 4 NICs, put 'X' in the</t>
  </si>
  <si>
    <t xml:space="preserve">against income (or capital gains)</t>
  </si>
  <si>
    <r>
      <rPr>
        <sz val="8"/>
        <rFont val="Arial"/>
        <family val="2"/>
        <charset val="1"/>
      </rPr>
      <t xml:space="preserve">box - </t>
    </r>
    <r>
      <rPr>
        <i val="true"/>
        <sz val="8"/>
        <rFont val="Arial"/>
        <family val="2"/>
        <charset val="1"/>
      </rPr>
      <t xml:space="preserve">read page SESN 10 of the notes</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</si>
  <si>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</si>
  <si>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</si>
  <si>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</si>
  <si>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</si>
  <si>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</si>
  <si>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</si>
  <si>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</si>
  <si>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</si>
  <si>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</si>
  <si>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</si>
  <si>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</si>
  <si>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</si>
  <si>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</si>
  <si>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</si>
  <si>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</si>
  <si>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</si>
  <si>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</si>
  <si>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</si>
  <si>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</si>
  <si>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</si>
  <si>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</si>
  <si>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</si>
  <si>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</si>
  <si>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</si>
  <si>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</si>
  <si>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</si>
  <si>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</si>
  <si>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</si>
  <si>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</si>
  <si>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</si>
  <si>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</si>
  <si>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</si>
  <si>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</si>
  <si>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</si>
  <si>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</si>
  <si>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</si>
  <si>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</si>
  <si>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</si>
  <si>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</si>
  <si>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</si>
  <si>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</si>
  <si>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</si>
  <si>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</si>
  <si>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</si>
  <si>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</si>
  <si>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</si>
  <si>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</si>
  <si>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</si>
  <si>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</si>
  <si>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</si>
  <si>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</si>
  <si>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</si>
  <si>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</si>
  <si>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</si>
  <si>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</si>
  <si>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</si>
  <si>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</si>
  <si>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</si>
  <si>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</si>
  <si>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</si>
  <si>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</si>
  <si>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</si>
  <si>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</si>
  <si>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</si>
  <si>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</si>
  <si>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</si>
  <si>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</si>
  <si>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</si>
  <si>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</si>
  <si>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</si>
  <si>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</si>
  <si>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</si>
  <si>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</si>
  <si>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</si>
  <si>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</si>
  <si>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</si>
  <si>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</si>
  <si>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</si>
  <si>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</si>
  <si>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</si>
  <si>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</si>
  <si>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</si>
  <si>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</si>
  <si>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</si>
  <si>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</si>
  <si>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</si>
  <si>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</si>
  <si>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</si>
  <si>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</si>
  <si>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</si>
  <si>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</si>
  <si>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</si>
  <si>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</si>
  <si>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</si>
  <si>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</si>
  <si>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</si>
  <si>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</si>
  <si>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</si>
  <si>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</si>
  <si>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</si>
  <si>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</si>
  <si>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</si>
  <si>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</si>
  <si>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</si>
  <si>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</si>
  <si>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</si>
  <si>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</si>
  <si>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</si>
  <si>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</si>
  <si>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</si>
  <si>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</si>
  <si>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</si>
  <si>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</si>
  <si>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</si>
  <si>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</si>
  <si>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</si>
  <si>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</si>
  <si>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</si>
  <si>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</si>
  <si>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</si>
  <si>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</si>
  <si>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</si>
  <si>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</si>
  <si>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</si>
  <si>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</si>
  <si>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</si>
  <si>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</si>
  <si>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</si>
  <si>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</si>
  <si>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</si>
  <si>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</si>
  <si>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</si>
  <si>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</si>
  <si>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</si>
  <si>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</si>
  <si>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</si>
  <si>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</si>
  <si>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</si>
  <si>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</si>
  <si>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</si>
  <si>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</si>
  <si>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</si>
  <si>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</si>
  <si>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</si>
  <si>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</si>
  <si>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</si>
  <si>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</si>
  <si>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</si>
  <si>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</si>
  <si>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</si>
  <si>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</si>
  <si>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</si>
  <si>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</si>
  <si>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</si>
  <si>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</si>
  <si>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Beta Systems</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</si>
  <si>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</si>
  <si>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</si>
  <si>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</si>
  <si>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</si>
  <si>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</si>
  <si>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</si>
  <si>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</si>
  <si>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</si>
  <si>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</si>
  <si>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</si>
  <si>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</si>
  <si>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Acme Corp</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</si>
  <si>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</si>
  <si>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</si>
  <si>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</si>
  <si>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</si>
  <si>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</si>
  <si>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</si>
  <si>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</si>
  <si>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</si>
  <si>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</si>
  <si>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</si>
  <si>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</si>
  <si>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</si>
  <si>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</si>
  <si>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</si>
  <si>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</si>
  <si>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</si>
  <si>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</si>
  <si>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</si>
  <si>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</si>
  <si>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</si>
  <si>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</si>
  <si>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</si>
  <si>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</si>
  <si>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</si>
  <si>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</si>
  <si>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</si>
  <si>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</si>
  <si>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</si>
  <si>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</si>
  <si>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</si>
  <si>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</si>
  <si>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</si>
  <si>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</si>
  <si>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</si>
  <si>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</si>
  <si>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</si>
  <si>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</si>
  <si>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</si>
  <si>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</si>
  <si>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</si>
  <si>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</si>
  <si>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</si>
  <si>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</si>
  <si>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</si>
  <si>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</si>
  <si>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</si>
  <si>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</si>
  <si>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</si>
  <si>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</si>
  <si>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</si>
  <si>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</si>
  <si>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WorkSpace Ltd</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</si>
  <si>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</si>
  <si>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</si>
  <si>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</si>
  <si>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</si>
  <si>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</si>
  <si>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</si>
  <si>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</si>
  <si>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</si>
  <si>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</si>
  <si>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</si>
  <si>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</si>
  <si>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</si>
  <si>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</si>
  <si>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</si>
  <si>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</si>
  <si>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</si>
  <si>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</si>
  <si>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</si>
  <si>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</si>
  <si>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</si>
  <si>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</si>
  <si>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</si>
  <si>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</si>
  <si>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</si>
  <si>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</si>
  <si>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</si>
  <si>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</si>
  <si>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</si>
  <si>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</si>
  <si>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</si>
  <si>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</si>
  <si>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</si>
  <si>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</si>
  <si>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Shell</t>
  </si>
  <si>
    <t xml:space="preserve">Royal Mail</t>
  </si>
  <si>
    <t xml:space="preserve">Jet</t>
  </si>
  <si>
    <t xml:space="preserve">BT Business</t>
  </si>
  <si>
    <t xml:space="preserve">Office Maintenance Ltd</t>
  </si>
  <si>
    <t xml:space="preserve">r</t>
  </si>
  <si>
    <t xml:space="preserve">5400</t>
  </si>
  <si>
    <t xml:space="preserve">Greggs</t>
  </si>
  <si>
    <t xml:space="preserve">Screwfix</t>
  </si>
  <si>
    <t xml:space="preserve">Wilko</t>
  </si>
  <si>
    <t xml:space="preserve">Mileage claim</t>
  </si>
  <si>
    <t xml:space="preserve">Smith &amp; Co</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</si>
  <si>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</si>
  <si>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</si>
  <si>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</si>
  <si>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</si>
  <si>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</si>
  <si>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</si>
  <si>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</si>
  <si>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</si>
  <si>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</si>
  <si>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</si>
  <si>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</si>
  <si>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</si>
  <si>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</si>
  <si>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</si>
  <si>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</si>
  <si>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</si>
  <si>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</si>
  <si>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</si>
  <si>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</si>
  <si>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</si>
  <si>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</si>
  <si>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</si>
  <si>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</si>
  <si>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</si>
  <si>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</si>
  <si>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</si>
  <si>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</si>
  <si>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</si>
  <si>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</si>
  <si>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</si>
  <si>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</si>
  <si>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</si>
  <si>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</si>
  <si>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</si>
  <si>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</si>
  <si>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</si>
  <si>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</si>
  <si>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</si>
  <si>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</si>
  <si>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</si>
  <si>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</si>
  <si>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</si>
  <si>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</si>
  <si>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</si>
  <si>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</si>
  <si>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</si>
  <si>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Gamma Ltd</t>
  </si>
  <si>
    <t xml:space="preserve">INV-1501</t>
  </si>
  <si>
    <t xml:space="preserve">WidgetWorks</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</si>
  <si>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</si>
  <si>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</si>
  <si>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</si>
  <si>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</si>
  <si>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</si>
  <si>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</si>
  <si>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</si>
  <si>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</si>
  <si>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</si>
  <si>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</si>
  <si>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</si>
  <si>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</si>
  <si>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</si>
  <si>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</si>
  <si>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</si>
  <si>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</si>
  <si>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</si>
  <si>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</si>
  <si>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</si>
  <si>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</si>
  <si>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</si>
  <si>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</si>
  <si>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</si>
  <si>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</si>
  <si>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</si>
  <si>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</si>
  <si>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</si>
  <si>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</si>
  <si>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</si>
  <si>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</si>
  <si>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</si>
  <si>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</si>
  <si>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</si>
  <si>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</si>
  <si>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</si>
  <si>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</si>
  <si>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</si>
  <si>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</si>
  <si>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</si>
  <si>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</si>
  <si>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</si>
  <si>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</si>
  <si>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</si>
  <si>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</si>
  <si>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</si>
  <si>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</si>
  <si>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</si>
  <si>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</si>
  <si>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</si>
  <si>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</si>
  <si>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</si>
  <si>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</si>
  <si>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</si>
  <si>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</si>
  <si>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</si>
  <si>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</si>
  <si>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</si>
  <si>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</si>
  <si>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</si>
  <si>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</si>
  <si>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</si>
  <si>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</si>
  <si>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</si>
  <si>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</si>
  <si>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</si>
  <si>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</si>
  <si>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</si>
  <si>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</si>
  <si>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</si>
  <si>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</si>
  <si>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</si>
  <si>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</si>
  <si>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</si>
  <si>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</si>
  <si>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</si>
  <si>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</si>
  <si>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</si>
  <si>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</si>
  <si>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</si>
  <si>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</si>
  <si>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</si>
  <si>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</si>
  <si>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</si>
  <si>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</si>
  <si>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</si>
  <si>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</si>
  <si>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</si>
  <si>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</si>
  <si>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</si>
  <si>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</si>
  <si>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</si>
  <si>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</si>
  <si>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</si>
  <si>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</si>
  <si>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</si>
  <si>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</si>
  <si>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</si>
  <si>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</si>
  <si>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</si>
  <si>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</si>
  <si>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</si>
  <si>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</si>
  <si>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</si>
  <si>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</si>
  <si>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</si>
  <si>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</si>
  <si>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</si>
  <si>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</si>
  <si>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</si>
  <si>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</si>
  <si>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</si>
  <si>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</si>
  <si>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</si>
  <si>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</si>
  <si>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</si>
  <si>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</si>
  <si>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</si>
  <si>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</si>
  <si>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</si>
  <si>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</si>
  <si>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</si>
  <si>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</si>
  <si>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</si>
  <si>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</si>
  <si>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</si>
  <si>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</si>
  <si>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</si>
  <si>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</si>
  <si>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</si>
  <si>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</si>
  <si>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</si>
  <si>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</si>
  <si>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</si>
  <si>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</si>
  <si>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</si>
  <si>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</si>
  <si>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</si>
  <si>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</si>
  <si>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</si>
  <si>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</si>
  <si>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</si>
  <si>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</si>
  <si>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</si>
  <si>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Zeta Corp</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</si>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</sst>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6">
    <numFmt numFmtId="164" formatCode="General"/>
    <numFmt numFmtId="165" formatCode="dd/mm/yyyy"/>
    <numFmt numFmtId="166" formatCode="mmm\-yy"/>
    <numFmt numFmtId="167" formatCode="[$-F800]dddd&quot;, &quot;mmmm\ dd&quot;, &quot;yyyy"/>
    <numFmt numFmtId="168" formatCode="dd/mm/yyyy;@"/>
    <numFmt numFmtId="169" formatCode="#,##0"/>
    <numFmt numFmtId="170" formatCode="0"/>
    <numFmt numFmtId="171" formatCode="dd\-mmm\-yy"/>
    <numFmt numFmtId="172" formatCode="0.00_ ;[RED]\-0.00\ "/>
    <numFmt numFmtId="173" formatCode="#,##0_ ;[RED]\-#,##0\ "/>
    <numFmt numFmtId="174" formatCode="#,##0.00"/>
    <numFmt numFmtId="175" formatCode="0.00"/>
    <numFmt numFmtId="176" formatCode="#,##0.00_ ;[RED]\-#,##0.00\ "/>
    <numFmt numFmtId="177" formatCode="0_ ;[RED]\-0\ "/>
    <numFmt numFmtId="178" formatCode="0%"/>
    <numFmt numFmtId="179"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general" vertical="center" textRotation="0" wrapText="false" indent="0" shrinkToFit="false"/>
      <protection locked="true" hidden="true"/>
    </xf>
    <xf numFmtId="164"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left"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4"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6" fontId="27" fillId="3" borderId="19" xfId="0" applyFont="true" applyBorder="true" applyAlignment="true" applyProtection="true">
      <alignment horizontal="center" vertical="bottom" textRotation="0" wrapText="false" indent="0" shrinkToFit="false"/>
      <protection locked="true" hidden="true"/>
    </xf>
    <xf numFmtId="166" fontId="27" fillId="3" borderId="20" xfId="0" applyFont="true" applyBorder="true" applyAlignment="true" applyProtection="true">
      <alignment horizontal="center" vertical="center" textRotation="0" wrapText="true" indent="0" shrinkToFit="false"/>
      <protection locked="true" hidden="true"/>
    </xf>
    <xf numFmtId="166" fontId="26" fillId="3" borderId="19" xfId="0" applyFont="true" applyBorder="true" applyAlignment="true" applyProtection="true">
      <alignment horizontal="center" vertical="center" textRotation="0" wrapText="true" indent="0" shrinkToFit="false"/>
      <protection locked="true" hidden="true"/>
    </xf>
    <xf numFmtId="166" fontId="26" fillId="3" borderId="0" xfId="0" applyFont="true" applyBorder="false" applyAlignment="true" applyProtection="true">
      <alignment horizontal="center" vertical="bottom" textRotation="0" wrapText="false" indent="0" shrinkToFit="false"/>
      <protection locked="true" hidden="true"/>
    </xf>
    <xf numFmtId="166"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27" fillId="3" borderId="21" xfId="0" applyFont="true" applyBorder="true" applyAlignment="true" applyProtection="true">
      <alignment horizontal="center" vertical="center" textRotation="0" wrapText="true" indent="0"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2" fontId="27" fillId="0" borderId="0" xfId="0" applyFont="true" applyBorder="false" applyAlignment="true" applyProtection="true">
      <alignment horizontal="center" vertical="bottom" textRotation="0" wrapText="true" indent="0" shrinkToFit="false"/>
      <protection locked="true" hidden="true"/>
    </xf>
    <xf numFmtId="173" fontId="27" fillId="0" borderId="19" xfId="0" applyFont="true" applyBorder="true" applyAlignment="true" applyProtection="true">
      <alignment horizontal="right" vertical="bottom" textRotation="0" wrapText="false" indent="1"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2" fontId="26" fillId="0" borderId="0" xfId="0" applyFont="true" applyBorder="false" applyAlignment="true" applyProtection="true">
      <alignment horizontal="center" vertical="bottom" textRotation="0" wrapText="true" indent="0" shrinkToFit="false"/>
      <protection locked="true" hidden="true"/>
    </xf>
    <xf numFmtId="173" fontId="26" fillId="3" borderId="0" xfId="0" applyFont="true" applyBorder="fals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3" fontId="26" fillId="0" borderId="19" xfId="0" applyFont="true" applyBorder="true" applyAlignment="true" applyProtection="true">
      <alignment horizontal="right" vertical="bottom" textRotation="0" wrapText="false" indent="1" shrinkToFit="false"/>
      <protection locked="true" hidden="true"/>
    </xf>
    <xf numFmtId="175" fontId="26"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2" fontId="27"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3" fontId="27" fillId="0" borderId="22" xfId="0" applyFont="true" applyBorder="true" applyAlignment="true" applyProtection="true">
      <alignment horizontal="right" vertical="bottom" textRotation="0" wrapText="false" indent="1" shrinkToFit="false"/>
      <protection locked="true" hidden="true"/>
    </xf>
    <xf numFmtId="173" fontId="26" fillId="0" borderId="23" xfId="0" applyFont="true" applyBorder="true" applyAlignment="true" applyProtection="true">
      <alignment horizontal="right" vertical="bottom" textRotation="0" wrapText="false" indent="1" shrinkToFit="false"/>
      <protection locked="true" hidden="true"/>
    </xf>
    <xf numFmtId="173" fontId="26" fillId="3" borderId="24" xfId="0" applyFont="true" applyBorder="true" applyAlignment="true" applyProtection="true">
      <alignment horizontal="right" vertical="bottom" textRotation="0" wrapText="false" indent="1" shrinkToFit="false"/>
      <protection locked="true" hidden="true"/>
    </xf>
    <xf numFmtId="173" fontId="26" fillId="0" borderId="25" xfId="0" applyFont="true" applyBorder="true" applyAlignment="true" applyProtection="true">
      <alignment horizontal="right" vertical="bottom" textRotation="0" wrapText="false" indent="1"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3" fontId="27" fillId="0" borderId="26" xfId="0" applyFont="true" applyBorder="true" applyAlignment="true" applyProtection="true">
      <alignment horizontal="right" vertical="bottom" textRotation="0" wrapText="false" indent="1" shrinkToFit="false"/>
      <protection locked="true" hidden="true"/>
    </xf>
    <xf numFmtId="173"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true" applyProtection="true">
      <alignment horizontal="center"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5"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4" fontId="5" fillId="3" borderId="29" xfId="0" applyFont="true" applyBorder="true" applyAlignment="true" applyProtection="false">
      <alignment horizontal="left" vertical="center" textRotation="0" wrapText="true" indent="1" shrinkToFit="false"/>
      <protection locked="true" hidden="false"/>
    </xf>
    <xf numFmtId="175"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6" fontId="26" fillId="0" borderId="19" xfId="0" applyFont="true" applyBorder="tru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6" fontId="27" fillId="0" borderId="26" xfId="0" applyFont="true" applyBorder="true" applyAlignment="true" applyProtection="true">
      <alignment horizontal="center" vertical="bottom" textRotation="0" wrapText="false" indent="0" shrinkToFit="false"/>
      <protection locked="true" hidden="true"/>
    </xf>
    <xf numFmtId="170" fontId="31"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7" fontId="32"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8"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3" fontId="26" fillId="3" borderId="26" xfId="0" applyFont="true" applyBorder="true" applyAlignment="true" applyProtection="true">
      <alignment horizontal="center" vertical="center" textRotation="0" wrapText="true" indent="0" shrinkToFit="false"/>
      <protection locked="true" hidden="true"/>
    </xf>
    <xf numFmtId="175" fontId="26" fillId="3" borderId="19" xfId="0" applyFont="true" applyBorder="true" applyAlignment="true" applyProtection="true">
      <alignment horizontal="center" vertical="bottom"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5" fontId="26" fillId="3" borderId="19" xfId="0" applyFont="true" applyBorder="true" applyAlignment="true" applyProtection="true">
      <alignment horizontal="center" vertical="bottom" textRotation="0" wrapText="false" indent="0" shrinkToFit="false"/>
      <protection locked="true" hidden="true"/>
    </xf>
    <xf numFmtId="171"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29"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0" fontId="29" fillId="0" borderId="0" xfId="0" applyFont="true" applyBorder="false" applyAlignment="false" applyProtection="false">
      <alignment horizontal="general" vertical="bottom" textRotation="0" wrapText="false" indent="0" shrinkToFit="false"/>
      <protection locked="true" hidden="false"/>
    </xf>
    <xf numFmtId="176" fontId="29" fillId="0" borderId="0" xfId="0" applyFont="true" applyBorder="false" applyAlignment="fals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center" vertical="bottom" textRotation="0" wrapText="false" indent="0" shrinkToFit="false"/>
      <protection locked="true" hidden="false"/>
    </xf>
    <xf numFmtId="176" fontId="29" fillId="0" borderId="0" xfId="0" applyFont="true" applyBorder="false" applyAlignment="true" applyProtection="false">
      <alignment horizontal="center" vertical="bottom" textRotation="0" wrapText="false" indent="0" shrinkToFit="false"/>
      <protection locked="true" hidden="false"/>
    </xf>
    <xf numFmtId="170"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6" fontId="33" fillId="3" borderId="19" xfId="0" applyFont="true" applyBorder="true" applyAlignment="true" applyProtection="false">
      <alignment horizontal="center" vertical="bottom" textRotation="0" wrapText="false" indent="0" shrinkToFit="false"/>
      <protection locked="true" hidden="false"/>
    </xf>
    <xf numFmtId="176" fontId="33" fillId="3" borderId="31" xfId="0" applyFont="true" applyBorder="true" applyAlignment="true" applyProtection="false">
      <alignment horizontal="center" vertical="bottom" textRotation="0" wrapText="false" indent="0" shrinkToFit="false"/>
      <protection locked="true" hidden="false"/>
    </xf>
    <xf numFmtId="178" fontId="34" fillId="3" borderId="31" xfId="0" applyFont="true" applyBorder="true" applyAlignment="true" applyProtection="false">
      <alignment horizontal="center" vertical="center" textRotation="0" wrapText="true" indent="0" shrinkToFit="false"/>
      <protection locked="true" hidden="false"/>
    </xf>
    <xf numFmtId="170" fontId="29" fillId="3" borderId="32" xfId="0" applyFont="true" applyBorder="true" applyAlignment="true" applyProtection="false">
      <alignment horizontal="center" vertical="center" textRotation="0" wrapText="true" indent="0" shrinkToFit="false"/>
      <protection locked="true" hidden="false"/>
    </xf>
    <xf numFmtId="176" fontId="33" fillId="3" borderId="32" xfId="0" applyFont="true" applyBorder="true" applyAlignment="true" applyProtection="false">
      <alignment horizontal="center" vertical="bottom" textRotation="0" wrapText="false" indent="0" shrinkToFit="false"/>
      <protection locked="true" hidden="false"/>
    </xf>
    <xf numFmtId="171"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0" fontId="29" fillId="3" borderId="19" xfId="0" applyFont="true" applyBorder="true" applyAlignment="true" applyProtection="false">
      <alignment horizontal="center" vertical="center" textRotation="0" wrapText="true" indent="0" shrinkToFit="false"/>
      <protection locked="true" hidden="false"/>
    </xf>
    <xf numFmtId="176" fontId="29" fillId="3" borderId="19" xfId="0" applyFont="true" applyBorder="true" applyAlignment="true" applyProtection="false">
      <alignment horizontal="center" vertical="center" textRotation="0" wrapText="true" indent="0" shrinkToFit="false"/>
      <protection locked="true" hidden="false"/>
    </xf>
    <xf numFmtId="176"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1" fontId="34" fillId="3" borderId="19" xfId="0" applyFont="true" applyBorder="true" applyAlignment="true" applyProtection="false">
      <alignment horizontal="center" vertical="center" textRotation="0" wrapText="true" indent="0" shrinkToFit="false"/>
      <protection locked="true" hidden="false"/>
    </xf>
    <xf numFmtId="178" fontId="35" fillId="3" borderId="21" xfId="0" applyFont="true" applyBorder="true" applyAlignment="true" applyProtection="false">
      <alignment horizontal="center" vertical="bottom" textRotation="0" wrapText="true" indent="0" shrinkToFit="false"/>
      <protection locked="true" hidden="false"/>
    </xf>
    <xf numFmtId="178"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0"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8"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false" indent="0" shrinkToFit="false"/>
      <protection locked="true" hidden="false"/>
    </xf>
    <xf numFmtId="178"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7" fontId="35" fillId="3" borderId="29" xfId="0" applyFont="true" applyBorder="tru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left" vertical="center" textRotation="0" wrapText="false" indent="2" shrinkToFit="false"/>
      <protection locked="true" hidden="false"/>
    </xf>
    <xf numFmtId="178" fontId="29" fillId="3" borderId="0" xfId="0" applyFont="true" applyBorder="false" applyAlignment="true" applyProtection="false">
      <alignment horizontal="center" vertical="center" textRotation="0" wrapText="false" indent="0" shrinkToFit="false"/>
      <protection locked="true" hidden="false"/>
    </xf>
    <xf numFmtId="176" fontId="29" fillId="3" borderId="0" xfId="0" applyFont="true" applyBorder="false" applyAlignment="true" applyProtection="false">
      <alignment horizontal="center" vertical="bottom" textRotation="0" wrapText="false" indent="0" shrinkToFit="false"/>
      <protection locked="true" hidden="false"/>
    </xf>
    <xf numFmtId="170"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6"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0" fontId="29" fillId="3" borderId="0" xfId="0" applyFont="true" applyBorder="false" applyAlignment="true" applyProtection="false">
      <alignment horizontal="general" vertical="center"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0" fontId="29" fillId="0" borderId="19" xfId="0" applyFont="true" applyBorder="true" applyAlignment="false" applyProtection="false">
      <alignment horizontal="general" vertical="bottom" textRotation="0" wrapText="false" indent="0" shrinkToFit="false"/>
      <protection locked="true" hidden="false"/>
    </xf>
    <xf numFmtId="176" fontId="29" fillId="0" borderId="19" xfId="0" applyFont="true" applyBorder="true" applyAlignment="false" applyProtection="false">
      <alignment horizontal="general" vertical="bottom" textRotation="0" wrapText="false" indent="0" shrinkToFit="false"/>
      <protection locked="true" hidden="false"/>
    </xf>
    <xf numFmtId="178" fontId="29" fillId="3" borderId="0" xfId="0" applyFont="true" applyBorder="false" applyAlignment="true" applyProtection="false">
      <alignment horizontal="center" vertical="bottom" textRotation="0" wrapText="false" indent="0" shrinkToFit="false"/>
      <protection locked="true" hidden="false"/>
    </xf>
    <xf numFmtId="171" fontId="29" fillId="3" borderId="36" xfId="0" applyFont="true" applyBorder="true" applyAlignment="true" applyProtection="false">
      <alignment horizontal="left" vertical="bottom" textRotation="0" wrapText="true" indent="7" shrinkToFit="false"/>
      <protection locked="true" hidden="false"/>
    </xf>
    <xf numFmtId="176" fontId="29" fillId="3" borderId="21" xfId="0" applyFont="true" applyBorder="true" applyAlignment="false" applyProtection="false">
      <alignment horizontal="general" vertical="bottom" textRotation="0" wrapText="false" indent="0" shrinkToFit="false"/>
      <protection locked="true" hidden="false"/>
    </xf>
    <xf numFmtId="176" fontId="29" fillId="3" borderId="19" xfId="0" applyFont="true" applyBorder="true" applyAlignment="false" applyProtection="false">
      <alignment horizontal="general" vertical="bottom" textRotation="0" wrapText="false" indent="0" shrinkToFit="false"/>
      <protection locked="true" hidden="false"/>
    </xf>
    <xf numFmtId="170" fontId="29" fillId="3" borderId="0" xfId="0" applyFont="true" applyBorder="fals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6" fontId="29" fillId="0" borderId="19" xfId="0" applyFont="true" applyBorder="true" applyAlignment="true" applyProtection="false">
      <alignment horizontal="center" vertical="bottom" textRotation="0" wrapText="false" indent="0" shrinkToFit="false"/>
      <protection locked="true" hidden="false"/>
    </xf>
    <xf numFmtId="170"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69" fontId="33" fillId="3" borderId="0" xfId="0" applyFont="true" applyBorder="false" applyAlignment="true" applyProtection="false">
      <alignment horizontal="left" vertical="bottom" textRotation="0" wrapText="false" indent="0" shrinkToFit="false"/>
      <protection locked="true" hidden="false"/>
    </xf>
    <xf numFmtId="178"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8"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6" fontId="29" fillId="3" borderId="26" xfId="0" applyFont="true" applyBorder="tru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0" fontId="33" fillId="3" borderId="0" xfId="0" applyFont="true" applyBorder="false" applyAlignment="true" applyProtection="false">
      <alignment horizontal="general" vertical="bottom" textRotation="0" wrapText="true" indent="0" shrinkToFit="false"/>
      <protection locked="true" hidden="false"/>
    </xf>
    <xf numFmtId="170" fontId="33" fillId="0" borderId="19" xfId="0" applyFont="true" applyBorder="true" applyAlignment="false" applyProtection="false">
      <alignment horizontal="general" vertical="bottom" textRotation="0" wrapText="false" indent="0" shrinkToFit="false"/>
      <protection locked="true" hidden="false"/>
    </xf>
    <xf numFmtId="170" fontId="29" fillId="3" borderId="19" xfId="0" applyFont="true" applyBorder="true" applyAlignment="false" applyProtection="false">
      <alignment horizontal="general" vertical="bottom" textRotation="0" wrapText="false" indent="0" shrinkToFit="false"/>
      <protection locked="true" hidden="false"/>
    </xf>
    <xf numFmtId="164" fontId="33" fillId="3" borderId="27" xfId="0" applyFont="true" applyBorder="true" applyAlignment="true" applyProtection="false">
      <alignment horizontal="right" vertical="center" textRotation="0" wrapText="true" indent="0" shrinkToFit="false"/>
      <protection locked="true" hidden="false"/>
    </xf>
    <xf numFmtId="176"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0" fontId="29" fillId="3" borderId="38" xfId="0" applyFont="true" applyBorder="true" applyAlignment="false" applyProtection="false">
      <alignment horizontal="general" vertical="bottom" textRotation="0" wrapText="false" indent="0" shrinkToFit="false"/>
      <protection locked="true" hidden="false"/>
    </xf>
    <xf numFmtId="176" fontId="29" fillId="3" borderId="38" xfId="0" applyFont="true" applyBorder="true" applyAlignment="false" applyProtection="false">
      <alignment horizontal="general" vertical="bottom" textRotation="0" wrapText="false" indent="0" shrinkToFit="false"/>
      <protection locked="true" hidden="false"/>
    </xf>
    <xf numFmtId="178" fontId="29" fillId="3" borderId="38" xfId="0" applyFont="true" applyBorder="true" applyAlignment="true" applyProtection="false">
      <alignment horizontal="center" vertical="bottom" textRotation="0" wrapText="false" indent="0" shrinkToFit="false"/>
      <protection locked="true" hidden="false"/>
    </xf>
    <xf numFmtId="176" fontId="29" fillId="3" borderId="38" xfId="0" applyFont="true" applyBorder="true" applyAlignment="true" applyProtection="false">
      <alignment horizontal="center" vertical="bottom" textRotation="0" wrapText="false" indent="0" shrinkToFit="false"/>
      <protection locked="true" hidden="false"/>
    </xf>
    <xf numFmtId="170"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1" fontId="9" fillId="0" borderId="0" xfId="21" applyFont="true" applyBorder="false" applyAlignment="false" applyProtection="false">
      <alignment horizontal="general" vertical="bottom" textRotation="0" wrapText="false" indent="0" shrinkToFit="false"/>
      <protection locked="true" hidden="false"/>
    </xf>
    <xf numFmtId="173"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1" fontId="9" fillId="3" borderId="0" xfId="21" applyFont="true" applyBorder="false" applyAlignment="false" applyProtection="false">
      <alignment horizontal="general" vertical="bottom" textRotation="0" wrapText="false" indent="0" shrinkToFit="false"/>
      <protection locked="true" hidden="false"/>
    </xf>
    <xf numFmtId="173" fontId="9" fillId="3" borderId="0" xfId="21" applyFont="true" applyBorder="false" applyAlignment="false" applyProtection="false">
      <alignment horizontal="general" vertical="bottom" textRotation="0" wrapText="false" indent="0" shrinkToFit="false"/>
      <protection locked="true" hidden="false"/>
    </xf>
    <xf numFmtId="171" fontId="10" fillId="3" borderId="19" xfId="21" applyFont="true" applyBorder="true" applyAlignment="true" applyProtection="false">
      <alignment horizontal="center" vertical="bottom" textRotation="0" wrapText="true" indent="0" shrinkToFit="false"/>
      <protection locked="true" hidden="false"/>
    </xf>
    <xf numFmtId="171" fontId="9" fillId="3" borderId="0" xfId="21" applyFont="true" applyBorder="false" applyAlignment="true" applyProtection="false">
      <alignment horizontal="center" vertical="bottom" textRotation="0" wrapText="true" indent="0" shrinkToFit="false"/>
      <protection locked="true" hidden="false"/>
    </xf>
    <xf numFmtId="173" fontId="10" fillId="3" borderId="19" xfId="21" applyFont="true" applyBorder="true" applyAlignment="true" applyProtection="false">
      <alignment horizontal="center" vertical="bottom" textRotation="0" wrapText="true" indent="0" shrinkToFit="false"/>
      <protection locked="true" hidden="false"/>
    </xf>
    <xf numFmtId="173" fontId="9" fillId="3" borderId="0" xfId="21" applyFont="true" applyBorder="false" applyAlignment="true" applyProtection="false">
      <alignment horizontal="center" vertical="bottom" textRotation="0" wrapText="true" indent="0" shrinkToFit="false"/>
      <protection locked="true" hidden="false"/>
    </xf>
    <xf numFmtId="171" fontId="10" fillId="3" borderId="40" xfId="21" applyFont="true" applyBorder="true" applyAlignment="true" applyProtection="false">
      <alignment horizontal="center" vertical="bottom" textRotation="0" wrapText="false" indent="0" shrinkToFit="false"/>
      <protection locked="true" hidden="false"/>
    </xf>
    <xf numFmtId="171" fontId="10" fillId="3" borderId="41" xfId="21" applyFont="true" applyBorder="true" applyAlignment="true" applyProtection="false">
      <alignment horizontal="left" vertical="bottom" textRotation="0" wrapText="false" indent="1" shrinkToFit="false"/>
      <protection locked="true" hidden="false"/>
    </xf>
    <xf numFmtId="171" fontId="9" fillId="3" borderId="0" xfId="21" applyFont="true" applyBorder="false" applyAlignment="true" applyProtection="false">
      <alignment horizontal="left" vertical="bottom" textRotation="0" wrapText="false" indent="1" shrinkToFit="false"/>
      <protection locked="true" hidden="false"/>
    </xf>
    <xf numFmtId="173" fontId="9" fillId="0" borderId="26" xfId="21" applyFont="true" applyBorder="true" applyAlignment="false" applyProtection="false">
      <alignment horizontal="general" vertical="bottom" textRotation="0" wrapText="false" indent="0" shrinkToFit="false"/>
      <protection locked="true" hidden="false"/>
    </xf>
    <xf numFmtId="171"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6"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6"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6"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false">
      <alignment horizontal="general" vertical="bottom" textRotation="0" wrapText="false" indent="0" shrinkToFit="false"/>
      <protection locked="true" hidden="false"/>
    </xf>
    <xf numFmtId="166"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6" fontId="26" fillId="0" borderId="26" xfId="0" applyFont="true" applyBorder="true" applyAlignment="true" applyProtection="false">
      <alignment horizontal="center" vertical="center" textRotation="0" wrapText="tru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6" fontId="26" fillId="0" borderId="0" xfId="21" applyFont="true" applyBorder="false" applyAlignment="false" applyProtection="false">
      <alignment horizontal="general" vertical="bottom" textRotation="0" wrapText="false" indent="0" shrinkToFit="false"/>
      <protection locked="true" hidden="false"/>
    </xf>
    <xf numFmtId="170"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3" fontId="26" fillId="0" borderId="0" xfId="21" applyFont="true" applyBorder="false" applyAlignment="true" applyProtection="false">
      <alignment horizontal="center" vertical="bottom" textRotation="0" wrapText="false" indent="0" shrinkToFit="false"/>
      <protection locked="true" hidden="false"/>
    </xf>
    <xf numFmtId="176" fontId="28" fillId="0" borderId="0" xfId="21" applyFont="true" applyBorder="false" applyAlignment="true" applyProtection="false">
      <alignment horizontal="center" vertical="bottom" textRotation="0" wrapText="false" indent="0" shrinkToFit="false"/>
      <protection locked="true" hidden="false"/>
    </xf>
    <xf numFmtId="170" fontId="28" fillId="0" borderId="0" xfId="21" applyFont="true" applyBorder="false" applyAlignment="true" applyProtection="false">
      <alignment horizontal="center" vertical="bottom" textRotation="0" wrapText="false" indent="0" shrinkToFit="false"/>
      <protection locked="true" hidden="false"/>
    </xf>
    <xf numFmtId="171" fontId="26" fillId="3" borderId="19" xfId="21" applyFont="true" applyBorder="true" applyAlignment="true" applyProtection="false">
      <alignment horizontal="center" vertical="center" textRotation="0" wrapText="true" indent="0" shrinkToFit="false"/>
      <protection locked="true" hidden="false"/>
    </xf>
    <xf numFmtId="176" fontId="26" fillId="3" borderId="19" xfId="21" applyFont="true" applyBorder="true" applyAlignment="true" applyProtection="false">
      <alignment horizontal="center" vertical="center" textRotation="0" wrapText="true" indent="0" shrinkToFit="false"/>
      <protection locked="true" hidden="false"/>
    </xf>
    <xf numFmtId="170" fontId="27" fillId="3" borderId="0" xfId="21" applyFont="true" applyBorder="false" applyAlignment="false" applyProtection="false">
      <alignment horizontal="general" vertical="bottom" textRotation="0" wrapText="false" indent="0" shrinkToFit="false"/>
      <protection locked="true" hidden="false"/>
    </xf>
    <xf numFmtId="176" fontId="27" fillId="3" borderId="19" xfId="21" applyFont="true" applyBorder="true" applyAlignment="true" applyProtection="false">
      <alignment horizontal="center" vertical="bottom" textRotation="0" wrapText="false" indent="0" shrinkToFit="false"/>
      <protection locked="true" hidden="false"/>
    </xf>
    <xf numFmtId="173" fontId="27" fillId="3"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true" applyProtection="false">
      <alignment horizontal="center" vertical="bottom" textRotation="0" wrapText="false" indent="0" shrinkToFit="false"/>
      <protection locked="true" hidden="false"/>
    </xf>
    <xf numFmtId="171" fontId="27" fillId="5" borderId="19" xfId="21" applyFont="true" applyBorder="true" applyAlignment="true" applyProtection="false">
      <alignment horizontal="center" vertical="bottom" textRotation="0" wrapText="false" indent="0" shrinkToFit="false"/>
      <protection locked="true" hidden="false"/>
    </xf>
    <xf numFmtId="176" fontId="27" fillId="3" borderId="30" xfId="21" applyFont="true" applyBorder="true" applyAlignment="true" applyProtection="false">
      <alignment horizontal="center" vertical="bottom" textRotation="0" wrapText="false" indent="0" shrinkToFit="false"/>
      <protection locked="true" hidden="false"/>
    </xf>
    <xf numFmtId="176" fontId="27" fillId="0" borderId="0" xfId="21" applyFont="true" applyBorder="false" applyAlignment="false" applyProtection="false">
      <alignment horizontal="general" vertical="bottom" textRotation="0" wrapText="false" indent="0" shrinkToFit="false"/>
      <protection locked="true" hidden="false"/>
    </xf>
    <xf numFmtId="170" fontId="26" fillId="3" borderId="21" xfId="21" applyFont="true" applyBorder="true" applyAlignment="true" applyProtection="false">
      <alignment horizontal="center" vertical="center" textRotation="0" wrapText="true" indent="0" shrinkToFit="false"/>
      <protection locked="true" hidden="false"/>
    </xf>
    <xf numFmtId="177" fontId="29" fillId="3" borderId="30" xfId="21" applyFont="true" applyBorder="true" applyAlignment="true" applyProtection="false">
      <alignment horizontal="center" vertical="center" textRotation="0" wrapText="true" indent="0" shrinkToFit="false"/>
      <protection locked="true" hidden="false"/>
    </xf>
    <xf numFmtId="173" fontId="26" fillId="3" borderId="19" xfId="21" applyFont="true" applyBorder="true" applyAlignment="true" applyProtection="false">
      <alignment horizontal="center" vertical="center" textRotation="0" wrapText="true" indent="0" shrinkToFit="false"/>
      <protection locked="true" hidden="false"/>
    </xf>
    <xf numFmtId="176" fontId="26" fillId="5" borderId="19" xfId="21" applyFont="true" applyBorder="true" applyAlignment="true" applyProtection="false">
      <alignment horizontal="center" vertical="center" textRotation="0" wrapText="true" indent="0" shrinkToFit="false"/>
      <protection locked="true" hidden="false"/>
    </xf>
    <xf numFmtId="170" fontId="26"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center" vertical="center" textRotation="0" wrapText="true" indent="0" shrinkToFit="false"/>
      <protection locked="true" hidden="false"/>
    </xf>
    <xf numFmtId="171" fontId="29" fillId="0" borderId="0" xfId="21" applyFont="true" applyBorder="false" applyAlignment="false" applyProtection="false">
      <alignment horizontal="general" vertical="bottom" textRotation="0" wrapText="false" indent="0" shrinkToFit="false"/>
      <protection locked="true" hidden="false"/>
    </xf>
    <xf numFmtId="176" fontId="26" fillId="0" borderId="38" xfId="21" applyFont="true" applyBorder="true" applyAlignment="false" applyProtection="false">
      <alignment horizontal="general" vertical="bottom" textRotation="0" wrapText="false" indent="0" shrinkToFit="false"/>
      <protection locked="true" hidden="false"/>
    </xf>
    <xf numFmtId="170" fontId="26" fillId="0" borderId="38" xfId="21" applyFont="true" applyBorder="tru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3" fontId="26" fillId="0" borderId="38" xfId="21" applyFont="true" applyBorder="true" applyAlignment="true" applyProtection="false">
      <alignment horizontal="center" vertical="bottom" textRotation="0" wrapText="false" indent="0" shrinkToFit="false"/>
      <protection locked="true" hidden="false"/>
    </xf>
    <xf numFmtId="176" fontId="28" fillId="0" borderId="38" xfId="21" applyFont="true" applyBorder="true" applyAlignment="true" applyProtection="false">
      <alignment horizontal="center" vertical="bottom" textRotation="0" wrapText="false" indent="0" shrinkToFit="false"/>
      <protection locked="true" hidden="false"/>
    </xf>
    <xf numFmtId="170" fontId="28" fillId="0" borderId="38" xfId="21" applyFont="true" applyBorder="true" applyAlignment="true" applyProtection="false">
      <alignment horizontal="center" vertical="bottom" textRotation="0" wrapText="false" indent="0" shrinkToFit="false"/>
      <protection locked="true" hidden="false"/>
    </xf>
    <xf numFmtId="171"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6" fontId="26" fillId="0" borderId="0" xfId="21" applyFont="true" applyBorder="false" applyAlignment="true" applyProtection="false">
      <alignment horizontal="right"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6" fontId="29" fillId="0" borderId="0" xfId="21" applyFont="true" applyBorder="false" applyAlignment="false" applyProtection="false">
      <alignment horizontal="general" vertical="bottom" textRotation="0" wrapText="false" indent="0" shrinkToFit="false"/>
      <protection locked="true" hidden="false"/>
    </xf>
    <xf numFmtId="176" fontId="26" fillId="3" borderId="19" xfId="21" applyFont="true" applyBorder="true" applyAlignment="true" applyProtection="false">
      <alignment horizontal="center" vertical="bottom" textRotation="0" wrapText="false" indent="0" shrinkToFit="false"/>
      <protection locked="true" hidden="false"/>
    </xf>
    <xf numFmtId="176" fontId="27" fillId="3" borderId="19" xfId="21" applyFont="true" applyBorder="true" applyAlignment="true" applyProtection="false">
      <alignment horizontal="center" vertical="center" textRotation="0" wrapText="false" indent="0" shrinkToFit="false"/>
      <protection locked="true" hidden="false"/>
    </xf>
    <xf numFmtId="176" fontId="28" fillId="3"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true" applyProtection="false">
      <alignment horizontal="center" vertical="bottom" textRotation="0" wrapText="false" indent="0" shrinkToFit="false"/>
      <protection locked="true" hidden="false"/>
    </xf>
    <xf numFmtId="171" fontId="26" fillId="5"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false" applyProtection="false">
      <alignment horizontal="general" vertical="bottom" textRotation="0" wrapText="false" indent="0" shrinkToFit="false"/>
      <protection locked="true" hidden="false"/>
    </xf>
    <xf numFmtId="176" fontId="33" fillId="3" borderId="19" xfId="21" applyFont="true" applyBorder="true" applyAlignment="true" applyProtection="false">
      <alignment horizontal="center" vertical="bottom" textRotation="0" wrapText="false" indent="0" shrinkToFit="false"/>
      <protection locked="true" hidden="false"/>
    </xf>
    <xf numFmtId="176" fontId="33" fillId="3" borderId="30" xfId="21" applyFont="true" applyBorder="true" applyAlignment="true" applyProtection="false">
      <alignment horizontal="center" vertical="bottom" textRotation="0" wrapText="false" indent="0" shrinkToFit="false"/>
      <protection locked="true" hidden="false"/>
    </xf>
    <xf numFmtId="171" fontId="29" fillId="3" borderId="19" xfId="21" applyFont="true" applyBorder="true" applyAlignment="true" applyProtection="false">
      <alignment horizontal="center" vertical="center" textRotation="0" wrapText="true" indent="0" shrinkToFit="false"/>
      <protection locked="true" hidden="false"/>
    </xf>
    <xf numFmtId="176"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6" fontId="29" fillId="3" borderId="19" xfId="21" applyFont="true" applyBorder="true" applyAlignment="true" applyProtection="false">
      <alignment horizontal="center" vertical="center" textRotation="0" wrapText="true" indent="0" shrinkToFit="false"/>
      <protection locked="true" hidden="false"/>
    </xf>
    <xf numFmtId="176" fontId="29" fillId="5"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64"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6"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6" fontId="26" fillId="3" borderId="19" xfId="21" applyFont="true" applyBorder="true" applyAlignment="true" applyProtection="false">
      <alignment horizontal="right" vertical="bottom" textRotation="0" wrapText="false" indent="0" shrinkToFit="false"/>
      <protection locked="true" hidden="false"/>
    </xf>
    <xf numFmtId="176" fontId="33" fillId="3" borderId="30" xfId="21" applyFont="true" applyBorder="true" applyAlignment="true" applyProtection="false">
      <alignment horizontal="center" vertical="center" textRotation="0" wrapText="true" indent="0" shrinkToFit="false"/>
      <protection locked="true" hidden="false"/>
    </xf>
    <xf numFmtId="176"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6" fontId="33" fillId="5" borderId="19" xfId="21" applyFont="true" applyBorder="true" applyAlignment="true" applyProtection="false">
      <alignment horizontal="center" vertical="center" textRotation="0" wrapText="true" indent="0" shrinkToFit="false"/>
      <protection locked="true" hidden="false"/>
    </xf>
    <xf numFmtId="175"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6" fontId="26" fillId="0" borderId="38" xfId="21" applyFont="true" applyBorder="true" applyAlignment="true" applyProtection="false">
      <alignment horizontal="right"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6" fontId="29" fillId="0" borderId="38" xfId="21" applyFont="true" applyBorder="true" applyAlignment="false" applyProtection="false">
      <alignment horizontal="general" vertical="bottom" textRotation="0" wrapText="false" indent="0" shrinkToFit="false"/>
      <protection locked="true" hidden="false"/>
    </xf>
    <xf numFmtId="175" fontId="12" fillId="3" borderId="0" xfId="21" applyFont="true" applyBorder="false" applyAlignment="false" applyProtection="false">
      <alignment horizontal="general" vertical="bottom" textRotation="0" wrapText="false" indent="0" shrinkToFit="false"/>
      <protection locked="true" hidden="false"/>
    </xf>
    <xf numFmtId="174" fontId="26" fillId="3" borderId="19"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false" applyProtection="false">
      <alignment horizontal="general"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1"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8" fontId="9" fillId="0" borderId="19" xfId="0" applyFont="true" applyBorder="true" applyAlignment="true" applyProtection="true">
      <alignment horizontal="center" vertical="bottom" textRotation="0" wrapText="false" indent="0" shrinkToFit="false"/>
      <protection locked="true" hidden="true"/>
    </xf>
    <xf numFmtId="170"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8" fontId="9" fillId="3" borderId="0" xfId="0" applyFont="true" applyBorder="false" applyAlignment="true" applyProtection="true">
      <alignment horizontal="center" vertical="bottom" textRotation="0" wrapText="false" indent="0" shrinkToFit="false"/>
      <protection locked="true" hidden="true"/>
    </xf>
    <xf numFmtId="175"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5" fontId="9" fillId="3" borderId="0" xfId="0" applyFont="true" applyBorder="false" applyAlignment="true" applyProtection="true">
      <alignment horizontal="center" vertical="bottom" textRotation="0" wrapText="fals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customFormat="false" ht="54.75" hidden="false" customHeight="true" outlineLevel="0" collapsed="false">
      <c r="A4" s="5"/>
      <c r="B4" s="6" t="s">
        <v>1</v>
      </c>
      <c r="C4" s="6"/>
      <c r="D4" s="6"/>
      <c r="E4" s="6"/>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row r="22" customFormat="false" ht="12.75" hidden="false" customHeight="true" outlineLevel="0" collapsed="false">
      <c r="B22" s="6" t="s">
        <v>6</v>
      </c>
      <c r="C22" s="6"/>
      <c r="D22" s="6"/>
      <c r="E22" s="6"/>
    </row>
    <row r="23" customFormat="false" ht="23.85" hidden="false" customHeight="true" outlineLevel="0" collapsed="false">
      <c r="B23" s="6" t="s">
        <v>7</v>
      </c>
      <c r="C23" s="6"/>
      <c r="D23" s="6"/>
      <c r="E23" s="6"/>
    </row>
  </sheetData>
  <mergeCells count="4">
    <mergeCell ref="B2:E2"/>
    <mergeCell ref="B4:E4"/>
    <mergeCell ref="B22:E22"/>
    <mergeCell ref="B23:E2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11</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12</v>
      </c>
      <c r="D7" s="17"/>
      <c r="E7" s="17"/>
      <c r="F7" s="16"/>
      <c r="G7" s="16"/>
      <c r="H7" s="16"/>
      <c r="I7" s="16"/>
      <c r="J7" s="16"/>
      <c r="K7" s="16"/>
      <c r="L7" s="22" t="n">
        <v>4</v>
      </c>
      <c r="M7" s="16"/>
      <c r="N7" s="17" t="s">
        <v>13</v>
      </c>
      <c r="O7" s="17"/>
      <c r="P7" s="17"/>
      <c r="Q7" s="17"/>
      <c r="R7" s="23"/>
      <c r="S7" s="24"/>
      <c r="T7" s="24"/>
      <c r="U7" s="24"/>
      <c r="V7" s="17"/>
      <c r="W7" s="25"/>
    </row>
    <row r="8" customFormat="false" ht="15" hidden="false" customHeight="true" outlineLevel="0" collapsed="false">
      <c r="A8" s="26"/>
      <c r="B8" s="16"/>
      <c r="C8" s="19" t="s">
        <v>14</v>
      </c>
      <c r="D8" s="19"/>
      <c r="E8" s="19"/>
      <c r="F8" s="19"/>
      <c r="G8" s="19"/>
      <c r="H8" s="19"/>
      <c r="I8" s="19"/>
      <c r="J8" s="19"/>
      <c r="K8" s="16"/>
      <c r="L8" s="16"/>
      <c r="M8" s="16"/>
      <c r="N8" s="27" t="s">
        <v>15</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16</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17</v>
      </c>
      <c r="D12" s="19"/>
      <c r="E12" s="19"/>
      <c r="F12" s="19"/>
      <c r="G12" s="19"/>
      <c r="H12" s="19"/>
      <c r="I12" s="19"/>
      <c r="J12" s="19"/>
      <c r="K12" s="16"/>
      <c r="L12" s="22" t="n">
        <v>5</v>
      </c>
      <c r="M12" s="16"/>
      <c r="N12" s="17" t="s">
        <v>18</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19</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20</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21</v>
      </c>
      <c r="O18" s="37"/>
      <c r="P18" s="17"/>
      <c r="Q18" s="17"/>
      <c r="R18" s="17"/>
      <c r="S18" s="31" t="n">
        <f aca="false">Admin!B17</f>
        <v>46482</v>
      </c>
      <c r="T18" s="31"/>
      <c r="U18" s="31"/>
      <c r="V18" s="31"/>
      <c r="W18" s="25"/>
    </row>
    <row r="19" customFormat="false" ht="12" hidden="false" customHeight="false" outlineLevel="0" collapsed="false">
      <c r="A19" s="22" t="n">
        <v>3</v>
      </c>
      <c r="B19" s="16"/>
      <c r="C19" s="17" t="s">
        <v>22</v>
      </c>
      <c r="D19" s="16"/>
      <c r="E19" s="16"/>
      <c r="F19" s="16"/>
      <c r="G19" s="16"/>
      <c r="H19" s="16"/>
      <c r="I19" s="16"/>
      <c r="J19" s="16"/>
      <c r="K19" s="16"/>
      <c r="L19" s="16"/>
      <c r="M19" s="17"/>
      <c r="N19" s="27" t="s">
        <v>23</v>
      </c>
      <c r="O19" s="28"/>
      <c r="P19" s="28"/>
      <c r="Q19" s="28"/>
      <c r="R19" s="16"/>
      <c r="S19" s="16"/>
      <c r="T19" s="16"/>
      <c r="U19" s="16"/>
      <c r="V19" s="16"/>
      <c r="W19" s="29"/>
    </row>
    <row r="20" customFormat="false" ht="12" hidden="false" customHeight="false" outlineLevel="0" collapsed="false">
      <c r="A20" s="26"/>
      <c r="B20" s="16"/>
      <c r="C20" s="17" t="s">
        <v>24</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25</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26</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27</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28</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29</v>
      </c>
      <c r="D27" s="16"/>
      <c r="E27" s="16"/>
      <c r="F27" s="16"/>
      <c r="G27" s="16"/>
      <c r="H27" s="16"/>
      <c r="I27" s="16"/>
      <c r="J27" s="16"/>
      <c r="K27" s="16"/>
      <c r="L27" s="22" t="n">
        <v>24</v>
      </c>
      <c r="M27" s="16"/>
      <c r="N27" s="40" t="s">
        <v>30</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31</v>
      </c>
      <c r="O28" s="17"/>
      <c r="P28" s="17"/>
      <c r="Q28" s="17"/>
      <c r="R28" s="17"/>
      <c r="S28" s="17"/>
      <c r="T28" s="17"/>
      <c r="U28" s="17"/>
      <c r="V28" s="17"/>
      <c r="W28" s="29"/>
    </row>
    <row r="29" customFormat="false" ht="15" hidden="false" customHeight="true" outlineLevel="0" collapsed="false">
      <c r="A29" s="16"/>
      <c r="B29" s="16"/>
      <c r="C29" s="41" t="s">
        <v>32</v>
      </c>
      <c r="D29" s="42" t="n">
        <v>0</v>
      </c>
      <c r="E29" s="42"/>
      <c r="F29" s="42"/>
      <c r="G29" s="43" t="s">
        <v>33</v>
      </c>
      <c r="H29" s="44" t="n">
        <v>0</v>
      </c>
      <c r="I29" s="44" t="n">
        <v>0</v>
      </c>
      <c r="J29" s="16"/>
      <c r="K29" s="16"/>
      <c r="L29" s="17"/>
      <c r="M29" s="16"/>
      <c r="N29" s="41" t="s">
        <v>32</v>
      </c>
      <c r="O29" s="42" t="n">
        <v>0</v>
      </c>
      <c r="P29" s="42"/>
      <c r="Q29" s="42"/>
      <c r="R29" s="43" t="s">
        <v>33</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customFormat="false" ht="12" hidden="false" customHeight="true" outlineLevel="0" collapsed="false">
      <c r="A31" s="28"/>
      <c r="B31" s="28"/>
      <c r="C31" s="27" t="s">
        <v>34</v>
      </c>
      <c r="D31" s="46"/>
      <c r="E31" s="46"/>
      <c r="F31" s="46"/>
      <c r="G31" s="43"/>
      <c r="H31" s="47"/>
      <c r="I31" s="47"/>
      <c r="J31" s="28"/>
      <c r="K31" s="28"/>
      <c r="L31" s="28"/>
      <c r="M31" s="28"/>
      <c r="N31" s="27" t="s">
        <v>35</v>
      </c>
      <c r="O31" s="28"/>
      <c r="P31" s="28"/>
      <c r="Q31" s="28"/>
      <c r="R31" s="28"/>
      <c r="S31" s="28"/>
      <c r="T31" s="28"/>
      <c r="U31" s="28"/>
      <c r="V31" s="28"/>
      <c r="W31" s="48"/>
      <c r="X31" s="49"/>
      <c r="Y31" s="49"/>
      <c r="Z31" s="49"/>
      <c r="AA31" s="49"/>
      <c r="AB31" s="49"/>
      <c r="AC31" s="49"/>
      <c r="AD31" s="49"/>
      <c r="AE31" s="49"/>
      <c r="AF31" s="49"/>
      <c r="AG31" s="49"/>
      <c r="AH31" s="49"/>
      <c r="AI31" s="49"/>
      <c r="AJ31" s="49"/>
      <c r="AK31" s="49"/>
      <c r="AL31" s="49"/>
      <c r="AM31" s="49"/>
      <c r="AN31" s="49"/>
      <c r="AO31" s="49"/>
      <c r="AP31" s="49"/>
      <c r="AQ31" s="49"/>
      <c r="AR31" s="49"/>
      <c r="AS31" s="49"/>
      <c r="AT31" s="49"/>
      <c r="AU31" s="49"/>
      <c r="AV31" s="49"/>
      <c r="AW31" s="49"/>
      <c r="AX31" s="49"/>
      <c r="AY31" s="49"/>
      <c r="AZ31" s="49"/>
      <c r="BA31" s="49"/>
      <c r="BB31" s="49"/>
      <c r="BC31" s="49"/>
      <c r="BD31" s="49"/>
      <c r="BE31" s="49"/>
      <c r="BF31" s="49"/>
      <c r="BG31" s="49"/>
      <c r="BH31" s="49"/>
      <c r="BI31" s="49"/>
      <c r="BJ31" s="49"/>
      <c r="BK31" s="49"/>
      <c r="BL31" s="49"/>
      <c r="BM31" s="49"/>
      <c r="BN31" s="49"/>
      <c r="BO31" s="49"/>
      <c r="BP31" s="49"/>
      <c r="BQ31" s="49"/>
      <c r="BR31" s="49"/>
      <c r="BS31" s="49"/>
      <c r="BT31" s="49"/>
      <c r="BU31" s="49"/>
      <c r="BV31" s="49"/>
      <c r="BW31" s="49"/>
      <c r="BX31" s="49"/>
      <c r="BY31" s="49"/>
      <c r="BZ31" s="49"/>
      <c r="CA31" s="49"/>
      <c r="CB31" s="49"/>
      <c r="CC31" s="49"/>
      <c r="CD31" s="49"/>
      <c r="CE31" s="49"/>
      <c r="CF31" s="49"/>
      <c r="CG31" s="49"/>
      <c r="CH31" s="49"/>
      <c r="CI31" s="49"/>
      <c r="CJ31" s="49"/>
      <c r="CK31" s="49"/>
      <c r="CL31" s="49"/>
      <c r="CM31" s="49"/>
      <c r="CN31" s="49"/>
      <c r="CO31" s="49"/>
      <c r="CP31" s="49"/>
      <c r="CQ31" s="49"/>
      <c r="CR31" s="49"/>
      <c r="CS31" s="49"/>
      <c r="CT31" s="49"/>
      <c r="CU31" s="49"/>
      <c r="CV31" s="49"/>
      <c r="CW31" s="49"/>
      <c r="CX31" s="49"/>
      <c r="CY31" s="49"/>
      <c r="CZ31" s="49"/>
      <c r="DA31" s="49"/>
      <c r="DB31" s="49"/>
      <c r="DC31" s="49"/>
      <c r="DD31" s="49"/>
      <c r="DE31" s="49"/>
      <c r="DF31" s="49"/>
      <c r="DG31" s="49"/>
      <c r="DH31" s="49"/>
      <c r="DI31" s="49"/>
      <c r="DJ31" s="49"/>
      <c r="DK31" s="49"/>
      <c r="DL31" s="49"/>
      <c r="DM31" s="49"/>
      <c r="DN31" s="49"/>
      <c r="DO31" s="49"/>
      <c r="DP31" s="49"/>
      <c r="DQ31" s="49"/>
      <c r="DR31" s="49"/>
      <c r="DS31" s="49"/>
      <c r="DT31" s="49"/>
      <c r="DU31" s="49"/>
      <c r="DV31" s="49"/>
      <c r="DW31" s="49"/>
      <c r="DX31" s="49"/>
      <c r="DY31" s="49"/>
      <c r="DZ31" s="49"/>
      <c r="EA31" s="49"/>
      <c r="EB31" s="49"/>
      <c r="EC31" s="49"/>
      <c r="ED31" s="49"/>
      <c r="EE31" s="49"/>
      <c r="EF31" s="49"/>
      <c r="EG31" s="49"/>
      <c r="EH31" s="49"/>
      <c r="EI31" s="49"/>
      <c r="EJ31" s="49"/>
      <c r="EK31" s="49"/>
      <c r="EL31" s="49"/>
      <c r="EM31" s="49"/>
      <c r="EN31" s="49"/>
      <c r="EO31" s="49"/>
      <c r="EP31" s="49"/>
      <c r="EQ31" s="49"/>
      <c r="ER31" s="49"/>
      <c r="ES31" s="49"/>
      <c r="ET31" s="49"/>
      <c r="EU31" s="49"/>
      <c r="EV31" s="49"/>
      <c r="EW31" s="49"/>
      <c r="EX31" s="49"/>
      <c r="EY31" s="49"/>
      <c r="EZ31" s="49"/>
      <c r="FA31" s="49"/>
      <c r="FB31" s="49"/>
      <c r="FC31" s="49"/>
      <c r="FD31" s="49"/>
      <c r="FE31" s="49"/>
      <c r="FF31" s="49"/>
      <c r="FG31" s="49"/>
      <c r="FH31" s="49"/>
      <c r="FI31" s="49"/>
      <c r="FJ31" s="49"/>
      <c r="FK31" s="49"/>
      <c r="FL31" s="49"/>
      <c r="FM31" s="49"/>
      <c r="FN31" s="49"/>
      <c r="FO31" s="49"/>
      <c r="FP31" s="49"/>
      <c r="FQ31" s="49"/>
      <c r="FR31" s="49"/>
      <c r="FS31" s="49"/>
      <c r="FT31" s="49"/>
      <c r="FU31" s="49"/>
      <c r="FV31" s="49"/>
      <c r="FW31" s="49"/>
      <c r="FX31" s="49"/>
      <c r="FY31" s="49"/>
      <c r="FZ31" s="49"/>
      <c r="GA31" s="49"/>
      <c r="GB31" s="49"/>
      <c r="GC31" s="49"/>
      <c r="GD31" s="49"/>
      <c r="GE31" s="49"/>
      <c r="GF31" s="49"/>
      <c r="GG31" s="49"/>
      <c r="GH31" s="49"/>
      <c r="GI31" s="49"/>
      <c r="GJ31" s="49"/>
      <c r="GK31" s="49"/>
      <c r="GL31" s="49"/>
      <c r="GM31" s="49"/>
      <c r="GN31" s="49"/>
      <c r="GO31" s="49"/>
      <c r="GP31" s="49"/>
      <c r="GQ31" s="49"/>
      <c r="GR31" s="49"/>
      <c r="GS31" s="49"/>
      <c r="GT31" s="49"/>
      <c r="GU31" s="49"/>
      <c r="GV31" s="49"/>
      <c r="GW31" s="49"/>
      <c r="GX31" s="49"/>
      <c r="GY31" s="49"/>
      <c r="GZ31" s="49"/>
      <c r="HA31" s="49"/>
      <c r="HB31" s="49"/>
      <c r="HC31" s="49"/>
      <c r="HD31" s="49"/>
      <c r="HE31" s="49"/>
      <c r="HF31" s="49"/>
      <c r="HG31" s="49"/>
      <c r="HH31" s="49"/>
      <c r="HI31" s="49"/>
      <c r="HJ31" s="49"/>
      <c r="HK31" s="49"/>
      <c r="HL31" s="49"/>
      <c r="HM31" s="49"/>
      <c r="HN31" s="49"/>
      <c r="HO31" s="49"/>
      <c r="HP31" s="49"/>
      <c r="HQ31" s="49"/>
      <c r="HR31" s="49"/>
      <c r="HS31" s="49"/>
      <c r="HT31" s="49"/>
      <c r="HU31" s="49"/>
      <c r="HV31" s="49"/>
      <c r="HW31" s="49"/>
      <c r="HX31" s="49"/>
      <c r="HY31" s="49"/>
      <c r="HZ31" s="49"/>
      <c r="IA31" s="49"/>
      <c r="IB31" s="49"/>
      <c r="IC31" s="49"/>
      <c r="ID31" s="49"/>
      <c r="IE31" s="49"/>
      <c r="IF31" s="49"/>
      <c r="IG31" s="49"/>
      <c r="IH31" s="49"/>
      <c r="II31" s="49"/>
      <c r="IJ31" s="49"/>
      <c r="IK31" s="49"/>
      <c r="IL31" s="49"/>
      <c r="IM31" s="49"/>
      <c r="IN31" s="49"/>
      <c r="IO31" s="49"/>
      <c r="IP31" s="49"/>
      <c r="IQ31" s="49"/>
      <c r="IR31" s="49"/>
      <c r="IS31" s="49"/>
      <c r="IT31" s="49"/>
      <c r="IU31" s="49"/>
      <c r="IV31" s="49"/>
      <c r="IW31" s="49"/>
    </row>
    <row r="32" customFormat="false" ht="12" hidden="false" customHeight="true" outlineLevel="0" collapsed="false">
      <c r="A32" s="28"/>
      <c r="B32" s="28"/>
      <c r="C32" s="50" t="s">
        <v>36</v>
      </c>
      <c r="D32" s="46"/>
      <c r="E32" s="46"/>
      <c r="F32" s="46"/>
      <c r="G32" s="43"/>
      <c r="H32" s="47"/>
      <c r="I32" s="47"/>
      <c r="J32" s="28"/>
      <c r="K32" s="28"/>
      <c r="L32" s="28"/>
      <c r="M32" s="28"/>
      <c r="N32" s="50" t="s">
        <v>36</v>
      </c>
      <c r="O32" s="46"/>
      <c r="P32" s="46"/>
      <c r="Q32" s="46"/>
      <c r="R32" s="43"/>
      <c r="S32" s="47"/>
      <c r="T32" s="47"/>
      <c r="U32" s="28"/>
      <c r="V32" s="28"/>
      <c r="W32" s="48"/>
      <c r="X32" s="49"/>
      <c r="Y32" s="49"/>
      <c r="Z32" s="49"/>
      <c r="AA32" s="49"/>
      <c r="AB32" s="49"/>
      <c r="AC32" s="49"/>
      <c r="AD32" s="49"/>
      <c r="AE32" s="49"/>
      <c r="AF32" s="49"/>
      <c r="AG32" s="49"/>
      <c r="AH32" s="49"/>
      <c r="AI32" s="49"/>
      <c r="AJ32" s="49"/>
      <c r="AK32" s="49"/>
      <c r="AL32" s="49"/>
      <c r="AM32" s="49"/>
      <c r="AN32" s="49"/>
      <c r="AO32" s="49"/>
      <c r="AP32" s="49"/>
      <c r="AQ32" s="49"/>
      <c r="AR32" s="49"/>
      <c r="AS32" s="49"/>
      <c r="AT32" s="49"/>
      <c r="AU32" s="49"/>
      <c r="AV32" s="49"/>
      <c r="AW32" s="49"/>
      <c r="AX32" s="49"/>
      <c r="AY32" s="49"/>
      <c r="AZ32" s="49"/>
      <c r="BA32" s="49"/>
      <c r="BB32" s="49"/>
      <c r="BC32" s="49"/>
      <c r="BD32" s="49"/>
      <c r="BE32" s="49"/>
      <c r="BF32" s="49"/>
      <c r="BG32" s="49"/>
      <c r="BH32" s="49"/>
      <c r="BI32" s="49"/>
      <c r="BJ32" s="49"/>
      <c r="BK32" s="49"/>
      <c r="BL32" s="49"/>
      <c r="BM32" s="49"/>
      <c r="BN32" s="49"/>
      <c r="BO32" s="49"/>
      <c r="BP32" s="49"/>
      <c r="BQ32" s="49"/>
      <c r="BR32" s="49"/>
      <c r="BS32" s="49"/>
      <c r="BT32" s="49"/>
      <c r="BU32" s="49"/>
      <c r="BV32" s="49"/>
      <c r="BW32" s="49"/>
      <c r="BX32" s="49"/>
      <c r="BY32" s="49"/>
      <c r="BZ32" s="49"/>
      <c r="CA32" s="49"/>
      <c r="CB32" s="49"/>
      <c r="CC32" s="49"/>
      <c r="CD32" s="49"/>
      <c r="CE32" s="49"/>
      <c r="CF32" s="49"/>
      <c r="CG32" s="49"/>
      <c r="CH32" s="49"/>
      <c r="CI32" s="49"/>
      <c r="CJ32" s="49"/>
      <c r="CK32" s="49"/>
      <c r="CL32" s="49"/>
      <c r="CM32" s="49"/>
      <c r="CN32" s="49"/>
      <c r="CO32" s="49"/>
      <c r="CP32" s="49"/>
      <c r="CQ32" s="49"/>
      <c r="CR32" s="49"/>
      <c r="CS32" s="49"/>
      <c r="CT32" s="49"/>
      <c r="CU32" s="49"/>
      <c r="CV32" s="49"/>
      <c r="CW32" s="49"/>
      <c r="CX32" s="49"/>
      <c r="CY32" s="49"/>
      <c r="CZ32" s="49"/>
      <c r="DA32" s="49"/>
      <c r="DB32" s="49"/>
      <c r="DC32" s="49"/>
      <c r="DD32" s="49"/>
      <c r="DE32" s="49"/>
      <c r="DF32" s="49"/>
      <c r="DG32" s="49"/>
      <c r="DH32" s="49"/>
      <c r="DI32" s="49"/>
      <c r="DJ32" s="49"/>
      <c r="DK32" s="49"/>
      <c r="DL32" s="49"/>
      <c r="DM32" s="49"/>
      <c r="DN32" s="49"/>
      <c r="DO32" s="49"/>
      <c r="DP32" s="49"/>
      <c r="DQ32" s="49"/>
      <c r="DR32" s="49"/>
      <c r="DS32" s="49"/>
      <c r="DT32" s="49"/>
      <c r="DU32" s="49"/>
      <c r="DV32" s="49"/>
      <c r="DW32" s="49"/>
      <c r="DX32" s="49"/>
      <c r="DY32" s="49"/>
      <c r="DZ32" s="49"/>
      <c r="EA32" s="49"/>
      <c r="EB32" s="49"/>
      <c r="EC32" s="49"/>
      <c r="ED32" s="49"/>
      <c r="EE32" s="49"/>
      <c r="EF32" s="49"/>
      <c r="EG32" s="49"/>
      <c r="EH32" s="49"/>
      <c r="EI32" s="49"/>
      <c r="EJ32" s="49"/>
      <c r="EK32" s="49"/>
      <c r="EL32" s="49"/>
      <c r="EM32" s="49"/>
      <c r="EN32" s="49"/>
      <c r="EO32" s="49"/>
      <c r="EP32" s="49"/>
      <c r="EQ32" s="49"/>
      <c r="ER32" s="49"/>
      <c r="ES32" s="49"/>
      <c r="ET32" s="49"/>
      <c r="EU32" s="49"/>
      <c r="EV32" s="49"/>
      <c r="EW32" s="49"/>
      <c r="EX32" s="49"/>
      <c r="EY32" s="49"/>
      <c r="EZ32" s="49"/>
      <c r="FA32" s="49"/>
      <c r="FB32" s="49"/>
      <c r="FC32" s="49"/>
      <c r="FD32" s="49"/>
      <c r="FE32" s="49"/>
      <c r="FF32" s="49"/>
      <c r="FG32" s="49"/>
      <c r="FH32" s="49"/>
      <c r="FI32" s="49"/>
      <c r="FJ32" s="49"/>
      <c r="FK32" s="49"/>
      <c r="FL32" s="49"/>
      <c r="FM32" s="49"/>
      <c r="FN32" s="49"/>
      <c r="FO32" s="49"/>
      <c r="FP32" s="49"/>
      <c r="FQ32" s="49"/>
      <c r="FR32" s="49"/>
      <c r="FS32" s="49"/>
      <c r="FT32" s="49"/>
      <c r="FU32" s="49"/>
      <c r="FV32" s="49"/>
      <c r="FW32" s="49"/>
      <c r="FX32" s="49"/>
      <c r="FY32" s="49"/>
      <c r="FZ32" s="49"/>
      <c r="GA32" s="49"/>
      <c r="GB32" s="49"/>
      <c r="GC32" s="49"/>
      <c r="GD32" s="49"/>
      <c r="GE32" s="49"/>
      <c r="GF32" s="49"/>
      <c r="GG32" s="49"/>
      <c r="GH32" s="49"/>
      <c r="GI32" s="49"/>
      <c r="GJ32" s="49"/>
      <c r="GK32" s="49"/>
      <c r="GL32" s="49"/>
      <c r="GM32" s="49"/>
      <c r="GN32" s="49"/>
      <c r="GO32" s="49"/>
      <c r="GP32" s="49"/>
      <c r="GQ32" s="49"/>
      <c r="GR32" s="49"/>
      <c r="GS32" s="49"/>
      <c r="GT32" s="49"/>
      <c r="GU32" s="49"/>
      <c r="GV32" s="49"/>
      <c r="GW32" s="49"/>
      <c r="GX32" s="49"/>
      <c r="GY32" s="49"/>
      <c r="GZ32" s="49"/>
      <c r="HA32" s="49"/>
      <c r="HB32" s="49"/>
      <c r="HC32" s="49"/>
      <c r="HD32" s="49"/>
      <c r="HE32" s="49"/>
      <c r="HF32" s="49"/>
      <c r="HG32" s="49"/>
      <c r="HH32" s="49"/>
      <c r="HI32" s="49"/>
      <c r="HJ32" s="49"/>
      <c r="HK32" s="49"/>
      <c r="HL32" s="49"/>
      <c r="HM32" s="49"/>
      <c r="HN32" s="49"/>
      <c r="HO32" s="49"/>
      <c r="HP32" s="49"/>
      <c r="HQ32" s="49"/>
      <c r="HR32" s="49"/>
      <c r="HS32" s="49"/>
      <c r="HT32" s="49"/>
      <c r="HU32" s="49"/>
      <c r="HV32" s="49"/>
      <c r="HW32" s="49"/>
      <c r="HX32" s="49"/>
      <c r="HY32" s="49"/>
      <c r="HZ32" s="49"/>
      <c r="IA32" s="49"/>
      <c r="IB32" s="49"/>
      <c r="IC32" s="49"/>
      <c r="ID32" s="49"/>
      <c r="IE32" s="49"/>
      <c r="IF32" s="49"/>
      <c r="IG32" s="49"/>
      <c r="IH32" s="49"/>
      <c r="II32" s="49"/>
      <c r="IJ32" s="49"/>
      <c r="IK32" s="49"/>
      <c r="IL32" s="49"/>
      <c r="IM32" s="49"/>
      <c r="IN32" s="49"/>
      <c r="IO32" s="49"/>
      <c r="IP32" s="49"/>
      <c r="IQ32" s="49"/>
      <c r="IR32" s="49"/>
      <c r="IS32" s="49"/>
      <c r="IT32" s="49"/>
      <c r="IU32" s="49"/>
      <c r="IV32" s="49"/>
      <c r="IW32" s="49"/>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32</v>
      </c>
      <c r="D34" s="51" t="n">
        <f aca="false">'SE Short'!O94</f>
        <v>0</v>
      </c>
      <c r="E34" s="51"/>
      <c r="F34" s="51"/>
      <c r="G34" s="43" t="s">
        <v>33</v>
      </c>
      <c r="H34" s="44" t="n">
        <v>0</v>
      </c>
      <c r="I34" s="44" t="n">
        <v>0</v>
      </c>
      <c r="J34" s="16"/>
      <c r="K34" s="16"/>
      <c r="L34" s="16"/>
      <c r="M34" s="16"/>
      <c r="N34" s="41" t="s">
        <v>32</v>
      </c>
      <c r="O34" s="51" t="n">
        <f aca="false">D29-D34+'SE Short'!O106</f>
        <v>0</v>
      </c>
      <c r="P34" s="51"/>
      <c r="Q34" s="51"/>
      <c r="R34" s="43" t="s">
        <v>33</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37</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38</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39</v>
      </c>
      <c r="P2" s="59"/>
      <c r="Q2" s="60" t="n">
        <f aca="false">Admin!B4</f>
        <v>46118</v>
      </c>
      <c r="R2" s="60"/>
      <c r="S2" s="60"/>
      <c r="T2" s="60"/>
      <c r="U2" s="61" t="s">
        <v>40</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41</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42</v>
      </c>
      <c r="D12" s="69"/>
      <c r="E12" s="69"/>
      <c r="F12" s="68"/>
      <c r="G12" s="68"/>
      <c r="H12" s="68"/>
      <c r="I12" s="68"/>
      <c r="J12" s="68"/>
      <c r="K12" s="68"/>
      <c r="L12" s="81" t="n">
        <v>4</v>
      </c>
      <c r="M12" s="68"/>
      <c r="N12" s="69" t="s">
        <v>13</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15</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43</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19</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20</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21</v>
      </c>
      <c r="O23" s="95"/>
      <c r="P23" s="69"/>
      <c r="Q23" s="69"/>
      <c r="R23" s="69"/>
      <c r="S23" s="90" t="n">
        <f aca="false">Admin!B4</f>
        <v>46118</v>
      </c>
      <c r="T23" s="90"/>
      <c r="U23" s="90"/>
      <c r="V23" s="90"/>
      <c r="W23" s="84"/>
    </row>
    <row r="24" customFormat="false" ht="12" hidden="false" customHeight="false" outlineLevel="0" collapsed="false">
      <c r="A24" s="81" t="n">
        <v>3</v>
      </c>
      <c r="B24" s="68"/>
      <c r="C24" s="69" t="s">
        <v>22</v>
      </c>
      <c r="D24" s="68"/>
      <c r="E24" s="68"/>
      <c r="F24" s="68"/>
      <c r="G24" s="68"/>
      <c r="H24" s="68"/>
      <c r="I24" s="68"/>
      <c r="J24" s="68"/>
      <c r="K24" s="68"/>
      <c r="L24" s="68"/>
      <c r="M24" s="69"/>
      <c r="N24" s="86" t="s">
        <v>23</v>
      </c>
      <c r="O24" s="87"/>
      <c r="P24" s="87"/>
      <c r="Q24" s="87"/>
      <c r="R24" s="68"/>
      <c r="S24" s="68"/>
      <c r="T24" s="68"/>
      <c r="U24" s="68"/>
      <c r="V24" s="68"/>
      <c r="W24" s="88"/>
    </row>
    <row r="25" customFormat="false" ht="12" hidden="false" customHeight="false" outlineLevel="0" collapsed="false">
      <c r="A25" s="85"/>
      <c r="B25" s="68"/>
      <c r="C25" s="69" t="s">
        <v>24</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25</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26</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27</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28</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9</v>
      </c>
      <c r="B35" s="68"/>
      <c r="C35" s="69" t="s">
        <v>44</v>
      </c>
      <c r="D35" s="69"/>
      <c r="E35" s="69"/>
      <c r="F35" s="69"/>
      <c r="G35" s="69"/>
      <c r="H35" s="69"/>
      <c r="I35" s="69"/>
      <c r="J35" s="69"/>
      <c r="K35" s="69"/>
      <c r="L35" s="81" t="n">
        <v>10</v>
      </c>
      <c r="M35" s="68"/>
      <c r="N35" s="69" t="s">
        <v>45</v>
      </c>
      <c r="O35" s="69"/>
      <c r="P35" s="69"/>
      <c r="Q35" s="69"/>
      <c r="R35" s="69"/>
      <c r="S35" s="69"/>
      <c r="T35" s="69"/>
      <c r="U35" s="69"/>
      <c r="V35" s="69"/>
      <c r="W35" s="84"/>
    </row>
    <row r="36" customFormat="false" ht="12" hidden="false" customHeight="false" outlineLevel="0" collapsed="false">
      <c r="A36" s="85"/>
      <c r="B36" s="68"/>
      <c r="C36" s="95" t="s">
        <v>46</v>
      </c>
      <c r="D36" s="68"/>
      <c r="E36" s="68"/>
      <c r="F36" s="68"/>
      <c r="G36" s="68"/>
      <c r="H36" s="68"/>
      <c r="I36" s="68"/>
      <c r="J36" s="68"/>
      <c r="K36" s="68"/>
      <c r="L36" s="68"/>
      <c r="M36" s="68"/>
      <c r="N36" s="95" t="s">
        <v>47</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32</v>
      </c>
      <c r="D38" s="102" t="n">
        <f aca="false">'Profit &amp; Loss Acc'!C4</f>
        <v>409900</v>
      </c>
      <c r="E38" s="102"/>
      <c r="F38" s="102"/>
      <c r="G38" s="103" t="s">
        <v>33</v>
      </c>
      <c r="H38" s="104" t="n">
        <v>0</v>
      </c>
      <c r="I38" s="104" t="n">
        <v>0</v>
      </c>
      <c r="J38" s="68"/>
      <c r="K38" s="68"/>
      <c r="L38" s="68"/>
      <c r="M38" s="68"/>
      <c r="N38" s="101" t="s">
        <v>32</v>
      </c>
      <c r="O38" s="102"/>
      <c r="P38" s="102"/>
      <c r="Q38" s="102"/>
      <c r="R38" s="103" t="s">
        <v>33</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48</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customFormat="false" ht="13.5" hidden="false" customHeight="true" outlineLevel="0" collapsed="false">
      <c r="A41" s="107" t="s">
        <v>49</v>
      </c>
      <c r="B41" s="107"/>
      <c r="C41" s="107"/>
      <c r="D41" s="107"/>
      <c r="E41" s="107"/>
      <c r="F41" s="107"/>
      <c r="G41" s="107"/>
      <c r="H41" s="107"/>
      <c r="I41" s="107"/>
      <c r="J41" s="107"/>
      <c r="K41" s="107"/>
      <c r="L41" s="107"/>
      <c r="M41" s="107"/>
      <c r="N41" s="107"/>
      <c r="O41" s="107"/>
      <c r="P41" s="107"/>
      <c r="Q41" s="107"/>
      <c r="R41" s="107"/>
      <c r="S41" s="107"/>
      <c r="T41" s="107"/>
      <c r="U41" s="107"/>
      <c r="V41" s="107"/>
      <c r="W41" s="107"/>
      <c r="X41" s="10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108"/>
      <c r="BH41" s="108"/>
      <c r="BI41" s="108"/>
      <c r="BJ41" s="108"/>
      <c r="BK41" s="108"/>
      <c r="BL41" s="108"/>
      <c r="BM41" s="108"/>
      <c r="BN41" s="108"/>
      <c r="BO41" s="108"/>
      <c r="BP41" s="108"/>
      <c r="BQ41" s="108"/>
      <c r="BR41" s="108"/>
      <c r="BS41" s="108"/>
      <c r="BT41" s="108"/>
      <c r="BU41" s="108"/>
      <c r="BV41" s="108"/>
      <c r="BW41" s="108"/>
      <c r="BX41" s="108"/>
      <c r="BY41" s="108"/>
      <c r="BZ41" s="108"/>
      <c r="CA41" s="108"/>
      <c r="CB41" s="108"/>
      <c r="CC41" s="108"/>
      <c r="CD41" s="108"/>
      <c r="CE41" s="108"/>
      <c r="CF41" s="108"/>
      <c r="CG41" s="108"/>
      <c r="CH41" s="108"/>
      <c r="CI41" s="108"/>
      <c r="CJ41" s="108"/>
      <c r="CK41" s="108"/>
      <c r="CL41" s="108"/>
      <c r="CM41" s="108"/>
      <c r="CN41" s="108"/>
      <c r="CO41" s="108"/>
      <c r="CP41" s="108"/>
      <c r="CQ41" s="108"/>
      <c r="CR41" s="108"/>
      <c r="CS41" s="108"/>
      <c r="CT41" s="108"/>
      <c r="CU41" s="108"/>
      <c r="CV41" s="108"/>
      <c r="CW41" s="108"/>
      <c r="CX41" s="108"/>
      <c r="CY41" s="108"/>
      <c r="CZ41" s="108"/>
      <c r="DA41" s="108"/>
      <c r="DB41" s="108"/>
      <c r="DC41" s="108"/>
      <c r="DD41" s="108"/>
      <c r="DE41" s="108"/>
      <c r="DF41" s="108"/>
      <c r="DG41" s="108"/>
      <c r="DH41" s="108"/>
      <c r="DI41" s="108"/>
      <c r="DJ41" s="108"/>
      <c r="DK41" s="108"/>
      <c r="DL41" s="108"/>
      <c r="DM41" s="108"/>
      <c r="DN41" s="108"/>
      <c r="DO41" s="108"/>
      <c r="DP41" s="108"/>
      <c r="DQ41" s="108"/>
      <c r="DR41" s="108"/>
      <c r="DS41" s="108"/>
      <c r="DT41" s="108"/>
      <c r="DU41" s="108"/>
      <c r="DV41" s="108"/>
      <c r="DW41" s="108"/>
      <c r="DX41" s="108"/>
      <c r="DY41" s="108"/>
      <c r="DZ41" s="108"/>
      <c r="EA41" s="108"/>
      <c r="EB41" s="108"/>
      <c r="EC41" s="108"/>
      <c r="ED41" s="108"/>
      <c r="EE41" s="108"/>
      <c r="EF41" s="108"/>
      <c r="EG41" s="108"/>
      <c r="EH41" s="108"/>
      <c r="EI41" s="108"/>
      <c r="EJ41" s="108"/>
      <c r="EK41" s="108"/>
      <c r="EL41" s="108"/>
      <c r="EM41" s="108"/>
      <c r="EN41" s="108"/>
      <c r="EO41" s="108"/>
      <c r="EP41" s="108"/>
      <c r="EQ41" s="108"/>
      <c r="ER41" s="108"/>
      <c r="ES41" s="108"/>
      <c r="ET41" s="108"/>
      <c r="EU41" s="108"/>
      <c r="EV41" s="108"/>
      <c r="EW41" s="108"/>
      <c r="EX41" s="108"/>
      <c r="EY41" s="108"/>
      <c r="EZ41" s="108"/>
      <c r="FA41" s="108"/>
      <c r="FB41" s="108"/>
      <c r="FC41" s="108"/>
      <c r="FD41" s="108"/>
      <c r="FE41" s="108"/>
      <c r="FF41" s="108"/>
      <c r="FG41" s="108"/>
      <c r="FH41" s="108"/>
      <c r="FI41" s="108"/>
      <c r="FJ41" s="108"/>
      <c r="FK41" s="108"/>
      <c r="FL41" s="108"/>
      <c r="FM41" s="108"/>
      <c r="FN41" s="108"/>
      <c r="FO41" s="108"/>
      <c r="FP41" s="108"/>
      <c r="FQ41" s="108"/>
      <c r="FR41" s="108"/>
      <c r="FS41" s="108"/>
      <c r="FT41" s="108"/>
      <c r="FU41" s="108"/>
      <c r="FV41" s="108"/>
      <c r="FW41" s="108"/>
      <c r="FX41" s="108"/>
      <c r="FY41" s="108"/>
      <c r="FZ41" s="108"/>
      <c r="GA41" s="108"/>
      <c r="GB41" s="108"/>
      <c r="GC41" s="108"/>
      <c r="GD41" s="108"/>
      <c r="GE41" s="108"/>
      <c r="GF41" s="108"/>
      <c r="GG41" s="108"/>
      <c r="GH41" s="108"/>
      <c r="GI41" s="108"/>
      <c r="GJ41" s="108"/>
      <c r="GK41" s="108"/>
      <c r="GL41" s="108"/>
      <c r="GM41" s="108"/>
      <c r="GN41" s="108"/>
      <c r="GO41" s="108"/>
      <c r="GP41" s="108"/>
      <c r="GQ41" s="108"/>
      <c r="GR41" s="108"/>
      <c r="GS41" s="108"/>
      <c r="GT41" s="108"/>
      <c r="GU41" s="108"/>
      <c r="GV41" s="108"/>
      <c r="GW41" s="108"/>
      <c r="GX41" s="108"/>
      <c r="GY41" s="108"/>
      <c r="GZ41" s="108"/>
      <c r="HA41" s="108"/>
      <c r="HB41" s="108"/>
      <c r="HC41" s="108"/>
      <c r="HD41" s="108"/>
      <c r="HE41" s="108"/>
      <c r="HF41" s="108"/>
      <c r="HG41" s="108"/>
      <c r="HH41" s="108"/>
      <c r="HI41" s="108"/>
      <c r="HJ41" s="108"/>
      <c r="HK41" s="108"/>
      <c r="HL41" s="108"/>
      <c r="HM41" s="108"/>
      <c r="HN41" s="108"/>
      <c r="HO41" s="108"/>
      <c r="HP41" s="108"/>
      <c r="HQ41" s="108"/>
      <c r="HR41" s="108"/>
      <c r="HS41" s="108"/>
      <c r="HT41" s="108"/>
      <c r="HU41" s="108"/>
      <c r="HV41" s="108"/>
      <c r="HW41" s="108"/>
      <c r="HX41" s="108"/>
      <c r="HY41" s="108"/>
      <c r="HZ41" s="108"/>
      <c r="IA41" s="108"/>
      <c r="IB41" s="108"/>
      <c r="IC41" s="108"/>
      <c r="ID41" s="108"/>
      <c r="IE41" s="108"/>
      <c r="IF41" s="108"/>
      <c r="IG41" s="108"/>
      <c r="IH41" s="108"/>
      <c r="II41" s="108"/>
      <c r="IJ41" s="108"/>
      <c r="IK41" s="108"/>
      <c r="IL41" s="108"/>
      <c r="IM41" s="108"/>
      <c r="IN41" s="108"/>
      <c r="IO41" s="108"/>
      <c r="IP41" s="108"/>
      <c r="IQ41" s="108"/>
      <c r="IR41" s="108"/>
      <c r="IS41" s="108"/>
      <c r="IT41" s="108"/>
      <c r="IU41" s="108"/>
      <c r="IV41" s="108"/>
      <c r="IW41" s="108"/>
    </row>
    <row r="42" customFormat="false" ht="13.5" hidden="false" customHeight="true" outlineLevel="0" collapsed="false">
      <c r="A42" s="107" t="s">
        <v>50</v>
      </c>
      <c r="B42" s="107"/>
      <c r="C42" s="107"/>
      <c r="D42" s="107"/>
      <c r="E42" s="107"/>
      <c r="F42" s="107"/>
      <c r="G42" s="107"/>
      <c r="H42" s="107"/>
      <c r="I42" s="107"/>
      <c r="J42" s="107"/>
      <c r="K42" s="107"/>
      <c r="L42" s="107"/>
      <c r="M42" s="107"/>
      <c r="N42" s="107"/>
      <c r="O42" s="107"/>
      <c r="P42" s="107"/>
      <c r="Q42" s="107"/>
      <c r="R42" s="107"/>
      <c r="S42" s="107"/>
      <c r="T42" s="107"/>
      <c r="U42" s="107"/>
      <c r="V42" s="107"/>
      <c r="W42" s="107"/>
      <c r="X42" s="108"/>
      <c r="Y42" s="108"/>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08"/>
      <c r="BX42" s="108"/>
      <c r="BY42" s="108"/>
      <c r="BZ42" s="108"/>
      <c r="CA42" s="108"/>
      <c r="CB42" s="108"/>
      <c r="CC42" s="108"/>
      <c r="CD42" s="108"/>
      <c r="CE42" s="108"/>
      <c r="CF42" s="108"/>
      <c r="CG42" s="108"/>
      <c r="CH42" s="108"/>
      <c r="CI42" s="108"/>
      <c r="CJ42" s="108"/>
      <c r="CK42" s="108"/>
      <c r="CL42" s="108"/>
      <c r="CM42" s="108"/>
      <c r="CN42" s="108"/>
      <c r="CO42" s="108"/>
      <c r="CP42" s="108"/>
      <c r="CQ42" s="108"/>
      <c r="CR42" s="108"/>
      <c r="CS42" s="108"/>
      <c r="CT42" s="108"/>
      <c r="CU42" s="108"/>
      <c r="CV42" s="108"/>
      <c r="CW42" s="108"/>
      <c r="CX42" s="108"/>
      <c r="CY42" s="108"/>
      <c r="CZ42" s="108"/>
      <c r="DA42" s="108"/>
      <c r="DB42" s="108"/>
      <c r="DC42" s="108"/>
      <c r="DD42" s="108"/>
      <c r="DE42" s="108"/>
      <c r="DF42" s="108"/>
      <c r="DG42" s="108"/>
      <c r="DH42" s="108"/>
      <c r="DI42" s="108"/>
      <c r="DJ42" s="108"/>
      <c r="DK42" s="108"/>
      <c r="DL42" s="108"/>
      <c r="DM42" s="108"/>
      <c r="DN42" s="108"/>
      <c r="DO42" s="108"/>
      <c r="DP42" s="108"/>
      <c r="DQ42" s="108"/>
      <c r="DR42" s="108"/>
      <c r="DS42" s="108"/>
      <c r="DT42" s="108"/>
      <c r="DU42" s="108"/>
      <c r="DV42" s="108"/>
      <c r="DW42" s="108"/>
      <c r="DX42" s="108"/>
      <c r="DY42" s="108"/>
      <c r="DZ42" s="108"/>
      <c r="EA42" s="108"/>
      <c r="EB42" s="108"/>
      <c r="EC42" s="108"/>
      <c r="ED42" s="108"/>
      <c r="EE42" s="108"/>
      <c r="EF42" s="108"/>
      <c r="EG42" s="108"/>
      <c r="EH42" s="108"/>
      <c r="EI42" s="108"/>
      <c r="EJ42" s="108"/>
      <c r="EK42" s="108"/>
      <c r="EL42" s="108"/>
      <c r="EM42" s="108"/>
      <c r="EN42" s="108"/>
      <c r="EO42" s="108"/>
      <c r="EP42" s="108"/>
      <c r="EQ42" s="108"/>
      <c r="ER42" s="108"/>
      <c r="ES42" s="108"/>
      <c r="ET42" s="108"/>
      <c r="EU42" s="108"/>
      <c r="EV42" s="108"/>
      <c r="EW42" s="108"/>
      <c r="EX42" s="108"/>
      <c r="EY42" s="108"/>
      <c r="EZ42" s="108"/>
      <c r="FA42" s="108"/>
      <c r="FB42" s="108"/>
      <c r="FC42" s="108"/>
      <c r="FD42" s="108"/>
      <c r="FE42" s="108"/>
      <c r="FF42" s="108"/>
      <c r="FG42" s="108"/>
      <c r="FH42" s="108"/>
      <c r="FI42" s="108"/>
      <c r="FJ42" s="108"/>
      <c r="FK42" s="108"/>
      <c r="FL42" s="108"/>
      <c r="FM42" s="108"/>
      <c r="FN42" s="108"/>
      <c r="FO42" s="108"/>
      <c r="FP42" s="108"/>
      <c r="FQ42" s="108"/>
      <c r="FR42" s="108"/>
      <c r="FS42" s="108"/>
      <c r="FT42" s="108"/>
      <c r="FU42" s="108"/>
      <c r="FV42" s="108"/>
      <c r="FW42" s="108"/>
      <c r="FX42" s="108"/>
      <c r="FY42" s="108"/>
      <c r="FZ42" s="108"/>
      <c r="GA42" s="108"/>
      <c r="GB42" s="108"/>
      <c r="GC42" s="108"/>
      <c r="GD42" s="108"/>
      <c r="GE42" s="108"/>
      <c r="GF42" s="108"/>
      <c r="GG42" s="108"/>
      <c r="GH42" s="108"/>
      <c r="GI42" s="108"/>
      <c r="GJ42" s="108"/>
      <c r="GK42" s="108"/>
      <c r="GL42" s="108"/>
      <c r="GM42" s="108"/>
      <c r="GN42" s="108"/>
      <c r="GO42" s="108"/>
      <c r="GP42" s="108"/>
      <c r="GQ42" s="108"/>
      <c r="GR42" s="108"/>
      <c r="GS42" s="108"/>
      <c r="GT42" s="108"/>
      <c r="GU42" s="108"/>
      <c r="GV42" s="108"/>
      <c r="GW42" s="108"/>
      <c r="GX42" s="108"/>
      <c r="GY42" s="108"/>
      <c r="GZ42" s="108"/>
      <c r="HA42" s="108"/>
      <c r="HB42" s="108"/>
      <c r="HC42" s="108"/>
      <c r="HD42" s="108"/>
      <c r="HE42" s="108"/>
      <c r="HF42" s="108"/>
      <c r="HG42" s="108"/>
      <c r="HH42" s="108"/>
      <c r="HI42" s="108"/>
      <c r="HJ42" s="108"/>
      <c r="HK42" s="108"/>
      <c r="HL42" s="108"/>
      <c r="HM42" s="108"/>
      <c r="HN42" s="108"/>
      <c r="HO42" s="108"/>
      <c r="HP42" s="108"/>
      <c r="HQ42" s="108"/>
      <c r="HR42" s="108"/>
      <c r="HS42" s="108"/>
      <c r="HT42" s="108"/>
      <c r="HU42" s="108"/>
      <c r="HV42" s="108"/>
      <c r="HW42" s="108"/>
      <c r="HX42" s="108"/>
      <c r="HY42" s="108"/>
      <c r="HZ42" s="108"/>
      <c r="IA42" s="108"/>
      <c r="IB42" s="108"/>
      <c r="IC42" s="108"/>
      <c r="ID42" s="108"/>
      <c r="IE42" s="108"/>
      <c r="IF42" s="108"/>
      <c r="IG42" s="108"/>
      <c r="IH42" s="108"/>
      <c r="II42" s="108"/>
      <c r="IJ42" s="108"/>
      <c r="IK42" s="108"/>
      <c r="IL42" s="108"/>
      <c r="IM42" s="108"/>
      <c r="IN42" s="108"/>
      <c r="IO42" s="108"/>
      <c r="IP42" s="108"/>
      <c r="IQ42" s="108"/>
      <c r="IR42" s="108"/>
      <c r="IS42" s="108"/>
      <c r="IT42" s="108"/>
      <c r="IU42" s="108"/>
      <c r="IV42" s="108"/>
      <c r="IW42" s="108"/>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11</v>
      </c>
      <c r="B44" s="68"/>
      <c r="C44" s="69" t="s">
        <v>51</v>
      </c>
      <c r="D44" s="69"/>
      <c r="E44" s="69"/>
      <c r="F44" s="69"/>
      <c r="G44" s="69"/>
      <c r="H44" s="69"/>
      <c r="I44" s="69"/>
      <c r="J44" s="69"/>
      <c r="K44" s="69"/>
      <c r="L44" s="81" t="n">
        <v>16</v>
      </c>
      <c r="M44" s="68"/>
      <c r="N44" s="69" t="s">
        <v>52</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32</v>
      </c>
      <c r="D46" s="102" t="n">
        <f aca="false">IF(('Profit &amp; Loss Acc'!C4&lt;Admin!F26)," ",'Profit &amp; Loss Acc'!C6+'Profit &amp; Loss Acc'!C7)</f>
        <v>18540</v>
      </c>
      <c r="E46" s="102"/>
      <c r="F46" s="102"/>
      <c r="G46" s="103" t="s">
        <v>33</v>
      </c>
      <c r="H46" s="104" t="n">
        <v>0</v>
      </c>
      <c r="I46" s="104" t="n">
        <v>0</v>
      </c>
      <c r="J46" s="68"/>
      <c r="K46" s="68"/>
      <c r="L46" s="68"/>
      <c r="M46" s="68"/>
      <c r="N46" s="101" t="s">
        <v>32</v>
      </c>
      <c r="O46" s="102" t="n">
        <f aca="false">IF(('Profit &amp; Loss Acc'!C4&lt;Admin!F26)," ",'Profit &amp; Loss Acc'!C18)</f>
        <v>4560</v>
      </c>
      <c r="P46" s="102"/>
      <c r="Q46" s="102"/>
      <c r="R46" s="103" t="s">
        <v>33</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12</v>
      </c>
      <c r="B48" s="68"/>
      <c r="C48" s="69" t="s">
        <v>53</v>
      </c>
      <c r="D48" s="69"/>
      <c r="E48" s="69"/>
      <c r="F48" s="69"/>
      <c r="G48" s="69"/>
      <c r="H48" s="69"/>
      <c r="I48" s="69"/>
      <c r="J48" s="69"/>
      <c r="K48" s="69"/>
      <c r="L48" s="81" t="n">
        <v>17</v>
      </c>
      <c r="M48" s="68"/>
      <c r="N48" s="69" t="s">
        <v>54</v>
      </c>
      <c r="O48" s="68"/>
      <c r="P48" s="68"/>
      <c r="Q48" s="68"/>
      <c r="R48" s="68"/>
      <c r="S48" s="68"/>
      <c r="T48" s="68"/>
      <c r="U48" s="68"/>
      <c r="V48" s="68"/>
      <c r="W48" s="88"/>
    </row>
    <row r="49" customFormat="false" ht="12.75" hidden="false" customHeight="true" outlineLevel="0" collapsed="false">
      <c r="A49" s="85"/>
      <c r="B49" s="68"/>
      <c r="C49" s="95" t="s">
        <v>55</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32</v>
      </c>
      <c r="D51" s="102" t="n">
        <f aca="false">IF(('Profit &amp; Loss Acc'!C4&lt;Admin!F26)," ",'Profit &amp; Loss Acc'!C15+'Profit &amp; Loss Acc'!C16)</f>
        <v>9595</v>
      </c>
      <c r="E51" s="102"/>
      <c r="F51" s="102"/>
      <c r="G51" s="103" t="s">
        <v>33</v>
      </c>
      <c r="H51" s="104" t="n">
        <v>0</v>
      </c>
      <c r="I51" s="104" t="n">
        <v>0</v>
      </c>
      <c r="J51" s="68"/>
      <c r="K51" s="68"/>
      <c r="L51" s="68"/>
      <c r="M51" s="68"/>
      <c r="N51" s="101" t="s">
        <v>32</v>
      </c>
      <c r="O51" s="102" t="n">
        <f aca="false">IF(('Profit &amp; Loss Acc'!C4&lt;Admin!F26)," ",'Profit &amp; Loss Acc'!C20)</f>
        <v>750</v>
      </c>
      <c r="P51" s="102"/>
      <c r="Q51" s="102"/>
      <c r="R51" s="103" t="s">
        <v>33</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13</v>
      </c>
      <c r="B53" s="68"/>
      <c r="C53" s="69" t="s">
        <v>56</v>
      </c>
      <c r="D53" s="69"/>
      <c r="E53" s="69"/>
      <c r="F53" s="69"/>
      <c r="G53" s="69"/>
      <c r="H53" s="69"/>
      <c r="I53" s="69"/>
      <c r="J53" s="69"/>
      <c r="K53" s="69"/>
      <c r="L53" s="81" t="n">
        <v>18</v>
      </c>
      <c r="M53" s="68"/>
      <c r="N53" s="69" t="s">
        <v>57</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32</v>
      </c>
      <c r="D55" s="102" t="n">
        <f aca="false">IF(('Profit &amp; Loss Acc'!C4&lt;Admin!F26)," ",'Profit &amp; Loss Acc'!C11)</f>
        <v>69200</v>
      </c>
      <c r="E55" s="102"/>
      <c r="F55" s="102"/>
      <c r="G55" s="103" t="s">
        <v>33</v>
      </c>
      <c r="H55" s="104" t="n">
        <v>0</v>
      </c>
      <c r="I55" s="104" t="n">
        <v>0</v>
      </c>
      <c r="J55" s="68"/>
      <c r="K55" s="68"/>
      <c r="L55" s="68"/>
      <c r="M55" s="68"/>
      <c r="N55" s="101" t="s">
        <v>32</v>
      </c>
      <c r="O55" s="102" t="n">
        <f aca="false">IF(('Profit &amp; Loss Acc'!C4&lt;Admin!F26)," ",'Profit &amp; Loss Acc'!C14)</f>
        <v>1962</v>
      </c>
      <c r="P55" s="102"/>
      <c r="Q55" s="102"/>
      <c r="R55" s="103" t="s">
        <v>33</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14</v>
      </c>
      <c r="B57" s="68"/>
      <c r="C57" s="69" t="s">
        <v>58</v>
      </c>
      <c r="D57" s="69"/>
      <c r="E57" s="69"/>
      <c r="F57" s="69"/>
      <c r="G57" s="69"/>
      <c r="H57" s="69"/>
      <c r="I57" s="69"/>
      <c r="J57" s="69"/>
      <c r="K57" s="69"/>
      <c r="L57" s="81" t="n">
        <v>19</v>
      </c>
      <c r="M57" s="68"/>
      <c r="N57" s="69" t="s">
        <v>59</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60</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32</v>
      </c>
      <c r="D60" s="102" t="n">
        <f aca="false">IF(('Profit &amp; Loss Acc'!C4&lt;Admin!F26)," ",'Profit &amp; Loss Acc'!C12)</f>
        <v>15840</v>
      </c>
      <c r="E60" s="102"/>
      <c r="F60" s="102"/>
      <c r="G60" s="103" t="s">
        <v>33</v>
      </c>
      <c r="H60" s="104" t="n">
        <v>0</v>
      </c>
      <c r="I60" s="104" t="n">
        <v>0</v>
      </c>
      <c r="J60" s="68"/>
      <c r="K60" s="68"/>
      <c r="L60" s="68"/>
      <c r="M60" s="68"/>
      <c r="N60" s="101" t="s">
        <v>32</v>
      </c>
      <c r="O60" s="102" t="n">
        <f aca="false">IF(('Profit &amp; Loss Acc'!C4&lt;Admin!F26)," ",'Profit &amp; Loss Acc'!C17+'Profit &amp; Loss Acc'!C19+'Profit &amp; Loss Acc'!C21)</f>
        <v>22942</v>
      </c>
      <c r="P60" s="102"/>
      <c r="Q60" s="102"/>
      <c r="R60" s="103" t="s">
        <v>33</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15</v>
      </c>
      <c r="B62" s="68"/>
      <c r="C62" s="69" t="s">
        <v>61</v>
      </c>
      <c r="D62" s="69"/>
      <c r="E62" s="69"/>
      <c r="F62" s="69"/>
      <c r="G62" s="69"/>
      <c r="H62" s="69"/>
      <c r="I62" s="69"/>
      <c r="J62" s="69"/>
      <c r="K62" s="69"/>
      <c r="L62" s="81" t="n">
        <v>20</v>
      </c>
      <c r="M62" s="68"/>
      <c r="N62" s="69" t="s">
        <v>62</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32</v>
      </c>
      <c r="D64" s="102" t="n">
        <f aca="false">IF(('Profit &amp; Loss Acc'!C4&lt;Admin!F26)," ",'Profit &amp; Loss Acc'!C13)</f>
        <v>1140</v>
      </c>
      <c r="E64" s="102"/>
      <c r="F64" s="102"/>
      <c r="G64" s="103" t="s">
        <v>33</v>
      </c>
      <c r="H64" s="104" t="n">
        <v>0</v>
      </c>
      <c r="I64" s="104" t="n">
        <v>0</v>
      </c>
      <c r="J64" s="68"/>
      <c r="K64" s="68"/>
      <c r="L64" s="68"/>
      <c r="M64" s="68"/>
      <c r="N64" s="101" t="s">
        <v>32</v>
      </c>
      <c r="O64" s="102" t="n">
        <f aca="false">'Profit &amp; Loss Acc'!C6+'Profit &amp; Loss Acc'!C7+'Profit &amp; Loss Acc'!C22</f>
        <v>144529</v>
      </c>
      <c r="P64" s="102"/>
      <c r="Q64" s="102"/>
      <c r="R64" s="103" t="s">
        <v>33</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63</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21</v>
      </c>
      <c r="B68" s="68"/>
      <c r="C68" s="69" t="s">
        <v>64</v>
      </c>
      <c r="D68" s="69"/>
      <c r="E68" s="69"/>
      <c r="F68" s="69"/>
      <c r="G68" s="69"/>
      <c r="H68" s="69"/>
      <c r="I68" s="69"/>
      <c r="J68" s="69"/>
      <c r="K68" s="69"/>
      <c r="L68" s="81" t="n">
        <v>22</v>
      </c>
      <c r="M68" s="68"/>
      <c r="N68" s="69" t="s">
        <v>65</v>
      </c>
      <c r="O68" s="68"/>
      <c r="P68" s="68"/>
      <c r="Q68" s="68"/>
      <c r="R68" s="68"/>
      <c r="S68" s="68"/>
      <c r="T68" s="68"/>
      <c r="U68" s="68"/>
      <c r="V68" s="68"/>
      <c r="W68" s="88"/>
    </row>
    <row r="69" customFormat="false" ht="12" hidden="false" customHeight="false" outlineLevel="0" collapsed="false">
      <c r="A69" s="85"/>
      <c r="B69" s="68"/>
      <c r="C69" s="95" t="s">
        <v>66</v>
      </c>
      <c r="D69" s="69"/>
      <c r="E69" s="69"/>
      <c r="F69" s="69"/>
      <c r="G69" s="69"/>
      <c r="H69" s="69"/>
      <c r="I69" s="69"/>
      <c r="J69" s="69"/>
      <c r="K69" s="69"/>
      <c r="L69" s="68"/>
      <c r="M69" s="68"/>
      <c r="N69" s="95" t="s">
        <v>67</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32</v>
      </c>
      <c r="D71" s="102" t="n">
        <f aca="false">IF((D38+O38-O64)&gt;=0,D38+O38-O64,0)</f>
        <v>265371</v>
      </c>
      <c r="E71" s="102"/>
      <c r="F71" s="102"/>
      <c r="G71" s="103" t="s">
        <v>33</v>
      </c>
      <c r="H71" s="104" t="n">
        <v>0</v>
      </c>
      <c r="I71" s="104" t="n">
        <v>0</v>
      </c>
      <c r="J71" s="68"/>
      <c r="K71" s="68"/>
      <c r="L71" s="68"/>
      <c r="M71" s="68"/>
      <c r="N71" s="101" t="s">
        <v>32</v>
      </c>
      <c r="O71" s="102" t="n">
        <f aca="false">IF((D38+O38-O64)&lt;0,-D38-O38+O64,0)</f>
        <v>0</v>
      </c>
      <c r="P71" s="102"/>
      <c r="Q71" s="102"/>
      <c r="R71" s="103" t="s">
        <v>33</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68</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69</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70</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71</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23</v>
      </c>
      <c r="B78" s="68"/>
      <c r="C78" s="69" t="s">
        <v>72</v>
      </c>
      <c r="D78" s="69"/>
      <c r="E78" s="69"/>
      <c r="F78" s="69"/>
      <c r="G78" s="69"/>
      <c r="H78" s="69"/>
      <c r="I78" s="69"/>
      <c r="J78" s="69"/>
      <c r="K78" s="69"/>
      <c r="L78" s="81" t="n">
        <v>25</v>
      </c>
      <c r="M78" s="68"/>
      <c r="N78" s="69" t="s">
        <v>73</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32</v>
      </c>
      <c r="D80" s="102" t="n">
        <f aca="false">IF(('Fixed Assets'!K1)&gt;0,'Fixed Assets'!K1,0)</f>
        <v>39000</v>
      </c>
      <c r="E80" s="102"/>
      <c r="F80" s="102"/>
      <c r="G80" s="103" t="s">
        <v>33</v>
      </c>
      <c r="H80" s="104" t="n">
        <v>0</v>
      </c>
      <c r="I80" s="104" t="n">
        <v>0</v>
      </c>
      <c r="J80" s="69"/>
      <c r="K80" s="69"/>
      <c r="L80" s="69"/>
      <c r="M80" s="68"/>
      <c r="N80" s="101" t="s">
        <v>32</v>
      </c>
      <c r="O80" s="102" t="n">
        <f aca="false">IF(('Fixed Assets'!L1+'Fixed Assets'!Q1)&gt;0,'Fixed Assets'!L1+'Fixed Assets'!Q1,0)</f>
        <v>0</v>
      </c>
      <c r="P80" s="102"/>
      <c r="Q80" s="102"/>
      <c r="R80" s="103" t="s">
        <v>33</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24</v>
      </c>
      <c r="B82" s="68"/>
      <c r="C82" s="69" t="s">
        <v>74</v>
      </c>
      <c r="D82" s="68"/>
      <c r="E82" s="68"/>
      <c r="F82" s="68"/>
      <c r="G82" s="68"/>
      <c r="H82" s="68"/>
      <c r="I82" s="68"/>
      <c r="J82" s="68"/>
      <c r="K82" s="68"/>
      <c r="L82" s="81" t="n">
        <v>26</v>
      </c>
      <c r="M82" s="68"/>
      <c r="N82" s="69" t="s">
        <v>75</v>
      </c>
      <c r="O82" s="68"/>
      <c r="P82" s="68"/>
      <c r="Q82" s="68"/>
      <c r="R82" s="68"/>
      <c r="S82" s="68"/>
      <c r="T82" s="68"/>
      <c r="U82" s="68"/>
      <c r="V82" s="68"/>
      <c r="W82" s="88"/>
    </row>
    <row r="83" customFormat="false" ht="11.25" hidden="false" customHeight="true" outlineLevel="0" collapsed="false">
      <c r="A83" s="85"/>
      <c r="B83" s="68"/>
      <c r="C83" s="69" t="s">
        <v>76</v>
      </c>
      <c r="D83" s="68"/>
      <c r="E83" s="68"/>
      <c r="F83" s="68"/>
      <c r="G83" s="68"/>
      <c r="H83" s="68"/>
      <c r="I83" s="68"/>
      <c r="J83" s="68"/>
      <c r="K83" s="68"/>
      <c r="L83" s="69"/>
      <c r="M83" s="68"/>
      <c r="N83" s="69" t="s">
        <v>77</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32</v>
      </c>
      <c r="D85" s="102" t="n">
        <f aca="false">IF(('Fixed Assets'!M1+'Fixed Assets'!L1)&lt;1000,'Fixed Assets'!M1,0)</f>
        <v>0</v>
      </c>
      <c r="E85" s="102"/>
      <c r="F85" s="102"/>
      <c r="G85" s="103" t="s">
        <v>33</v>
      </c>
      <c r="H85" s="104" t="n">
        <v>0</v>
      </c>
      <c r="I85" s="104" t="n">
        <v>0</v>
      </c>
      <c r="J85" s="69"/>
      <c r="K85" s="69"/>
      <c r="L85" s="68"/>
      <c r="M85" s="68"/>
      <c r="N85" s="101" t="s">
        <v>32</v>
      </c>
      <c r="O85" s="102" t="n">
        <f aca="false">IF('Fixed Assets'!R1&gt;0,'Fixed Assets'!R1,0)</f>
        <v>0</v>
      </c>
      <c r="P85" s="102"/>
      <c r="Q85" s="102"/>
      <c r="R85" s="103" t="s">
        <v>33</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78</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79</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80</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27</v>
      </c>
      <c r="B91" s="68"/>
      <c r="C91" s="69" t="s">
        <v>81</v>
      </c>
      <c r="D91" s="69"/>
      <c r="E91" s="69"/>
      <c r="F91" s="69"/>
      <c r="G91" s="69"/>
      <c r="H91" s="69"/>
      <c r="I91" s="69"/>
      <c r="J91" s="69"/>
      <c r="K91" s="69"/>
      <c r="L91" s="81" t="n">
        <v>29</v>
      </c>
      <c r="M91" s="68"/>
      <c r="N91" s="69" t="s">
        <v>82</v>
      </c>
      <c r="O91" s="68"/>
      <c r="P91" s="68"/>
      <c r="Q91" s="68"/>
      <c r="R91" s="68"/>
      <c r="S91" s="68"/>
      <c r="T91" s="68"/>
      <c r="U91" s="68"/>
      <c r="V91" s="68"/>
      <c r="W91" s="88"/>
    </row>
    <row r="92" customFormat="false" ht="12" hidden="false" customHeight="false" outlineLevel="0" collapsed="false">
      <c r="A92" s="69"/>
      <c r="B92" s="68"/>
      <c r="C92" s="95" t="s">
        <v>83</v>
      </c>
      <c r="D92" s="69"/>
      <c r="E92" s="69"/>
      <c r="F92" s="69"/>
      <c r="G92" s="69"/>
      <c r="H92" s="69"/>
      <c r="I92" s="69"/>
      <c r="J92" s="69"/>
      <c r="K92" s="69"/>
      <c r="L92" s="69"/>
      <c r="M92" s="68"/>
      <c r="N92" s="69" t="s">
        <v>84</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32</v>
      </c>
      <c r="D94" s="102" t="n">
        <f aca="false">'Business Details'!O29</f>
        <v>0</v>
      </c>
      <c r="E94" s="102"/>
      <c r="F94" s="102"/>
      <c r="G94" s="103" t="s">
        <v>33</v>
      </c>
      <c r="H94" s="104" t="n">
        <v>0</v>
      </c>
      <c r="I94" s="104" t="n">
        <v>0</v>
      </c>
      <c r="J94" s="68"/>
      <c r="K94" s="68"/>
      <c r="L94" s="68"/>
      <c r="M94" s="68"/>
      <c r="N94" s="101" t="s">
        <v>32</v>
      </c>
      <c r="O94" s="102" t="n">
        <f aca="false">IF(O106&gt;0,0,IF('Business Details'!D29=0,0,IF(D99&gt;'Business Details'!D29,'Business Details'!D29,D99)))</f>
        <v>0</v>
      </c>
      <c r="P94" s="102"/>
      <c r="Q94" s="102"/>
      <c r="R94" s="103" t="s">
        <v>33</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28</v>
      </c>
      <c r="B96" s="68"/>
      <c r="C96" s="69" t="s">
        <v>85</v>
      </c>
      <c r="D96" s="69"/>
      <c r="E96" s="69"/>
      <c r="F96" s="69"/>
      <c r="G96" s="69"/>
      <c r="H96" s="69"/>
      <c r="I96" s="69"/>
      <c r="J96" s="69"/>
      <c r="K96" s="69"/>
      <c r="L96" s="81" t="n">
        <v>30</v>
      </c>
      <c r="M96" s="68"/>
      <c r="N96" s="69" t="s">
        <v>86</v>
      </c>
      <c r="O96" s="68"/>
      <c r="P96" s="68"/>
      <c r="Q96" s="68"/>
      <c r="R96" s="68"/>
      <c r="S96" s="68"/>
      <c r="T96" s="68"/>
      <c r="U96" s="68"/>
      <c r="V96" s="68"/>
      <c r="W96" s="88"/>
    </row>
    <row r="97" customFormat="false" ht="12" hidden="false" customHeight="true" outlineLevel="0" collapsed="false">
      <c r="A97" s="109"/>
      <c r="B97" s="68"/>
      <c r="C97" s="69" t="s">
        <v>87</v>
      </c>
      <c r="D97" s="69"/>
      <c r="E97" s="69"/>
      <c r="F97" s="69"/>
      <c r="G97" s="69"/>
      <c r="H97" s="69"/>
      <c r="I97" s="69"/>
      <c r="J97" s="69"/>
      <c r="K97" s="69"/>
      <c r="L97" s="69"/>
      <c r="M97" s="68"/>
      <c r="N97" s="95" t="s">
        <v>88</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32</v>
      </c>
      <c r="D99" s="102" t="n">
        <f aca="false">IF((D71+O85+D94-O71-D80-D85-O80)&gt;0,D71+O85+D94-O71-D80-D85-O80,0)</f>
        <v>226371</v>
      </c>
      <c r="E99" s="102"/>
      <c r="F99" s="102"/>
      <c r="G99" s="103" t="s">
        <v>33</v>
      </c>
      <c r="H99" s="104" t="n">
        <v>0</v>
      </c>
      <c r="I99" s="104" t="n">
        <v>0</v>
      </c>
      <c r="J99" s="68"/>
      <c r="K99" s="68"/>
      <c r="L99" s="69"/>
      <c r="M99" s="68"/>
      <c r="N99" s="101" t="s">
        <v>32</v>
      </c>
      <c r="O99" s="102" t="n">
        <f aca="false">'Profit &amp; Loss Acc'!C30</f>
        <v>0</v>
      </c>
      <c r="P99" s="102"/>
      <c r="Q99" s="102"/>
      <c r="R99" s="103" t="s">
        <v>33</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89</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31</v>
      </c>
      <c r="B103" s="68"/>
      <c r="C103" s="69" t="s">
        <v>90</v>
      </c>
      <c r="D103" s="69"/>
      <c r="E103" s="69"/>
      <c r="F103" s="69"/>
      <c r="G103" s="69"/>
      <c r="H103" s="69"/>
      <c r="I103" s="69"/>
      <c r="J103" s="69"/>
      <c r="K103" s="69"/>
      <c r="L103" s="81" t="n">
        <v>32</v>
      </c>
      <c r="M103" s="68"/>
      <c r="N103" s="69" t="s">
        <v>91</v>
      </c>
      <c r="O103" s="68"/>
      <c r="P103" s="68"/>
      <c r="Q103" s="68"/>
      <c r="R103" s="68"/>
      <c r="S103" s="68"/>
      <c r="T103" s="68"/>
      <c r="U103" s="68"/>
      <c r="V103" s="68"/>
      <c r="W103" s="88"/>
    </row>
    <row r="104" customFormat="false" ht="12" hidden="false" customHeight="true" outlineLevel="0" collapsed="false">
      <c r="A104" s="85"/>
      <c r="B104" s="68"/>
      <c r="C104" s="86" t="s">
        <v>92</v>
      </c>
      <c r="D104" s="115"/>
      <c r="E104" s="115"/>
      <c r="F104" s="115"/>
      <c r="G104" s="103"/>
      <c r="H104" s="106"/>
      <c r="I104" s="106"/>
      <c r="J104" s="68"/>
      <c r="K104" s="68"/>
      <c r="L104" s="69"/>
      <c r="M104" s="68"/>
      <c r="N104" s="69" t="s">
        <v>93</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32</v>
      </c>
      <c r="D106" s="102" t="n">
        <f aca="false">IF((D99+O99-O94)&gt;0,D99+O99-O94,0)</f>
        <v>226371</v>
      </c>
      <c r="E106" s="102"/>
      <c r="F106" s="102"/>
      <c r="G106" s="103" t="s">
        <v>33</v>
      </c>
      <c r="H106" s="104" t="n">
        <v>0</v>
      </c>
      <c r="I106" s="104" t="n">
        <v>0</v>
      </c>
      <c r="J106" s="69"/>
      <c r="K106" s="69"/>
      <c r="L106" s="69"/>
      <c r="M106" s="68"/>
      <c r="N106" s="101" t="s">
        <v>32</v>
      </c>
      <c r="O106" s="102" t="n">
        <f aca="false">IF((O71+D80+D85+O80-D71-O85-D94)&gt;=0,O71+D80+D85+O80-D71-O85-D94,0)</f>
        <v>0</v>
      </c>
      <c r="P106" s="102"/>
      <c r="Q106" s="102"/>
      <c r="R106" s="103" t="s">
        <v>33</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94</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95</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33</v>
      </c>
      <c r="B111" s="68"/>
      <c r="C111" s="69" t="s">
        <v>96</v>
      </c>
      <c r="D111" s="69"/>
      <c r="E111" s="69"/>
      <c r="F111" s="69"/>
      <c r="G111" s="69"/>
      <c r="H111" s="69"/>
      <c r="I111" s="69"/>
      <c r="J111" s="69"/>
      <c r="K111" s="69"/>
      <c r="L111" s="81" t="n">
        <v>36</v>
      </c>
      <c r="M111" s="68"/>
      <c r="N111" s="69" t="str">
        <f aca="false">"If your total profits for "&amp;Admin!G2&amp;" are less than £"&amp;TEXT(Admin!N17,"#,##0")&amp;" and you"</f>
        <v>If your total profits for 2026-27 are less than £7,105 and you</v>
      </c>
      <c r="O111" s="68"/>
      <c r="P111" s="68"/>
      <c r="Q111" s="68"/>
      <c r="R111" s="68"/>
      <c r="S111" s="68"/>
      <c r="T111" s="68"/>
      <c r="U111" s="68"/>
      <c r="V111" s="68"/>
      <c r="W111" s="88"/>
    </row>
    <row r="112" customFormat="false" ht="12" hidden="false" customHeight="false" outlineLevel="0" collapsed="false">
      <c r="A112" s="109"/>
      <c r="B112" s="68"/>
      <c r="C112" s="69" t="s">
        <v>97</v>
      </c>
      <c r="D112" s="117" t="str">
        <f aca="false">Admin!G$2</f>
        <v>2026-27</v>
      </c>
      <c r="E112" s="117"/>
      <c r="F112" s="117"/>
      <c r="G112" s="69"/>
      <c r="H112" s="69"/>
      <c r="I112" s="69"/>
      <c r="J112" s="69"/>
      <c r="K112" s="69"/>
      <c r="L112" s="69"/>
      <c r="M112" s="68"/>
      <c r="N112" s="69" t="s">
        <v>98</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32</v>
      </c>
      <c r="D114" s="102"/>
      <c r="E114" s="102"/>
      <c r="F114" s="102"/>
      <c r="G114" s="103" t="s">
        <v>33</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34</v>
      </c>
      <c r="B116" s="68"/>
      <c r="C116" s="69" t="s">
        <v>99</v>
      </c>
      <c r="D116" s="69"/>
      <c r="E116" s="69"/>
      <c r="F116" s="69"/>
      <c r="G116" s="69"/>
      <c r="H116" s="69"/>
      <c r="I116" s="69"/>
      <c r="J116" s="69"/>
      <c r="K116" s="69"/>
      <c r="L116" s="81" t="n">
        <v>37</v>
      </c>
      <c r="M116" s="68"/>
      <c r="N116" s="69" t="s">
        <v>100</v>
      </c>
      <c r="O116" s="68"/>
      <c r="P116" s="68"/>
      <c r="Q116" s="68"/>
      <c r="R116" s="118"/>
      <c r="S116" s="118"/>
      <c r="T116" s="118"/>
      <c r="U116" s="69"/>
      <c r="V116" s="68"/>
      <c r="W116" s="88"/>
    </row>
    <row r="117" customFormat="false" ht="12" hidden="false" customHeight="true" outlineLevel="0" collapsed="false">
      <c r="A117" s="109"/>
      <c r="B117" s="68"/>
      <c r="C117" s="69" t="s">
        <v>101</v>
      </c>
      <c r="D117" s="69"/>
      <c r="E117" s="69"/>
      <c r="F117" s="69"/>
      <c r="G117" s="69"/>
      <c r="H117" s="69"/>
      <c r="I117" s="69"/>
      <c r="J117" s="69"/>
      <c r="K117" s="69"/>
      <c r="L117" s="69"/>
      <c r="M117" s="68"/>
      <c r="N117" s="69" t="s">
        <v>102</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103</v>
      </c>
      <c r="O118" s="68"/>
      <c r="P118" s="68"/>
      <c r="Q118" s="68"/>
      <c r="R118" s="68"/>
      <c r="S118" s="68"/>
      <c r="T118" s="68"/>
      <c r="U118" s="68"/>
      <c r="V118" s="68"/>
      <c r="W118" s="88"/>
    </row>
    <row r="119" customFormat="false" ht="15" hidden="false" customHeight="false" outlineLevel="0" collapsed="false">
      <c r="A119" s="85"/>
      <c r="B119" s="68"/>
      <c r="C119" s="101" t="s">
        <v>32</v>
      </c>
      <c r="D119" s="102"/>
      <c r="E119" s="102"/>
      <c r="F119" s="102"/>
      <c r="G119" s="103" t="s">
        <v>33</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35</v>
      </c>
      <c r="B120" s="68"/>
      <c r="C120" s="69" t="s">
        <v>104</v>
      </c>
      <c r="D120" s="69"/>
      <c r="E120" s="69"/>
      <c r="F120" s="69"/>
      <c r="G120" s="69"/>
      <c r="H120" s="69"/>
      <c r="I120" s="69"/>
      <c r="J120" s="69"/>
      <c r="K120" s="69"/>
      <c r="L120" s="81" t="n">
        <v>38</v>
      </c>
      <c r="M120" s="68"/>
      <c r="N120" s="69" t="s">
        <v>105</v>
      </c>
      <c r="O120" s="68"/>
      <c r="P120" s="68"/>
      <c r="Q120" s="68"/>
      <c r="R120" s="68"/>
      <c r="S120" s="68"/>
      <c r="T120" s="68"/>
      <c r="U120" s="68"/>
      <c r="V120" s="68"/>
      <c r="W120" s="88"/>
    </row>
    <row r="121" customFormat="false" ht="12" hidden="false" customHeight="true" outlineLevel="0" collapsed="false">
      <c r="A121" s="109"/>
      <c r="B121" s="68"/>
      <c r="C121" s="95" t="s">
        <v>106</v>
      </c>
      <c r="D121" s="69"/>
      <c r="E121" s="69"/>
      <c r="F121" s="69"/>
      <c r="G121" s="69"/>
      <c r="H121" s="69"/>
      <c r="I121" s="69"/>
      <c r="J121" s="69"/>
      <c r="K121" s="69"/>
      <c r="L121" s="69"/>
      <c r="M121" s="68"/>
      <c r="N121" s="69" t="s">
        <v>107</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32</v>
      </c>
      <c r="D123" s="102" t="n">
        <f aca="false">'Business Details'!O34</f>
        <v>0</v>
      </c>
      <c r="E123" s="102"/>
      <c r="F123" s="102"/>
      <c r="G123" s="103" t="s">
        <v>33</v>
      </c>
      <c r="H123" s="104" t="n">
        <v>0</v>
      </c>
      <c r="I123" s="104" t="n">
        <v>0</v>
      </c>
      <c r="J123" s="68"/>
      <c r="K123" s="68"/>
      <c r="L123" s="69"/>
      <c r="M123" s="68"/>
      <c r="N123" s="101" t="s">
        <v>32</v>
      </c>
      <c r="O123" s="102" t="n">
        <f aca="false">SalesMar!$K$1</f>
        <v>0</v>
      </c>
      <c r="P123" s="102"/>
      <c r="Q123" s="102"/>
      <c r="R123" s="103" t="s">
        <v>33</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customFormat="false" ht="12" hidden="false" customHeight="true" outlineLevel="0" collapsed="false">
      <c r="A1" s="126" t="s">
        <v>108</v>
      </c>
      <c r="B1" s="127" t="s">
        <v>109</v>
      </c>
      <c r="C1" s="128" t="s">
        <v>110</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Q1" s="131"/>
      <c r="R1" s="132"/>
      <c r="S1" s="133" t="s">
        <v>111</v>
      </c>
      <c r="T1" s="133" t="s">
        <v>112</v>
      </c>
      <c r="U1" s="133" t="s">
        <v>113</v>
      </c>
      <c r="V1" s="133" t="s">
        <v>114</v>
      </c>
      <c r="W1" s="133" t="s">
        <v>115</v>
      </c>
      <c r="X1" s="133" t="s">
        <v>116</v>
      </c>
      <c r="Y1" s="133" t="s">
        <v>117</v>
      </c>
      <c r="Z1" s="132"/>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c r="BT1" s="131"/>
      <c r="BU1" s="131"/>
      <c r="BV1" s="131"/>
      <c r="BW1" s="131"/>
      <c r="BX1" s="131"/>
      <c r="BY1" s="131"/>
      <c r="BZ1" s="131"/>
      <c r="CA1" s="131"/>
      <c r="CB1" s="131"/>
      <c r="CC1" s="131"/>
      <c r="CD1" s="131"/>
      <c r="CE1" s="131"/>
      <c r="CF1" s="131"/>
      <c r="CG1" s="131"/>
      <c r="CH1" s="131"/>
      <c r="CI1" s="131"/>
      <c r="CJ1" s="131"/>
      <c r="CK1" s="131"/>
      <c r="CL1" s="131"/>
      <c r="CM1" s="131"/>
      <c r="CN1" s="131"/>
      <c r="CO1" s="131"/>
      <c r="CP1" s="131"/>
      <c r="CQ1" s="131"/>
      <c r="CR1" s="131"/>
      <c r="CS1" s="131"/>
      <c r="CT1" s="131"/>
      <c r="CU1" s="131"/>
      <c r="CV1" s="131"/>
      <c r="CW1" s="131"/>
      <c r="CX1" s="131"/>
      <c r="CY1" s="131"/>
      <c r="CZ1" s="131"/>
      <c r="DA1" s="131"/>
      <c r="DB1" s="131"/>
      <c r="DC1" s="131"/>
      <c r="DD1" s="131"/>
      <c r="DE1" s="131"/>
      <c r="DF1" s="131"/>
      <c r="DG1" s="131"/>
      <c r="DH1" s="131"/>
      <c r="DI1" s="131"/>
      <c r="DJ1" s="131"/>
      <c r="DK1" s="131"/>
      <c r="DL1" s="131"/>
      <c r="DM1" s="131"/>
      <c r="DN1" s="131"/>
      <c r="DO1" s="131"/>
      <c r="DP1" s="131"/>
      <c r="DQ1" s="131"/>
      <c r="DR1" s="131"/>
      <c r="DS1" s="131"/>
      <c r="DT1" s="131"/>
      <c r="DU1" s="131"/>
      <c r="DV1" s="131"/>
      <c r="DW1" s="131"/>
      <c r="DX1" s="131"/>
      <c r="DY1" s="131"/>
      <c r="DZ1" s="131"/>
      <c r="EA1" s="131"/>
      <c r="EB1" s="131"/>
      <c r="EC1" s="131"/>
      <c r="ED1" s="131"/>
      <c r="EE1" s="131"/>
      <c r="EF1" s="131"/>
      <c r="EG1" s="131"/>
      <c r="EH1" s="131"/>
      <c r="EI1" s="131"/>
      <c r="EJ1" s="131"/>
      <c r="EK1" s="131"/>
      <c r="EL1" s="131"/>
      <c r="EM1" s="131"/>
      <c r="EN1" s="131"/>
      <c r="EO1" s="131"/>
      <c r="EP1" s="131"/>
      <c r="EQ1" s="131"/>
      <c r="ER1" s="131"/>
      <c r="ES1" s="131"/>
      <c r="ET1" s="131"/>
      <c r="EU1" s="131"/>
      <c r="EV1" s="131"/>
      <c r="EW1" s="131"/>
      <c r="EX1" s="131"/>
      <c r="EY1" s="131"/>
      <c r="EZ1" s="131"/>
      <c r="FA1" s="131"/>
      <c r="FB1" s="131"/>
      <c r="FC1" s="131"/>
      <c r="FD1" s="131"/>
      <c r="FE1" s="131"/>
      <c r="FF1" s="131"/>
      <c r="FG1" s="131"/>
      <c r="FH1" s="131"/>
      <c r="FI1" s="131"/>
      <c r="FJ1" s="131"/>
      <c r="FK1" s="131"/>
      <c r="FL1" s="131"/>
      <c r="FM1" s="131"/>
      <c r="FN1" s="131"/>
      <c r="FO1" s="131"/>
      <c r="FP1" s="131"/>
      <c r="FQ1" s="131"/>
      <c r="FR1" s="131"/>
      <c r="FS1" s="131"/>
      <c r="FT1" s="131"/>
      <c r="FU1" s="131"/>
      <c r="FV1" s="131"/>
      <c r="FW1" s="131"/>
      <c r="FX1" s="131"/>
      <c r="FY1" s="131"/>
      <c r="FZ1" s="131"/>
      <c r="GA1" s="131"/>
      <c r="GB1" s="131"/>
      <c r="GC1" s="131"/>
      <c r="GD1" s="131"/>
      <c r="GE1" s="131"/>
      <c r="GF1" s="131"/>
      <c r="GG1" s="131"/>
      <c r="GH1" s="131"/>
      <c r="GI1" s="131"/>
      <c r="GJ1" s="131"/>
      <c r="GK1" s="131"/>
      <c r="GL1" s="131"/>
      <c r="GM1" s="131"/>
      <c r="GN1" s="131"/>
      <c r="GO1" s="131"/>
      <c r="GP1" s="131"/>
      <c r="GQ1" s="131"/>
      <c r="GR1" s="131"/>
      <c r="GS1" s="131"/>
      <c r="GT1" s="131"/>
      <c r="GU1" s="131"/>
      <c r="GV1" s="131"/>
      <c r="GW1" s="131"/>
      <c r="GX1" s="131"/>
      <c r="GY1" s="131"/>
      <c r="GZ1" s="131"/>
      <c r="HA1" s="131"/>
      <c r="HB1" s="131"/>
      <c r="HC1" s="131"/>
      <c r="HD1" s="131"/>
      <c r="HE1" s="131"/>
      <c r="HF1" s="131"/>
      <c r="HG1" s="131"/>
      <c r="HH1" s="131"/>
      <c r="HI1" s="131"/>
      <c r="HJ1" s="131"/>
      <c r="HK1" s="131"/>
      <c r="HL1" s="131"/>
      <c r="HM1" s="131"/>
      <c r="HN1" s="131"/>
      <c r="HO1" s="131"/>
      <c r="HP1" s="131"/>
      <c r="HQ1" s="131"/>
      <c r="HR1" s="131"/>
      <c r="HS1" s="131"/>
      <c r="HT1" s="131"/>
      <c r="HU1" s="131"/>
      <c r="HV1" s="131"/>
      <c r="HW1" s="131"/>
      <c r="HX1" s="131"/>
      <c r="HY1" s="131"/>
      <c r="HZ1" s="131"/>
      <c r="IA1" s="131"/>
      <c r="IB1" s="131"/>
      <c r="IC1" s="131"/>
      <c r="ID1" s="131"/>
      <c r="IE1" s="131"/>
      <c r="IF1" s="131"/>
      <c r="IG1" s="131"/>
      <c r="IH1" s="131"/>
      <c r="II1" s="131"/>
      <c r="IJ1" s="131"/>
      <c r="IK1" s="131"/>
      <c r="IL1" s="131"/>
      <c r="IM1" s="131"/>
      <c r="IN1" s="131"/>
      <c r="IO1" s="131"/>
      <c r="IP1" s="131"/>
      <c r="IQ1" s="131"/>
      <c r="IR1" s="131"/>
      <c r="IS1" s="131"/>
      <c r="IT1" s="131"/>
      <c r="IU1" s="131"/>
      <c r="IV1" s="131"/>
      <c r="IW1" s="131"/>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customFormat="fals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Q3" s="139"/>
      <c r="R3" s="132"/>
      <c r="S3" s="132"/>
      <c r="T3" s="132"/>
      <c r="U3" s="132"/>
      <c r="V3" s="132"/>
      <c r="W3" s="132"/>
      <c r="X3" s="132"/>
      <c r="Y3" s="132"/>
      <c r="Z3" s="132"/>
      <c r="AA3" s="139"/>
      <c r="AB3" s="139"/>
      <c r="AC3" s="139"/>
      <c r="AD3" s="139"/>
      <c r="AE3" s="139"/>
      <c r="AF3" s="139"/>
      <c r="AG3" s="139"/>
      <c r="AH3" s="139"/>
      <c r="AI3" s="139"/>
      <c r="AJ3" s="139"/>
      <c r="AK3" s="139"/>
      <c r="AL3" s="139"/>
      <c r="AM3" s="139"/>
      <c r="AN3" s="139"/>
      <c r="AO3" s="139"/>
      <c r="AP3" s="139"/>
      <c r="AQ3" s="139"/>
      <c r="AR3" s="139"/>
      <c r="AS3" s="139"/>
      <c r="AT3" s="139"/>
      <c r="AU3" s="139"/>
      <c r="AV3" s="139"/>
      <c r="AW3" s="139"/>
      <c r="AX3" s="139"/>
      <c r="AY3" s="139"/>
      <c r="AZ3" s="139"/>
      <c r="BA3" s="139"/>
      <c r="BB3" s="139"/>
      <c r="BC3" s="139"/>
      <c r="BD3" s="139"/>
      <c r="BE3" s="139"/>
      <c r="BF3" s="139"/>
      <c r="BG3" s="139"/>
      <c r="BH3" s="139"/>
      <c r="BI3" s="139"/>
      <c r="BJ3" s="139"/>
      <c r="BK3" s="139"/>
      <c r="BL3" s="139"/>
      <c r="BM3" s="139"/>
      <c r="BN3" s="139"/>
      <c r="BO3" s="139"/>
      <c r="BP3" s="139"/>
      <c r="BQ3" s="139"/>
      <c r="BR3" s="139"/>
      <c r="BS3" s="139"/>
      <c r="BT3" s="139"/>
      <c r="BU3" s="139"/>
      <c r="BV3" s="139"/>
      <c r="BW3" s="139"/>
      <c r="BX3" s="139"/>
      <c r="BY3" s="139"/>
      <c r="BZ3" s="139"/>
      <c r="CA3" s="139"/>
      <c r="CB3" s="139"/>
      <c r="CC3" s="139"/>
      <c r="CD3" s="139"/>
      <c r="CE3" s="139"/>
      <c r="CF3" s="139"/>
      <c r="CG3" s="139"/>
      <c r="CH3" s="139"/>
      <c r="CI3" s="139"/>
      <c r="CJ3" s="139"/>
      <c r="CK3" s="139"/>
      <c r="CL3" s="139"/>
      <c r="CM3" s="139"/>
      <c r="CN3" s="139"/>
      <c r="CO3" s="139"/>
      <c r="CP3" s="139"/>
      <c r="CQ3" s="139"/>
      <c r="CR3" s="139"/>
      <c r="CS3" s="139"/>
      <c r="CT3" s="139"/>
      <c r="CU3" s="139"/>
      <c r="CV3" s="139"/>
      <c r="CW3" s="139"/>
      <c r="CX3" s="139"/>
      <c r="CY3" s="139"/>
      <c r="CZ3" s="139"/>
      <c r="DA3" s="139"/>
      <c r="DB3" s="139"/>
      <c r="DC3" s="139"/>
      <c r="DD3" s="139"/>
      <c r="DE3" s="139"/>
      <c r="DF3" s="139"/>
      <c r="DG3" s="139"/>
      <c r="DH3" s="139"/>
      <c r="DI3" s="139"/>
      <c r="DJ3" s="139"/>
      <c r="DK3" s="139"/>
      <c r="DL3" s="139"/>
      <c r="DM3" s="139"/>
      <c r="DN3" s="139"/>
      <c r="DO3" s="139"/>
      <c r="DP3" s="139"/>
      <c r="DQ3" s="139"/>
      <c r="DR3" s="139"/>
      <c r="DS3" s="139"/>
      <c r="DT3" s="139"/>
      <c r="DU3" s="139"/>
      <c r="DV3" s="139"/>
      <c r="DW3" s="139"/>
      <c r="DX3" s="139"/>
      <c r="DY3" s="139"/>
      <c r="DZ3" s="139"/>
      <c r="EA3" s="139"/>
      <c r="EB3" s="139"/>
      <c r="EC3" s="139"/>
      <c r="ED3" s="139"/>
      <c r="EE3" s="139"/>
      <c r="EF3" s="139"/>
      <c r="EG3" s="139"/>
      <c r="EH3" s="139"/>
      <c r="EI3" s="139"/>
      <c r="EJ3" s="139"/>
      <c r="EK3" s="139"/>
      <c r="EL3" s="139"/>
      <c r="EM3" s="139"/>
      <c r="EN3" s="139"/>
      <c r="EO3" s="139"/>
      <c r="EP3" s="139"/>
      <c r="EQ3" s="139"/>
      <c r="ER3" s="139"/>
      <c r="ES3" s="139"/>
      <c r="ET3" s="139"/>
      <c r="EU3" s="139"/>
      <c r="EV3" s="139"/>
      <c r="EW3" s="139"/>
      <c r="EX3" s="139"/>
      <c r="EY3" s="139"/>
      <c r="EZ3" s="139"/>
      <c r="FA3" s="139"/>
      <c r="FB3" s="139"/>
      <c r="FC3" s="139"/>
      <c r="FD3" s="139"/>
      <c r="FE3" s="139"/>
      <c r="FF3" s="139"/>
      <c r="FG3" s="139"/>
      <c r="FH3" s="139"/>
      <c r="FI3" s="139"/>
      <c r="FJ3" s="139"/>
      <c r="FK3" s="139"/>
      <c r="FL3" s="139"/>
      <c r="FM3" s="139"/>
      <c r="FN3" s="139"/>
      <c r="FO3" s="139"/>
      <c r="FP3" s="139"/>
      <c r="FQ3" s="139"/>
      <c r="FR3" s="139"/>
      <c r="FS3" s="139"/>
      <c r="FT3" s="139"/>
      <c r="FU3" s="139"/>
      <c r="FV3" s="139"/>
      <c r="FW3" s="139"/>
      <c r="FX3" s="139"/>
      <c r="FY3" s="139"/>
      <c r="FZ3" s="139"/>
      <c r="GA3" s="139"/>
      <c r="GB3" s="139"/>
      <c r="GC3" s="139"/>
      <c r="GD3" s="139"/>
      <c r="GE3" s="139"/>
      <c r="GF3" s="139"/>
      <c r="GG3" s="139"/>
      <c r="GH3" s="139"/>
      <c r="GI3" s="139"/>
      <c r="GJ3" s="139"/>
      <c r="GK3" s="139"/>
      <c r="GL3" s="139"/>
      <c r="GM3" s="139"/>
      <c r="GN3" s="139"/>
      <c r="GO3" s="139"/>
      <c r="GP3" s="139"/>
      <c r="GQ3" s="139"/>
      <c r="GR3" s="139"/>
      <c r="GS3" s="139"/>
      <c r="GT3" s="139"/>
      <c r="GU3" s="139"/>
      <c r="GV3" s="139"/>
      <c r="GW3" s="139"/>
      <c r="GX3" s="139"/>
      <c r="GY3" s="139"/>
      <c r="GZ3" s="139"/>
      <c r="HA3" s="139"/>
      <c r="HB3" s="139"/>
      <c r="HC3" s="139"/>
      <c r="HD3" s="139"/>
      <c r="HE3" s="139"/>
      <c r="HF3" s="139"/>
      <c r="HG3" s="139"/>
      <c r="HH3" s="139"/>
      <c r="HI3" s="139"/>
      <c r="HJ3" s="139"/>
      <c r="HK3" s="139"/>
      <c r="HL3" s="139"/>
      <c r="HM3" s="139"/>
      <c r="HN3" s="139"/>
      <c r="HO3" s="139"/>
      <c r="HP3" s="139"/>
      <c r="HQ3" s="139"/>
      <c r="HR3" s="139"/>
      <c r="HS3" s="139"/>
      <c r="HT3" s="139"/>
      <c r="HU3" s="139"/>
      <c r="HV3" s="139"/>
      <c r="HW3" s="139"/>
      <c r="HX3" s="139"/>
      <c r="HY3" s="139"/>
      <c r="HZ3" s="139"/>
      <c r="IA3" s="139"/>
      <c r="IB3" s="139"/>
      <c r="IC3" s="139"/>
      <c r="ID3" s="139"/>
      <c r="IE3" s="139"/>
      <c r="IF3" s="139"/>
      <c r="IG3" s="139"/>
      <c r="IH3" s="139"/>
      <c r="II3" s="139"/>
      <c r="IJ3" s="139"/>
      <c r="IK3" s="139"/>
      <c r="IL3" s="139"/>
      <c r="IM3" s="139"/>
      <c r="IN3" s="139"/>
      <c r="IO3" s="139"/>
      <c r="IP3" s="139"/>
      <c r="IQ3" s="139"/>
      <c r="IR3" s="139"/>
      <c r="IS3" s="139"/>
      <c r="IT3" s="139"/>
      <c r="IU3" s="139"/>
      <c r="IV3" s="139"/>
      <c r="IW3" s="139"/>
    </row>
    <row r="4" customFormat="false" ht="12.75" hidden="false" customHeight="false" outlineLevel="0" collapsed="false">
      <c r="A4" s="140" t="s">
        <v>118</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119</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120</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121</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122</v>
      </c>
      <c r="T6" s="143" t="n">
        <f aca="false">SUM(D6:F7)</f>
        <v>6680</v>
      </c>
      <c r="U6" s="143" t="n">
        <f aca="false">SUM(G6:I7)</f>
        <v>1500</v>
      </c>
      <c r="V6" s="143" t="n">
        <f aca="false">SUM(J6:L7)</f>
        <v>4800</v>
      </c>
      <c r="W6" s="143" t="n">
        <f aca="false">SUM(M6:O7)</f>
        <v>5560</v>
      </c>
      <c r="X6" s="144" t="n">
        <f aca="false">SUM(T6:W6)</f>
        <v>18540</v>
      </c>
      <c r="Y6" s="132"/>
      <c r="Z6" s="132"/>
    </row>
    <row r="7" customFormat="false" ht="12.75" hidden="false" customHeight="false" outlineLevel="0" collapsed="false">
      <c r="A7" s="150" t="s">
        <v>123</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Q7" s="151"/>
      <c r="R7" s="132"/>
      <c r="S7" s="132"/>
      <c r="T7" s="132"/>
      <c r="U7" s="132"/>
      <c r="V7" s="132"/>
      <c r="W7" s="132"/>
      <c r="X7" s="132"/>
      <c r="Y7" s="132"/>
      <c r="Z7" s="132"/>
      <c r="AA7" s="151"/>
      <c r="AB7" s="151"/>
      <c r="AC7" s="151"/>
      <c r="AD7" s="151"/>
      <c r="AE7" s="151"/>
      <c r="AF7" s="151"/>
      <c r="AG7" s="151"/>
      <c r="AH7" s="151"/>
      <c r="AI7" s="151"/>
      <c r="AJ7" s="151"/>
      <c r="AK7" s="151"/>
      <c r="AL7" s="151"/>
      <c r="AM7" s="151"/>
      <c r="AN7" s="151"/>
      <c r="AO7" s="151"/>
      <c r="AP7" s="151"/>
      <c r="AQ7" s="151"/>
      <c r="AR7" s="151"/>
      <c r="AS7" s="151"/>
      <c r="AT7" s="151"/>
      <c r="AU7" s="151"/>
      <c r="AV7" s="151"/>
      <c r="AW7" s="151"/>
      <c r="AX7" s="151"/>
      <c r="AY7" s="151"/>
      <c r="AZ7" s="151"/>
      <c r="BA7" s="151"/>
      <c r="BB7" s="151"/>
      <c r="BC7" s="151"/>
      <c r="BD7" s="151"/>
      <c r="BE7" s="151"/>
      <c r="BF7" s="151"/>
      <c r="BG7" s="151"/>
      <c r="BH7" s="151"/>
      <c r="BI7" s="151"/>
      <c r="BJ7" s="151"/>
      <c r="BK7" s="151"/>
      <c r="BL7" s="151"/>
      <c r="BM7" s="151"/>
      <c r="BN7" s="151"/>
      <c r="BO7" s="151"/>
      <c r="BP7" s="151"/>
      <c r="BQ7" s="151"/>
      <c r="BR7" s="151"/>
      <c r="BS7" s="151"/>
      <c r="BT7" s="151"/>
      <c r="BU7" s="151"/>
      <c r="BV7" s="151"/>
      <c r="BW7" s="151"/>
      <c r="BX7" s="151"/>
      <c r="BY7" s="151"/>
      <c r="BZ7" s="151"/>
      <c r="CA7" s="151"/>
      <c r="CB7" s="151"/>
      <c r="CC7" s="151"/>
      <c r="CD7" s="151"/>
      <c r="CE7" s="151"/>
      <c r="CF7" s="151"/>
      <c r="CG7" s="151"/>
      <c r="CH7" s="151"/>
      <c r="CI7" s="151"/>
      <c r="CJ7" s="151"/>
      <c r="CK7" s="151"/>
      <c r="CL7" s="151"/>
      <c r="CM7" s="151"/>
      <c r="CN7" s="151"/>
      <c r="CO7" s="151"/>
      <c r="CP7" s="151"/>
      <c r="CQ7" s="151"/>
      <c r="CR7" s="151"/>
      <c r="CS7" s="151"/>
      <c r="CT7" s="151"/>
      <c r="CU7" s="151"/>
      <c r="CV7" s="151"/>
      <c r="CW7" s="151"/>
      <c r="CX7" s="151"/>
      <c r="CY7" s="151"/>
      <c r="CZ7" s="151"/>
      <c r="DA7" s="151"/>
      <c r="DB7" s="151"/>
      <c r="DC7" s="151"/>
      <c r="DD7" s="151"/>
      <c r="DE7" s="151"/>
      <c r="DF7" s="151"/>
      <c r="DG7" s="151"/>
      <c r="DH7" s="151"/>
      <c r="DI7" s="151"/>
      <c r="DJ7" s="151"/>
      <c r="DK7" s="151"/>
      <c r="DL7" s="151"/>
      <c r="DM7" s="151"/>
      <c r="DN7" s="151"/>
      <c r="DO7" s="151"/>
      <c r="DP7" s="151"/>
      <c r="DQ7" s="151"/>
      <c r="DR7" s="151"/>
      <c r="DS7" s="151"/>
      <c r="DT7" s="151"/>
      <c r="DU7" s="151"/>
      <c r="DV7" s="151"/>
      <c r="DW7" s="151"/>
      <c r="DX7" s="151"/>
      <c r="DY7" s="151"/>
      <c r="DZ7" s="151"/>
      <c r="EA7" s="151"/>
      <c r="EB7" s="151"/>
      <c r="EC7" s="151"/>
      <c r="ED7" s="151"/>
      <c r="EE7" s="151"/>
      <c r="EF7" s="151"/>
      <c r="EG7" s="151"/>
      <c r="EH7" s="151"/>
      <c r="EI7" s="151"/>
      <c r="EJ7" s="151"/>
      <c r="EK7" s="151"/>
      <c r="EL7" s="151"/>
      <c r="EM7" s="151"/>
      <c r="EN7" s="151"/>
      <c r="EO7" s="151"/>
      <c r="EP7" s="151"/>
      <c r="EQ7" s="151"/>
      <c r="ER7" s="151"/>
      <c r="ES7" s="151"/>
      <c r="ET7" s="151"/>
      <c r="EU7" s="151"/>
      <c r="EV7" s="151"/>
      <c r="EW7" s="151"/>
      <c r="EX7" s="151"/>
      <c r="EY7" s="151"/>
      <c r="EZ7" s="151"/>
      <c r="FA7" s="151"/>
      <c r="FB7" s="151"/>
      <c r="FC7" s="151"/>
      <c r="FD7" s="151"/>
      <c r="FE7" s="151"/>
      <c r="FF7" s="151"/>
      <c r="FG7" s="151"/>
      <c r="FH7" s="151"/>
      <c r="FI7" s="151"/>
      <c r="FJ7" s="151"/>
      <c r="FK7" s="151"/>
      <c r="FL7" s="151"/>
      <c r="FM7" s="151"/>
      <c r="FN7" s="151"/>
      <c r="FO7" s="151"/>
      <c r="FP7" s="151"/>
      <c r="FQ7" s="151"/>
      <c r="FR7" s="151"/>
      <c r="FS7" s="151"/>
      <c r="FT7" s="151"/>
      <c r="FU7" s="151"/>
      <c r="FV7" s="151"/>
      <c r="FW7" s="151"/>
      <c r="FX7" s="151"/>
      <c r="FY7" s="151"/>
      <c r="FZ7" s="151"/>
      <c r="GA7" s="151"/>
      <c r="GB7" s="151"/>
      <c r="GC7" s="151"/>
      <c r="GD7" s="151"/>
      <c r="GE7" s="151"/>
      <c r="GF7" s="151"/>
      <c r="GG7" s="151"/>
      <c r="GH7" s="151"/>
      <c r="GI7" s="151"/>
      <c r="GJ7" s="151"/>
      <c r="GK7" s="151"/>
      <c r="GL7" s="151"/>
      <c r="GM7" s="151"/>
      <c r="GN7" s="151"/>
      <c r="GO7" s="151"/>
      <c r="GP7" s="151"/>
      <c r="GQ7" s="151"/>
      <c r="GR7" s="151"/>
      <c r="GS7" s="151"/>
      <c r="GT7" s="151"/>
      <c r="GU7" s="151"/>
      <c r="GV7" s="151"/>
      <c r="GW7" s="151"/>
      <c r="GX7" s="151"/>
      <c r="GY7" s="151"/>
      <c r="GZ7" s="151"/>
      <c r="HA7" s="151"/>
      <c r="HB7" s="151"/>
      <c r="HC7" s="151"/>
      <c r="HD7" s="151"/>
      <c r="HE7" s="151"/>
      <c r="HF7" s="151"/>
      <c r="HG7" s="151"/>
      <c r="HH7" s="151"/>
      <c r="HI7" s="151"/>
      <c r="HJ7" s="151"/>
      <c r="HK7" s="151"/>
      <c r="HL7" s="151"/>
      <c r="HM7" s="151"/>
      <c r="HN7" s="151"/>
      <c r="HO7" s="151"/>
      <c r="HP7" s="151"/>
      <c r="HQ7" s="151"/>
      <c r="HR7" s="151"/>
      <c r="HS7" s="151"/>
      <c r="HT7" s="151"/>
      <c r="HU7" s="151"/>
      <c r="HV7" s="151"/>
      <c r="HW7" s="151"/>
      <c r="HX7" s="151"/>
      <c r="HY7" s="151"/>
      <c r="HZ7" s="151"/>
      <c r="IA7" s="151"/>
      <c r="IB7" s="151"/>
      <c r="IC7" s="151"/>
      <c r="ID7" s="151"/>
      <c r="IE7" s="151"/>
      <c r="IF7" s="151"/>
      <c r="IG7" s="151"/>
      <c r="IH7" s="151"/>
      <c r="II7" s="151"/>
      <c r="IJ7" s="151"/>
      <c r="IK7" s="151"/>
      <c r="IL7" s="151"/>
      <c r="IM7" s="151"/>
      <c r="IN7" s="151"/>
      <c r="IO7" s="151"/>
      <c r="IP7" s="151"/>
      <c r="IQ7" s="151"/>
      <c r="IR7" s="151"/>
      <c r="IS7" s="151"/>
      <c r="IT7" s="151"/>
      <c r="IU7" s="151"/>
      <c r="IV7" s="151"/>
      <c r="IW7" s="151"/>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124</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125</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126</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127</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128</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129</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130</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131</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132</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133</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134</v>
      </c>
      <c r="B15" s="124" t="n">
        <v>3.55</v>
      </c>
      <c r="C15" s="149" t="n">
        <f aca="false">ROUND(SUM(D15:O15),0)</f>
        <v>7735</v>
      </c>
      <c r="D15" s="154" t="n">
        <f aca="false">PurchasesApr!$P$1</f>
        <v>610.75</v>
      </c>
      <c r="E15" s="154" t="n">
        <f aca="false">PurchasesMay!$P$1</f>
        <v>678</v>
      </c>
      <c r="F15" s="154" t="n">
        <f aca="false">PurchasesJun!$P$1</f>
        <v>674</v>
      </c>
      <c r="G15" s="154" t="n">
        <f aca="false">PurchasesJul!$P$1</f>
        <v>588.75</v>
      </c>
      <c r="H15" s="154" t="n">
        <f aca="false">PurchasesAug!$P$1</f>
        <v>610.75</v>
      </c>
      <c r="I15" s="154" t="n">
        <f aca="false">PurchasesSep!$P$1</f>
        <v>724</v>
      </c>
      <c r="J15" s="154" t="n">
        <f aca="false">PurchasesOct!$P$1</f>
        <v>616.25</v>
      </c>
      <c r="K15" s="154" t="n">
        <f aca="false">PurchasesNov!$P$1</f>
        <v>663</v>
      </c>
      <c r="L15" s="154" t="n">
        <f aca="false">PurchasesDec!$P$1</f>
        <v>624.5</v>
      </c>
      <c r="M15" s="154" t="n">
        <f aca="false">PurchasesJan!$P$1</f>
        <v>646.75</v>
      </c>
      <c r="N15" s="154" t="n">
        <f aca="false">PurchasesFeb!$P$1</f>
        <v>602.5</v>
      </c>
      <c r="O15" s="154" t="n">
        <f aca="false">PurchasesMar!$P$1</f>
        <v>695.5</v>
      </c>
      <c r="P15" s="132"/>
      <c r="R15" s="132"/>
      <c r="S15" s="132" t="s">
        <v>135</v>
      </c>
      <c r="T15" s="144" t="n">
        <f aca="false">SUM(D15:F15)</f>
        <v>1962.75</v>
      </c>
      <c r="U15" s="144" t="n">
        <f aca="false">SUM(G15:I15)</f>
        <v>1923.5</v>
      </c>
      <c r="V15" s="144" t="n">
        <f aca="false">SUM(J15:L15)</f>
        <v>1903.75</v>
      </c>
      <c r="W15" s="144" t="n">
        <f aca="false">SUM(M15:O15)</f>
        <v>1944.75</v>
      </c>
      <c r="X15" s="144" t="n">
        <f aca="false">SUM(T15:W15)</f>
        <v>7734.75</v>
      </c>
      <c r="Y15" s="132"/>
      <c r="Z15" s="132"/>
    </row>
    <row r="16" customFormat="false" ht="12.75" hidden="false" customHeight="false" outlineLevel="0" collapsed="false">
      <c r="A16" s="132" t="s">
        <v>136</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137</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138</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139</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140</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141</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142</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143</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144</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145</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146</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147</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148</v>
      </c>
      <c r="B22" s="153" t="n">
        <v>3.64</v>
      </c>
      <c r="C22" s="157" t="n">
        <f aca="false">SUM(C11:C21)</f>
        <v>125989</v>
      </c>
      <c r="D22" s="158" t="n">
        <f aca="false">SUM(D11:D21)</f>
        <v>10219.75</v>
      </c>
      <c r="E22" s="158" t="n">
        <f aca="false">SUM(E11:E21)</f>
        <v>9567</v>
      </c>
      <c r="F22" s="158" t="n">
        <f aca="false">SUM(F11:F21)</f>
        <v>9417</v>
      </c>
      <c r="G22" s="158" t="n">
        <f aca="false">SUM(G11:G21)</f>
        <v>12843.75</v>
      </c>
      <c r="H22" s="158" t="n">
        <f aca="false">SUM(H11:H21)</f>
        <v>9573.75</v>
      </c>
      <c r="I22" s="158" t="n">
        <f aca="false">SUM(I11:I21)</f>
        <v>10451</v>
      </c>
      <c r="J22" s="158" t="n">
        <f aca="false">SUM(J11:J21)</f>
        <v>12235.25</v>
      </c>
      <c r="K22" s="158" t="n">
        <f aca="false">SUM(K11:K21)</f>
        <v>8796</v>
      </c>
      <c r="L22" s="158" t="n">
        <f aca="false">SUM(L11:L21)</f>
        <v>14682.5</v>
      </c>
      <c r="M22" s="158" t="n">
        <f aca="false">SUM(M11:M21)</f>
        <v>9619.75</v>
      </c>
      <c r="N22" s="158" t="n">
        <f aca="false">SUM(N11:N21)</f>
        <v>9443.5</v>
      </c>
      <c r="O22" s="158" t="n">
        <f aca="false">SUM(O11:O21)</f>
        <v>9139.5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149</v>
      </c>
      <c r="T23" s="144" t="n">
        <v>0</v>
      </c>
      <c r="U23" s="144" t="n">
        <v>0</v>
      </c>
      <c r="V23" s="144" t="n">
        <v>0</v>
      </c>
      <c r="W23" s="144" t="n">
        <v>0</v>
      </c>
      <c r="X23" s="144" t="n">
        <f aca="false">SUM(T23:W23)</f>
        <v>0</v>
      </c>
      <c r="Y23" s="132" t="s">
        <v>150</v>
      </c>
      <c r="Z23" s="132"/>
    </row>
    <row r="24" customFormat="false" ht="12.75" hidden="false" customHeight="false" outlineLevel="0" collapsed="false">
      <c r="A24" s="152" t="s">
        <v>151</v>
      </c>
      <c r="B24" s="124" t="n">
        <v>3.65</v>
      </c>
      <c r="C24" s="142" t="n">
        <f aca="false">ROUND((C9-C22),0)</f>
        <v>265371</v>
      </c>
      <c r="D24" s="160" t="n">
        <f aca="false">D9-D22</f>
        <v>22580.25</v>
      </c>
      <c r="E24" s="160" t="n">
        <f aca="false">E9-E22</f>
        <v>22633</v>
      </c>
      <c r="F24" s="160" t="n">
        <f aca="false">F9-F22</f>
        <v>20423</v>
      </c>
      <c r="G24" s="160" t="n">
        <f aca="false">G9-G22</f>
        <v>20196.25</v>
      </c>
      <c r="H24" s="160" t="n">
        <f aca="false">H9-H22</f>
        <v>25906.25</v>
      </c>
      <c r="I24" s="160" t="n">
        <f aca="false">I9-I22</f>
        <v>23069</v>
      </c>
      <c r="J24" s="160" t="n">
        <f aca="false">J9-J22</f>
        <v>22844.75</v>
      </c>
      <c r="K24" s="160" t="n">
        <f aca="false">K9-K22</f>
        <v>22684</v>
      </c>
      <c r="L24" s="160" t="n">
        <f aca="false">L9-L22</f>
        <v>17637.5</v>
      </c>
      <c r="M24" s="160" t="n">
        <f aca="false">M9-M22</f>
        <v>25220.25</v>
      </c>
      <c r="N24" s="160" t="n">
        <f aca="false">N9-N22</f>
        <v>24256.5</v>
      </c>
      <c r="O24" s="160" t="n">
        <f aca="false">O9-O22</f>
        <v>17920.5</v>
      </c>
      <c r="P24" s="132"/>
      <c r="R24" s="132"/>
      <c r="S24" s="132" t="s">
        <v>152</v>
      </c>
      <c r="T24" s="144" t="n">
        <v>0</v>
      </c>
      <c r="U24" s="144" t="n">
        <v>0</v>
      </c>
      <c r="V24" s="144" t="n">
        <v>0</v>
      </c>
      <c r="W24" s="144" t="n">
        <v>0</v>
      </c>
      <c r="X24" s="144" t="n">
        <f aca="false">SUM(T24:W24)</f>
        <v>0</v>
      </c>
      <c r="Y24" s="132" t="s">
        <v>150</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153</v>
      </c>
      <c r="T25" s="144" t="n">
        <v>0</v>
      </c>
      <c r="U25" s="144" t="n">
        <v>0</v>
      </c>
      <c r="V25" s="144" t="n">
        <v>0</v>
      </c>
      <c r="W25" s="144" t="n">
        <v>0</v>
      </c>
      <c r="X25" s="144" t="n">
        <f aca="false">SUM(T25:W25)</f>
        <v>0</v>
      </c>
      <c r="Y25" s="132" t="s">
        <v>150</v>
      </c>
      <c r="Z25" s="132"/>
    </row>
    <row r="26" customFormat="false" ht="12.75" hidden="false" customHeight="false" outlineLevel="0" collapsed="false">
      <c r="A26" s="156" t="s">
        <v>154</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155</v>
      </c>
      <c r="B28" s="161"/>
      <c r="C28" s="163" t="n">
        <f aca="false">C24-C26</f>
        <v>226371</v>
      </c>
      <c r="D28" s="147"/>
      <c r="E28" s="147"/>
      <c r="F28" s="147"/>
      <c r="G28" s="147"/>
      <c r="H28" s="147"/>
      <c r="I28" s="147"/>
      <c r="J28" s="147"/>
      <c r="K28" s="147"/>
      <c r="L28" s="147"/>
      <c r="M28" s="147"/>
      <c r="N28" s="147"/>
      <c r="O28" s="147"/>
      <c r="P28" s="132"/>
      <c r="R28" s="132"/>
      <c r="S28" s="155" t="s">
        <v>156</v>
      </c>
      <c r="T28" s="164" t="n">
        <f aca="false">SUM(T6,T11,T12,T13,T14,T15,T16,T17,T18,T19,T20,T21,T23,T24,T25)</f>
        <v>35883.75</v>
      </c>
      <c r="U28" s="164" t="n">
        <f aca="false">SUM(U6,U11,U12,U13,U14,U15,U16,U17,U18,U19,U20,U21,U23,U24,U25)</f>
        <v>34368.5</v>
      </c>
      <c r="V28" s="164" t="n">
        <f aca="false">SUM(V6,V11,V12,V13,V14,V15,V16,V17,V18,V19,V20,V21,V23,V24,V25)</f>
        <v>40513.75</v>
      </c>
      <c r="W28" s="164" t="n">
        <f aca="false">SUM(W6,W11,W12,W13,W14,W15,W16,W17,W18,W19,W20,W21,W23,W24,W25)</f>
        <v>33762.75</v>
      </c>
      <c r="X28" s="164" t="n">
        <f aca="false">SUM(X6,X11,X12,X13,X14,X15,X16,X17,X18,X19,X20,X21,X23,X24,X25)</f>
        <v>144528.75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157</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158</v>
      </c>
      <c r="C32" s="149" t="n">
        <f aca="false">'Income Tax'!E11+'Income Tax'!E12</f>
        <v>88069.95</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159</v>
      </c>
      <c r="C33" s="149" t="n">
        <f aca="false">'Income Tax'!E15+'Income Tax'!E16</f>
        <v>5784.02</v>
      </c>
      <c r="D33" s="147"/>
      <c r="E33" s="147"/>
      <c r="F33" s="147"/>
      <c r="G33" s="147"/>
      <c r="H33" s="147"/>
      <c r="I33" s="147"/>
      <c r="J33" s="147"/>
      <c r="K33" s="147"/>
      <c r="L33" s="147"/>
      <c r="M33" s="147"/>
      <c r="N33" s="147"/>
      <c r="O33" s="147"/>
      <c r="P33" s="132"/>
      <c r="R33" s="132"/>
      <c r="S33" s="155" t="s">
        <v>160</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161</v>
      </c>
      <c r="C35" s="163" t="n">
        <f aca="false">C28+C30-C32-C33</f>
        <v>132517.03</v>
      </c>
      <c r="D35" s="147"/>
      <c r="E35" s="147"/>
      <c r="F35" s="147"/>
      <c r="G35" s="147"/>
      <c r="H35" s="147"/>
      <c r="I35" s="147"/>
      <c r="J35" s="147"/>
      <c r="K35" s="147"/>
      <c r="L35" s="147"/>
      <c r="M35" s="147"/>
      <c r="N35" s="147"/>
      <c r="O35" s="147"/>
      <c r="P35" s="132"/>
      <c r="R35" s="132"/>
      <c r="S35" s="132" t="s">
        <v>122</v>
      </c>
      <c r="T35" s="144" t="n">
        <v>0</v>
      </c>
      <c r="U35" s="144" t="n">
        <v>0</v>
      </c>
      <c r="V35" s="144" t="n">
        <v>0</v>
      </c>
      <c r="W35" s="144" t="n">
        <v>0</v>
      </c>
      <c r="X35" s="144" t="n">
        <f aca="false">SUM(T35:W35)</f>
        <v>0</v>
      </c>
      <c r="Y35" s="132" t="s">
        <v>150</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149</v>
      </c>
      <c r="T36" s="144" t="n">
        <v>0</v>
      </c>
      <c r="U36" s="144" t="n">
        <v>0</v>
      </c>
      <c r="V36" s="144" t="n">
        <v>0</v>
      </c>
      <c r="W36" s="144" t="n">
        <v>0</v>
      </c>
      <c r="X36" s="144" t="n">
        <f aca="false">SUM(T36:W36)</f>
        <v>0</v>
      </c>
      <c r="Y36" s="132" t="s">
        <v>150</v>
      </c>
      <c r="Z36" s="132"/>
    </row>
    <row r="37" customFormat="false" ht="12.75" hidden="false" customHeight="false" outlineLevel="0" collapsed="false">
      <c r="A37" s="132" t="s">
        <v>162</v>
      </c>
      <c r="C37" s="149" t="n">
        <f aca="false">ROUND(SUM(D37:O37),0)</f>
        <v>0</v>
      </c>
      <c r="D37" s="154"/>
      <c r="E37" s="154"/>
      <c r="F37" s="154"/>
      <c r="G37" s="154"/>
      <c r="H37" s="154"/>
      <c r="I37" s="154"/>
      <c r="J37" s="154"/>
      <c r="K37" s="154"/>
      <c r="L37" s="154"/>
      <c r="M37" s="154"/>
      <c r="N37" s="154"/>
      <c r="O37" s="154"/>
      <c r="P37" s="132"/>
      <c r="R37" s="132"/>
      <c r="S37" s="132" t="s">
        <v>127</v>
      </c>
      <c r="T37" s="144" t="n">
        <v>0</v>
      </c>
      <c r="U37" s="144" t="n">
        <v>0</v>
      </c>
      <c r="V37" s="144" t="n">
        <v>0</v>
      </c>
      <c r="W37" s="144" t="n">
        <v>0</v>
      </c>
      <c r="X37" s="144" t="n">
        <f aca="false">SUM(T37:W37)</f>
        <v>0</v>
      </c>
      <c r="Y37" s="132" t="s">
        <v>150</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163</v>
      </c>
      <c r="T38" s="144" t="n">
        <v>0</v>
      </c>
      <c r="U38" s="144" t="n">
        <v>0</v>
      </c>
      <c r="V38" s="144" t="n">
        <v>0</v>
      </c>
      <c r="W38" s="144" t="n">
        <v>0</v>
      </c>
      <c r="X38" s="144" t="n">
        <f aca="false">SUM(T38:W38)</f>
        <v>0</v>
      </c>
      <c r="Y38" s="132" t="s">
        <v>150</v>
      </c>
      <c r="Z38" s="132"/>
    </row>
    <row r="39" customFormat="false" ht="12.75" hidden="false" customHeight="false" outlineLevel="0" collapsed="false">
      <c r="R39" s="132"/>
      <c r="S39" s="132" t="s">
        <v>129</v>
      </c>
      <c r="T39" s="144" t="n">
        <v>0</v>
      </c>
      <c r="U39" s="144" t="n">
        <v>0</v>
      </c>
      <c r="V39" s="144" t="n">
        <v>0</v>
      </c>
      <c r="W39" s="144" t="n">
        <v>0</v>
      </c>
      <c r="X39" s="144" t="n">
        <f aca="false">SUM(T39:W39)</f>
        <v>0</v>
      </c>
      <c r="Y39" s="132" t="s">
        <v>150</v>
      </c>
      <c r="Z39" s="132"/>
    </row>
    <row r="40" customFormat="false" ht="12.75" hidden="false" customHeight="false" outlineLevel="0" collapsed="false">
      <c r="R40" s="132"/>
      <c r="S40" s="132" t="s">
        <v>131</v>
      </c>
      <c r="T40" s="144" t="n">
        <v>0</v>
      </c>
      <c r="U40" s="144" t="n">
        <v>0</v>
      </c>
      <c r="V40" s="144" t="n">
        <v>0</v>
      </c>
      <c r="W40" s="144" t="n">
        <v>0</v>
      </c>
      <c r="X40" s="144" t="n">
        <f aca="false">SUM(T40:W40)</f>
        <v>0</v>
      </c>
      <c r="Y40" s="132" t="s">
        <v>150</v>
      </c>
      <c r="Z40" s="132"/>
    </row>
    <row r="41" customFormat="false" ht="12.75" hidden="false" customHeight="false" outlineLevel="0" collapsed="false">
      <c r="R41" s="132"/>
      <c r="S41" s="132" t="s">
        <v>133</v>
      </c>
      <c r="T41" s="144" t="n">
        <v>0</v>
      </c>
      <c r="U41" s="144" t="n">
        <v>0</v>
      </c>
      <c r="V41" s="144" t="n">
        <v>0</v>
      </c>
      <c r="W41" s="144" t="n">
        <v>0</v>
      </c>
      <c r="X41" s="144" t="n">
        <f aca="false">SUM(T41:W41)</f>
        <v>0</v>
      </c>
      <c r="Y41" s="132" t="s">
        <v>150</v>
      </c>
      <c r="Z41" s="132"/>
    </row>
    <row r="42" customFormat="false" ht="12.75" hidden="false" customHeight="false" outlineLevel="0" collapsed="false">
      <c r="R42" s="132"/>
      <c r="S42" s="132" t="s">
        <v>139</v>
      </c>
      <c r="T42" s="144" t="n">
        <v>0</v>
      </c>
      <c r="U42" s="144" t="n">
        <v>0</v>
      </c>
      <c r="V42" s="144" t="n">
        <v>0</v>
      </c>
      <c r="W42" s="144" t="n">
        <v>0</v>
      </c>
      <c r="X42" s="144" t="n">
        <f aca="false">SUM(T42:W42)</f>
        <v>0</v>
      </c>
      <c r="Y42" s="132" t="s">
        <v>150</v>
      </c>
      <c r="Z42" s="132"/>
    </row>
    <row r="43" customFormat="false" ht="12.75" hidden="false" customHeight="false" outlineLevel="0" collapsed="false">
      <c r="R43" s="132"/>
      <c r="S43" s="132" t="s">
        <v>152</v>
      </c>
      <c r="T43" s="144" t="n">
        <v>0</v>
      </c>
      <c r="U43" s="144" t="n">
        <v>0</v>
      </c>
      <c r="V43" s="144" t="n">
        <v>0</v>
      </c>
      <c r="W43" s="144" t="n">
        <v>0</v>
      </c>
      <c r="X43" s="144" t="n">
        <f aca="false">SUM(T43:W43)</f>
        <v>0</v>
      </c>
      <c r="Y43" s="132" t="s">
        <v>150</v>
      </c>
      <c r="Z43" s="132"/>
    </row>
    <row r="44" customFormat="false" ht="12.75" hidden="false" customHeight="false" outlineLevel="0" collapsed="false">
      <c r="R44" s="132"/>
      <c r="S44" s="132" t="s">
        <v>145</v>
      </c>
      <c r="T44" s="144" t="n">
        <v>0</v>
      </c>
      <c r="U44" s="144" t="n">
        <v>0</v>
      </c>
      <c r="V44" s="144" t="n">
        <v>0</v>
      </c>
      <c r="W44" s="144" t="n">
        <v>0</v>
      </c>
      <c r="X44" s="144" t="n">
        <f aca="false">SUM(T44:W44)</f>
        <v>0</v>
      </c>
      <c r="Y44" s="132" t="s">
        <v>150</v>
      </c>
      <c r="Z44" s="132"/>
    </row>
    <row r="45" customFormat="false" ht="12.75" hidden="false" customHeight="false" outlineLevel="0" collapsed="false">
      <c r="R45" s="132"/>
      <c r="S45" s="132" t="s">
        <v>164</v>
      </c>
      <c r="T45" s="144" t="n">
        <v>0</v>
      </c>
      <c r="U45" s="144" t="n">
        <v>0</v>
      </c>
      <c r="V45" s="144" t="n">
        <v>0</v>
      </c>
      <c r="W45" s="144" t="n">
        <v>0</v>
      </c>
      <c r="X45" s="144" t="n">
        <f aca="false">SUM(T45:W45)</f>
        <v>0</v>
      </c>
      <c r="Y45" s="132" t="s">
        <v>150</v>
      </c>
      <c r="Z45" s="132"/>
    </row>
    <row r="46" customFormat="false" ht="12.75" hidden="false" customHeight="false" outlineLevel="0" collapsed="false">
      <c r="R46" s="132"/>
      <c r="S46" s="132" t="s">
        <v>165</v>
      </c>
      <c r="T46" s="144" t="n">
        <v>0</v>
      </c>
      <c r="U46" s="144" t="n">
        <v>0</v>
      </c>
      <c r="V46" s="144" t="n">
        <v>0</v>
      </c>
      <c r="W46" s="144" t="n">
        <v>0</v>
      </c>
      <c r="X46" s="144" t="n">
        <f aca="false">SUM(T46:W46)</f>
        <v>0</v>
      </c>
      <c r="Y46" s="132" t="s">
        <v>150</v>
      </c>
      <c r="Z46" s="132"/>
    </row>
    <row r="47" customFormat="false" ht="12.75" hidden="false" customHeight="false" outlineLevel="0" collapsed="false">
      <c r="R47" s="132"/>
      <c r="S47" s="132" t="s">
        <v>141</v>
      </c>
      <c r="T47" s="144" t="n">
        <v>0</v>
      </c>
      <c r="U47" s="144" t="n">
        <v>0</v>
      </c>
      <c r="V47" s="144" t="n">
        <v>0</v>
      </c>
      <c r="W47" s="144" t="n">
        <v>0</v>
      </c>
      <c r="X47" s="144" t="n">
        <f aca="false">SUM(T47:W47)</f>
        <v>0</v>
      </c>
      <c r="Y47" s="132" t="s">
        <v>150</v>
      </c>
      <c r="Z47" s="132"/>
    </row>
    <row r="48" customFormat="false" ht="12.75" hidden="false" customHeight="false" outlineLevel="0" collapsed="false">
      <c r="R48" s="132"/>
      <c r="S48" s="132" t="s">
        <v>153</v>
      </c>
      <c r="T48" s="144" t="n">
        <v>0</v>
      </c>
      <c r="U48" s="144" t="n">
        <v>0</v>
      </c>
      <c r="V48" s="144" t="n">
        <v>0</v>
      </c>
      <c r="W48" s="144" t="n">
        <v>0</v>
      </c>
      <c r="X48" s="144" t="n">
        <f aca="false">SUM(T48:W48)</f>
        <v>0</v>
      </c>
      <c r="Y48" s="132" t="s">
        <v>150</v>
      </c>
      <c r="Z48" s="132"/>
    </row>
    <row r="49" customFormat="false" ht="12.75" hidden="false" customHeight="false" outlineLevel="0" collapsed="false">
      <c r="R49" s="132"/>
      <c r="S49" s="132" t="s">
        <v>147</v>
      </c>
      <c r="T49" s="144" t="n">
        <v>0</v>
      </c>
      <c r="U49" s="144" t="n">
        <v>0</v>
      </c>
      <c r="V49" s="144" t="n">
        <v>0</v>
      </c>
      <c r="W49" s="144" t="n">
        <v>0</v>
      </c>
      <c r="X49" s="144" t="n">
        <f aca="false">SUM(T49:W49)</f>
        <v>0</v>
      </c>
      <c r="Y49" s="132" t="s">
        <v>150</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166</v>
      </c>
      <c r="C2" s="175" t="str">
        <f aca="false">Admin!L2</f>
        <v>2026-27</v>
      </c>
      <c r="D2" s="176" t="s">
        <v>167</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168</v>
      </c>
      <c r="C5" s="179"/>
      <c r="D5" s="179"/>
      <c r="E5" s="180" t="n">
        <f aca="false">'SE Short'!D106</f>
        <v>226371</v>
      </c>
      <c r="F5" s="173"/>
      <c r="G5" s="148"/>
    </row>
    <row r="6" customFormat="false" ht="12.75" hidden="false" customHeight="false" outlineLevel="0" collapsed="false">
      <c r="A6" s="132"/>
      <c r="B6" s="178" t="s">
        <v>169</v>
      </c>
      <c r="C6" s="178" t="str">
        <f aca="false">C2</f>
        <v>2026-27</v>
      </c>
      <c r="D6" s="181"/>
      <c r="E6" s="148" t="n">
        <f aca="false">IF(E5&lt;=0,0,MAX(0,Admin!N$4-MAX(0,E5-Admin!N$5)/2))</f>
        <v>0</v>
      </c>
      <c r="F6" s="173"/>
      <c r="G6" s="148"/>
    </row>
    <row r="7" customFormat="false" ht="12.75" hidden="false" customHeight="false" outlineLevel="0" collapsed="false">
      <c r="A7" s="132"/>
      <c r="B7" s="179" t="s">
        <v>170</v>
      </c>
      <c r="C7" s="179"/>
      <c r="D7" s="179"/>
      <c r="E7" s="180" t="n">
        <f aca="false">IF((E5&gt;E6),(E5-E6),0)</f>
        <v>226371</v>
      </c>
      <c r="F7" s="173"/>
      <c r="G7" s="148"/>
    </row>
    <row r="8" customFormat="false" ht="12.75" hidden="false" customHeight="false" outlineLevel="0" collapsed="false">
      <c r="A8" s="132"/>
      <c r="B8" s="178" t="s">
        <v>171</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172</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173</v>
      </c>
      <c r="C10" s="182" t="n">
        <f aca="false">Admin!N14</f>
        <v>125140</v>
      </c>
      <c r="D10" s="183" t="n">
        <f aca="false">Admin!N9</f>
        <v>0.45</v>
      </c>
      <c r="E10" s="172" t="n">
        <f aca="false">IF(E7&gt;C10,(E7-C10)*D10,0)</f>
        <v>45553.95</v>
      </c>
      <c r="F10" s="173"/>
      <c r="G10" s="148"/>
    </row>
    <row r="11" customFormat="false" ht="12.75" hidden="false" customHeight="false" outlineLevel="0" collapsed="false">
      <c r="A11" s="132"/>
      <c r="B11" s="185" t="s">
        <v>174</v>
      </c>
      <c r="C11" s="186"/>
      <c r="D11" s="187"/>
      <c r="E11" s="188" t="n">
        <f aca="false">SUM(E8:E10)</f>
        <v>88069.95</v>
      </c>
      <c r="F11" s="189"/>
      <c r="G11" s="190"/>
    </row>
    <row r="12" customFormat="false" ht="12.75" hidden="false" customHeight="false" outlineLevel="0" collapsed="false">
      <c r="A12" s="132"/>
      <c r="B12" s="178" t="s">
        <v>175</v>
      </c>
      <c r="C12" s="178"/>
      <c r="D12" s="191"/>
      <c r="E12" s="172" t="n">
        <f aca="false">-SalesMar!$K$1</f>
        <v>-0</v>
      </c>
      <c r="F12" s="189"/>
      <c r="G12" s="190"/>
    </row>
    <row r="13" customFormat="false" ht="12.75" hidden="false" customHeight="false" outlineLevel="0" collapsed="false">
      <c r="A13" s="132"/>
      <c r="B13" s="192" t="s">
        <v>176</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177</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178</v>
      </c>
      <c r="C16" s="196"/>
      <c r="D16" s="183" t="n">
        <f aca="false">Admin!L$23</f>
        <v>0.02</v>
      </c>
      <c r="E16" s="197" t="n">
        <f aca="false">IF((E5&gt;Admin!N$23),((E5-Admin!N$23)*D16),0)</f>
        <v>3522.02</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179</v>
      </c>
      <c r="C18" s="199"/>
      <c r="D18" s="194"/>
      <c r="E18" s="188" t="n">
        <f aca="false">SUM(E11:E17)</f>
        <v>93853.97</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180</v>
      </c>
      <c r="C21" s="200"/>
      <c r="D21" s="201" t="s">
        <v>181</v>
      </c>
      <c r="E21" s="201"/>
      <c r="F21" s="201"/>
      <c r="G21" s="132"/>
    </row>
    <row r="22" customFormat="false" ht="12.75" hidden="false" customHeight="true" outlineLevel="0" collapsed="false">
      <c r="A22" s="132"/>
      <c r="B22" s="178"/>
      <c r="C22" s="178"/>
      <c r="D22" s="194"/>
      <c r="E22" s="195"/>
      <c r="F22" s="173"/>
      <c r="G22" s="190"/>
    </row>
    <row r="23" customFormat="false" ht="12.75" hidden="false" customHeight="true" outlineLevel="0" collapsed="false">
      <c r="A23" s="156"/>
      <c r="B23" s="178"/>
      <c r="C23" s="178"/>
      <c r="D23" s="202" t="s">
        <v>182</v>
      </c>
      <c r="E23" s="203" t="s">
        <v>183</v>
      </c>
      <c r="F23" s="182"/>
      <c r="G23" s="148"/>
      <c r="H23" s="204"/>
      <c r="I23" s="204"/>
      <c r="J23" s="204"/>
      <c r="K23" s="204"/>
      <c r="L23" s="204"/>
      <c r="M23" s="204"/>
      <c r="N23" s="204"/>
      <c r="O23" s="204"/>
      <c r="P23" s="204"/>
      <c r="Q23" s="204"/>
      <c r="R23" s="204"/>
      <c r="S23" s="204"/>
      <c r="T23" s="204"/>
      <c r="U23" s="204"/>
      <c r="V23" s="204"/>
      <c r="W23" s="204"/>
      <c r="X23" s="204"/>
      <c r="Y23" s="204"/>
      <c r="Z23" s="204"/>
      <c r="AA23" s="204"/>
      <c r="AB23" s="204"/>
      <c r="AC23" s="204"/>
      <c r="AD23" s="204"/>
      <c r="AE23" s="204"/>
      <c r="AF23" s="204"/>
      <c r="AG23" s="204"/>
      <c r="AH23" s="204"/>
      <c r="AI23" s="204"/>
      <c r="AJ23" s="204"/>
      <c r="AK23" s="204"/>
      <c r="AL23" s="204"/>
      <c r="AM23" s="204"/>
      <c r="AN23" s="204"/>
      <c r="AO23" s="204"/>
      <c r="AP23" s="204"/>
      <c r="AQ23" s="204"/>
      <c r="AR23" s="204"/>
      <c r="AS23" s="204"/>
      <c r="AT23" s="204"/>
      <c r="AU23" s="204"/>
      <c r="AV23" s="204"/>
      <c r="AW23" s="204"/>
      <c r="AX23" s="204"/>
      <c r="AY23" s="204"/>
      <c r="AZ23" s="204"/>
      <c r="BA23" s="204"/>
      <c r="BB23" s="204"/>
      <c r="BC23" s="204"/>
      <c r="BD23" s="204"/>
      <c r="BE23" s="204"/>
      <c r="BF23" s="204"/>
      <c r="BG23" s="204"/>
      <c r="BH23" s="204"/>
      <c r="BI23" s="204"/>
      <c r="BJ23" s="204"/>
      <c r="BK23" s="204"/>
      <c r="BL23" s="204"/>
      <c r="BM23" s="204"/>
      <c r="BN23" s="204"/>
      <c r="BO23" s="204"/>
      <c r="BP23" s="204"/>
      <c r="BQ23" s="204"/>
      <c r="BR23" s="204"/>
      <c r="BS23" s="204"/>
      <c r="BT23" s="204"/>
      <c r="BU23" s="204"/>
      <c r="BV23" s="204"/>
      <c r="BW23" s="204"/>
      <c r="BX23" s="204"/>
      <c r="BY23" s="204"/>
      <c r="BZ23" s="204"/>
      <c r="CA23" s="204"/>
      <c r="CB23" s="204"/>
      <c r="CC23" s="204"/>
      <c r="CD23" s="204"/>
      <c r="CE23" s="204"/>
      <c r="CF23" s="204"/>
      <c r="CG23" s="204"/>
      <c r="CH23" s="204"/>
      <c r="CI23" s="204"/>
      <c r="CJ23" s="204"/>
      <c r="CK23" s="204"/>
      <c r="CL23" s="204"/>
      <c r="CM23" s="204"/>
      <c r="CN23" s="204"/>
      <c r="CO23" s="204"/>
      <c r="CP23" s="204"/>
      <c r="CQ23" s="204"/>
      <c r="CR23" s="204"/>
      <c r="CS23" s="204"/>
      <c r="CT23" s="204"/>
      <c r="CU23" s="204"/>
      <c r="CV23" s="204"/>
      <c r="CW23" s="204"/>
      <c r="CX23" s="204"/>
      <c r="CY23" s="204"/>
      <c r="CZ23" s="204"/>
      <c r="DA23" s="204"/>
      <c r="DB23" s="204"/>
      <c r="DC23" s="204"/>
      <c r="DD23" s="204"/>
      <c r="DE23" s="204"/>
      <c r="DF23" s="204"/>
      <c r="DG23" s="204"/>
      <c r="DH23" s="204"/>
      <c r="DI23" s="204"/>
      <c r="DJ23" s="204"/>
      <c r="DK23" s="204"/>
      <c r="DL23" s="204"/>
      <c r="DM23" s="204"/>
      <c r="DN23" s="204"/>
      <c r="DO23" s="204"/>
      <c r="DP23" s="204"/>
      <c r="DQ23" s="204"/>
      <c r="DR23" s="204"/>
      <c r="DS23" s="204"/>
      <c r="DT23" s="204"/>
      <c r="DU23" s="204"/>
      <c r="DV23" s="204"/>
      <c r="DW23" s="204"/>
      <c r="DX23" s="204"/>
      <c r="DY23" s="204"/>
      <c r="DZ23" s="204"/>
      <c r="EA23" s="204"/>
      <c r="EB23" s="204"/>
      <c r="EC23" s="204"/>
      <c r="ED23" s="204"/>
      <c r="EE23" s="204"/>
      <c r="EF23" s="204"/>
      <c r="EG23" s="204"/>
      <c r="EH23" s="204"/>
      <c r="EI23" s="204"/>
      <c r="EJ23" s="204"/>
      <c r="EK23" s="204"/>
      <c r="EL23" s="204"/>
      <c r="EM23" s="204"/>
      <c r="EN23" s="204"/>
      <c r="EO23" s="204"/>
      <c r="EP23" s="204"/>
      <c r="EQ23" s="204"/>
      <c r="ER23" s="204"/>
      <c r="ES23" s="204"/>
      <c r="ET23" s="204"/>
      <c r="EU23" s="204"/>
      <c r="EV23" s="204"/>
      <c r="EW23" s="204"/>
      <c r="EX23" s="204"/>
      <c r="EY23" s="204"/>
      <c r="EZ23" s="204"/>
      <c r="FA23" s="204"/>
      <c r="FB23" s="204"/>
      <c r="FC23" s="204"/>
      <c r="FD23" s="204"/>
      <c r="FE23" s="204"/>
      <c r="FF23" s="204"/>
      <c r="FG23" s="204"/>
      <c r="FH23" s="204"/>
      <c r="FI23" s="204"/>
      <c r="FJ23" s="204"/>
      <c r="FK23" s="204"/>
      <c r="FL23" s="204"/>
      <c r="FM23" s="204"/>
      <c r="FN23" s="204"/>
      <c r="FO23" s="204"/>
      <c r="FP23" s="204"/>
      <c r="FQ23" s="204"/>
      <c r="FR23" s="204"/>
      <c r="FS23" s="204"/>
      <c r="FT23" s="204"/>
      <c r="FU23" s="204"/>
      <c r="FV23" s="204"/>
      <c r="FW23" s="204"/>
      <c r="FX23" s="204"/>
      <c r="FY23" s="204"/>
      <c r="FZ23" s="204"/>
      <c r="GA23" s="204"/>
      <c r="GB23" s="204"/>
      <c r="GC23" s="204"/>
      <c r="GD23" s="204"/>
      <c r="GE23" s="204"/>
      <c r="GF23" s="204"/>
      <c r="GG23" s="204"/>
      <c r="GH23" s="204"/>
      <c r="GI23" s="204"/>
      <c r="GJ23" s="204"/>
      <c r="GK23" s="204"/>
      <c r="GL23" s="204"/>
      <c r="GM23" s="204"/>
      <c r="GN23" s="204"/>
      <c r="GO23" s="204"/>
      <c r="GP23" s="204"/>
      <c r="GQ23" s="204"/>
      <c r="GR23" s="204"/>
      <c r="GS23" s="204"/>
      <c r="GT23" s="204"/>
      <c r="GU23" s="204"/>
      <c r="GV23" s="204"/>
      <c r="GW23" s="204"/>
      <c r="GX23" s="204"/>
      <c r="GY23" s="204"/>
      <c r="GZ23" s="204"/>
      <c r="HA23" s="204"/>
      <c r="HB23" s="204"/>
      <c r="HC23" s="204"/>
      <c r="HD23" s="204"/>
      <c r="HE23" s="204"/>
      <c r="HF23" s="204"/>
      <c r="HG23" s="204"/>
      <c r="HH23" s="204"/>
      <c r="HI23" s="204"/>
      <c r="HJ23" s="204"/>
      <c r="HK23" s="204"/>
      <c r="HL23" s="204"/>
      <c r="HM23" s="204"/>
      <c r="HN23" s="204"/>
      <c r="HO23" s="204"/>
      <c r="HP23" s="204"/>
      <c r="HQ23" s="204"/>
      <c r="HR23" s="204"/>
      <c r="HS23" s="204"/>
      <c r="HT23" s="204"/>
      <c r="HU23" s="204"/>
      <c r="HV23" s="204"/>
      <c r="HW23" s="204"/>
      <c r="HX23" s="204"/>
      <c r="HY23" s="204"/>
      <c r="HZ23" s="204"/>
      <c r="IA23" s="204"/>
      <c r="IB23" s="204"/>
      <c r="IC23" s="204"/>
      <c r="ID23" s="204"/>
      <c r="IE23" s="204"/>
      <c r="IF23" s="204"/>
      <c r="IG23" s="204"/>
      <c r="IH23" s="204"/>
      <c r="II23" s="204"/>
      <c r="IJ23" s="204"/>
      <c r="IK23" s="204"/>
      <c r="IL23" s="204"/>
      <c r="IM23" s="204"/>
      <c r="IN23" s="204"/>
      <c r="IO23" s="204"/>
      <c r="IP23" s="204"/>
      <c r="IQ23" s="204"/>
      <c r="IR23" s="204"/>
      <c r="IS23" s="204"/>
      <c r="IT23" s="204"/>
      <c r="IU23" s="204"/>
      <c r="IV23" s="204"/>
      <c r="IW23" s="204"/>
    </row>
    <row r="24" customFormat="false" ht="12.75" hidden="false" customHeight="false" outlineLevel="0" collapsed="false">
      <c r="A24" s="156"/>
      <c r="B24" s="178"/>
      <c r="C24" s="178"/>
      <c r="D24" s="202"/>
      <c r="E24" s="202"/>
      <c r="F24" s="182"/>
      <c r="G24" s="148"/>
      <c r="H24" s="204"/>
      <c r="I24" s="204"/>
      <c r="J24" s="204"/>
      <c r="K24" s="204"/>
      <c r="L24" s="204"/>
      <c r="M24" s="204"/>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204"/>
      <c r="EM24" s="204"/>
      <c r="EN24" s="204"/>
      <c r="EO24" s="204"/>
      <c r="EP24" s="204"/>
      <c r="EQ24" s="204"/>
      <c r="ER24" s="204"/>
      <c r="ES24" s="204"/>
      <c r="ET24" s="204"/>
      <c r="EU24" s="204"/>
      <c r="EV24" s="204"/>
      <c r="EW24" s="204"/>
      <c r="EX24" s="204"/>
      <c r="EY24" s="204"/>
      <c r="EZ24" s="204"/>
      <c r="FA24" s="204"/>
      <c r="FB24" s="204"/>
      <c r="FC24" s="204"/>
      <c r="FD24" s="204"/>
      <c r="FE24" s="204"/>
      <c r="FF24" s="204"/>
      <c r="FG24" s="204"/>
      <c r="FH24" s="204"/>
      <c r="FI24" s="204"/>
      <c r="FJ24" s="204"/>
      <c r="FK24" s="204"/>
      <c r="FL24" s="204"/>
      <c r="FM24" s="204"/>
      <c r="FN24" s="204"/>
      <c r="FO24" s="204"/>
      <c r="FP24" s="204"/>
      <c r="FQ24" s="204"/>
      <c r="FR24" s="204"/>
      <c r="FS24" s="204"/>
      <c r="FT24" s="204"/>
      <c r="FU24" s="204"/>
      <c r="FV24" s="204"/>
      <c r="FW24" s="204"/>
      <c r="FX24" s="204"/>
      <c r="FY24" s="204"/>
      <c r="FZ24" s="204"/>
      <c r="GA24" s="204"/>
      <c r="GB24" s="204"/>
      <c r="GC24" s="204"/>
      <c r="GD24" s="204"/>
      <c r="GE24" s="204"/>
      <c r="GF24" s="204"/>
      <c r="GG24" s="204"/>
      <c r="GH24" s="204"/>
      <c r="GI24" s="204"/>
      <c r="GJ24" s="204"/>
      <c r="GK24" s="204"/>
      <c r="GL24" s="204"/>
      <c r="GM24" s="204"/>
      <c r="GN24" s="204"/>
      <c r="GO24" s="204"/>
      <c r="GP24" s="204"/>
      <c r="GQ24" s="204"/>
      <c r="GR24" s="204"/>
      <c r="GS24" s="204"/>
      <c r="GT24" s="204"/>
      <c r="GU24" s="204"/>
      <c r="GV24" s="204"/>
      <c r="GW24" s="204"/>
      <c r="GX24" s="204"/>
      <c r="GY24" s="204"/>
      <c r="GZ24" s="204"/>
      <c r="HA24" s="204"/>
      <c r="HB24" s="204"/>
      <c r="HC24" s="204"/>
      <c r="HD24" s="204"/>
      <c r="HE24" s="204"/>
      <c r="HF24" s="204"/>
      <c r="HG24" s="204"/>
      <c r="HH24" s="204"/>
      <c r="HI24" s="204"/>
      <c r="HJ24" s="204"/>
      <c r="HK24" s="204"/>
      <c r="HL24" s="204"/>
      <c r="HM24" s="204"/>
      <c r="HN24" s="204"/>
      <c r="HO24" s="204"/>
      <c r="HP24" s="204"/>
      <c r="HQ24" s="204"/>
      <c r="HR24" s="204"/>
      <c r="HS24" s="204"/>
      <c r="HT24" s="204"/>
      <c r="HU24" s="204"/>
      <c r="HV24" s="204"/>
      <c r="HW24" s="204"/>
      <c r="HX24" s="204"/>
      <c r="HY24" s="204"/>
      <c r="HZ24" s="204"/>
      <c r="IA24" s="204"/>
      <c r="IB24" s="204"/>
      <c r="IC24" s="204"/>
      <c r="ID24" s="204"/>
      <c r="IE24" s="204"/>
      <c r="IF24" s="204"/>
      <c r="IG24" s="204"/>
      <c r="IH24" s="204"/>
      <c r="II24" s="204"/>
      <c r="IJ24" s="204"/>
      <c r="IK24" s="204"/>
      <c r="IL24" s="204"/>
      <c r="IM24" s="204"/>
      <c r="IN24" s="204"/>
      <c r="IO24" s="204"/>
      <c r="IP24" s="204"/>
      <c r="IQ24" s="204"/>
      <c r="IR24" s="204"/>
      <c r="IS24" s="204"/>
      <c r="IT24" s="204"/>
      <c r="IU24" s="204"/>
      <c r="IV24" s="204"/>
      <c r="IW24" s="204"/>
    </row>
    <row r="25" customFormat="false" ht="12.75" hidden="false" customHeight="false" outlineLevel="0" collapsed="false">
      <c r="A25" s="132"/>
      <c r="B25" s="178" t="s">
        <v>184</v>
      </c>
      <c r="C25" s="205" t="str">
        <f aca="false">Admin!B24</f>
        <v>2027-28</v>
      </c>
      <c r="D25" s="206" t="s">
        <v>185</v>
      </c>
      <c r="E25" s="197" t="n">
        <f aca="false">E18</f>
        <v>93853.97</v>
      </c>
      <c r="F25" s="173"/>
      <c r="G25" s="148"/>
    </row>
    <row r="26" customFormat="false" ht="12.75" hidden="false" customHeight="false" outlineLevel="0" collapsed="false">
      <c r="A26" s="132"/>
      <c r="B26" s="178" t="s">
        <v>186</v>
      </c>
      <c r="C26" s="178"/>
      <c r="D26" s="207" t="n">
        <f aca="false">Admin!B21</f>
        <v>46783</v>
      </c>
      <c r="E26" s="180" t="n">
        <f aca="false">E25/2</f>
        <v>46926.985</v>
      </c>
      <c r="F26" s="173"/>
      <c r="G26" s="148"/>
    </row>
    <row r="27" customFormat="false" ht="12.75" hidden="false" customHeight="false" outlineLevel="0" collapsed="false">
      <c r="A27" s="132"/>
      <c r="B27" s="178" t="s">
        <v>186</v>
      </c>
      <c r="C27" s="178"/>
      <c r="D27" s="207" t="n">
        <f aca="false">Admin!B22</f>
        <v>46965</v>
      </c>
      <c r="E27" s="180" t="n">
        <f aca="false">E25/2</f>
        <v>46926.985</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187</v>
      </c>
      <c r="C29" s="209"/>
      <c r="D29" s="194"/>
      <c r="E29" s="172"/>
      <c r="F29" s="173"/>
      <c r="G29" s="148"/>
    </row>
    <row r="30" customFormat="false" ht="12.75" hidden="false" customHeight="false" outlineLevel="0" collapsed="false">
      <c r="A30" s="132"/>
      <c r="B30" s="210" t="s">
        <v>188</v>
      </c>
      <c r="C30" s="210"/>
      <c r="D30" s="132"/>
      <c r="E30" s="211"/>
      <c r="F30" s="173"/>
      <c r="G30" s="212"/>
    </row>
    <row r="31" customFormat="false" ht="12.75" hidden="false" customHeight="false" outlineLevel="0" collapsed="false">
      <c r="A31" s="132"/>
      <c r="B31" s="213" t="s">
        <v>189</v>
      </c>
      <c r="C31" s="213"/>
      <c r="D31" s="214"/>
      <c r="E31" s="211"/>
      <c r="F31" s="173"/>
      <c r="G31" s="212"/>
    </row>
    <row r="32" customFormat="false" ht="12.75" hidden="false" customHeight="false" outlineLevel="0" collapsed="false">
      <c r="A32" s="132"/>
      <c r="B32" s="215" t="s">
        <v>190</v>
      </c>
      <c r="C32" s="213"/>
      <c r="D32" s="214"/>
      <c r="E32" s="211"/>
      <c r="F32" s="173"/>
      <c r="G32" s="212"/>
    </row>
    <row r="33" customFormat="false" ht="12.75" hidden="false" customHeight="false" outlineLevel="0" collapsed="false">
      <c r="A33" s="132"/>
      <c r="B33" s="209" t="s">
        <v>191</v>
      </c>
      <c r="C33" s="209"/>
      <c r="D33" s="214"/>
      <c r="E33" s="216"/>
      <c r="F33" s="173"/>
      <c r="G33" s="212"/>
    </row>
    <row r="34" customFormat="false" ht="12.75" hidden="false" customHeight="false" outlineLevel="0" collapsed="false">
      <c r="A34" s="132"/>
      <c r="B34" s="209" t="s">
        <v>192</v>
      </c>
      <c r="C34" s="209"/>
      <c r="D34" s="214"/>
      <c r="E34" s="216"/>
      <c r="F34" s="173"/>
      <c r="G34" s="212"/>
    </row>
    <row r="35" customFormat="false" ht="12.75" hidden="false" customHeight="false" outlineLevel="0" collapsed="false">
      <c r="A35" s="132"/>
      <c r="B35" s="209" t="s">
        <v>193</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customFormat="false" ht="13.5" hidden="false" customHeight="true" outlineLevel="0" collapsed="false">
      <c r="A1" s="225"/>
      <c r="B1" s="226" t="s">
        <v>194</v>
      </c>
      <c r="C1" s="227" t="s">
        <v>195</v>
      </c>
      <c r="D1" s="227"/>
      <c r="E1" s="228" t="n">
        <f aca="false">E57+E110</f>
        <v>39000</v>
      </c>
      <c r="F1" s="229"/>
      <c r="G1" s="230" t="s">
        <v>196</v>
      </c>
      <c r="H1" s="229"/>
      <c r="I1" s="229" t="n">
        <f aca="false">I57+I110</f>
        <v>0</v>
      </c>
      <c r="J1" s="231" t="s">
        <v>197</v>
      </c>
      <c r="K1" s="229" t="n">
        <f aca="false">K57+K110</f>
        <v>39000</v>
      </c>
      <c r="L1" s="229" t="n">
        <f aca="false">L57+L110</f>
        <v>0</v>
      </c>
      <c r="M1" s="229" t="n">
        <f aca="false">M57+M110</f>
        <v>0</v>
      </c>
      <c r="N1" s="232"/>
      <c r="O1" s="233" t="s">
        <v>198</v>
      </c>
      <c r="P1" s="229" t="n">
        <f aca="false">P57+P110</f>
        <v>0</v>
      </c>
      <c r="Q1" s="229" t="n">
        <f aca="false">Q57+Q110</f>
        <v>0</v>
      </c>
      <c r="R1" s="229" t="n">
        <f aca="false">R57+R110</f>
        <v>0</v>
      </c>
      <c r="S1" s="234"/>
      <c r="T1" s="235"/>
      <c r="U1" s="235"/>
      <c r="V1" s="235"/>
      <c r="W1" s="235"/>
      <c r="X1" s="235"/>
      <c r="Y1" s="235"/>
      <c r="Z1" s="235"/>
      <c r="AA1" s="235"/>
      <c r="AB1" s="235"/>
      <c r="AC1" s="235"/>
      <c r="AD1" s="235"/>
      <c r="AE1" s="235"/>
      <c r="AF1" s="235"/>
      <c r="AG1" s="235"/>
      <c r="AH1" s="235"/>
      <c r="AI1" s="235"/>
      <c r="AJ1" s="235"/>
      <c r="AK1" s="235"/>
      <c r="AL1" s="235"/>
      <c r="AM1" s="235"/>
      <c r="AN1" s="235"/>
      <c r="AO1" s="235"/>
      <c r="AP1" s="235"/>
      <c r="AQ1" s="235"/>
      <c r="AR1" s="235"/>
      <c r="AS1" s="235"/>
      <c r="AT1" s="235"/>
      <c r="AU1" s="235"/>
      <c r="AV1" s="235"/>
      <c r="AW1" s="235"/>
      <c r="AX1" s="235"/>
      <c r="AY1" s="235"/>
      <c r="AZ1" s="235"/>
      <c r="BA1" s="235"/>
      <c r="BB1" s="235"/>
      <c r="BC1" s="235"/>
      <c r="BD1" s="235"/>
      <c r="BE1" s="235"/>
      <c r="BF1" s="235"/>
      <c r="BG1" s="235"/>
      <c r="BH1" s="235"/>
      <c r="BI1" s="235"/>
      <c r="BJ1" s="235"/>
      <c r="BK1" s="235"/>
      <c r="BL1" s="235"/>
      <c r="BM1" s="235"/>
      <c r="BN1" s="235"/>
      <c r="BO1" s="235"/>
      <c r="BP1" s="235"/>
      <c r="BQ1" s="235"/>
      <c r="BR1" s="235"/>
      <c r="BS1" s="235"/>
      <c r="BT1" s="235"/>
      <c r="BU1" s="235"/>
      <c r="BV1" s="235"/>
      <c r="BW1" s="235"/>
      <c r="BX1" s="235"/>
      <c r="BY1" s="235"/>
      <c r="BZ1" s="235"/>
      <c r="CA1" s="235"/>
      <c r="CB1" s="235"/>
      <c r="CC1" s="235"/>
      <c r="CD1" s="235"/>
      <c r="CE1" s="235"/>
      <c r="CF1" s="235"/>
      <c r="CG1" s="235"/>
      <c r="CH1" s="235"/>
      <c r="CI1" s="235"/>
      <c r="CJ1" s="235"/>
      <c r="CK1" s="235"/>
      <c r="CL1" s="235"/>
      <c r="CM1" s="235"/>
      <c r="CN1" s="235"/>
      <c r="CO1" s="235"/>
      <c r="CP1" s="235"/>
      <c r="CQ1" s="235"/>
      <c r="CR1" s="235"/>
      <c r="CS1" s="235"/>
      <c r="CT1" s="235"/>
      <c r="CU1" s="235"/>
      <c r="CV1" s="235"/>
      <c r="CW1" s="235"/>
      <c r="CX1" s="235"/>
      <c r="CY1" s="235"/>
      <c r="CZ1" s="235"/>
      <c r="DA1" s="235"/>
      <c r="DB1" s="235"/>
      <c r="DC1" s="235"/>
      <c r="DD1" s="235"/>
      <c r="DE1" s="235"/>
      <c r="DF1" s="235"/>
      <c r="DG1" s="235"/>
      <c r="DH1" s="235"/>
      <c r="DI1" s="235"/>
      <c r="DJ1" s="235"/>
      <c r="DK1" s="235"/>
      <c r="DL1" s="235"/>
      <c r="DM1" s="235"/>
      <c r="DN1" s="235"/>
      <c r="DO1" s="235"/>
      <c r="DP1" s="235"/>
      <c r="DQ1" s="235"/>
      <c r="DR1" s="235"/>
      <c r="DS1" s="235"/>
      <c r="DT1" s="235"/>
      <c r="DU1" s="235"/>
      <c r="DV1" s="235"/>
      <c r="DW1" s="235"/>
      <c r="DX1" s="235"/>
      <c r="DY1" s="235"/>
      <c r="DZ1" s="235"/>
      <c r="EA1" s="235"/>
      <c r="EB1" s="235"/>
      <c r="EC1" s="235"/>
      <c r="ED1" s="235"/>
      <c r="EE1" s="235"/>
      <c r="EF1" s="235"/>
      <c r="EG1" s="235"/>
      <c r="EH1" s="235"/>
      <c r="EI1" s="235"/>
      <c r="EJ1" s="235"/>
      <c r="EK1" s="235"/>
      <c r="EL1" s="235"/>
      <c r="EM1" s="235"/>
      <c r="EN1" s="235"/>
      <c r="EO1" s="235"/>
      <c r="EP1" s="235"/>
      <c r="EQ1" s="235"/>
      <c r="ER1" s="235"/>
      <c r="ES1" s="235"/>
      <c r="ET1" s="235"/>
      <c r="EU1" s="235"/>
      <c r="EV1" s="235"/>
      <c r="EW1" s="235"/>
      <c r="EX1" s="235"/>
      <c r="EY1" s="235"/>
      <c r="EZ1" s="235"/>
      <c r="FA1" s="235"/>
      <c r="FB1" s="235"/>
      <c r="FC1" s="235"/>
      <c r="FD1" s="235"/>
      <c r="FE1" s="235"/>
      <c r="FF1" s="235"/>
      <c r="FG1" s="235"/>
      <c r="FH1" s="235"/>
      <c r="FI1" s="235"/>
      <c r="FJ1" s="235"/>
      <c r="FK1" s="235"/>
      <c r="FL1" s="235"/>
      <c r="FM1" s="235"/>
      <c r="FN1" s="235"/>
      <c r="FO1" s="235"/>
      <c r="FP1" s="235"/>
      <c r="FQ1" s="235"/>
      <c r="FR1" s="235"/>
      <c r="FS1" s="235"/>
      <c r="FT1" s="235"/>
      <c r="FU1" s="235"/>
      <c r="FV1" s="235"/>
      <c r="FW1" s="235"/>
      <c r="FX1" s="235"/>
      <c r="FY1" s="235"/>
      <c r="FZ1" s="235"/>
      <c r="GA1" s="235"/>
      <c r="GB1" s="235"/>
      <c r="GC1" s="235"/>
      <c r="GD1" s="235"/>
      <c r="GE1" s="235"/>
      <c r="GF1" s="235"/>
      <c r="GG1" s="235"/>
      <c r="GH1" s="235"/>
      <c r="GI1" s="235"/>
      <c r="GJ1" s="235"/>
      <c r="GK1" s="235"/>
      <c r="GL1" s="235"/>
      <c r="GM1" s="235"/>
      <c r="GN1" s="235"/>
      <c r="GO1" s="235"/>
      <c r="GP1" s="235"/>
      <c r="GQ1" s="235"/>
      <c r="GR1" s="235"/>
      <c r="GS1" s="235"/>
      <c r="GT1" s="235"/>
      <c r="GU1" s="235"/>
      <c r="GV1" s="235"/>
      <c r="GW1" s="235"/>
      <c r="GX1" s="235"/>
      <c r="GY1" s="235"/>
      <c r="GZ1" s="235"/>
      <c r="HA1" s="235"/>
      <c r="HB1" s="235"/>
      <c r="HC1" s="235"/>
      <c r="HD1" s="235"/>
      <c r="HE1" s="235"/>
      <c r="HF1" s="235"/>
      <c r="HG1" s="235"/>
      <c r="HH1" s="235"/>
      <c r="HI1" s="235"/>
      <c r="HJ1" s="235"/>
      <c r="HK1" s="235"/>
      <c r="HL1" s="235"/>
      <c r="HM1" s="235"/>
      <c r="HN1" s="235"/>
      <c r="HO1" s="235"/>
      <c r="HP1" s="235"/>
      <c r="HQ1" s="235"/>
      <c r="HR1" s="235"/>
      <c r="HS1" s="235"/>
      <c r="HT1" s="235"/>
      <c r="HU1" s="235"/>
      <c r="HV1" s="235"/>
      <c r="HW1" s="235"/>
      <c r="HX1" s="235"/>
      <c r="HY1" s="235"/>
      <c r="HZ1" s="235"/>
      <c r="IA1" s="235"/>
      <c r="IB1" s="235"/>
      <c r="IC1" s="235"/>
      <c r="ID1" s="235"/>
      <c r="IE1" s="235"/>
      <c r="IF1" s="235"/>
      <c r="IG1" s="235"/>
      <c r="IH1" s="235"/>
      <c r="II1" s="235"/>
      <c r="IJ1" s="235"/>
      <c r="IK1" s="235"/>
      <c r="IL1" s="235"/>
      <c r="IM1" s="235"/>
      <c r="IN1" s="235"/>
      <c r="IO1" s="235"/>
      <c r="IP1" s="235"/>
      <c r="IQ1" s="235"/>
      <c r="IR1" s="235"/>
      <c r="IS1" s="235"/>
      <c r="IT1" s="235"/>
      <c r="IU1" s="235"/>
      <c r="IV1" s="235"/>
      <c r="IW1" s="235"/>
    </row>
    <row r="2" customFormat="false" ht="12" hidden="false" customHeight="true" outlineLevel="0" collapsed="false">
      <c r="A2" s="225"/>
      <c r="B2" s="226"/>
      <c r="C2" s="236" t="s">
        <v>199</v>
      </c>
      <c r="D2" s="237" t="s">
        <v>200</v>
      </c>
      <c r="E2" s="238" t="s">
        <v>201</v>
      </c>
      <c r="F2" s="229"/>
      <c r="G2" s="230"/>
      <c r="H2" s="229"/>
      <c r="I2" s="238" t="s">
        <v>202</v>
      </c>
      <c r="J2" s="231"/>
      <c r="K2" s="238" t="s">
        <v>203</v>
      </c>
      <c r="L2" s="238" t="s">
        <v>204</v>
      </c>
      <c r="M2" s="238" t="s">
        <v>205</v>
      </c>
      <c r="N2" s="232"/>
      <c r="O2" s="233"/>
      <c r="P2" s="239" t="s">
        <v>206</v>
      </c>
      <c r="Q2" s="238" t="s">
        <v>207</v>
      </c>
      <c r="R2" s="238" t="s">
        <v>208</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customFormat="fals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c r="T4" s="245"/>
      <c r="U4" s="245"/>
      <c r="V4" s="245"/>
      <c r="W4" s="245"/>
      <c r="X4" s="245"/>
      <c r="Y4" s="245"/>
      <c r="Z4" s="245"/>
      <c r="AA4" s="245"/>
      <c r="AB4" s="245"/>
      <c r="AC4" s="245"/>
      <c r="AD4" s="245"/>
      <c r="AE4" s="245"/>
      <c r="AF4" s="245"/>
      <c r="AG4" s="245"/>
      <c r="AH4" s="245"/>
      <c r="AI4" s="245"/>
      <c r="AJ4" s="245"/>
      <c r="AK4" s="245"/>
      <c r="AL4" s="245"/>
      <c r="AM4" s="245"/>
      <c r="AN4" s="245"/>
      <c r="AO4" s="245"/>
      <c r="AP4" s="245"/>
      <c r="AQ4" s="245"/>
      <c r="AR4" s="245"/>
      <c r="AS4" s="245"/>
      <c r="AT4" s="245"/>
      <c r="AU4" s="245"/>
      <c r="AV4" s="245"/>
      <c r="AW4" s="245"/>
      <c r="AX4" s="245"/>
      <c r="AY4" s="245"/>
      <c r="AZ4" s="245"/>
      <c r="BA4" s="245"/>
      <c r="BB4" s="245"/>
      <c r="BC4" s="245"/>
      <c r="BD4" s="245"/>
      <c r="BE4" s="245"/>
      <c r="BF4" s="245"/>
      <c r="BG4" s="245"/>
      <c r="BH4" s="245"/>
      <c r="BI4" s="245"/>
      <c r="BJ4" s="245"/>
      <c r="BK4" s="245"/>
      <c r="BL4" s="245"/>
      <c r="BM4" s="245"/>
      <c r="BN4" s="245"/>
      <c r="BO4" s="245"/>
      <c r="BP4" s="245"/>
      <c r="BQ4" s="245"/>
      <c r="BR4" s="245"/>
      <c r="BS4" s="245"/>
      <c r="BT4" s="245"/>
      <c r="BU4" s="245"/>
      <c r="BV4" s="245"/>
      <c r="BW4" s="245"/>
      <c r="BX4" s="245"/>
      <c r="BY4" s="245"/>
      <c r="BZ4" s="245"/>
      <c r="CA4" s="245"/>
      <c r="CB4" s="245"/>
      <c r="CC4" s="245"/>
      <c r="CD4" s="245"/>
      <c r="CE4" s="245"/>
      <c r="CF4" s="245"/>
      <c r="CG4" s="245"/>
      <c r="CH4" s="245"/>
      <c r="CI4" s="245"/>
      <c r="CJ4" s="245"/>
      <c r="CK4" s="245"/>
      <c r="CL4" s="245"/>
      <c r="CM4" s="245"/>
      <c r="CN4" s="245"/>
      <c r="CO4" s="245"/>
      <c r="CP4" s="245"/>
      <c r="CQ4" s="245"/>
      <c r="CR4" s="245"/>
      <c r="CS4" s="245"/>
      <c r="CT4" s="245"/>
      <c r="CU4" s="245"/>
      <c r="CV4" s="245"/>
      <c r="CW4" s="245"/>
      <c r="CX4" s="245"/>
      <c r="CY4" s="245"/>
      <c r="CZ4" s="245"/>
      <c r="DA4" s="245"/>
      <c r="DB4" s="245"/>
      <c r="DC4" s="245"/>
      <c r="DD4" s="245"/>
      <c r="DE4" s="245"/>
      <c r="DF4" s="245"/>
      <c r="DG4" s="245"/>
      <c r="DH4" s="245"/>
      <c r="DI4" s="245"/>
      <c r="DJ4" s="245"/>
      <c r="DK4" s="245"/>
      <c r="DL4" s="245"/>
      <c r="DM4" s="245"/>
      <c r="DN4" s="245"/>
      <c r="DO4" s="245"/>
      <c r="DP4" s="245"/>
      <c r="DQ4" s="245"/>
      <c r="DR4" s="245"/>
      <c r="DS4" s="245"/>
      <c r="DT4" s="245"/>
      <c r="DU4" s="245"/>
      <c r="DV4" s="245"/>
      <c r="DW4" s="245"/>
      <c r="DX4" s="245"/>
      <c r="DY4" s="245"/>
      <c r="DZ4" s="245"/>
      <c r="EA4" s="245"/>
      <c r="EB4" s="245"/>
      <c r="EC4" s="245"/>
      <c r="ED4" s="245"/>
      <c r="EE4" s="245"/>
      <c r="EF4" s="245"/>
      <c r="EG4" s="245"/>
      <c r="EH4" s="245"/>
      <c r="EI4" s="245"/>
      <c r="EJ4" s="245"/>
      <c r="EK4" s="245"/>
      <c r="EL4" s="245"/>
      <c r="EM4" s="245"/>
      <c r="EN4" s="245"/>
      <c r="EO4" s="245"/>
      <c r="EP4" s="245"/>
      <c r="EQ4" s="245"/>
      <c r="ER4" s="245"/>
      <c r="ES4" s="245"/>
      <c r="ET4" s="245"/>
      <c r="EU4" s="245"/>
      <c r="EV4" s="245"/>
      <c r="EW4" s="245"/>
      <c r="EX4" s="245"/>
      <c r="EY4" s="245"/>
      <c r="EZ4" s="245"/>
      <c r="FA4" s="245"/>
      <c r="FB4" s="245"/>
      <c r="FC4" s="245"/>
      <c r="FD4" s="245"/>
      <c r="FE4" s="245"/>
      <c r="FF4" s="245"/>
      <c r="FG4" s="245"/>
      <c r="FH4" s="245"/>
      <c r="FI4" s="245"/>
      <c r="FJ4" s="245"/>
      <c r="FK4" s="245"/>
      <c r="FL4" s="245"/>
      <c r="FM4" s="245"/>
      <c r="FN4" s="245"/>
      <c r="FO4" s="245"/>
      <c r="FP4" s="245"/>
      <c r="FQ4" s="245"/>
      <c r="FR4" s="245"/>
      <c r="FS4" s="245"/>
      <c r="FT4" s="245"/>
      <c r="FU4" s="245"/>
      <c r="FV4" s="245"/>
      <c r="FW4" s="245"/>
      <c r="FX4" s="245"/>
      <c r="FY4" s="245"/>
      <c r="FZ4" s="245"/>
      <c r="GA4" s="245"/>
      <c r="GB4" s="245"/>
      <c r="GC4" s="245"/>
      <c r="GD4" s="245"/>
      <c r="GE4" s="245"/>
      <c r="GF4" s="245"/>
      <c r="GG4" s="245"/>
      <c r="GH4" s="245"/>
      <c r="GI4" s="245"/>
      <c r="GJ4" s="245"/>
      <c r="GK4" s="245"/>
      <c r="GL4" s="245"/>
      <c r="GM4" s="245"/>
      <c r="GN4" s="245"/>
      <c r="GO4" s="245"/>
      <c r="GP4" s="245"/>
      <c r="GQ4" s="245"/>
      <c r="GR4" s="245"/>
      <c r="GS4" s="245"/>
      <c r="GT4" s="245"/>
      <c r="GU4" s="245"/>
      <c r="GV4" s="245"/>
      <c r="GW4" s="245"/>
      <c r="GX4" s="245"/>
      <c r="GY4" s="245"/>
      <c r="GZ4" s="245"/>
      <c r="HA4" s="245"/>
      <c r="HB4" s="245"/>
      <c r="HC4" s="245"/>
      <c r="HD4" s="245"/>
      <c r="HE4" s="245"/>
      <c r="HF4" s="245"/>
      <c r="HG4" s="245"/>
      <c r="HH4" s="245"/>
      <c r="HI4" s="245"/>
      <c r="HJ4" s="245"/>
      <c r="HK4" s="245"/>
      <c r="HL4" s="245"/>
      <c r="HM4" s="245"/>
      <c r="HN4" s="245"/>
      <c r="HO4" s="245"/>
      <c r="HP4" s="245"/>
      <c r="HQ4" s="245"/>
      <c r="HR4" s="245"/>
      <c r="HS4" s="245"/>
      <c r="HT4" s="245"/>
      <c r="HU4" s="245"/>
      <c r="HV4" s="245"/>
      <c r="HW4" s="245"/>
      <c r="HX4" s="245"/>
      <c r="HY4" s="245"/>
      <c r="HZ4" s="245"/>
      <c r="IA4" s="245"/>
      <c r="IB4" s="245"/>
      <c r="IC4" s="245"/>
      <c r="ID4" s="245"/>
      <c r="IE4" s="245"/>
      <c r="IF4" s="245"/>
      <c r="IG4" s="245"/>
      <c r="IH4" s="245"/>
      <c r="II4" s="245"/>
      <c r="IJ4" s="245"/>
      <c r="IK4" s="245"/>
      <c r="IL4" s="245"/>
      <c r="IM4" s="245"/>
      <c r="IN4" s="245"/>
      <c r="IO4" s="245"/>
      <c r="IP4" s="245"/>
      <c r="IQ4" s="245"/>
      <c r="IR4" s="245"/>
      <c r="IS4" s="245"/>
      <c r="IT4" s="245"/>
      <c r="IU4" s="245"/>
      <c r="IV4" s="245"/>
      <c r="IW4" s="245"/>
    </row>
    <row r="5" customFormat="false" ht="6" hidden="false" customHeight="true" outlineLevel="0" collapsed="false">
      <c r="A5" s="246"/>
      <c r="B5" s="247"/>
      <c r="C5" s="248"/>
      <c r="D5" s="249"/>
      <c r="E5" s="250"/>
      <c r="F5" s="251"/>
      <c r="G5" s="252"/>
      <c r="H5" s="251"/>
      <c r="I5" s="250"/>
      <c r="J5" s="249"/>
      <c r="K5" s="253"/>
      <c r="L5" s="254"/>
      <c r="M5" s="250"/>
      <c r="N5" s="251"/>
      <c r="O5" s="247"/>
      <c r="P5" s="250"/>
      <c r="Q5" s="250"/>
      <c r="R5" s="250"/>
      <c r="S5" s="244"/>
      <c r="T5" s="245"/>
      <c r="U5" s="245"/>
      <c r="V5" s="245"/>
      <c r="W5" s="245"/>
      <c r="X5" s="245"/>
      <c r="Y5" s="245"/>
      <c r="Z5" s="245"/>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245"/>
      <c r="IH5" s="245"/>
      <c r="II5" s="245"/>
      <c r="IJ5" s="245"/>
      <c r="IK5" s="245"/>
      <c r="IL5" s="245"/>
      <c r="IM5" s="245"/>
      <c r="IN5" s="245"/>
      <c r="IO5" s="245"/>
      <c r="IP5" s="245"/>
      <c r="IQ5" s="245"/>
      <c r="IR5" s="245"/>
      <c r="IS5" s="245"/>
      <c r="IT5" s="245"/>
      <c r="IU5" s="245"/>
      <c r="IV5" s="245"/>
      <c r="IW5" s="245"/>
    </row>
    <row r="6" customFormat="false" ht="13.5" hidden="false" customHeight="true" outlineLevel="0" collapsed="false">
      <c r="A6" s="255"/>
      <c r="B6" s="256" t="s">
        <v>209</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210</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211</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212</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213</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214</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215</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216</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217</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218</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219</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220</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221</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222</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210</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223</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212</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46157</v>
      </c>
      <c r="C67" s="267" t="s">
        <v>224</v>
      </c>
      <c r="D67" s="268" t="s">
        <v>225</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46218</v>
      </c>
      <c r="C68" s="267" t="s">
        <v>226</v>
      </c>
      <c r="D68" s="268" t="s">
        <v>227</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46320</v>
      </c>
      <c r="C69" s="267" t="s">
        <v>228</v>
      </c>
      <c r="D69" s="268" t="s">
        <v>229</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230</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214</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231</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216</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232</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220</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233</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234</v>
      </c>
      <c r="C2" s="310"/>
      <c r="D2" s="311" t="s">
        <v>235</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236</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237</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customFormat="false" ht="24.75" hidden="false" customHeight="true" outlineLevel="0" collapsed="false">
      <c r="A1" s="321"/>
      <c r="B1" s="322" t="s">
        <v>238</v>
      </c>
      <c r="C1" s="323" t="s">
        <v>239</v>
      </c>
      <c r="D1" s="324"/>
      <c r="E1" s="322" t="s">
        <v>240</v>
      </c>
      <c r="F1" s="323" t="s">
        <v>241</v>
      </c>
      <c r="G1" s="321"/>
      <c r="H1" s="325"/>
      <c r="I1" s="325"/>
      <c r="J1" s="325"/>
      <c r="K1" s="325"/>
      <c r="L1" s="325"/>
      <c r="M1" s="325"/>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5"/>
      <c r="BA1" s="325"/>
      <c r="BB1" s="325"/>
      <c r="BC1" s="325"/>
      <c r="BD1" s="325"/>
      <c r="BE1" s="325"/>
      <c r="BF1" s="325"/>
      <c r="BG1" s="325"/>
      <c r="BH1" s="325"/>
      <c r="BI1" s="325"/>
      <c r="BJ1" s="325"/>
      <c r="BK1" s="325"/>
      <c r="BL1" s="325"/>
      <c r="BM1" s="325"/>
      <c r="BN1" s="325"/>
      <c r="BO1" s="325"/>
      <c r="BP1" s="325"/>
      <c r="BQ1" s="325"/>
      <c r="BR1" s="325"/>
      <c r="BS1" s="325"/>
      <c r="BT1" s="325"/>
      <c r="BU1" s="325"/>
      <c r="BV1" s="325"/>
      <c r="BW1" s="325"/>
      <c r="BX1" s="325"/>
      <c r="BY1" s="325"/>
      <c r="BZ1" s="325"/>
      <c r="CA1" s="325"/>
      <c r="CB1" s="325"/>
      <c r="CC1" s="325"/>
      <c r="CD1" s="325"/>
      <c r="CE1" s="325"/>
      <c r="CF1" s="325"/>
      <c r="CG1" s="325"/>
      <c r="CH1" s="325"/>
      <c r="CI1" s="325"/>
      <c r="CJ1" s="325"/>
      <c r="CK1" s="325"/>
      <c r="CL1" s="325"/>
      <c r="CM1" s="325"/>
      <c r="CN1" s="325"/>
      <c r="CO1" s="325"/>
      <c r="CP1" s="325"/>
      <c r="CQ1" s="325"/>
      <c r="CR1" s="325"/>
      <c r="CS1" s="325"/>
      <c r="CT1" s="325"/>
      <c r="CU1" s="325"/>
      <c r="CV1" s="325"/>
      <c r="CW1" s="325"/>
      <c r="CX1" s="325"/>
      <c r="CY1" s="325"/>
      <c r="CZ1" s="325"/>
      <c r="DA1" s="325"/>
      <c r="DB1" s="325"/>
      <c r="DC1" s="325"/>
      <c r="DD1" s="325"/>
      <c r="DE1" s="325"/>
      <c r="DF1" s="325"/>
      <c r="DG1" s="325"/>
      <c r="DH1" s="325"/>
      <c r="DI1" s="325"/>
      <c r="DJ1" s="325"/>
      <c r="DK1" s="325"/>
      <c r="DL1" s="325"/>
      <c r="DM1" s="325"/>
      <c r="DN1" s="325"/>
      <c r="DO1" s="325"/>
      <c r="DP1" s="325"/>
      <c r="DQ1" s="325"/>
      <c r="DR1" s="325"/>
      <c r="DS1" s="325"/>
      <c r="DT1" s="325"/>
      <c r="DU1" s="325"/>
      <c r="DV1" s="325"/>
      <c r="DW1" s="325"/>
      <c r="DX1" s="325"/>
      <c r="DY1" s="325"/>
      <c r="DZ1" s="325"/>
      <c r="EA1" s="325"/>
      <c r="EB1" s="325"/>
      <c r="EC1" s="325"/>
      <c r="ED1" s="325"/>
      <c r="EE1" s="325"/>
      <c r="EF1" s="325"/>
      <c r="EG1" s="325"/>
      <c r="EH1" s="325"/>
      <c r="EI1" s="325"/>
      <c r="EJ1" s="325"/>
      <c r="EK1" s="325"/>
      <c r="EL1" s="325"/>
      <c r="EM1" s="325"/>
      <c r="EN1" s="325"/>
      <c r="EO1" s="325"/>
      <c r="EP1" s="325"/>
      <c r="EQ1" s="325"/>
      <c r="ER1" s="325"/>
      <c r="ES1" s="325"/>
      <c r="ET1" s="325"/>
      <c r="EU1" s="325"/>
      <c r="EV1" s="325"/>
      <c r="EW1" s="325"/>
      <c r="EX1" s="325"/>
      <c r="EY1" s="325"/>
      <c r="EZ1" s="325"/>
      <c r="FA1" s="325"/>
      <c r="FB1" s="325"/>
      <c r="FC1" s="325"/>
      <c r="FD1" s="325"/>
      <c r="FE1" s="325"/>
      <c r="FF1" s="325"/>
      <c r="FG1" s="325"/>
      <c r="FH1" s="325"/>
      <c r="FI1" s="325"/>
      <c r="FJ1" s="325"/>
      <c r="FK1" s="325"/>
      <c r="FL1" s="325"/>
      <c r="FM1" s="325"/>
      <c r="FN1" s="325"/>
      <c r="FO1" s="325"/>
      <c r="FP1" s="325"/>
      <c r="FQ1" s="325"/>
      <c r="FR1" s="325"/>
      <c r="FS1" s="325"/>
      <c r="FT1" s="325"/>
      <c r="FU1" s="325"/>
      <c r="FV1" s="325"/>
      <c r="FW1" s="325"/>
      <c r="FX1" s="325"/>
      <c r="FY1" s="325"/>
      <c r="FZ1" s="325"/>
      <c r="GA1" s="325"/>
      <c r="GB1" s="325"/>
      <c r="GC1" s="325"/>
      <c r="GD1" s="325"/>
      <c r="GE1" s="325"/>
      <c r="GF1" s="325"/>
      <c r="GG1" s="325"/>
      <c r="GH1" s="325"/>
      <c r="GI1" s="325"/>
      <c r="GJ1" s="325"/>
      <c r="GK1" s="325"/>
      <c r="GL1" s="325"/>
      <c r="GM1" s="325"/>
      <c r="GN1" s="325"/>
      <c r="GO1" s="325"/>
      <c r="GP1" s="325"/>
      <c r="GQ1" s="325"/>
      <c r="GR1" s="325"/>
      <c r="GS1" s="325"/>
      <c r="GT1" s="325"/>
      <c r="GU1" s="325"/>
      <c r="GV1" s="325"/>
      <c r="GW1" s="325"/>
      <c r="GX1" s="325"/>
      <c r="GY1" s="325"/>
      <c r="GZ1" s="325"/>
      <c r="HA1" s="325"/>
      <c r="HB1" s="325"/>
      <c r="HC1" s="325"/>
      <c r="HD1" s="325"/>
      <c r="HE1" s="325"/>
      <c r="HF1" s="325"/>
      <c r="HG1" s="325"/>
      <c r="HH1" s="325"/>
      <c r="HI1" s="325"/>
      <c r="HJ1" s="325"/>
      <c r="HK1" s="325"/>
      <c r="HL1" s="325"/>
      <c r="HM1" s="325"/>
      <c r="HN1" s="325"/>
      <c r="HO1" s="325"/>
      <c r="HP1" s="325"/>
      <c r="HQ1" s="325"/>
      <c r="HR1" s="325"/>
      <c r="HS1" s="325"/>
      <c r="HT1" s="325"/>
      <c r="HU1" s="325"/>
      <c r="HV1" s="325"/>
      <c r="HW1" s="325"/>
      <c r="HX1" s="325"/>
      <c r="HY1" s="325"/>
      <c r="HZ1" s="325"/>
      <c r="IA1" s="325"/>
      <c r="IB1" s="325"/>
      <c r="IC1" s="325"/>
      <c r="ID1" s="325"/>
      <c r="IE1" s="325"/>
      <c r="IF1" s="325"/>
      <c r="IG1" s="325"/>
      <c r="IH1" s="325"/>
      <c r="II1" s="325"/>
      <c r="IJ1" s="325"/>
      <c r="IK1" s="325"/>
      <c r="IL1" s="325"/>
      <c r="IM1" s="325"/>
      <c r="IN1" s="325"/>
      <c r="IO1" s="325"/>
      <c r="IP1" s="325"/>
      <c r="IQ1" s="325"/>
      <c r="IR1" s="325"/>
      <c r="IS1" s="325"/>
      <c r="IT1" s="325"/>
      <c r="IU1" s="325"/>
      <c r="IV1" s="325"/>
      <c r="IW1" s="325"/>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242</v>
      </c>
      <c r="C3" s="330" t="n">
        <v>10800</v>
      </c>
      <c r="D3" s="326"/>
      <c r="E3" s="329" t="s">
        <v>242</v>
      </c>
      <c r="F3" s="330" t="n">
        <v>2220</v>
      </c>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n">
        <f aca="false">IF((SalesApr!$H$1&gt;0),SalesApr!$H$1," ")</f>
        <v>33400</v>
      </c>
      <c r="D5" s="326"/>
      <c r="E5" s="331" t="n">
        <f aca="false">B5</f>
        <v>46142</v>
      </c>
      <c r="F5" s="330" t="n">
        <f aca="false">IF((PurchasesApr!$H$1&gt;0),PurchasesApr!$H$1," ")</f>
        <v>10773</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n">
        <f aca="false">IF((SalesMay!$H$1&gt;0),SalesMay!$H$1," ")</f>
        <v>32920</v>
      </c>
      <c r="D7" s="326"/>
      <c r="E7" s="331" t="n">
        <f aca="false">B7</f>
        <v>46173</v>
      </c>
      <c r="F7" s="330" t="n">
        <f aca="false">IF((PurchasesMay!$H$1&gt;0),PurchasesMay!$H$1," ")</f>
        <v>12021</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n">
        <f aca="false">IF((SalesAug!$H$1&gt;0),SalesAug!$H$1," ")</f>
        <v>36020</v>
      </c>
      <c r="D13" s="326"/>
      <c r="E13" s="331" t="n">
        <f aca="false">B13</f>
        <v>46265</v>
      </c>
      <c r="F13" s="330" t="n">
        <f aca="false">IF((PurchasesAug!$H$1&gt;0),PurchasesAug!$H$1," ")</f>
        <v>10067</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n">
        <f aca="false">IF((SalesSep!$H$1&gt;0),SalesSep!$H$1," ")</f>
        <v>33760</v>
      </c>
      <c r="D15" s="326"/>
      <c r="E15" s="331" t="n">
        <f aca="false">B15</f>
        <v>46295</v>
      </c>
      <c r="F15" s="330" t="n">
        <f aca="false">IF((PurchasesSep!$H$1&gt;0),PurchasesSep!$H$1," ")</f>
        <v>10603</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customFormat="false" ht="23.85" hidden="false" customHeight="false" outlineLevel="0" collapsed="false">
      <c r="A29" s="321"/>
      <c r="B29" s="333" t="s">
        <v>243</v>
      </c>
      <c r="C29" s="334" t="n">
        <f aca="false">SUM(C3:C28)</f>
        <v>420700</v>
      </c>
      <c r="D29" s="321"/>
      <c r="E29" s="333" t="s">
        <v>244</v>
      </c>
      <c r="F29" s="334" t="n">
        <f aca="false">SUM(F3:F28)</f>
        <v>180998</v>
      </c>
      <c r="G29" s="321"/>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325"/>
      <c r="BE29" s="325"/>
      <c r="BF29" s="325"/>
      <c r="BG29" s="325"/>
      <c r="BH29" s="325"/>
      <c r="BI29" s="325"/>
      <c r="BJ29" s="325"/>
      <c r="BK29" s="325"/>
      <c r="BL29" s="325"/>
      <c r="BM29" s="325"/>
      <c r="BN29" s="325"/>
      <c r="BO29" s="325"/>
      <c r="BP29" s="325"/>
      <c r="BQ29" s="325"/>
      <c r="BR29" s="325"/>
      <c r="BS29" s="325"/>
      <c r="BT29" s="325"/>
      <c r="BU29" s="325"/>
      <c r="BV29" s="325"/>
      <c r="BW29" s="325"/>
      <c r="BX29" s="325"/>
      <c r="BY29" s="325"/>
      <c r="BZ29" s="325"/>
      <c r="CA29" s="325"/>
      <c r="CB29" s="325"/>
      <c r="CC29" s="325"/>
      <c r="CD29" s="325"/>
      <c r="CE29" s="325"/>
      <c r="CF29" s="325"/>
      <c r="CG29" s="325"/>
      <c r="CH29" s="325"/>
      <c r="CI29" s="325"/>
      <c r="CJ29" s="325"/>
      <c r="CK29" s="325"/>
      <c r="CL29" s="325"/>
      <c r="CM29" s="325"/>
      <c r="CN29" s="325"/>
      <c r="CO29" s="325"/>
      <c r="CP29" s="325"/>
      <c r="CQ29" s="325"/>
      <c r="CR29" s="325"/>
      <c r="CS29" s="325"/>
      <c r="CT29" s="325"/>
      <c r="CU29" s="325"/>
      <c r="CV29" s="325"/>
      <c r="CW29" s="325"/>
      <c r="CX29" s="325"/>
      <c r="CY29" s="325"/>
      <c r="CZ29" s="325"/>
      <c r="DA29" s="325"/>
      <c r="DB29" s="325"/>
      <c r="DC29" s="325"/>
      <c r="DD29" s="325"/>
      <c r="DE29" s="325"/>
      <c r="DF29" s="325"/>
      <c r="DG29" s="325"/>
      <c r="DH29" s="325"/>
      <c r="DI29" s="325"/>
      <c r="DJ29" s="325"/>
      <c r="DK29" s="325"/>
      <c r="DL29" s="325"/>
      <c r="DM29" s="325"/>
      <c r="DN29" s="325"/>
      <c r="DO29" s="325"/>
      <c r="DP29" s="325"/>
      <c r="DQ29" s="325"/>
      <c r="DR29" s="325"/>
      <c r="DS29" s="325"/>
      <c r="DT29" s="325"/>
      <c r="DU29" s="325"/>
      <c r="DV29" s="325"/>
      <c r="DW29" s="325"/>
      <c r="DX29" s="325"/>
      <c r="DY29" s="325"/>
      <c r="DZ29" s="325"/>
      <c r="EA29" s="325"/>
      <c r="EB29" s="325"/>
      <c r="EC29" s="325"/>
      <c r="ED29" s="325"/>
      <c r="EE29" s="325"/>
      <c r="EF29" s="325"/>
      <c r="EG29" s="325"/>
      <c r="EH29" s="325"/>
      <c r="EI29" s="325"/>
      <c r="EJ29" s="325"/>
      <c r="EK29" s="325"/>
      <c r="EL29" s="325"/>
      <c r="EM29" s="325"/>
      <c r="EN29" s="325"/>
      <c r="EO29" s="325"/>
      <c r="EP29" s="325"/>
      <c r="EQ29" s="325"/>
      <c r="ER29" s="325"/>
      <c r="ES29" s="325"/>
      <c r="ET29" s="325"/>
      <c r="EU29" s="325"/>
      <c r="EV29" s="325"/>
      <c r="EW29" s="325"/>
      <c r="EX29" s="325"/>
      <c r="EY29" s="325"/>
      <c r="EZ29" s="325"/>
      <c r="FA29" s="325"/>
      <c r="FB29" s="325"/>
      <c r="FC29" s="325"/>
      <c r="FD29" s="325"/>
      <c r="FE29" s="325"/>
      <c r="FF29" s="325"/>
      <c r="FG29" s="325"/>
      <c r="FH29" s="325"/>
      <c r="FI29" s="325"/>
      <c r="FJ29" s="325"/>
      <c r="FK29" s="325"/>
      <c r="FL29" s="325"/>
      <c r="FM29" s="325"/>
      <c r="FN29" s="325"/>
      <c r="FO29" s="325"/>
      <c r="FP29" s="325"/>
      <c r="FQ29" s="325"/>
      <c r="FR29" s="325"/>
      <c r="FS29" s="325"/>
      <c r="FT29" s="325"/>
      <c r="FU29" s="325"/>
      <c r="FV29" s="325"/>
      <c r="FW29" s="325"/>
      <c r="FX29" s="325"/>
      <c r="FY29" s="325"/>
      <c r="FZ29" s="325"/>
      <c r="GA29" s="325"/>
      <c r="GB29" s="325"/>
      <c r="GC29" s="325"/>
      <c r="GD29" s="325"/>
      <c r="GE29" s="325"/>
      <c r="GF29" s="325"/>
      <c r="GG29" s="325"/>
      <c r="GH29" s="325"/>
      <c r="GI29" s="325"/>
      <c r="GJ29" s="325"/>
      <c r="GK29" s="325"/>
      <c r="GL29" s="325"/>
      <c r="GM29" s="325"/>
      <c r="GN29" s="325"/>
      <c r="GO29" s="325"/>
      <c r="GP29" s="325"/>
      <c r="GQ29" s="325"/>
      <c r="GR29" s="325"/>
      <c r="GS29" s="325"/>
      <c r="GT29" s="325"/>
      <c r="GU29" s="325"/>
      <c r="GV29" s="325"/>
      <c r="GW29" s="325"/>
      <c r="GX29" s="325"/>
      <c r="GY29" s="325"/>
      <c r="GZ29" s="325"/>
      <c r="HA29" s="325"/>
      <c r="HB29" s="325"/>
      <c r="HC29" s="325"/>
      <c r="HD29" s="325"/>
      <c r="HE29" s="325"/>
      <c r="HF29" s="325"/>
      <c r="HG29" s="325"/>
      <c r="HH29" s="325"/>
      <c r="HI29" s="325"/>
      <c r="HJ29" s="325"/>
      <c r="HK29" s="325"/>
      <c r="HL29" s="325"/>
      <c r="HM29" s="325"/>
      <c r="HN29" s="325"/>
      <c r="HO29" s="325"/>
      <c r="HP29" s="325"/>
      <c r="HQ29" s="325"/>
      <c r="HR29" s="325"/>
      <c r="HS29" s="325"/>
      <c r="HT29" s="325"/>
      <c r="HU29" s="325"/>
      <c r="HV29" s="325"/>
      <c r="HW29" s="325"/>
      <c r="HX29" s="325"/>
      <c r="HY29" s="325"/>
      <c r="HZ29" s="325"/>
      <c r="IA29" s="325"/>
      <c r="IB29" s="325"/>
      <c r="IC29" s="325"/>
      <c r="ID29" s="325"/>
      <c r="IE29" s="325"/>
      <c r="IF29" s="325"/>
      <c r="IG29" s="325"/>
      <c r="IH29" s="325"/>
      <c r="II29" s="325"/>
      <c r="IJ29" s="325"/>
      <c r="IK29" s="325"/>
      <c r="IL29" s="325"/>
      <c r="IM29" s="325"/>
      <c r="IN29" s="325"/>
      <c r="IO29" s="325"/>
      <c r="IP29" s="325"/>
      <c r="IQ29" s="325"/>
      <c r="IR29" s="325"/>
      <c r="IS29" s="325"/>
      <c r="IT29" s="325"/>
      <c r="IU29" s="325"/>
      <c r="IV29" s="325"/>
      <c r="IW29" s="325"/>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245</v>
      </c>
      <c r="B1" s="343" t="s">
        <v>246</v>
      </c>
      <c r="C1" s="344"/>
      <c r="D1" s="345" t="s">
        <v>247</v>
      </c>
      <c r="E1" s="346" t="n">
        <f aca="false">SUM(E4:E300)</f>
        <v>0</v>
      </c>
      <c r="F1" s="345" t="n">
        <f aca="false">SUM(F4:F300)</f>
        <v>33400</v>
      </c>
      <c r="G1" s="345" t="n">
        <f aca="false">SUM(G4:G300)</f>
        <v>0</v>
      </c>
      <c r="H1" s="347" t="n">
        <f aca="false">SUM(H4:H300)</f>
        <v>33400</v>
      </c>
      <c r="I1" s="348" t="n">
        <f aca="true">TODAY()</f>
        <v>46295</v>
      </c>
      <c r="J1" s="345" t="n">
        <f aca="false">SUM(J4:J300)</f>
        <v>0</v>
      </c>
      <c r="K1" s="349" t="n">
        <f aca="false">J1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46113</v>
      </c>
      <c r="B4" s="336" t="s">
        <v>258</v>
      </c>
      <c r="C4" s="337" t="s">
        <v>259</v>
      </c>
      <c r="F4" s="336" t="n">
        <v>1200</v>
      </c>
      <c r="H4" s="340" t="n">
        <f aca="false">IF((F4&lt;&gt;0),IF((D4&gt;0)," ",F4)," ")</f>
        <v>1200</v>
      </c>
      <c r="I4" s="341" t="n">
        <f aca="false">IF((F4&lt;&gt;0),IF((D4&gt;0)," ",(I$1-A4))," ")</f>
        <v>182</v>
      </c>
      <c r="BZ4" s="336" t="s">
        <v>260</v>
      </c>
    </row>
    <row r="5" customFormat="false" ht="12.75" hidden="false" customHeight="false" outlineLevel="0" collapsed="false">
      <c r="A5" s="357" t="n">
        <v>46115</v>
      </c>
      <c r="B5" s="336" t="s">
        <v>261</v>
      </c>
      <c r="C5" s="337" t="s">
        <v>262</v>
      </c>
      <c r="F5" s="336" t="n">
        <v>360</v>
      </c>
      <c r="H5" s="340" t="n">
        <f aca="false">IF((F5&lt;&gt;0),IF((D5&gt;0)," ",F5)," ")</f>
        <v>360</v>
      </c>
      <c r="I5" s="341" t="n">
        <f aca="false">IF((F5&lt;&gt;0),IF((D5&gt;0)," ",(I$1-A5))," ")</f>
        <v>180</v>
      </c>
      <c r="BZ5" s="336" t="s">
        <v>260</v>
      </c>
    </row>
    <row r="6" customFormat="false" ht="12.75" hidden="false" customHeight="false" outlineLevel="0" collapsed="false">
      <c r="A6" s="357" t="n">
        <v>46117</v>
      </c>
      <c r="B6" s="336" t="s">
        <v>263</v>
      </c>
      <c r="C6" s="337" t="s">
        <v>264</v>
      </c>
      <c r="F6" s="336" t="n">
        <v>600</v>
      </c>
      <c r="H6" s="340" t="n">
        <f aca="false">IF((F6&lt;&gt;0),IF((D6&gt;0)," ",F6)," ")</f>
        <v>600</v>
      </c>
      <c r="I6" s="341" t="n">
        <f aca="false">IF((F6&lt;&gt;0),IF((D6&gt;0)," ",(I$1-A6))," ")</f>
        <v>178</v>
      </c>
      <c r="BZ6" s="336" t="s">
        <v>260</v>
      </c>
    </row>
    <row r="7" customFormat="false" ht="12.75" hidden="false" customHeight="false" outlineLevel="0" collapsed="false">
      <c r="A7" s="357" t="n">
        <v>46120</v>
      </c>
      <c r="B7" s="336" t="s">
        <v>265</v>
      </c>
      <c r="C7" s="337" t="s">
        <v>266</v>
      </c>
      <c r="F7" s="336" t="n">
        <v>480</v>
      </c>
      <c r="H7" s="340" t="n">
        <f aca="false">IF((F7&lt;&gt;0),IF((D7&gt;0)," ",F7)," ")</f>
        <v>480</v>
      </c>
      <c r="I7" s="341" t="n">
        <f aca="false">IF((F7&lt;&gt;0),IF((D7&gt;0)," ",(I$1-A7))," ")</f>
        <v>175</v>
      </c>
      <c r="BZ7" s="336" t="s">
        <v>267</v>
      </c>
    </row>
    <row r="8" customFormat="false" ht="12.75" hidden="false" customHeight="false" outlineLevel="0" collapsed="false">
      <c r="A8" s="357" t="n">
        <v>46122</v>
      </c>
      <c r="B8" s="336" t="s">
        <v>268</v>
      </c>
      <c r="C8" s="337" t="s">
        <v>269</v>
      </c>
      <c r="F8" s="336" t="n">
        <v>720</v>
      </c>
      <c r="H8" s="340" t="n">
        <f aca="false">IF((F8&lt;&gt;0),IF((D8&gt;0)," ",F8)," ")</f>
        <v>720</v>
      </c>
      <c r="I8" s="341" t="n">
        <f aca="false">IF((F8&lt;&gt;0),IF((D8&gt;0)," ",(I$1-A8))," ")</f>
        <v>173</v>
      </c>
      <c r="BZ8" s="336" t="s">
        <v>267</v>
      </c>
    </row>
    <row r="9" customFormat="false" ht="12.75" hidden="false" customHeight="false" outlineLevel="0" collapsed="false">
      <c r="A9" s="357" t="n">
        <v>46127</v>
      </c>
      <c r="B9" s="336" t="s">
        <v>270</v>
      </c>
      <c r="C9" s="337" t="s">
        <v>271</v>
      </c>
      <c r="F9" s="336" t="n">
        <v>25000</v>
      </c>
      <c r="H9" s="340" t="n">
        <f aca="false">IF((F9&lt;&gt;0),IF((D9&gt;0)," ",F9)," ")</f>
        <v>25000</v>
      </c>
      <c r="I9" s="341" t="n">
        <f aca="false">IF((F9&lt;&gt;0),IF((D9&gt;0)," ",(I$1-A9))," ")</f>
        <v>168</v>
      </c>
      <c r="BZ9" s="336" t="s">
        <v>267</v>
      </c>
    </row>
    <row r="10" customFormat="false" ht="12.75" hidden="false" customHeight="false" outlineLevel="0" collapsed="false">
      <c r="A10" s="357" t="n">
        <v>46130</v>
      </c>
      <c r="B10" s="336" t="s">
        <v>272</v>
      </c>
      <c r="C10" s="337" t="s">
        <v>273</v>
      </c>
      <c r="F10" s="336" t="n">
        <v>2400</v>
      </c>
      <c r="H10" s="340" t="n">
        <f aca="false">IF((F10&lt;&gt;0),IF((D10&gt;0)," ",F10)," ")</f>
        <v>2400</v>
      </c>
      <c r="I10" s="341" t="n">
        <f aca="false">IF((F10&lt;&gt;0),IF((D10&gt;0)," ",(I$1-A10))," ")</f>
        <v>165</v>
      </c>
      <c r="BZ10" s="336" t="s">
        <v>267</v>
      </c>
    </row>
    <row r="11" customFormat="false" ht="12.75" hidden="false" customHeight="false" outlineLevel="0" collapsed="false">
      <c r="A11" s="357" t="n">
        <v>46132</v>
      </c>
      <c r="B11" s="336" t="s">
        <v>274</v>
      </c>
      <c r="C11" s="337" t="s">
        <v>275</v>
      </c>
      <c r="F11" s="336" t="n">
        <v>1800</v>
      </c>
      <c r="H11" s="340" t="n">
        <f aca="false">IF((F11&lt;&gt;0),IF((D11&gt;0)," ",F11)," ")</f>
        <v>1800</v>
      </c>
      <c r="I11" s="341" t="n">
        <f aca="false">IF((F11&lt;&gt;0),IF((D11&gt;0)," ",(I$1-A11))," ")</f>
        <v>163</v>
      </c>
      <c r="BZ11" s="336" t="s">
        <v>267</v>
      </c>
    </row>
    <row r="12" customFormat="false" ht="12.75" hidden="false" customHeight="false" outlineLevel="0" collapsed="false">
      <c r="A12" s="357" t="n">
        <v>46140</v>
      </c>
      <c r="B12" s="336" t="s">
        <v>276</v>
      </c>
      <c r="C12" s="337" t="s">
        <v>277</v>
      </c>
      <c r="F12" s="336" t="n">
        <v>840</v>
      </c>
      <c r="H12" s="340" t="n">
        <f aca="false">IF((F12&lt;&gt;0),IF((D12&gt;0)," ",F12)," ")</f>
        <v>840</v>
      </c>
      <c r="I12" s="341" t="n">
        <f aca="false">IF((F12&lt;&gt;0),IF((D12&gt;0)," ",(I$1-A12))," ")</f>
        <v>155</v>
      </c>
      <c r="BZ12" s="336" t="s">
        <v>278</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f>
        <v>46.75</v>
      </c>
      <c r="B1" s="372" t="s">
        <v>280</v>
      </c>
      <c r="C1" s="346" t="n">
        <f aca="false">F1+SalesApr!$E$1</f>
        <v>85</v>
      </c>
      <c r="D1" s="371" t="s">
        <v>247</v>
      </c>
      <c r="E1" s="373" t="str">
        <f aca="false">IF((G1-SUM(J1:W1)&lt;&gt;0),(G1-SUM(J1:W1))," ")</f>
        <v> </v>
      </c>
      <c r="F1" s="346" t="n">
        <f aca="false">SUM(F5:F300)</f>
        <v>85</v>
      </c>
      <c r="G1" s="345" t="n">
        <f aca="false">SUM(G4:G300)</f>
        <v>10819.75</v>
      </c>
      <c r="H1" s="374" t="n">
        <f aca="false">SUM(H5:H300)</f>
        <v>10773</v>
      </c>
      <c r="I1" s="375" t="n">
        <f aca="true">TODAY()</f>
        <v>46295</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610.75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285</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75" hidden="false" customHeight="true" outlineLevel="0" collapsed="false">
      <c r="A3" s="379"/>
      <c r="B3" s="379"/>
      <c r="C3" s="379"/>
      <c r="D3" s="379"/>
      <c r="E3" s="381"/>
      <c r="F3" s="381"/>
      <c r="G3" s="382"/>
      <c r="H3" s="383"/>
      <c r="I3" s="383"/>
      <c r="J3" s="382"/>
      <c r="K3" s="382"/>
      <c r="L3" s="382"/>
      <c r="M3" s="382"/>
      <c r="N3" s="382"/>
      <c r="O3" s="382"/>
      <c r="P3" s="387" t="n">
        <f aca="false">IF((E$4="m"),G$4," ")</f>
        <v>46.75</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390" t="n">
        <f aca="false">IF((C1&lt;Admin!$F$22),(C1*Admin!$G$21),(C1*Admin!$G$21-(C1-Admin!$F$21)*(Admin!$G$21-Admin!$G$22)))</f>
        <v>46.75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46113</v>
      </c>
      <c r="B5" s="365" t="s">
        <v>322</v>
      </c>
      <c r="E5" s="367" t="s">
        <v>323</v>
      </c>
      <c r="G5" s="368" t="n">
        <v>1200</v>
      </c>
      <c r="H5" s="340" t="n">
        <f aca="false">IF((G5&lt;&gt;0),IF((D5&gt;0)," ",G5)," ")</f>
        <v>1200</v>
      </c>
      <c r="I5" s="369" t="n">
        <f aca="false">IF((G5&lt;&gt;0),IF((D5&gt;0)," ",(I$1-A5))," ")</f>
        <v>182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46113</v>
      </c>
      <c r="B6" s="365" t="s">
        <v>325</v>
      </c>
      <c r="E6" s="367" t="s">
        <v>326</v>
      </c>
      <c r="G6" s="368" t="n">
        <v>30</v>
      </c>
      <c r="H6" s="340" t="n">
        <f aca="false">IF((G6&lt;&gt;0),IF((D6&gt;0)," ",G6)," ")</f>
        <v>30</v>
      </c>
      <c r="I6" s="369" t="n">
        <f aca="false">IF((G6&lt;&gt;0),IF((D6&gt;0)," ",(I$1-A6))," ")</f>
        <v>182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46113</v>
      </c>
      <c r="B7" s="365" t="s">
        <v>328</v>
      </c>
      <c r="E7" s="367" t="s">
        <v>326</v>
      </c>
      <c r="G7" s="368" t="n">
        <v>15</v>
      </c>
      <c r="H7" s="340" t="n">
        <f aca="false">IF((G7&lt;&gt;0),IF((D7&gt;0)," ",G7)," ")</f>
        <v>15</v>
      </c>
      <c r="I7" s="369" t="n">
        <f aca="false">IF((G7&lt;&gt;0),IF((D7&gt;0)," ",(I$1-A7))," ")</f>
        <v>182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46113</v>
      </c>
      <c r="B8" s="365" t="s">
        <v>329</v>
      </c>
      <c r="E8" s="367" t="s">
        <v>330</v>
      </c>
      <c r="G8" s="368" t="n">
        <v>45</v>
      </c>
      <c r="H8" s="340" t="n">
        <f aca="false">IF((G8&lt;&gt;0),IF((D8&gt;0)," ",G8)," ")</f>
        <v>45</v>
      </c>
      <c r="I8" s="369" t="n">
        <f aca="false">IF((G8&lt;&gt;0),IF((D8&gt;0)," ",(I$1-A8))," ")</f>
        <v>182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46113</v>
      </c>
      <c r="B9" s="365" t="s">
        <v>332</v>
      </c>
      <c r="E9" s="367" t="s">
        <v>330</v>
      </c>
      <c r="G9" s="368" t="n">
        <v>1440</v>
      </c>
      <c r="H9" s="340" t="n">
        <f aca="false">IF((G9&lt;&gt;0),IF((D9&gt;0)," ",G9)," ")</f>
        <v>1440</v>
      </c>
      <c r="I9" s="369" t="n">
        <f aca="false">IF((G9&lt;&gt;0),IF((D9&gt;0)," ",(I$1-A9))," ")</f>
        <v>182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333</v>
      </c>
    </row>
    <row r="10" customFormat="false" ht="12.75" hidden="false" customHeight="false" outlineLevel="0" collapsed="false">
      <c r="A10" s="357" t="n">
        <v>46113</v>
      </c>
      <c r="B10" s="365" t="s">
        <v>334</v>
      </c>
      <c r="E10" s="367" t="s">
        <v>330</v>
      </c>
      <c r="G10" s="368" t="n">
        <v>24</v>
      </c>
      <c r="H10" s="340" t="n">
        <f aca="false">IF((G10&lt;&gt;0),IF((D10&gt;0)," ",G10)," ")</f>
        <v>24</v>
      </c>
      <c r="I10" s="369" t="n">
        <f aca="false">IF((G10&lt;&gt;0),IF((D10&gt;0)," ",(I$1-A10))," ")</f>
        <v>182</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331</v>
      </c>
    </row>
    <row r="11" customFormat="false" ht="12.75" hidden="false" customHeight="false" outlineLevel="0" collapsed="false">
      <c r="A11" s="357" t="n">
        <v>46113</v>
      </c>
      <c r="B11" s="365" t="s">
        <v>335</v>
      </c>
      <c r="E11" s="367" t="s">
        <v>326</v>
      </c>
      <c r="G11" s="368" t="n">
        <v>18</v>
      </c>
      <c r="H11" s="340" t="n">
        <f aca="false">IF((G11&lt;&gt;0),IF((D11&gt;0)," ",G11)," ")</f>
        <v>18</v>
      </c>
      <c r="I11" s="369" t="n">
        <f aca="false">IF((G11&lt;&gt;0),IF((D11&gt;0)," ",(I$1-A11))," ")</f>
        <v>182</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327</v>
      </c>
    </row>
    <row r="12" customFormat="false" ht="12.75" hidden="false" customHeight="false" outlineLevel="0" collapsed="false">
      <c r="A12" s="357" t="n">
        <v>46115</v>
      </c>
      <c r="B12" s="365" t="s">
        <v>336</v>
      </c>
      <c r="E12" s="367" t="s">
        <v>330</v>
      </c>
      <c r="G12" s="368" t="n">
        <v>180</v>
      </c>
      <c r="H12" s="340" t="n">
        <f aca="false">IF((G12&lt;&gt;0),IF((D12&gt;0)," ",G12)," ")</f>
        <v>180</v>
      </c>
      <c r="I12" s="369" t="n">
        <f aca="false">IF((G12&lt;&gt;0),IF((D12&gt;0)," ",(I$1-A12))," ")</f>
        <v>180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331</v>
      </c>
    </row>
    <row r="13" customFormat="false" ht="12.75" hidden="false" customHeight="false" outlineLevel="0" collapsed="false">
      <c r="A13" s="357" t="n">
        <v>46115</v>
      </c>
      <c r="B13" s="365" t="s">
        <v>337</v>
      </c>
      <c r="E13" s="367" t="s">
        <v>330</v>
      </c>
      <c r="G13" s="368" t="n">
        <v>22</v>
      </c>
      <c r="H13" s="340" t="n">
        <f aca="false">IF((G13&lt;&gt;0),IF((D13&gt;0)," ",G13)," ")</f>
        <v>22</v>
      </c>
      <c r="I13" s="369" t="n">
        <f aca="false">IF((G13&lt;&gt;0),IF((D13&gt;0)," ",(I$1-A13))," ")</f>
        <v>180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338</v>
      </c>
    </row>
    <row r="14" customFormat="false" ht="12.75" hidden="false" customHeight="false" outlineLevel="0" collapsed="false">
      <c r="A14" s="357" t="n">
        <v>46117</v>
      </c>
      <c r="B14" s="365" t="s">
        <v>339</v>
      </c>
      <c r="E14" s="367" t="s">
        <v>330</v>
      </c>
      <c r="G14" s="368" t="n">
        <v>24</v>
      </c>
      <c r="H14" s="340" t="n">
        <f aca="false">IF((G14&lt;&gt;0),IF((D14&gt;0)," ",G14)," ")</f>
        <v>24</v>
      </c>
      <c r="I14" s="369" t="n">
        <f aca="false">IF((G14&lt;&gt;0),IF((D14&gt;0)," ",(I$1-A14))," ")</f>
        <v>178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338</v>
      </c>
    </row>
    <row r="15" customFormat="false" ht="12.75" hidden="false" customHeight="false" outlineLevel="0" collapsed="false">
      <c r="A15" s="357" t="n">
        <v>46117</v>
      </c>
      <c r="B15" s="365" t="s">
        <v>340</v>
      </c>
      <c r="E15" s="367" t="s">
        <v>305</v>
      </c>
      <c r="G15" s="368" t="n">
        <v>180</v>
      </c>
      <c r="H15" s="340" t="n">
        <f aca="false">IF((G15&lt;&gt;0),IF((D15&gt;0)," ",G15)," ")</f>
        <v>180</v>
      </c>
      <c r="I15" s="369" t="n">
        <f aca="false">IF((G15&lt;&gt;0),IF((D15&gt;0)," ",(I$1-A15))," ")</f>
        <v>178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341</v>
      </c>
    </row>
    <row r="16" customFormat="false" ht="12.75" hidden="false" customHeight="false" outlineLevel="0" collapsed="false">
      <c r="A16" s="357" t="n">
        <v>46117</v>
      </c>
      <c r="B16" s="365" t="s">
        <v>342</v>
      </c>
      <c r="E16" s="367" t="s">
        <v>330</v>
      </c>
      <c r="G16" s="368" t="n">
        <v>36</v>
      </c>
      <c r="H16" s="340" t="n">
        <f aca="false">IF((G16&lt;&gt;0),IF((D16&gt;0)," ",G16)," ")</f>
        <v>36</v>
      </c>
      <c r="I16" s="369" t="n">
        <f aca="false">IF((G16&lt;&gt;0),IF((D16&gt;0)," ",(I$1-A16))," ")</f>
        <v>178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331</v>
      </c>
    </row>
    <row r="17" customFormat="false" ht="12.75" hidden="false" customHeight="false" outlineLevel="0" collapsed="false">
      <c r="A17" s="357" t="n">
        <v>46120</v>
      </c>
      <c r="B17" s="365" t="s">
        <v>343</v>
      </c>
      <c r="E17" s="367" t="s">
        <v>344</v>
      </c>
      <c r="G17" s="368" t="n">
        <v>48</v>
      </c>
      <c r="H17" s="340" t="n">
        <f aca="false">IF((G17&lt;&gt;0),IF((D17&gt;0)," ",G17)," ")</f>
        <v>48</v>
      </c>
      <c r="I17" s="369" t="n">
        <f aca="false">IF((G17&lt;&gt;0),IF((D17&gt;0)," ",(I$1-A17))," ")</f>
        <v>175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46122</v>
      </c>
      <c r="B18" s="365" t="s">
        <v>346</v>
      </c>
      <c r="E18" s="367" t="s">
        <v>330</v>
      </c>
      <c r="G18" s="368" t="n">
        <v>36</v>
      </c>
      <c r="H18" s="340" t="n">
        <f aca="false">IF((G18&lt;&gt;0),IF((D18&gt;0)," ",G18)," ")</f>
        <v>36</v>
      </c>
      <c r="I18" s="369" t="n">
        <f aca="false">IF((G18&lt;&gt;0),IF((D18&gt;0)," ",(I$1-A18))," ")</f>
        <v>173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46122</v>
      </c>
      <c r="B19" s="365" t="s">
        <v>347</v>
      </c>
      <c r="E19" s="367" t="s">
        <v>330</v>
      </c>
      <c r="G19" s="368" t="n">
        <v>180</v>
      </c>
      <c r="H19" s="340" t="n">
        <f aca="false">IF((G19&lt;&gt;0),IF((D19&gt;0)," ",G19)," ")</f>
        <v>180</v>
      </c>
      <c r="I19" s="369" t="n">
        <f aca="false">IF((G19&lt;&gt;0),IF((D19&gt;0)," ",(I$1-A19))," ")</f>
        <v>173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46122</v>
      </c>
      <c r="B20" s="365" t="s">
        <v>349</v>
      </c>
      <c r="E20" s="367" t="s">
        <v>350</v>
      </c>
      <c r="G20" s="368" t="n">
        <v>600</v>
      </c>
      <c r="H20" s="340" t="n">
        <f aca="false">IF((G20&lt;&gt;0),IF((D20&gt;0)," ",G20)," ")</f>
        <v>600</v>
      </c>
      <c r="I20" s="369" t="n">
        <f aca="false">IF((G20&lt;&gt;0),IF((D20&gt;0)," ",(I$1-A20))," ")</f>
        <v>173</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46124</v>
      </c>
      <c r="B21" s="365" t="s">
        <v>352</v>
      </c>
      <c r="D21" s="365"/>
      <c r="E21" s="367" t="s">
        <v>305</v>
      </c>
      <c r="G21" s="368" t="n">
        <v>18</v>
      </c>
      <c r="H21" s="340" t="n">
        <f aca="false">IF((G21&lt;&gt;0),IF((D21&gt;0)," ",G21)," ")</f>
        <v>18</v>
      </c>
      <c r="I21" s="369" t="n">
        <f aca="false">IF((G21&lt;&gt;0),IF((D21&gt;0)," ",(I$1-A21))," ")</f>
        <v>171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46126</v>
      </c>
      <c r="B22" s="365" t="s">
        <v>353</v>
      </c>
      <c r="D22" s="395"/>
      <c r="E22" s="367" t="s">
        <v>330</v>
      </c>
      <c r="G22" s="368" t="n">
        <v>42</v>
      </c>
      <c r="H22" s="340" t="n">
        <f aca="false">IF((G22&lt;&gt;0),IF((D22&gt;0)," ",G22)," ")</f>
        <v>42</v>
      </c>
      <c r="I22" s="369" t="n">
        <f aca="false">IF((G22&lt;&gt;0),IF((D22&gt;0)," ",(I$1-A22))," ")</f>
        <v>169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338</v>
      </c>
    </row>
    <row r="23" customFormat="false" ht="12.75" hidden="false" customHeight="false" outlineLevel="0" collapsed="false">
      <c r="A23" s="357" t="n">
        <v>46126</v>
      </c>
      <c r="B23" s="365" t="s">
        <v>354</v>
      </c>
      <c r="E23" s="367" t="s">
        <v>344</v>
      </c>
      <c r="G23" s="368" t="n">
        <v>24</v>
      </c>
      <c r="H23" s="340" t="n">
        <f aca="false">IF((G23&lt;&gt;0),IF((D23&gt;0)," ",G23)," ")</f>
        <v>24</v>
      </c>
      <c r="I23" s="369" t="n">
        <f aca="false">IF((G23&lt;&gt;0),IF((D23&gt;0)," ",(I$1-A23))," ")</f>
        <v>169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46126</v>
      </c>
      <c r="B24" s="365" t="s">
        <v>355</v>
      </c>
      <c r="E24" s="367" t="s">
        <v>344</v>
      </c>
      <c r="G24" s="368" t="n">
        <v>12</v>
      </c>
      <c r="H24" s="340" t="n">
        <f aca="false">IF((G24&lt;&gt;0),IF((D24&gt;0)," ",G24)," ")</f>
        <v>12</v>
      </c>
      <c r="I24" s="369" t="n">
        <f aca="false">IF((G24&lt;&gt;0),IF((D24&gt;0)," ",(I$1-A24))," ")</f>
        <v>169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345</v>
      </c>
    </row>
    <row r="25" customFormat="false" ht="12.75" hidden="false" customHeight="false" outlineLevel="0" collapsed="false">
      <c r="A25" s="357" t="n">
        <v>46127</v>
      </c>
      <c r="B25" s="365" t="s">
        <v>356</v>
      </c>
      <c r="E25" s="367" t="s">
        <v>305</v>
      </c>
      <c r="G25" s="368" t="n">
        <v>150</v>
      </c>
      <c r="H25" s="340" t="n">
        <f aca="false">IF((G25&lt;&gt;0),IF((D25&gt;0)," ",G25)," ")</f>
        <v>150</v>
      </c>
      <c r="I25" s="369" t="n">
        <f aca="false">IF((G25&lt;&gt;0),IF((D25&gt;0)," ",(I$1-A25))," ")</f>
        <v>168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341</v>
      </c>
    </row>
    <row r="26" customFormat="false" ht="12.75" hidden="false" customHeight="false" outlineLevel="0" collapsed="false">
      <c r="A26" s="357" t="n">
        <v>46127</v>
      </c>
      <c r="B26" s="365" t="s">
        <v>357</v>
      </c>
      <c r="E26" s="367" t="s">
        <v>326</v>
      </c>
      <c r="G26" s="368" t="n">
        <v>12</v>
      </c>
      <c r="H26" s="340" t="n">
        <f aca="false">IF((G26&lt;&gt;0),IF((D26&gt;0)," ",G26)," ")</f>
        <v>12</v>
      </c>
      <c r="I26" s="369" t="n">
        <f aca="false">IF((G26&lt;&gt;0),IF((D26&gt;0)," ",(I$1-A26))," ")</f>
        <v>168</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46130</v>
      </c>
      <c r="B27" s="365" t="s">
        <v>358</v>
      </c>
      <c r="E27" s="367" t="s">
        <v>305</v>
      </c>
      <c r="G27" s="368" t="n">
        <v>96</v>
      </c>
      <c r="H27" s="340" t="n">
        <f aca="false">IF((G27&lt;&gt;0),IF((D27&gt;0)," ",G27)," ")</f>
        <v>96</v>
      </c>
      <c r="I27" s="369" t="n">
        <f aca="false">IF((G27&lt;&gt;0),IF((D27&gt;0)," ",(I$1-A27))," ")</f>
        <v>165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46132</v>
      </c>
      <c r="B28" s="365" t="s">
        <v>359</v>
      </c>
      <c r="E28" s="367" t="s">
        <v>326</v>
      </c>
      <c r="G28" s="368" t="n">
        <v>60</v>
      </c>
      <c r="H28" s="340" t="n">
        <f aca="false">IF((G28&lt;&gt;0),IF((D28&gt;0)," ",G28)," ")</f>
        <v>60</v>
      </c>
      <c r="I28" s="369" t="n">
        <f aca="false">IF((G28&lt;&gt;0),IF((D28&gt;0)," ",(I$1-A28))," ")</f>
        <v>163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46132</v>
      </c>
      <c r="B29" s="365" t="s">
        <v>360</v>
      </c>
      <c r="E29" s="367" t="s">
        <v>361</v>
      </c>
      <c r="G29" s="368" t="n">
        <v>120</v>
      </c>
      <c r="H29" s="340" t="n">
        <f aca="false">IF((G29&lt;&gt;0),IF((D29&gt;0)," ",G29)," ")</f>
        <v>120</v>
      </c>
      <c r="I29" s="369" t="n">
        <f aca="false">IF((G29&lt;&gt;0),IF((D29&gt;0)," ",(I$1-A29))," ")</f>
        <v>163</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362</v>
      </c>
    </row>
    <row r="30" customFormat="false" ht="12.75" hidden="false" customHeight="false" outlineLevel="0" collapsed="false">
      <c r="A30" s="357" t="n">
        <v>46133</v>
      </c>
      <c r="B30" s="365" t="s">
        <v>363</v>
      </c>
      <c r="E30" s="367" t="s">
        <v>344</v>
      </c>
      <c r="G30" s="368" t="n">
        <v>8</v>
      </c>
      <c r="H30" s="340" t="n">
        <f aca="false">IF((G30&lt;&gt;0),IF((D30&gt;0)," ",G30)," ")</f>
        <v>8</v>
      </c>
      <c r="I30" s="369" t="n">
        <f aca="false">IF((G30&lt;&gt;0),IF((D30&gt;0)," ",(I$1-A30))," ")</f>
        <v>162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345</v>
      </c>
    </row>
    <row r="31" customFormat="false" ht="12.75" hidden="false" customHeight="false" outlineLevel="0" collapsed="false">
      <c r="A31" s="357" t="n">
        <v>46134</v>
      </c>
      <c r="B31" s="365" t="s">
        <v>364</v>
      </c>
      <c r="E31" s="367" t="s">
        <v>330</v>
      </c>
      <c r="G31" s="368" t="n">
        <v>18</v>
      </c>
      <c r="H31" s="340" t="n">
        <f aca="false">IF((G31&lt;&gt;0),IF((D31&gt;0)," ",G31)," ")</f>
        <v>18</v>
      </c>
      <c r="I31" s="369" t="n">
        <f aca="false">IF((G31&lt;&gt;0),IF((D31&gt;0)," ",(I$1-A31))," ")</f>
        <v>161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338</v>
      </c>
    </row>
    <row r="32" customFormat="false" ht="12.75" hidden="false" customHeight="false" outlineLevel="0" collapsed="false">
      <c r="A32" s="357" t="n">
        <v>46137</v>
      </c>
      <c r="B32" s="365" t="s">
        <v>365</v>
      </c>
      <c r="E32" s="367" t="s">
        <v>330</v>
      </c>
      <c r="G32" s="368" t="n">
        <v>15</v>
      </c>
      <c r="H32" s="340" t="n">
        <f aca="false">IF((G32&lt;&gt;0),IF((D32&gt;0)," ",G32)," ")</f>
        <v>15</v>
      </c>
      <c r="I32" s="369" t="n">
        <f aca="false">IF((G32&lt;&gt;0),IF((D32&gt;0)," ",(I$1-A32))," ")</f>
        <v>158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338</v>
      </c>
    </row>
    <row r="33" customFormat="false" ht="12.75" hidden="false" customHeight="false" outlineLevel="0" collapsed="false">
      <c r="A33" s="357" t="n">
        <v>46137</v>
      </c>
      <c r="B33" s="365" t="s">
        <v>366</v>
      </c>
      <c r="E33" s="367" t="s">
        <v>305</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46140</v>
      </c>
      <c r="B34" s="365" t="s">
        <v>356</v>
      </c>
      <c r="E34" s="367" t="s">
        <v>305</v>
      </c>
      <c r="G34" s="368" t="n">
        <v>120</v>
      </c>
      <c r="H34" s="340" t="n">
        <f aca="false">IF((G34&lt;&gt;0),IF((D34&gt;0)," ",G34)," ")</f>
        <v>120</v>
      </c>
      <c r="I34" s="369" t="n">
        <f aca="false">IF((G34&lt;&gt;0),IF((D34&gt;0)," ",(I$1-A34))," ")</f>
        <v>155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46142</v>
      </c>
      <c r="B35" s="365" t="s">
        <v>367</v>
      </c>
      <c r="E35" s="367" t="s">
        <v>368</v>
      </c>
      <c r="G35" s="368" t="n">
        <v>300</v>
      </c>
      <c r="H35" s="340" t="n">
        <f aca="false">IF((G35&lt;&gt;0),IF((D35&gt;0)," ",G35)," ")</f>
        <v>300</v>
      </c>
      <c r="I35" s="369" t="n">
        <f aca="false">IF((G35&lt;&gt;0),IF((D35&gt;0)," ",(I$1-A35))," ")</f>
        <v>153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369</v>
      </c>
    </row>
    <row r="36" customFormat="false" ht="12.75" hidden="false" customHeight="false" outlineLevel="0" collapsed="false">
      <c r="A36" s="357" t="n">
        <v>46142</v>
      </c>
      <c r="B36" s="365" t="s">
        <v>370</v>
      </c>
      <c r="C36" s="365" t="s">
        <v>371</v>
      </c>
      <c r="E36" s="367" t="s">
        <v>372</v>
      </c>
      <c r="G36" s="368" t="n">
        <v>3500</v>
      </c>
      <c r="H36" s="340" t="n">
        <f aca="false">IF((G36&lt;&gt;0),IF((D36&gt;0)," ",G36)," ")</f>
        <v>3500</v>
      </c>
      <c r="I36" s="369" t="n">
        <f aca="false">IF((G36&lt;&gt;0),IF((D36&gt;0)," ",(I$1-A36))," ")</f>
        <v>153</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373</v>
      </c>
    </row>
    <row r="37" customFormat="false" ht="12.75" hidden="false" customHeight="false" outlineLevel="0" collapsed="false">
      <c r="A37" s="357" t="n">
        <v>46142</v>
      </c>
      <c r="B37" s="365" t="s">
        <v>374</v>
      </c>
      <c r="C37" s="365" t="s">
        <v>375</v>
      </c>
      <c r="E37" s="367" t="s">
        <v>372</v>
      </c>
      <c r="G37" s="368" t="n">
        <v>2200</v>
      </c>
      <c r="H37" s="340" t="n">
        <f aca="false">IF((G37&lt;&gt;0),IF((D37&gt;0)," ",G37)," ")</f>
        <v>2200</v>
      </c>
      <c r="I37" s="369" t="n">
        <f aca="false">IF((G37&lt;&gt;0),IF((D37&gt;0)," ",(I$1-A37))," ")</f>
        <v>153</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245</v>
      </c>
      <c r="B1" s="343" t="s">
        <v>246</v>
      </c>
      <c r="C1" s="344"/>
      <c r="D1" s="345" t="s">
        <v>247</v>
      </c>
      <c r="E1" s="346" t="n">
        <f aca="false">SUM(E4:E300)</f>
        <v>0</v>
      </c>
      <c r="F1" s="345" t="n">
        <f aca="false">SUM(F4:F300)</f>
        <v>32920</v>
      </c>
      <c r="G1" s="345" t="n">
        <f aca="false">SUM(G4:G300)</f>
        <v>0</v>
      </c>
      <c r="H1" s="347" t="n">
        <f aca="false">SUM(H4:H300)</f>
        <v>32920</v>
      </c>
      <c r="I1" s="348" t="n">
        <f aca="true">TODAY()</f>
        <v>46295</v>
      </c>
      <c r="J1" s="345" t="n">
        <f aca="false">SUM(J4:J300)</f>
        <v>0</v>
      </c>
      <c r="K1" s="349" t="n">
        <f aca="false">J1+SalesApr!K1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46145</v>
      </c>
      <c r="B4" s="336" t="s">
        <v>261</v>
      </c>
      <c r="C4" s="337" t="s">
        <v>376</v>
      </c>
      <c r="F4" s="336" t="n">
        <v>360</v>
      </c>
      <c r="H4" s="340" t="n">
        <f aca="false">IF((F4&lt;&gt;0),IF((D4&gt;0)," ",F4)," ")</f>
        <v>360</v>
      </c>
      <c r="I4" s="341" t="n">
        <f aca="false">IF((F4&lt;&gt;0),IF((D4&gt;0)," ",(I$1-A4))," ")</f>
        <v>150</v>
      </c>
      <c r="BZ4" s="336" t="s">
        <v>260</v>
      </c>
    </row>
    <row r="5" customFormat="false" ht="12.75" hidden="false" customHeight="false" outlineLevel="0" collapsed="false">
      <c r="A5" s="357" t="n">
        <v>46147</v>
      </c>
      <c r="B5" s="336" t="s">
        <v>263</v>
      </c>
      <c r="C5" s="337" t="s">
        <v>377</v>
      </c>
      <c r="F5" s="336" t="n">
        <v>600</v>
      </c>
      <c r="H5" s="340" t="n">
        <f aca="false">IF((F5&lt;&gt;0),IF((D5&gt;0)," ",F5)," ")</f>
        <v>600</v>
      </c>
      <c r="I5" s="341" t="n">
        <f aca="false">IF((F5&lt;&gt;0),IF((D5&gt;0)," ",(I$1-A5))," ")</f>
        <v>148</v>
      </c>
      <c r="BZ5" s="336" t="s">
        <v>260</v>
      </c>
    </row>
    <row r="6" customFormat="false" ht="12.75" hidden="false" customHeight="false" outlineLevel="0" collapsed="false">
      <c r="A6" s="357" t="n">
        <v>46150</v>
      </c>
      <c r="B6" s="336" t="s">
        <v>265</v>
      </c>
      <c r="C6" s="337" t="s">
        <v>378</v>
      </c>
      <c r="F6" s="336" t="n">
        <v>480</v>
      </c>
      <c r="H6" s="340" t="n">
        <f aca="false">IF((F6&lt;&gt;0),IF((D6&gt;0)," ",F6)," ")</f>
        <v>480</v>
      </c>
      <c r="I6" s="341" t="n">
        <f aca="false">IF((F6&lt;&gt;0),IF((D6&gt;0)," ",(I$1-A6))," ")</f>
        <v>145</v>
      </c>
      <c r="BZ6" s="336" t="s">
        <v>267</v>
      </c>
    </row>
    <row r="7" customFormat="false" ht="12.75" hidden="false" customHeight="false" outlineLevel="0" collapsed="false">
      <c r="A7" s="357" t="n">
        <v>46152</v>
      </c>
      <c r="B7" s="336" t="s">
        <v>268</v>
      </c>
      <c r="C7" s="337" t="s">
        <v>379</v>
      </c>
      <c r="F7" s="336" t="n">
        <v>720</v>
      </c>
      <c r="H7" s="340" t="n">
        <f aca="false">IF((F7&lt;&gt;0),IF((D7&gt;0)," ",F7)," ")</f>
        <v>720</v>
      </c>
      <c r="I7" s="341" t="n">
        <f aca="false">IF((F7&lt;&gt;0),IF((D7&gt;0)," ",(I$1-A7))," ")</f>
        <v>143</v>
      </c>
      <c r="BZ7" s="336" t="s">
        <v>267</v>
      </c>
    </row>
    <row r="8" customFormat="false" ht="12.75" hidden="false" customHeight="false" outlineLevel="0" collapsed="false">
      <c r="A8" s="357" t="n">
        <v>46154</v>
      </c>
      <c r="B8" s="336" t="s">
        <v>380</v>
      </c>
      <c r="C8" s="337" t="s">
        <v>381</v>
      </c>
      <c r="F8" s="336" t="n">
        <v>960</v>
      </c>
      <c r="H8" s="340" t="n">
        <f aca="false">IF((F8&lt;&gt;0),IF((D8&gt;0)," ",F8)," ")</f>
        <v>960</v>
      </c>
      <c r="I8" s="341" t="n">
        <f aca="false">IF((F8&lt;&gt;0),IF((D8&gt;0)," ",(I$1-A8))," ")</f>
        <v>141</v>
      </c>
      <c r="BZ8" s="336" t="s">
        <v>267</v>
      </c>
    </row>
    <row r="9" customFormat="false" ht="12.75" hidden="false" customHeight="false" outlineLevel="0" collapsed="false">
      <c r="A9" s="357" t="n">
        <v>46157</v>
      </c>
      <c r="B9" s="336" t="s">
        <v>270</v>
      </c>
      <c r="C9" s="337" t="s">
        <v>382</v>
      </c>
      <c r="F9" s="336" t="n">
        <v>25000</v>
      </c>
      <c r="H9" s="340" t="n">
        <f aca="false">IF((F9&lt;&gt;0),IF((D9&gt;0)," ",F9)," ")</f>
        <v>25000</v>
      </c>
      <c r="I9" s="341" t="n">
        <f aca="false">IF((F9&lt;&gt;0),IF((D9&gt;0)," ",(I$1-A9))," ")</f>
        <v>138</v>
      </c>
      <c r="BZ9" s="336" t="s">
        <v>267</v>
      </c>
    </row>
    <row r="10" customFormat="false" ht="12.75" hidden="false" customHeight="false" outlineLevel="0" collapsed="false">
      <c r="A10" s="357" t="n">
        <v>46158</v>
      </c>
      <c r="B10" s="336" t="s">
        <v>383</v>
      </c>
      <c r="C10" s="337" t="s">
        <v>384</v>
      </c>
      <c r="F10" s="336" t="n">
        <v>1200</v>
      </c>
      <c r="H10" s="340" t="n">
        <f aca="false">IF((F10&lt;&gt;0),IF((D10&gt;0)," ",F10)," ")</f>
        <v>1200</v>
      </c>
      <c r="I10" s="341" t="n">
        <f aca="false">IF((F10&lt;&gt;0),IF((D10&gt;0)," ",(I$1-A10))," ")</f>
        <v>137</v>
      </c>
      <c r="BZ10" s="336" t="s">
        <v>385</v>
      </c>
    </row>
    <row r="11" customFormat="false" ht="12.75" hidden="false" customHeight="false" outlineLevel="0" collapsed="false">
      <c r="A11" s="357" t="n">
        <v>46160</v>
      </c>
      <c r="B11" s="336" t="s">
        <v>272</v>
      </c>
      <c r="C11" s="337" t="s">
        <v>386</v>
      </c>
      <c r="F11" s="336" t="n">
        <v>2400</v>
      </c>
      <c r="H11" s="340" t="n">
        <f aca="false">IF((F11&lt;&gt;0),IF((D11&gt;0)," ",F11)," ")</f>
        <v>2400</v>
      </c>
      <c r="I11" s="341" t="n">
        <f aca="false">IF((F11&lt;&gt;0),IF((D11&gt;0)," ",(I$1-A11))," ")</f>
        <v>135</v>
      </c>
      <c r="BZ11" s="336" t="s">
        <v>267</v>
      </c>
    </row>
    <row r="12" customFormat="false" ht="12.75" hidden="false" customHeight="false" outlineLevel="0" collapsed="false">
      <c r="A12" s="357" t="n">
        <v>46167</v>
      </c>
      <c r="B12" s="336" t="s">
        <v>387</v>
      </c>
      <c r="C12" s="337" t="s">
        <v>388</v>
      </c>
      <c r="F12" s="336" t="n">
        <v>1200</v>
      </c>
      <c r="H12" s="340" t="n">
        <f aca="false">IF((F12&lt;&gt;0),IF((D12&gt;0)," ",F12)," ")</f>
        <v>1200</v>
      </c>
      <c r="I12" s="341" t="n">
        <f aca="false">IF((F12&lt;&gt;0),IF((D12&gt;0)," ",(I$1-A12))," ")</f>
        <v>128</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G4+PurchasesApr!A1</f>
        <v>112.75</v>
      </c>
      <c r="B1" s="372" t="s">
        <v>280</v>
      </c>
      <c r="C1" s="346" t="n">
        <f aca="false">PurchasesApr!C1+PurchasesMay!F1+SalesMay!$E$1</f>
        <v>205</v>
      </c>
      <c r="D1" s="371" t="s">
        <v>247</v>
      </c>
      <c r="E1" s="373" t="str">
        <f aca="false">IF((G1-SUM(J1:W1)&lt;&gt;0),(G1-SUM(J1:W1))," ")</f>
        <v> </v>
      </c>
      <c r="F1" s="346" t="n">
        <f aca="false">SUM(F5:F300)</f>
        <v>120</v>
      </c>
      <c r="G1" s="345" t="n">
        <f aca="false">SUM(G4:G300)</f>
        <v>12087</v>
      </c>
      <c r="H1" s="374" t="n">
        <f aca="false">SUM(H5:H300)</f>
        <v>12021</v>
      </c>
      <c r="I1" s="375" t="n">
        <f aca="true">TODAY()</f>
        <v>46295</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678</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66</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402" t="n">
        <f aca="false">IF((C1&lt;Admin!$F$22),((C1-PurchasesApr!C1)*Admin!$G$21),(C1*Admin!$G$21-(C1-Admin!$F$21)*(Admin!$G$21-Admin!$G$22)-PurchasesApr!A1))</f>
        <v>66</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46143</v>
      </c>
      <c r="B5" s="365" t="s">
        <v>322</v>
      </c>
      <c r="E5" s="367" t="s">
        <v>323</v>
      </c>
      <c r="G5" s="368" t="n">
        <v>1200</v>
      </c>
      <c r="H5" s="340" t="n">
        <f aca="false">IF((G5&lt;&gt;0),IF((D5&gt;0)," ",G5)," ")</f>
        <v>1200</v>
      </c>
      <c r="I5" s="369" t="n">
        <f aca="false">IF((G5&lt;&gt;0),IF((D5&gt;0)," ",(I$1-A5))," ")</f>
        <v>152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46143</v>
      </c>
      <c r="B6" s="365" t="s">
        <v>325</v>
      </c>
      <c r="E6" s="367" t="s">
        <v>326</v>
      </c>
      <c r="G6" s="368" t="n">
        <v>30</v>
      </c>
      <c r="H6" s="340" t="n">
        <f aca="false">IF((G6&lt;&gt;0),IF((D6&gt;0)," ",G6)," ")</f>
        <v>30</v>
      </c>
      <c r="I6" s="369" t="n">
        <f aca="false">IF((G6&lt;&gt;0),IF((D6&gt;0)," ",(I$1-A6))," ")</f>
        <v>152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46143</v>
      </c>
      <c r="B7" s="365" t="s">
        <v>328</v>
      </c>
      <c r="E7" s="367" t="s">
        <v>326</v>
      </c>
      <c r="G7" s="368" t="n">
        <v>15</v>
      </c>
      <c r="H7" s="340" t="n">
        <f aca="false">IF((G7&lt;&gt;0),IF((D7&gt;0)," ",G7)," ")</f>
        <v>15</v>
      </c>
      <c r="I7" s="369" t="n">
        <f aca="false">IF((G7&lt;&gt;0),IF((D7&gt;0)," ",(I$1-A7))," ")</f>
        <v>152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46143</v>
      </c>
      <c r="B8" s="365" t="s">
        <v>329</v>
      </c>
      <c r="E8" s="367" t="s">
        <v>330</v>
      </c>
      <c r="G8" s="368" t="n">
        <v>45</v>
      </c>
      <c r="H8" s="340" t="n">
        <f aca="false">IF((G8&lt;&gt;0),IF((D8&gt;0)," ",G8)," ")</f>
        <v>45</v>
      </c>
      <c r="I8" s="369" t="n">
        <f aca="false">IF((G8&lt;&gt;0),IF((D8&gt;0)," ",(I$1-A8))," ")</f>
        <v>152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46143</v>
      </c>
      <c r="B9" s="365" t="s">
        <v>334</v>
      </c>
      <c r="E9" s="367" t="s">
        <v>330</v>
      </c>
      <c r="G9" s="368" t="n">
        <v>24</v>
      </c>
      <c r="H9" s="340" t="n">
        <f aca="false">IF((G9&lt;&gt;0),IF((D9&gt;0)," ",G9)," ")</f>
        <v>24</v>
      </c>
      <c r="I9" s="369" t="n">
        <f aca="false">IF((G9&lt;&gt;0),IF((D9&gt;0)," ",(I$1-A9))," ")</f>
        <v>152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46143</v>
      </c>
      <c r="B10" s="365" t="s">
        <v>335</v>
      </c>
      <c r="E10" s="367" t="s">
        <v>326</v>
      </c>
      <c r="G10" s="368" t="n">
        <v>18</v>
      </c>
      <c r="H10" s="340" t="n">
        <f aca="false">IF((G10&lt;&gt;0),IF((D10&gt;0)," ",G10)," ")</f>
        <v>18</v>
      </c>
      <c r="I10" s="369" t="n">
        <f aca="false">IF((G10&lt;&gt;0),IF((D10&gt;0)," ",(I$1-A10))," ")</f>
        <v>152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46145</v>
      </c>
      <c r="B11" s="365" t="s">
        <v>336</v>
      </c>
      <c r="E11" s="367" t="s">
        <v>330</v>
      </c>
      <c r="G11" s="368" t="n">
        <v>180</v>
      </c>
      <c r="H11" s="340" t="n">
        <f aca="false">IF((G11&lt;&gt;0),IF((D11&gt;0)," ",G11)," ")</f>
        <v>180</v>
      </c>
      <c r="I11" s="369" t="n">
        <f aca="false">IF((G11&lt;&gt;0),IF((D11&gt;0)," ",(I$1-A11))," ")</f>
        <v>150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46145</v>
      </c>
      <c r="B12" s="365" t="s">
        <v>337</v>
      </c>
      <c r="E12" s="367" t="s">
        <v>330</v>
      </c>
      <c r="G12" s="368" t="n">
        <v>22</v>
      </c>
      <c r="H12" s="340" t="n">
        <f aca="false">IF((G12&lt;&gt;0),IF((D12&gt;0)," ",G12)," ")</f>
        <v>22</v>
      </c>
      <c r="I12" s="369" t="n">
        <f aca="false">IF((G12&lt;&gt;0),IF((D12&gt;0)," ",(I$1-A12))," ")</f>
        <v>150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46147</v>
      </c>
      <c r="B13" s="365" t="s">
        <v>339</v>
      </c>
      <c r="E13" s="367" t="s">
        <v>330</v>
      </c>
      <c r="G13" s="368" t="n">
        <v>24</v>
      </c>
      <c r="H13" s="340" t="n">
        <f aca="false">IF((G13&lt;&gt;0),IF((D13&gt;0)," ",G13)," ")</f>
        <v>24</v>
      </c>
      <c r="I13" s="369" t="n">
        <f aca="false">IF((G13&lt;&gt;0),IF((D13&gt;0)," ",(I$1-A13))," ")</f>
        <v>148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46147</v>
      </c>
      <c r="B14" s="365" t="s">
        <v>340</v>
      </c>
      <c r="E14" s="367" t="s">
        <v>305</v>
      </c>
      <c r="G14" s="368" t="n">
        <v>180</v>
      </c>
      <c r="H14" s="340" t="n">
        <f aca="false">IF((G14&lt;&gt;0),IF((D14&gt;0)," ",G14)," ")</f>
        <v>180</v>
      </c>
      <c r="I14" s="369" t="n">
        <f aca="false">IF((G14&lt;&gt;0),IF((D14&gt;0)," ",(I$1-A14))," ")</f>
        <v>148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46148</v>
      </c>
      <c r="B15" s="365" t="s">
        <v>390</v>
      </c>
      <c r="E15" s="367" t="s">
        <v>344</v>
      </c>
      <c r="G15" s="368" t="n">
        <v>60</v>
      </c>
      <c r="H15" s="340" t="n">
        <f aca="false">IF((G15&lt;&gt;0),IF((D15&gt;0)," ",G15)," ")</f>
        <v>60</v>
      </c>
      <c r="I15" s="369" t="n">
        <f aca="false">IF((G15&lt;&gt;0),IF((D15&gt;0)," ",(I$1-A15))," ")</f>
        <v>147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46150</v>
      </c>
      <c r="B16" s="365" t="s">
        <v>343</v>
      </c>
      <c r="E16" s="367" t="s">
        <v>344</v>
      </c>
      <c r="G16" s="368" t="n">
        <v>48</v>
      </c>
      <c r="H16" s="340" t="n">
        <f aca="false">IF((G16&lt;&gt;0),IF((D16&gt;0)," ",G16)," ")</f>
        <v>48</v>
      </c>
      <c r="I16" s="369" t="n">
        <f aca="false">IF((G16&lt;&gt;0),IF((D16&gt;0)," ",(I$1-A16))," ")</f>
        <v>145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46150</v>
      </c>
      <c r="B17" s="365" t="s">
        <v>391</v>
      </c>
      <c r="E17" s="367" t="s">
        <v>330</v>
      </c>
      <c r="G17" s="368" t="n">
        <v>240</v>
      </c>
      <c r="H17" s="340" t="n">
        <f aca="false">IF((G17&lt;&gt;0),IF((D17&gt;0)," ",G17)," ")</f>
        <v>240</v>
      </c>
      <c r="I17" s="369" t="n">
        <f aca="false">IF((G17&lt;&gt;0),IF((D17&gt;0)," ",(I$1-A17))," ")</f>
        <v>145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392</v>
      </c>
    </row>
    <row r="18" customFormat="false" ht="12.75" hidden="false" customHeight="false" outlineLevel="0" collapsed="false">
      <c r="A18" s="357" t="n">
        <v>46152</v>
      </c>
      <c r="B18" s="365" t="s">
        <v>346</v>
      </c>
      <c r="E18" s="367" t="s">
        <v>330</v>
      </c>
      <c r="G18" s="368" t="n">
        <v>36</v>
      </c>
      <c r="H18" s="340" t="n">
        <f aca="false">IF((G18&lt;&gt;0),IF((D18&gt;0)," ",G18)," ")</f>
        <v>36</v>
      </c>
      <c r="I18" s="369" t="n">
        <f aca="false">IF((G18&lt;&gt;0),IF((D18&gt;0)," ",(I$1-A18))," ")</f>
        <v>143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46152</v>
      </c>
      <c r="B19" s="365" t="s">
        <v>393</v>
      </c>
      <c r="E19" s="367" t="s">
        <v>394</v>
      </c>
      <c r="G19" s="368" t="n">
        <v>600</v>
      </c>
      <c r="H19" s="340" t="n">
        <f aca="false">IF((G19&lt;&gt;0),IF((D19&gt;0)," ",G19)," ")</f>
        <v>600</v>
      </c>
      <c r="I19" s="369" t="n">
        <f aca="false">IF((G19&lt;&gt;0),IF((D19&gt;0)," ",(I$1-A19))," ")</f>
        <v>143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395</v>
      </c>
    </row>
    <row r="20" customFormat="false" ht="12.75" hidden="false" customHeight="false" outlineLevel="0" collapsed="false">
      <c r="A20" s="357" t="n">
        <v>46154</v>
      </c>
      <c r="B20" s="365" t="s">
        <v>352</v>
      </c>
      <c r="E20" s="367" t="s">
        <v>305</v>
      </c>
      <c r="G20" s="368" t="n">
        <v>18</v>
      </c>
      <c r="H20" s="340" t="n">
        <f aca="false">IF((G20&lt;&gt;0),IF((D20&gt;0)," ",G20)," ")</f>
        <v>18</v>
      </c>
      <c r="I20" s="369" t="n">
        <f aca="false">IF((G20&lt;&gt;0),IF((D20&gt;0)," ",(I$1-A20))," ")</f>
        <v>141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341</v>
      </c>
    </row>
    <row r="21" customFormat="false" ht="12.75" hidden="false" customHeight="false" outlineLevel="0" collapsed="false">
      <c r="A21" s="357" t="n">
        <v>46156</v>
      </c>
      <c r="B21" s="365" t="s">
        <v>354</v>
      </c>
      <c r="D21" s="365"/>
      <c r="E21" s="367" t="s">
        <v>344</v>
      </c>
      <c r="G21" s="368" t="n">
        <v>24</v>
      </c>
      <c r="H21" s="340" t="n">
        <f aca="false">IF((G21&lt;&gt;0),IF((D21&gt;0)," ",G21)," ")</f>
        <v>24</v>
      </c>
      <c r="I21" s="369" t="n">
        <f aca="false">IF((G21&lt;&gt;0),IF((D21&gt;0)," ",(I$1-A21))," ")</f>
        <v>139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46156</v>
      </c>
      <c r="B22" s="365" t="s">
        <v>355</v>
      </c>
      <c r="D22" s="395"/>
      <c r="E22" s="367" t="s">
        <v>344</v>
      </c>
      <c r="G22" s="368" t="n">
        <v>12</v>
      </c>
      <c r="H22" s="340" t="n">
        <f aca="false">IF((G22&lt;&gt;0),IF((D22&gt;0)," ",G22)," ")</f>
        <v>12</v>
      </c>
      <c r="I22" s="369" t="n">
        <f aca="false">IF((G22&lt;&gt;0),IF((D22&gt;0)," ",(I$1-A22))," ")</f>
        <v>139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46157</v>
      </c>
      <c r="B23" s="365" t="s">
        <v>356</v>
      </c>
      <c r="E23" s="367" t="s">
        <v>305</v>
      </c>
      <c r="G23" s="368" t="n">
        <v>150</v>
      </c>
      <c r="H23" s="340" t="n">
        <f aca="false">IF((G23&lt;&gt;0),IF((D23&gt;0)," ",G23)," ")</f>
        <v>150</v>
      </c>
      <c r="I23" s="369" t="n">
        <f aca="false">IF((G23&lt;&gt;0),IF((D23&gt;0)," ",(I$1-A23))," ")</f>
        <v>138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46157</v>
      </c>
      <c r="B24" s="365" t="s">
        <v>357</v>
      </c>
      <c r="E24" s="367" t="s">
        <v>326</v>
      </c>
      <c r="G24" s="368" t="n">
        <v>12</v>
      </c>
      <c r="H24" s="340" t="n">
        <f aca="false">IF((G24&lt;&gt;0),IF((D24&gt;0)," ",G24)," ")</f>
        <v>12</v>
      </c>
      <c r="I24" s="369" t="n">
        <f aca="false">IF((G24&lt;&gt;0),IF((D24&gt;0)," ",(I$1-A24))," ")</f>
        <v>138</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46157</v>
      </c>
      <c r="B25" s="365" t="s">
        <v>396</v>
      </c>
      <c r="E25" s="367" t="s">
        <v>350</v>
      </c>
      <c r="G25" s="368" t="n">
        <v>480</v>
      </c>
      <c r="H25" s="340" t="n">
        <f aca="false">IF((G25&lt;&gt;0),IF((D25&gt;0)," ",G25)," ")</f>
        <v>480</v>
      </c>
      <c r="I25" s="369" t="n">
        <f aca="false">IF((G25&lt;&gt;0),IF((D25&gt;0)," ",(I$1-A25))," ")</f>
        <v>138</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351</v>
      </c>
    </row>
    <row r="26" customFormat="false" ht="12.75" hidden="false" customHeight="false" outlineLevel="0" collapsed="false">
      <c r="A26" s="357" t="n">
        <v>46157</v>
      </c>
      <c r="B26" s="365" t="s">
        <v>397</v>
      </c>
      <c r="C26" s="365" t="s">
        <v>225</v>
      </c>
      <c r="E26" s="367" t="s">
        <v>398</v>
      </c>
      <c r="G26" s="368" t="n">
        <v>1800</v>
      </c>
      <c r="H26" s="340" t="n">
        <f aca="false">IF((G26&lt;&gt;0),IF((D26&gt;0)," ",G26)," ")</f>
        <v>1800</v>
      </c>
      <c r="I26" s="369" t="n">
        <f aca="false">IF((G26&lt;&gt;0),IF((D26&gt;0)," ",(I$1-A26))," ")</f>
        <v>138</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399</v>
      </c>
    </row>
    <row r="27" customFormat="false" ht="12.75" hidden="false" customHeight="false" outlineLevel="0" collapsed="false">
      <c r="A27" s="357" t="n">
        <v>46158</v>
      </c>
      <c r="B27" s="365" t="s">
        <v>400</v>
      </c>
      <c r="E27" s="367" t="s">
        <v>326</v>
      </c>
      <c r="G27" s="368" t="n">
        <v>18</v>
      </c>
      <c r="H27" s="340" t="n">
        <f aca="false">IF((G27&lt;&gt;0),IF((D27&gt;0)," ",G27)," ")</f>
        <v>18</v>
      </c>
      <c r="I27" s="369" t="n">
        <f aca="false">IF((G27&lt;&gt;0),IF((D27&gt;0)," ",(I$1-A27))," ")</f>
        <v>137</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327</v>
      </c>
    </row>
    <row r="28" customFormat="false" ht="12.75" hidden="false" customHeight="false" outlineLevel="0" collapsed="false">
      <c r="A28" s="357" t="n">
        <v>46160</v>
      </c>
      <c r="B28" s="365" t="s">
        <v>358</v>
      </c>
      <c r="E28" s="367" t="s">
        <v>305</v>
      </c>
      <c r="G28" s="368" t="n">
        <v>96</v>
      </c>
      <c r="H28" s="340" t="n">
        <f aca="false">IF((G28&lt;&gt;0),IF((D28&gt;0)," ",G28)," ")</f>
        <v>96</v>
      </c>
      <c r="I28" s="369" t="n">
        <f aca="false">IF((G28&lt;&gt;0),IF((D28&gt;0)," ",(I$1-A28))," ")</f>
        <v>135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341</v>
      </c>
    </row>
    <row r="29" customFormat="false" ht="12.75" hidden="false" customHeight="false" outlineLevel="0" collapsed="false">
      <c r="A29" s="357" t="n">
        <v>46162</v>
      </c>
      <c r="B29" s="365" t="s">
        <v>359</v>
      </c>
      <c r="E29" s="367" t="s">
        <v>326</v>
      </c>
      <c r="G29" s="368" t="n">
        <v>60</v>
      </c>
      <c r="H29" s="340" t="n">
        <f aca="false">IF((G29&lt;&gt;0),IF((D29&gt;0)," ",G29)," ")</f>
        <v>60</v>
      </c>
      <c r="I29" s="369" t="n">
        <f aca="false">IF((G29&lt;&gt;0),IF((D29&gt;0)," ",(I$1-A29))," ")</f>
        <v>133</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327</v>
      </c>
    </row>
    <row r="30" customFormat="false" ht="12.75" hidden="false" customHeight="false" outlineLevel="0" collapsed="false">
      <c r="A30" s="357" t="n">
        <v>46162</v>
      </c>
      <c r="B30" s="365" t="s">
        <v>401</v>
      </c>
      <c r="E30" s="367" t="s">
        <v>330</v>
      </c>
      <c r="G30" s="368" t="n">
        <v>180</v>
      </c>
      <c r="H30" s="340" t="n">
        <f aca="false">IF((G30&lt;&gt;0),IF((D30&gt;0)," ",G30)," ")</f>
        <v>180</v>
      </c>
      <c r="I30" s="369" t="n">
        <f aca="false">IF((G30&lt;&gt;0),IF((D30&gt;0)," ",(I$1-A30))," ")</f>
        <v>133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402</v>
      </c>
    </row>
    <row r="31" customFormat="false" ht="12.75" hidden="false" customHeight="false" outlineLevel="0" collapsed="false">
      <c r="A31" s="357" t="n">
        <v>46162</v>
      </c>
      <c r="B31" s="365" t="s">
        <v>403</v>
      </c>
      <c r="E31" s="367" t="s">
        <v>350</v>
      </c>
      <c r="G31" s="368" t="n">
        <v>240</v>
      </c>
      <c r="H31" s="340" t="n">
        <f aca="false">IF((G31&lt;&gt;0),IF((D31&gt;0)," ",G31)," ")</f>
        <v>240</v>
      </c>
      <c r="I31" s="369" t="n">
        <f aca="false">IF((G31&lt;&gt;0),IF((D31&gt;0)," ",(I$1-A31))," ")</f>
        <v>133</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46163</v>
      </c>
      <c r="B32" s="365" t="s">
        <v>363</v>
      </c>
      <c r="E32" s="367" t="s">
        <v>344</v>
      </c>
      <c r="G32" s="368" t="n">
        <v>8</v>
      </c>
      <c r="H32" s="340" t="n">
        <f aca="false">IF((G32&lt;&gt;0),IF((D32&gt;0)," ",G32)," ")</f>
        <v>8</v>
      </c>
      <c r="I32" s="369" t="n">
        <f aca="false">IF((G32&lt;&gt;0),IF((D32&gt;0)," ",(I$1-A32))," ")</f>
        <v>132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345</v>
      </c>
    </row>
    <row r="33" customFormat="false" ht="12.75" hidden="false" customHeight="false" outlineLevel="0" collapsed="false">
      <c r="A33" s="357" t="n">
        <v>46164</v>
      </c>
      <c r="B33" s="365" t="s">
        <v>364</v>
      </c>
      <c r="E33" s="367" t="s">
        <v>330</v>
      </c>
      <c r="G33" s="368" t="n">
        <v>18</v>
      </c>
      <c r="H33" s="340" t="n">
        <f aca="false">IF((G33&lt;&gt;0),IF((D33&gt;0)," ",G33)," ")</f>
        <v>18</v>
      </c>
      <c r="I33" s="369" t="n">
        <f aca="false">IF((G33&lt;&gt;0),IF((D33&gt;0)," ",(I$1-A33))," ")</f>
        <v>131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338</v>
      </c>
    </row>
    <row r="34" customFormat="false" ht="12.75" hidden="false" customHeight="false" outlineLevel="0" collapsed="false">
      <c r="A34" s="357" t="n">
        <v>46164</v>
      </c>
      <c r="B34" s="365" t="s">
        <v>404</v>
      </c>
      <c r="E34" s="367" t="s">
        <v>305</v>
      </c>
      <c r="G34" s="368" t="n">
        <v>48</v>
      </c>
      <c r="H34" s="340" t="n">
        <f aca="false">IF((G34&lt;&gt;0),IF((D34&gt;0)," ",G34)," ")</f>
        <v>48</v>
      </c>
      <c r="I34" s="369" t="n">
        <f aca="false">IF((G34&lt;&gt;0),IF((D34&gt;0)," ",(I$1-A34))," ")</f>
        <v>131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46167</v>
      </c>
      <c r="B35" s="365" t="s">
        <v>365</v>
      </c>
      <c r="E35" s="367" t="s">
        <v>330</v>
      </c>
      <c r="G35" s="368" t="n">
        <v>15</v>
      </c>
      <c r="H35" s="340" t="n">
        <f aca="false">IF((G35&lt;&gt;0),IF((D35&gt;0)," ",G35)," ")</f>
        <v>15</v>
      </c>
      <c r="I35" s="369" t="n">
        <f aca="false">IF((G35&lt;&gt;0),IF((D35&gt;0)," ",(I$1-A35))," ")</f>
        <v>128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338</v>
      </c>
    </row>
    <row r="36" customFormat="false" ht="12.75" hidden="false" customHeight="false" outlineLevel="0" collapsed="false">
      <c r="A36" s="357" t="n">
        <v>46167</v>
      </c>
      <c r="B36" s="365" t="s">
        <v>366</v>
      </c>
      <c r="E36" s="367" t="s">
        <v>305</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46170</v>
      </c>
      <c r="B37" s="365" t="s">
        <v>356</v>
      </c>
      <c r="E37" s="367" t="s">
        <v>305</v>
      </c>
      <c r="G37" s="368" t="n">
        <v>120</v>
      </c>
      <c r="H37" s="340" t="n">
        <f aca="false">IF((G37&lt;&gt;0),IF((D37&gt;0)," ",G37)," ")</f>
        <v>120</v>
      </c>
      <c r="I37" s="369" t="n">
        <f aca="false">IF((G37&lt;&gt;0),IF((D37&gt;0)," ",(I$1-A37))," ")</f>
        <v>125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341</v>
      </c>
    </row>
    <row r="38" customFormat="false" ht="12.75" hidden="false" customHeight="false" outlineLevel="0" collapsed="false">
      <c r="A38" s="357" t="n">
        <v>46173</v>
      </c>
      <c r="B38" s="365" t="s">
        <v>367</v>
      </c>
      <c r="E38" s="367" t="s">
        <v>368</v>
      </c>
      <c r="G38" s="368" t="n">
        <v>300</v>
      </c>
      <c r="H38" s="340" t="n">
        <f aca="false">IF((G38&lt;&gt;0),IF((D38&gt;0)," ",G38)," ")</f>
        <v>300</v>
      </c>
      <c r="I38" s="369" t="n">
        <f aca="false">IF((G38&lt;&gt;0),IF((D38&gt;0)," ",(I$1-A38))," ")</f>
        <v>122</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369</v>
      </c>
    </row>
    <row r="39" customFormat="false" ht="12.75" hidden="false" customHeight="false" outlineLevel="0" collapsed="false">
      <c r="A39" s="357" t="n">
        <v>46173</v>
      </c>
      <c r="B39" s="365" t="s">
        <v>370</v>
      </c>
      <c r="C39" s="365" t="s">
        <v>405</v>
      </c>
      <c r="E39" s="367" t="s">
        <v>372</v>
      </c>
      <c r="G39" s="368" t="n">
        <v>3500</v>
      </c>
      <c r="H39" s="340" t="n">
        <f aca="false">IF((G39&lt;&gt;0),IF((D39&gt;0)," ",G39)," ")</f>
        <v>3500</v>
      </c>
      <c r="I39" s="369" t="n">
        <f aca="false">IF((G39&lt;&gt;0),IF((D39&gt;0)," ",(I$1-A39))," ")</f>
        <v>122</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t="n">
        <v>46173</v>
      </c>
      <c r="B40" s="365" t="s">
        <v>374</v>
      </c>
      <c r="C40" s="365" t="s">
        <v>406</v>
      </c>
      <c r="E40" s="367" t="s">
        <v>372</v>
      </c>
      <c r="G40" s="368" t="n">
        <v>2200</v>
      </c>
      <c r="H40" s="340" t="n">
        <f aca="false">IF((G40&lt;&gt;0),IF((D40&gt;0)," ",G40)," ")</f>
        <v>2200</v>
      </c>
      <c r="I40" s="369" t="n">
        <f aca="false">IF((G40&lt;&gt;0),IF((D40&gt;0)," ",(I$1-A40))," ")</f>
        <v>122</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373</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245</v>
      </c>
      <c r="B1" s="343" t="s">
        <v>246</v>
      </c>
      <c r="C1" s="344"/>
      <c r="D1" s="345" t="s">
        <v>247</v>
      </c>
      <c r="E1" s="346" t="n">
        <f aca="false">SUM(E4:E300)</f>
        <v>0</v>
      </c>
      <c r="F1" s="345" t="n">
        <f aca="false">SUM(F4:F300)</f>
        <v>35200</v>
      </c>
      <c r="G1" s="345" t="n">
        <f aca="false">SUM(G4:G300)</f>
        <v>0</v>
      </c>
      <c r="H1" s="347" t="n">
        <f aca="false">SUM(H4:H300)</f>
        <v>35200</v>
      </c>
      <c r="I1" s="348" t="n">
        <f aca="true">TODAY()</f>
        <v>46295</v>
      </c>
      <c r="J1" s="345" t="n">
        <f aca="false">SUM(J4:J300)</f>
        <v>0</v>
      </c>
      <c r="K1" s="349" t="n">
        <f aca="false">J1+SalesMay!K1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46176</v>
      </c>
      <c r="B4" s="336" t="s">
        <v>261</v>
      </c>
      <c r="C4" s="337" t="s">
        <v>407</v>
      </c>
      <c r="F4" s="336" t="n">
        <v>360</v>
      </c>
      <c r="H4" s="340" t="n">
        <f aca="false">IF((F4&lt;&gt;0),IF((D4&gt;0)," ",F4)," ")</f>
        <v>360</v>
      </c>
      <c r="I4" s="341" t="n">
        <f aca="false">IF((F4&lt;&gt;0),IF((D4&gt;0)," ",(I$1-A4))," ")</f>
        <v>119</v>
      </c>
      <c r="BZ4" s="336" t="s">
        <v>260</v>
      </c>
    </row>
    <row r="5" customFormat="false" ht="12.75" hidden="false" customHeight="false" outlineLevel="0" collapsed="false">
      <c r="A5" s="357" t="n">
        <v>46178</v>
      </c>
      <c r="B5" s="336" t="s">
        <v>263</v>
      </c>
      <c r="C5" s="337" t="s">
        <v>408</v>
      </c>
      <c r="F5" s="336" t="n">
        <v>600</v>
      </c>
      <c r="H5" s="340" t="n">
        <f aca="false">IF((F5&lt;&gt;0),IF((D5&gt;0)," ",F5)," ")</f>
        <v>600</v>
      </c>
      <c r="I5" s="341" t="n">
        <f aca="false">IF((F5&lt;&gt;0),IF((D5&gt;0)," ",(I$1-A5))," ")</f>
        <v>117</v>
      </c>
      <c r="BZ5" s="336" t="s">
        <v>260</v>
      </c>
    </row>
    <row r="6" customFormat="false" ht="12.75" hidden="false" customHeight="false" outlineLevel="0" collapsed="false">
      <c r="A6" s="357" t="n">
        <v>46181</v>
      </c>
      <c r="B6" s="336" t="s">
        <v>265</v>
      </c>
      <c r="C6" s="337" t="s">
        <v>409</v>
      </c>
      <c r="F6" s="336" t="n">
        <v>480</v>
      </c>
      <c r="H6" s="340" t="n">
        <f aca="false">IF((F6&lt;&gt;0),IF((D6&gt;0)," ",F6)," ")</f>
        <v>480</v>
      </c>
      <c r="I6" s="341" t="n">
        <f aca="false">IF((F6&lt;&gt;0),IF((D6&gt;0)," ",(I$1-A6))," ")</f>
        <v>114</v>
      </c>
      <c r="BZ6" s="336" t="s">
        <v>267</v>
      </c>
    </row>
    <row r="7" customFormat="false" ht="12.75" hidden="false" customHeight="false" outlineLevel="0" collapsed="false">
      <c r="A7" s="357" t="n">
        <v>46183</v>
      </c>
      <c r="B7" s="336" t="s">
        <v>268</v>
      </c>
      <c r="C7" s="337" t="s">
        <v>410</v>
      </c>
      <c r="F7" s="336" t="n">
        <v>720</v>
      </c>
      <c r="H7" s="340" t="n">
        <f aca="false">IF((F7&lt;&gt;0),IF((D7&gt;0)," ",F7)," ")</f>
        <v>720</v>
      </c>
      <c r="I7" s="341" t="n">
        <f aca="false">IF((F7&lt;&gt;0),IF((D7&gt;0)," ",(I$1-A7))," ")</f>
        <v>112</v>
      </c>
      <c r="BZ7" s="336" t="s">
        <v>267</v>
      </c>
    </row>
    <row r="8" customFormat="false" ht="12.75" hidden="false" customHeight="false" outlineLevel="0" collapsed="false">
      <c r="A8" s="357" t="n">
        <v>46188</v>
      </c>
      <c r="B8" s="336" t="s">
        <v>270</v>
      </c>
      <c r="C8" s="337" t="s">
        <v>411</v>
      </c>
      <c r="F8" s="336" t="n">
        <v>25000</v>
      </c>
      <c r="H8" s="340" t="n">
        <f aca="false">IF((F8&lt;&gt;0),IF((D8&gt;0)," ",F8)," ")</f>
        <v>25000</v>
      </c>
      <c r="I8" s="341" t="n">
        <f aca="false">IF((F8&lt;&gt;0),IF((D8&gt;0)," ",(I$1-A8))," ")</f>
        <v>107</v>
      </c>
      <c r="BZ8" s="336" t="s">
        <v>267</v>
      </c>
    </row>
    <row r="9" customFormat="false" ht="12.75" hidden="false" customHeight="false" outlineLevel="0" collapsed="false">
      <c r="A9" s="357" t="n">
        <v>46191</v>
      </c>
      <c r="B9" s="336" t="s">
        <v>272</v>
      </c>
      <c r="C9" s="337" t="s">
        <v>412</v>
      </c>
      <c r="F9" s="336" t="n">
        <v>2400</v>
      </c>
      <c r="H9" s="340" t="n">
        <f aca="false">IF((F9&lt;&gt;0),IF((D9&gt;0)," ",F9)," ")</f>
        <v>2400</v>
      </c>
      <c r="I9" s="341" t="n">
        <f aca="false">IF((F9&lt;&gt;0),IF((D9&gt;0)," ",(I$1-A9))," ")</f>
        <v>104</v>
      </c>
      <c r="BZ9" s="336" t="s">
        <v>267</v>
      </c>
    </row>
    <row r="10" customFormat="false" ht="12.75" hidden="false" customHeight="false" outlineLevel="0" collapsed="false">
      <c r="A10" s="357" t="n">
        <v>46193</v>
      </c>
      <c r="B10" s="336" t="s">
        <v>274</v>
      </c>
      <c r="C10" s="337" t="s">
        <v>413</v>
      </c>
      <c r="F10" s="336" t="n">
        <v>1800</v>
      </c>
      <c r="H10" s="340" t="n">
        <f aca="false">IF((F10&lt;&gt;0),IF((D10&gt;0)," ",F10)," ")</f>
        <v>1800</v>
      </c>
      <c r="I10" s="341" t="n">
        <f aca="false">IF((F10&lt;&gt;0),IF((D10&gt;0)," ",(I$1-A10))," ")</f>
        <v>102</v>
      </c>
      <c r="BZ10" s="336" t="s">
        <v>267</v>
      </c>
    </row>
    <row r="11" customFormat="false" ht="12.75" hidden="false" customHeight="false" outlineLevel="0" collapsed="false">
      <c r="A11" s="357" t="n">
        <v>46193</v>
      </c>
      <c r="B11" s="336" t="s">
        <v>414</v>
      </c>
      <c r="C11" s="337" t="s">
        <v>415</v>
      </c>
      <c r="F11" s="336" t="n">
        <v>2400</v>
      </c>
      <c r="H11" s="340" t="n">
        <f aca="false">IF((F11&lt;&gt;0),IF((D11&gt;0)," ",F11)," ")</f>
        <v>2400</v>
      </c>
      <c r="I11" s="341" t="n">
        <f aca="false">IF((F11&lt;&gt;0),IF((D11&gt;0)," ",(I$1-A11))," ")</f>
        <v>102</v>
      </c>
      <c r="BZ11" s="336" t="s">
        <v>385</v>
      </c>
    </row>
    <row r="12" customFormat="false" ht="12.75" hidden="false" customHeight="false" outlineLevel="0" collapsed="false">
      <c r="A12" s="357" t="n">
        <v>46195</v>
      </c>
      <c r="B12" s="336" t="s">
        <v>416</v>
      </c>
      <c r="C12" s="337" t="s">
        <v>417</v>
      </c>
      <c r="F12" s="336" t="n">
        <v>1440</v>
      </c>
      <c r="H12" s="340" t="n">
        <f aca="false">IF((F12&lt;&gt;0),IF((D12&gt;0)," ",F12)," ")</f>
        <v>1440</v>
      </c>
      <c r="I12" s="341" t="n">
        <f aca="false">IF((F12&lt;&gt;0),IF((D12&gt;0)," ",(I$1-A12))," ")</f>
        <v>100</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403" t="n">
        <f aca="false">G4+PurchasesMay!A1</f>
        <v>222.75</v>
      </c>
      <c r="B1" s="372" t="s">
        <v>280</v>
      </c>
      <c r="C1" s="346" t="n">
        <f aca="false">PurchasesMay!C1+PurchasesJun!F1+SalesJun!$E$1</f>
        <v>405</v>
      </c>
      <c r="D1" s="371" t="s">
        <v>247</v>
      </c>
      <c r="E1" s="373" t="str">
        <f aca="false">IF((G1-SUM(J1:W1)&lt;&gt;0),(G1-SUM(J1:W1))," ")</f>
        <v> </v>
      </c>
      <c r="F1" s="346" t="n">
        <f aca="false">SUM(F5:F300)</f>
        <v>200</v>
      </c>
      <c r="G1" s="345" t="n">
        <f aca="false">SUM(G4:G300)</f>
        <v>14777</v>
      </c>
      <c r="H1" s="374" t="n">
        <f aca="false">SUM(H5:H300)</f>
        <v>14667</v>
      </c>
      <c r="I1" s="375" t="n">
        <f aca="true">TODAY()</f>
        <v>46295</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674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110</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402" t="n">
        <f aca="false">IF((C1&lt;Admin!$F$22),((C1-PurchasesMay!C1)*Admin!$G$21),(C1*Admin!$G$21-(C1-Admin!$F$21)*(Admin!$G$21-Admin!$G$22)-PurchasesMay!A1))</f>
        <v>110</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46174</v>
      </c>
      <c r="B5" s="365" t="s">
        <v>322</v>
      </c>
      <c r="E5" s="367" t="s">
        <v>323</v>
      </c>
      <c r="G5" s="368" t="n">
        <v>1200</v>
      </c>
      <c r="H5" s="340" t="n">
        <f aca="false">IF((G5&lt;&gt;0),IF((D5&gt;0)," ",G5)," ")</f>
        <v>1200</v>
      </c>
      <c r="I5" s="369" t="n">
        <f aca="false">IF((G5&lt;&gt;0),IF((D5&gt;0)," ",(I$1-A5))," ")</f>
        <v>121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46174</v>
      </c>
      <c r="B6" s="365" t="s">
        <v>325</v>
      </c>
      <c r="E6" s="367" t="s">
        <v>326</v>
      </c>
      <c r="G6" s="368" t="n">
        <v>30</v>
      </c>
      <c r="H6" s="340" t="n">
        <f aca="false">IF((G6&lt;&gt;0),IF((D6&gt;0)," ",G6)," ")</f>
        <v>30</v>
      </c>
      <c r="I6" s="369" t="n">
        <f aca="false">IF((G6&lt;&gt;0),IF((D6&gt;0)," ",(I$1-A6))," ")</f>
        <v>121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46174</v>
      </c>
      <c r="B7" s="365" t="s">
        <v>328</v>
      </c>
      <c r="E7" s="367" t="s">
        <v>326</v>
      </c>
      <c r="G7" s="368" t="n">
        <v>15</v>
      </c>
      <c r="H7" s="340" t="n">
        <f aca="false">IF((G7&lt;&gt;0),IF((D7&gt;0)," ",G7)," ")</f>
        <v>15</v>
      </c>
      <c r="I7" s="369" t="n">
        <f aca="false">IF((G7&lt;&gt;0),IF((D7&gt;0)," ",(I$1-A7))," ")</f>
        <v>121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46174</v>
      </c>
      <c r="B8" s="365" t="s">
        <v>329</v>
      </c>
      <c r="E8" s="367" t="s">
        <v>330</v>
      </c>
      <c r="G8" s="368" t="n">
        <v>45</v>
      </c>
      <c r="H8" s="340" t="n">
        <f aca="false">IF((G8&lt;&gt;0),IF((D8&gt;0)," ",G8)," ")</f>
        <v>45</v>
      </c>
      <c r="I8" s="369" t="n">
        <f aca="false">IF((G8&lt;&gt;0),IF((D8&gt;0)," ",(I$1-A8))," ")</f>
        <v>121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46174</v>
      </c>
      <c r="B9" s="365" t="s">
        <v>334</v>
      </c>
      <c r="E9" s="367" t="s">
        <v>330</v>
      </c>
      <c r="G9" s="368" t="n">
        <v>24</v>
      </c>
      <c r="H9" s="340" t="n">
        <f aca="false">IF((G9&lt;&gt;0),IF((D9&gt;0)," ",G9)," ")</f>
        <v>24</v>
      </c>
      <c r="I9" s="369" t="n">
        <f aca="false">IF((G9&lt;&gt;0),IF((D9&gt;0)," ",(I$1-A9))," ")</f>
        <v>121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46174</v>
      </c>
      <c r="B10" s="365" t="s">
        <v>335</v>
      </c>
      <c r="E10" s="367" t="s">
        <v>326</v>
      </c>
      <c r="G10" s="368" t="n">
        <v>18</v>
      </c>
      <c r="H10" s="340" t="n">
        <f aca="false">IF((G10&lt;&gt;0),IF((D10&gt;0)," ",G10)," ")</f>
        <v>18</v>
      </c>
      <c r="I10" s="369" t="n">
        <f aca="false">IF((G10&lt;&gt;0),IF((D10&gt;0)," ",(I$1-A10))," ")</f>
        <v>121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46176</v>
      </c>
      <c r="B11" s="365" t="s">
        <v>336</v>
      </c>
      <c r="E11" s="367" t="s">
        <v>330</v>
      </c>
      <c r="G11" s="368" t="n">
        <v>180</v>
      </c>
      <c r="H11" s="340" t="n">
        <f aca="false">IF((G11&lt;&gt;0),IF((D11&gt;0)," ",G11)," ")</f>
        <v>180</v>
      </c>
      <c r="I11" s="369" t="n">
        <f aca="false">IF((G11&lt;&gt;0),IF((D11&gt;0)," ",(I$1-A11))," ")</f>
        <v>119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46176</v>
      </c>
      <c r="B12" s="365" t="s">
        <v>337</v>
      </c>
      <c r="E12" s="367" t="s">
        <v>330</v>
      </c>
      <c r="G12" s="368" t="n">
        <v>22</v>
      </c>
      <c r="H12" s="340" t="n">
        <f aca="false">IF((G12&lt;&gt;0),IF((D12&gt;0)," ",G12)," ")</f>
        <v>22</v>
      </c>
      <c r="I12" s="369" t="n">
        <f aca="false">IF((G12&lt;&gt;0),IF((D12&gt;0)," ",(I$1-A12))," ")</f>
        <v>119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46178</v>
      </c>
      <c r="B13" s="365" t="s">
        <v>339</v>
      </c>
      <c r="E13" s="367" t="s">
        <v>330</v>
      </c>
      <c r="G13" s="368" t="n">
        <v>24</v>
      </c>
      <c r="H13" s="340" t="n">
        <f aca="false">IF((G13&lt;&gt;0),IF((D13&gt;0)," ",G13)," ")</f>
        <v>24</v>
      </c>
      <c r="I13" s="369" t="n">
        <f aca="false">IF((G13&lt;&gt;0),IF((D13&gt;0)," ",(I$1-A13))," ")</f>
        <v>117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46178</v>
      </c>
      <c r="B14" s="365" t="s">
        <v>340</v>
      </c>
      <c r="E14" s="367" t="s">
        <v>305</v>
      </c>
      <c r="G14" s="368" t="n">
        <v>180</v>
      </c>
      <c r="H14" s="340" t="n">
        <f aca="false">IF((G14&lt;&gt;0),IF((D14&gt;0)," ",G14)," ")</f>
        <v>180</v>
      </c>
      <c r="I14" s="369" t="n">
        <f aca="false">IF((G14&lt;&gt;0),IF((D14&gt;0)," ",(I$1-A14))," ")</f>
        <v>117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46178</v>
      </c>
      <c r="B15" s="365" t="s">
        <v>342</v>
      </c>
      <c r="E15" s="367" t="s">
        <v>330</v>
      </c>
      <c r="G15" s="368" t="n">
        <v>36</v>
      </c>
      <c r="H15" s="340" t="n">
        <f aca="false">IF((G15&lt;&gt;0),IF((D15&gt;0)," ",G15)," ")</f>
        <v>36</v>
      </c>
      <c r="I15" s="369" t="n">
        <f aca="false">IF((G15&lt;&gt;0),IF((D15&gt;0)," ",(I$1-A15))," ")</f>
        <v>117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46181</v>
      </c>
      <c r="B16" s="365" t="s">
        <v>343</v>
      </c>
      <c r="E16" s="367" t="s">
        <v>344</v>
      </c>
      <c r="G16" s="368" t="n">
        <v>48</v>
      </c>
      <c r="H16" s="340" t="n">
        <f aca="false">IF((G16&lt;&gt;0),IF((D16&gt;0)," ",G16)," ")</f>
        <v>48</v>
      </c>
      <c r="I16" s="369" t="n">
        <f aca="false">IF((G16&lt;&gt;0),IF((D16&gt;0)," ",(I$1-A16))," ")</f>
        <v>114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46183</v>
      </c>
      <c r="B17" s="365" t="s">
        <v>346</v>
      </c>
      <c r="E17" s="367" t="s">
        <v>330</v>
      </c>
      <c r="G17" s="368" t="n">
        <v>36</v>
      </c>
      <c r="H17" s="340" t="n">
        <f aca="false">IF((G17&lt;&gt;0),IF((D17&gt;0)," ",G17)," ")</f>
        <v>36</v>
      </c>
      <c r="I17" s="369" t="n">
        <f aca="false">IF((G17&lt;&gt;0),IF((D17&gt;0)," ",(I$1-A17))," ")</f>
        <v>112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46183</v>
      </c>
      <c r="B18" s="365" t="s">
        <v>418</v>
      </c>
      <c r="E18" s="367" t="s">
        <v>326</v>
      </c>
      <c r="G18" s="368" t="n">
        <v>96</v>
      </c>
      <c r="H18" s="340" t="n">
        <f aca="false">IF((G18&lt;&gt;0),IF((D18&gt;0)," ",G18)," ")</f>
        <v>96</v>
      </c>
      <c r="I18" s="369" t="n">
        <f aca="false">IF((G18&lt;&gt;0),IF((D18&gt;0)," ",(I$1-A18))," ")</f>
        <v>112</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327</v>
      </c>
    </row>
    <row r="19" customFormat="false" ht="12.75" hidden="false" customHeight="false" outlineLevel="0" collapsed="false">
      <c r="A19" s="357" t="n">
        <v>46185</v>
      </c>
      <c r="B19" s="365" t="s">
        <v>352</v>
      </c>
      <c r="E19" s="367" t="s">
        <v>305</v>
      </c>
      <c r="G19" s="368" t="n">
        <v>18</v>
      </c>
      <c r="H19" s="340" t="n">
        <f aca="false">IF((G19&lt;&gt;0),IF((D19&gt;0)," ",G19)," ")</f>
        <v>18</v>
      </c>
      <c r="I19" s="369" t="n">
        <f aca="false">IF((G19&lt;&gt;0),IF((D19&gt;0)," ",(I$1-A19))," ")</f>
        <v>110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46187</v>
      </c>
      <c r="B20" s="365" t="s">
        <v>353</v>
      </c>
      <c r="E20" s="367" t="s">
        <v>330</v>
      </c>
      <c r="G20" s="368" t="n">
        <v>30</v>
      </c>
      <c r="H20" s="340" t="n">
        <f aca="false">IF((G20&lt;&gt;0),IF((D20&gt;0)," ",G20)," ")</f>
        <v>30</v>
      </c>
      <c r="I20" s="369" t="n">
        <f aca="false">IF((G20&lt;&gt;0),IF((D20&gt;0)," ",(I$1-A20))," ")</f>
        <v>108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338</v>
      </c>
    </row>
    <row r="21" customFormat="false" ht="12.75" hidden="false" customHeight="false" outlineLevel="0" collapsed="false">
      <c r="A21" s="357" t="n">
        <v>46187</v>
      </c>
      <c r="B21" s="365" t="s">
        <v>354</v>
      </c>
      <c r="D21" s="365"/>
      <c r="E21" s="367" t="s">
        <v>344</v>
      </c>
      <c r="G21" s="368" t="n">
        <v>24</v>
      </c>
      <c r="H21" s="340" t="n">
        <f aca="false">IF((G21&lt;&gt;0),IF((D21&gt;0)," ",G21)," ")</f>
        <v>24</v>
      </c>
      <c r="I21" s="369" t="n">
        <f aca="false">IF((G21&lt;&gt;0),IF((D21&gt;0)," ",(I$1-A21))," ")</f>
        <v>108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46187</v>
      </c>
      <c r="B22" s="365" t="s">
        <v>355</v>
      </c>
      <c r="D22" s="395"/>
      <c r="E22" s="367" t="s">
        <v>344</v>
      </c>
      <c r="G22" s="368" t="n">
        <v>12</v>
      </c>
      <c r="H22" s="340" t="n">
        <f aca="false">IF((G22&lt;&gt;0),IF((D22&gt;0)," ",G22)," ")</f>
        <v>12</v>
      </c>
      <c r="I22" s="369" t="n">
        <f aca="false">IF((G22&lt;&gt;0),IF((D22&gt;0)," ",(I$1-A22))," ")</f>
        <v>108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46188</v>
      </c>
      <c r="B23" s="365" t="s">
        <v>356</v>
      </c>
      <c r="E23" s="367" t="s">
        <v>305</v>
      </c>
      <c r="G23" s="368" t="n">
        <v>150</v>
      </c>
      <c r="H23" s="340" t="n">
        <f aca="false">IF((G23&lt;&gt;0),IF((D23&gt;0)," ",G23)," ")</f>
        <v>150</v>
      </c>
      <c r="I23" s="369" t="n">
        <f aca="false">IF((G23&lt;&gt;0),IF((D23&gt;0)," ",(I$1-A23))," ")</f>
        <v>107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46188</v>
      </c>
      <c r="B24" s="365" t="s">
        <v>357</v>
      </c>
      <c r="E24" s="367" t="s">
        <v>326</v>
      </c>
      <c r="G24" s="368" t="n">
        <v>12</v>
      </c>
      <c r="H24" s="340" t="n">
        <f aca="false">IF((G24&lt;&gt;0),IF((D24&gt;0)," ",G24)," ")</f>
        <v>12</v>
      </c>
      <c r="I24" s="369" t="n">
        <f aca="false">IF((G24&lt;&gt;0),IF((D24&gt;0)," ",(I$1-A24))," ")</f>
        <v>107</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46188</v>
      </c>
      <c r="B25" s="365" t="s">
        <v>419</v>
      </c>
      <c r="C25" s="365" t="s">
        <v>420</v>
      </c>
      <c r="E25" s="367" t="s">
        <v>421</v>
      </c>
      <c r="G25" s="368" t="n">
        <v>5000</v>
      </c>
      <c r="H25" s="340" t="n">
        <f aca="false">IF((G25&lt;&gt;0),IF((D25&gt;0)," ",G25)," ")</f>
        <v>5000</v>
      </c>
      <c r="I25" s="369" t="n">
        <f aca="false">IF((G25&lt;&gt;0),IF((D25&gt;0)," ",(I$1-A25))," ")</f>
        <v>107</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422</v>
      </c>
    </row>
    <row r="26" customFormat="false" ht="12.75" hidden="false" customHeight="false" outlineLevel="0" collapsed="false">
      <c r="A26" s="357" t="n">
        <v>46191</v>
      </c>
      <c r="B26" s="365" t="s">
        <v>423</v>
      </c>
      <c r="E26" s="367" t="s">
        <v>344</v>
      </c>
      <c r="G26" s="368" t="n">
        <v>180</v>
      </c>
      <c r="H26" s="340" t="n">
        <f aca="false">IF((G26&lt;&gt;0),IF((D26&gt;0)," ",G26)," ")</f>
        <v>180</v>
      </c>
      <c r="I26" s="369" t="n">
        <f aca="false">IF((G26&lt;&gt;0),IF((D26&gt;0)," ",(I$1-A26))," ")</f>
        <v>104</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345</v>
      </c>
    </row>
    <row r="27" customFormat="false" ht="12.75" hidden="false" customHeight="false" outlineLevel="0" collapsed="false">
      <c r="A27" s="357" t="n">
        <v>46191</v>
      </c>
      <c r="B27" s="365" t="s">
        <v>424</v>
      </c>
      <c r="E27" s="367" t="s">
        <v>350</v>
      </c>
      <c r="G27" s="368" t="n">
        <v>360</v>
      </c>
      <c r="H27" s="340" t="n">
        <f aca="false">IF((G27&lt;&gt;0),IF((D27&gt;0)," ",G27)," ")</f>
        <v>360</v>
      </c>
      <c r="I27" s="369" t="n">
        <f aca="false">IF((G27&lt;&gt;0),IF((D27&gt;0)," ",(I$1-A27))," ")</f>
        <v>104</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351</v>
      </c>
    </row>
    <row r="28" customFormat="false" ht="12.75" hidden="false" customHeight="false" outlineLevel="0" collapsed="false">
      <c r="A28" s="357" t="n">
        <v>46191</v>
      </c>
      <c r="B28" s="365" t="s">
        <v>358</v>
      </c>
      <c r="E28" s="367" t="s">
        <v>305</v>
      </c>
      <c r="G28" s="368" t="n">
        <v>96</v>
      </c>
      <c r="H28" s="340" t="n">
        <f aca="false">IF((G28&lt;&gt;0),IF((D28&gt;0)," ",G28)," ")</f>
        <v>96</v>
      </c>
      <c r="I28" s="369" t="n">
        <f aca="false">IF((G28&lt;&gt;0),IF((D28&gt;0)," ",(I$1-A28))," ")</f>
        <v>104</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341</v>
      </c>
    </row>
    <row r="29" customFormat="false" ht="12.75" hidden="false" customHeight="false" outlineLevel="0" collapsed="false">
      <c r="A29" s="357" t="n">
        <v>46193</v>
      </c>
      <c r="B29" s="365" t="s">
        <v>359</v>
      </c>
      <c r="E29" s="367" t="s">
        <v>326</v>
      </c>
      <c r="G29" s="368" t="n">
        <v>60</v>
      </c>
      <c r="H29" s="340" t="n">
        <f aca="false">IF((G29&lt;&gt;0),IF((D29&gt;0)," ",G29)," ")</f>
        <v>60</v>
      </c>
      <c r="I29" s="369" t="n">
        <f aca="false">IF((G29&lt;&gt;0),IF((D29&gt;0)," ",(I$1-A29))," ")</f>
        <v>102</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327</v>
      </c>
    </row>
    <row r="30" customFormat="false" ht="12.75" hidden="false" customHeight="false" outlineLevel="0" collapsed="false">
      <c r="A30" s="357" t="n">
        <v>46194</v>
      </c>
      <c r="B30" s="365" t="s">
        <v>363</v>
      </c>
      <c r="E30" s="367" t="s">
        <v>344</v>
      </c>
      <c r="G30" s="368" t="n">
        <v>8</v>
      </c>
      <c r="H30" s="340" t="n">
        <f aca="false">IF((G30&lt;&gt;0),IF((D30&gt;0)," ",G30)," ")</f>
        <v>8</v>
      </c>
      <c r="I30" s="369" t="n">
        <f aca="false">IF((G30&lt;&gt;0),IF((D30&gt;0)," ",(I$1-A30))," ")</f>
        <v>101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345</v>
      </c>
    </row>
    <row r="31" customFormat="false" ht="12.75" hidden="false" customHeight="false" outlineLevel="0" collapsed="false">
      <c r="A31" s="357" t="n">
        <v>46195</v>
      </c>
      <c r="B31" s="365" t="s">
        <v>364</v>
      </c>
      <c r="E31" s="367" t="s">
        <v>330</v>
      </c>
      <c r="G31" s="368" t="n">
        <v>18</v>
      </c>
      <c r="H31" s="340" t="n">
        <f aca="false">IF((G31&lt;&gt;0),IF((D31&gt;0)," ",G31)," ")</f>
        <v>18</v>
      </c>
      <c r="I31" s="369" t="n">
        <f aca="false">IF((G31&lt;&gt;0),IF((D31&gt;0)," ",(I$1-A31))," ")</f>
        <v>100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338</v>
      </c>
    </row>
    <row r="32" customFormat="false" ht="12.75" hidden="false" customHeight="false" outlineLevel="0" collapsed="false">
      <c r="A32" s="357" t="n">
        <v>46198</v>
      </c>
      <c r="B32" s="365" t="s">
        <v>425</v>
      </c>
      <c r="E32" s="367" t="s">
        <v>323</v>
      </c>
      <c r="G32" s="368" t="n">
        <v>360</v>
      </c>
      <c r="H32" s="340" t="n">
        <f aca="false">IF((G32&lt;&gt;0),IF((D32&gt;0)," ",G32)," ")</f>
        <v>360</v>
      </c>
      <c r="I32" s="369" t="n">
        <f aca="false">IF((G32&lt;&gt;0),IF((D32&gt;0)," ",(I$1-A32))," ")</f>
        <v>97</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426</v>
      </c>
    </row>
    <row r="33" customFormat="false" ht="12.75" hidden="false" customHeight="false" outlineLevel="0" collapsed="false">
      <c r="A33" s="357" t="n">
        <v>46198</v>
      </c>
      <c r="B33" s="365" t="s">
        <v>365</v>
      </c>
      <c r="E33" s="367" t="s">
        <v>330</v>
      </c>
      <c r="G33" s="368" t="n">
        <v>15</v>
      </c>
      <c r="H33" s="340" t="n">
        <f aca="false">IF((G33&lt;&gt;0),IF((D33&gt;0)," ",G33)," ")</f>
        <v>15</v>
      </c>
      <c r="I33" s="369" t="n">
        <f aca="false">IF((G33&lt;&gt;0),IF((D33&gt;0)," ",(I$1-A33))," ")</f>
        <v>97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338</v>
      </c>
    </row>
    <row r="34" customFormat="false" ht="12.75" hidden="false" customHeight="false" outlineLevel="0" collapsed="false">
      <c r="A34" s="357" t="n">
        <v>46198</v>
      </c>
      <c r="B34" s="365" t="s">
        <v>366</v>
      </c>
      <c r="E34" s="367" t="s">
        <v>305</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46201</v>
      </c>
      <c r="B35" s="365" t="s">
        <v>356</v>
      </c>
      <c r="E35" s="367" t="s">
        <v>305</v>
      </c>
      <c r="G35" s="368" t="n">
        <v>120</v>
      </c>
      <c r="H35" s="340" t="n">
        <f aca="false">IF((G35&lt;&gt;0),IF((D35&gt;0)," ",G35)," ")</f>
        <v>120</v>
      </c>
      <c r="I35" s="369" t="n">
        <f aca="false">IF((G35&lt;&gt;0),IF((D35&gt;0)," ",(I$1-A35))," ")</f>
        <v>94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46203</v>
      </c>
      <c r="B36" s="365" t="s">
        <v>367</v>
      </c>
      <c r="E36" s="367" t="s">
        <v>368</v>
      </c>
      <c r="G36" s="368" t="n">
        <v>300</v>
      </c>
      <c r="H36" s="340" t="n">
        <f aca="false">IF((G36&lt;&gt;0),IF((D36&gt;0)," ",G36)," ")</f>
        <v>300</v>
      </c>
      <c r="I36" s="369" t="n">
        <f aca="false">IF((G36&lt;&gt;0),IF((D36&gt;0)," ",(I$1-A36))," ")</f>
        <v>92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46203</v>
      </c>
      <c r="B37" s="365" t="s">
        <v>427</v>
      </c>
      <c r="C37" s="365" t="s">
        <v>428</v>
      </c>
      <c r="E37" s="367" t="s">
        <v>429</v>
      </c>
      <c r="G37" s="368" t="n">
        <v>250</v>
      </c>
      <c r="H37" s="340" t="n">
        <f aca="false">IF((G37&lt;&gt;0),IF((D37&gt;0)," ",G37)," ")</f>
        <v>250</v>
      </c>
      <c r="I37" s="369" t="n">
        <f aca="false">IF((G37&lt;&gt;0),IF((D37&gt;0)," ",(I$1-A37))," ")</f>
        <v>92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430</v>
      </c>
    </row>
    <row r="38" customFormat="false" ht="12.75" hidden="false" customHeight="false" outlineLevel="0" collapsed="false">
      <c r="A38" s="357" t="n">
        <v>46203</v>
      </c>
      <c r="B38" s="365" t="s">
        <v>370</v>
      </c>
      <c r="C38" s="365" t="s">
        <v>431</v>
      </c>
      <c r="E38" s="367" t="s">
        <v>372</v>
      </c>
      <c r="G38" s="368" t="n">
        <v>3500</v>
      </c>
      <c r="H38" s="340" t="n">
        <f aca="false">IF((G38&lt;&gt;0),IF((D38&gt;0)," ",G38)," ")</f>
        <v>3500</v>
      </c>
      <c r="I38" s="369" t="n">
        <f aca="false">IF((G38&lt;&gt;0),IF((D38&gt;0)," ",(I$1-A38))," ")</f>
        <v>92</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46203</v>
      </c>
      <c r="B39" s="365" t="s">
        <v>374</v>
      </c>
      <c r="C39" s="365" t="s">
        <v>432</v>
      </c>
      <c r="E39" s="367" t="s">
        <v>372</v>
      </c>
      <c r="G39" s="368" t="n">
        <v>2200</v>
      </c>
      <c r="H39" s="340" t="n">
        <f aca="false">IF((G39&lt;&gt;0),IF((D39&gt;0)," ",G39)," ")</f>
        <v>2200</v>
      </c>
      <c r="I39" s="369" t="n">
        <f aca="false">IF((G39&lt;&gt;0),IF((D39&gt;0)," ",(I$1-A39))," ")</f>
        <v>92</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245</v>
      </c>
      <c r="B1" s="343" t="s">
        <v>246</v>
      </c>
      <c r="C1" s="344"/>
      <c r="D1" s="345" t="s">
        <v>247</v>
      </c>
      <c r="E1" s="346" t="n">
        <f aca="false">SUM(E4:E300)</f>
        <v>0</v>
      </c>
      <c r="F1" s="345" t="n">
        <f aca="false">SUM(F4:F300)</f>
        <v>33760</v>
      </c>
      <c r="G1" s="345" t="n">
        <f aca="false">SUM(G4:G300)</f>
        <v>0</v>
      </c>
      <c r="H1" s="347" t="n">
        <f aca="false">SUM(H4:H300)</f>
        <v>33760</v>
      </c>
      <c r="I1" s="348" t="n">
        <f aca="true">TODAY()</f>
        <v>46295</v>
      </c>
      <c r="J1" s="345" t="n">
        <f aca="false">SUM(J4:J300)</f>
        <v>0</v>
      </c>
      <c r="K1" s="349" t="n">
        <f aca="false">J1+SalesJun!K1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46204</v>
      </c>
      <c r="B4" s="336" t="s">
        <v>258</v>
      </c>
      <c r="C4" s="337" t="s">
        <v>433</v>
      </c>
      <c r="F4" s="336" t="n">
        <v>1200</v>
      </c>
      <c r="H4" s="340" t="n">
        <f aca="false">IF((F4&lt;&gt;0),IF((D4&gt;0)," ",F4)," ")</f>
        <v>1200</v>
      </c>
      <c r="I4" s="341" t="n">
        <f aca="false">IF((F4&lt;&gt;0),IF((D4&gt;0)," ",(I$1-A4))," ")</f>
        <v>91</v>
      </c>
      <c r="BZ4" s="336" t="s">
        <v>260</v>
      </c>
    </row>
    <row r="5" customFormat="false" ht="12.75" hidden="false" customHeight="false" outlineLevel="0" collapsed="false">
      <c r="A5" s="357" t="n">
        <v>46206</v>
      </c>
      <c r="B5" s="336" t="s">
        <v>261</v>
      </c>
      <c r="C5" s="337" t="s">
        <v>434</v>
      </c>
      <c r="F5" s="336" t="n">
        <v>360</v>
      </c>
      <c r="H5" s="340" t="n">
        <f aca="false">IF((F5&lt;&gt;0),IF((D5&gt;0)," ",F5)," ")</f>
        <v>360</v>
      </c>
      <c r="I5" s="341" t="n">
        <f aca="false">IF((F5&lt;&gt;0),IF((D5&gt;0)," ",(I$1-A5))," ")</f>
        <v>89</v>
      </c>
      <c r="BZ5" s="336" t="s">
        <v>260</v>
      </c>
    </row>
    <row r="6" customFormat="false" ht="12.75" hidden="false" customHeight="false" outlineLevel="0" collapsed="false">
      <c r="A6" s="357" t="n">
        <v>46208</v>
      </c>
      <c r="B6" s="336" t="s">
        <v>263</v>
      </c>
      <c r="C6" s="337" t="s">
        <v>435</v>
      </c>
      <c r="F6" s="336" t="n">
        <v>600</v>
      </c>
      <c r="H6" s="340" t="n">
        <f aca="false">IF((F6&lt;&gt;0),IF((D6&gt;0)," ",F6)," ")</f>
        <v>600</v>
      </c>
      <c r="I6" s="341" t="n">
        <f aca="false">IF((F6&lt;&gt;0),IF((D6&gt;0)," ",(I$1-A6))," ")</f>
        <v>87</v>
      </c>
      <c r="BZ6" s="336" t="s">
        <v>260</v>
      </c>
    </row>
    <row r="7" customFormat="false" ht="12.75" hidden="false" customHeight="false" outlineLevel="0" collapsed="false">
      <c r="A7" s="357" t="n">
        <v>46211</v>
      </c>
      <c r="B7" s="336" t="s">
        <v>265</v>
      </c>
      <c r="C7" s="337" t="s">
        <v>436</v>
      </c>
      <c r="F7" s="336" t="n">
        <v>480</v>
      </c>
      <c r="H7" s="340" t="n">
        <f aca="false">IF((F7&lt;&gt;0),IF((D7&gt;0)," ",F7)," ")</f>
        <v>480</v>
      </c>
      <c r="I7" s="341" t="n">
        <f aca="false">IF((F7&lt;&gt;0),IF((D7&gt;0)," ",(I$1-A7))," ")</f>
        <v>84</v>
      </c>
      <c r="BZ7" s="336" t="s">
        <v>267</v>
      </c>
    </row>
    <row r="8" customFormat="false" ht="12.75" hidden="false" customHeight="false" outlineLevel="0" collapsed="false">
      <c r="A8" s="357" t="n">
        <v>46213</v>
      </c>
      <c r="B8" s="336" t="s">
        <v>268</v>
      </c>
      <c r="C8" s="337" t="s">
        <v>437</v>
      </c>
      <c r="F8" s="336" t="n">
        <v>720</v>
      </c>
      <c r="H8" s="340" t="n">
        <f aca="false">IF((F8&lt;&gt;0),IF((D8&gt;0)," ",F8)," ")</f>
        <v>720</v>
      </c>
      <c r="I8" s="341" t="n">
        <f aca="false">IF((F8&lt;&gt;0),IF((D8&gt;0)," ",(I$1-A8))," ")</f>
        <v>82</v>
      </c>
      <c r="BZ8" s="336" t="s">
        <v>267</v>
      </c>
    </row>
    <row r="9" customFormat="false" ht="12.75" hidden="false" customHeight="false" outlineLevel="0" collapsed="false">
      <c r="A9" s="357" t="n">
        <v>46217</v>
      </c>
      <c r="B9" s="336" t="s">
        <v>438</v>
      </c>
      <c r="C9" s="337" t="s">
        <v>439</v>
      </c>
      <c r="F9" s="336" t="n">
        <v>2160</v>
      </c>
      <c r="H9" s="340" t="n">
        <f aca="false">IF((F9&lt;&gt;0),IF((D9&gt;0)," ",F9)," ")</f>
        <v>2160</v>
      </c>
      <c r="I9" s="341" t="n">
        <f aca="false">IF((F9&lt;&gt;0),IF((D9&gt;0)," ",(I$1-A9))," ")</f>
        <v>78</v>
      </c>
      <c r="BZ9" s="336" t="s">
        <v>267</v>
      </c>
    </row>
    <row r="10" customFormat="false" ht="12.75" hidden="false" customHeight="false" outlineLevel="0" collapsed="false">
      <c r="A10" s="357" t="n">
        <v>46218</v>
      </c>
      <c r="B10" s="336" t="s">
        <v>270</v>
      </c>
      <c r="C10" s="337" t="s">
        <v>440</v>
      </c>
      <c r="F10" s="336" t="n">
        <v>25000</v>
      </c>
      <c r="H10" s="340" t="n">
        <f aca="false">IF((F10&lt;&gt;0),IF((D10&gt;0)," ",F10)," ")</f>
        <v>25000</v>
      </c>
      <c r="I10" s="341" t="n">
        <f aca="false">IF((F10&lt;&gt;0),IF((D10&gt;0)," ",(I$1-A10))," ")</f>
        <v>77</v>
      </c>
      <c r="BZ10" s="336" t="s">
        <v>267</v>
      </c>
    </row>
    <row r="11" customFormat="false" ht="12.75" hidden="false" customHeight="false" outlineLevel="0" collapsed="false">
      <c r="A11" s="357" t="n">
        <v>46221</v>
      </c>
      <c r="B11" s="336" t="s">
        <v>272</v>
      </c>
      <c r="C11" s="337" t="s">
        <v>441</v>
      </c>
      <c r="F11" s="336" t="n">
        <v>2400</v>
      </c>
      <c r="H11" s="340" t="n">
        <f aca="false">IF((F11&lt;&gt;0),IF((D11&gt;0)," ",F11)," ")</f>
        <v>2400</v>
      </c>
      <c r="I11" s="341" t="n">
        <f aca="false">IF((F11&lt;&gt;0),IF((D11&gt;0)," ",(I$1-A11))," ")</f>
        <v>74</v>
      </c>
      <c r="BZ11" s="336" t="s">
        <v>267</v>
      </c>
    </row>
    <row r="12" customFormat="false" ht="12.75" hidden="false" customHeight="false" outlineLevel="0" collapsed="false">
      <c r="A12" s="357" t="n">
        <v>46231</v>
      </c>
      <c r="B12" s="336" t="s">
        <v>276</v>
      </c>
      <c r="C12" s="337" t="s">
        <v>442</v>
      </c>
      <c r="F12" s="336" t="n">
        <v>840</v>
      </c>
      <c r="H12" s="340" t="n">
        <f aca="false">IF((F12&lt;&gt;0),IF((D12&gt;0)," ",F12)," ")</f>
        <v>840</v>
      </c>
      <c r="I12" s="341" t="n">
        <f aca="false">IF((F12&lt;&gt;0),IF((D12&gt;0)," ",(I$1-A12))," ")</f>
        <v>64</v>
      </c>
      <c r="BZ12" s="336" t="s">
        <v>278</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G4+PurchasesJun!A1</f>
        <v>247.5</v>
      </c>
      <c r="B1" s="372" t="s">
        <v>280</v>
      </c>
      <c r="C1" s="346" t="n">
        <f aca="false">PurchasesJun!C1+PurchasesJul!F1+SalesJul!$E$1</f>
        <v>450</v>
      </c>
      <c r="D1" s="371" t="s">
        <v>247</v>
      </c>
      <c r="E1" s="373" t="str">
        <f aca="false">IF((G1-SUM(J1:W1)&lt;&gt;0),(G1-SUM(J1:W1))," ")</f>
        <v> </v>
      </c>
      <c r="F1" s="346" t="n">
        <f aca="false">SUM(F5:F300)</f>
        <v>45</v>
      </c>
      <c r="G1" s="345" t="n">
        <f aca="false">SUM(G4:G300)</f>
        <v>14763.75</v>
      </c>
      <c r="H1" s="374" t="n">
        <f aca="false">SUM(H5:H300)</f>
        <v>14739</v>
      </c>
      <c r="I1" s="375" t="n">
        <f aca="true">TODAY()</f>
        <v>46295</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588.75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24.75</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402" t="n">
        <f aca="false">IF((C1&lt;Admin!$F$22),((C1-PurchasesJun!C1)*Admin!$G$21),(C1*Admin!$G$21-(C1-Admin!$F$21)*(Admin!$G$21-Admin!$G$22)-PurchasesJun!A1))</f>
        <v>24.75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true" outlineLevel="0" collapsed="false">
      <c r="A5" s="357" t="n">
        <v>46204</v>
      </c>
      <c r="B5" s="365" t="s">
        <v>322</v>
      </c>
      <c r="E5" s="367" t="s">
        <v>323</v>
      </c>
      <c r="G5" s="368" t="n">
        <v>1200</v>
      </c>
      <c r="H5" s="340" t="n">
        <f aca="false">IF((G5&lt;&gt;0),IF((D5&gt;0)," ",G5)," ")</f>
        <v>1200</v>
      </c>
      <c r="I5" s="369" t="n">
        <f aca="false">IF((G5&lt;&gt;0),IF((D5&gt;0)," ",(I$1-A5))," ")</f>
        <v>91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46204</v>
      </c>
      <c r="B6" s="365" t="s">
        <v>325</v>
      </c>
      <c r="E6" s="367" t="s">
        <v>326</v>
      </c>
      <c r="G6" s="368" t="n">
        <v>30</v>
      </c>
      <c r="H6" s="340" t="n">
        <f aca="false">IF((G6&lt;&gt;0),IF((D6&gt;0)," ",G6)," ")</f>
        <v>30</v>
      </c>
      <c r="I6" s="369" t="n">
        <f aca="false">IF((G6&lt;&gt;0),IF((D6&gt;0)," ",(I$1-A6))," ")</f>
        <v>91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46204</v>
      </c>
      <c r="B7" s="365" t="s">
        <v>328</v>
      </c>
      <c r="E7" s="367" t="s">
        <v>326</v>
      </c>
      <c r="G7" s="368" t="n">
        <v>15</v>
      </c>
      <c r="H7" s="340" t="n">
        <f aca="false">IF((G7&lt;&gt;0),IF((D7&gt;0)," ",G7)," ")</f>
        <v>15</v>
      </c>
      <c r="I7" s="369" t="n">
        <f aca="false">IF((G7&lt;&gt;0),IF((D7&gt;0)," ",(I$1-A7))," ")</f>
        <v>91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46204</v>
      </c>
      <c r="B8" s="365" t="s">
        <v>329</v>
      </c>
      <c r="E8" s="367" t="s">
        <v>330</v>
      </c>
      <c r="G8" s="368" t="n">
        <v>45</v>
      </c>
      <c r="H8" s="340" t="n">
        <f aca="false">IF((G8&lt;&gt;0),IF((D8&gt;0)," ",G8)," ")</f>
        <v>45</v>
      </c>
      <c r="I8" s="369" t="n">
        <f aca="false">IF((G8&lt;&gt;0),IF((D8&gt;0)," ",(I$1-A8))," ")</f>
        <v>91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46204</v>
      </c>
      <c r="B9" s="365" t="s">
        <v>443</v>
      </c>
      <c r="E9" s="367" t="s">
        <v>330</v>
      </c>
      <c r="G9" s="368" t="n">
        <v>3000</v>
      </c>
      <c r="H9" s="340" t="n">
        <f aca="false">IF((G9&lt;&gt;0),IF((D9&gt;0)," ",G9)," ")</f>
        <v>3000</v>
      </c>
      <c r="I9" s="369" t="n">
        <f aca="false">IF((G9&lt;&gt;0),IF((D9&gt;0)," ",(I$1-A9))," ")</f>
        <v>91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444</v>
      </c>
    </row>
    <row r="10" customFormat="false" ht="12.75" hidden="false" customHeight="false" outlineLevel="0" collapsed="false">
      <c r="A10" s="357" t="n">
        <v>46204</v>
      </c>
      <c r="B10" s="365" t="s">
        <v>334</v>
      </c>
      <c r="E10" s="367" t="s">
        <v>330</v>
      </c>
      <c r="G10" s="368" t="n">
        <v>24</v>
      </c>
      <c r="H10" s="340" t="n">
        <f aca="false">IF((G10&lt;&gt;0),IF((D10&gt;0)," ",G10)," ")</f>
        <v>24</v>
      </c>
      <c r="I10" s="369" t="n">
        <f aca="false">IF((G10&lt;&gt;0),IF((D10&gt;0)," ",(I$1-A10))," ")</f>
        <v>91</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331</v>
      </c>
    </row>
    <row r="11" customFormat="false" ht="12.75" hidden="false" customHeight="false" outlineLevel="0" collapsed="false">
      <c r="A11" s="357" t="n">
        <v>46204</v>
      </c>
      <c r="B11" s="365" t="s">
        <v>335</v>
      </c>
      <c r="E11" s="367" t="s">
        <v>326</v>
      </c>
      <c r="G11" s="368" t="n">
        <v>18</v>
      </c>
      <c r="H11" s="340" t="n">
        <f aca="false">IF((G11&lt;&gt;0),IF((D11&gt;0)," ",G11)," ")</f>
        <v>18</v>
      </c>
      <c r="I11" s="369" t="n">
        <f aca="false">IF((G11&lt;&gt;0),IF((D11&gt;0)," ",(I$1-A11))," ")</f>
        <v>91</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327</v>
      </c>
    </row>
    <row r="12" customFormat="false" ht="12.75" hidden="false" customHeight="false" outlineLevel="0" collapsed="false">
      <c r="A12" s="357" t="n">
        <v>46206</v>
      </c>
      <c r="B12" s="365" t="s">
        <v>336</v>
      </c>
      <c r="E12" s="367" t="s">
        <v>330</v>
      </c>
      <c r="G12" s="368" t="n">
        <v>180</v>
      </c>
      <c r="H12" s="340" t="n">
        <f aca="false">IF((G12&lt;&gt;0),IF((D12&gt;0)," ",G12)," ")</f>
        <v>180</v>
      </c>
      <c r="I12" s="369" t="n">
        <f aca="false">IF((G12&lt;&gt;0),IF((D12&gt;0)," ",(I$1-A12))," ")</f>
        <v>89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331</v>
      </c>
    </row>
    <row r="13" customFormat="false" ht="12.75" hidden="false" customHeight="false" outlineLevel="0" collapsed="false">
      <c r="A13" s="357" t="n">
        <v>46206</v>
      </c>
      <c r="B13" s="365" t="s">
        <v>337</v>
      </c>
      <c r="E13" s="367" t="s">
        <v>330</v>
      </c>
      <c r="G13" s="368" t="n">
        <v>22</v>
      </c>
      <c r="H13" s="340" t="n">
        <f aca="false">IF((G13&lt;&gt;0),IF((D13&gt;0)," ",G13)," ")</f>
        <v>22</v>
      </c>
      <c r="I13" s="369" t="n">
        <f aca="false">IF((G13&lt;&gt;0),IF((D13&gt;0)," ",(I$1-A13))," ")</f>
        <v>89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338</v>
      </c>
    </row>
    <row r="14" customFormat="false" ht="12.75" hidden="false" customHeight="false" outlineLevel="0" collapsed="false">
      <c r="A14" s="357" t="n">
        <v>46208</v>
      </c>
      <c r="B14" s="365" t="s">
        <v>339</v>
      </c>
      <c r="E14" s="367" t="s">
        <v>330</v>
      </c>
      <c r="G14" s="368" t="n">
        <v>24</v>
      </c>
      <c r="H14" s="340" t="n">
        <f aca="false">IF((G14&lt;&gt;0),IF((D14&gt;0)," ",G14)," ")</f>
        <v>24</v>
      </c>
      <c r="I14" s="369" t="n">
        <f aca="false">IF((G14&lt;&gt;0),IF((D14&gt;0)," ",(I$1-A14))," ")</f>
        <v>87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338</v>
      </c>
    </row>
    <row r="15" customFormat="false" ht="12.75" hidden="false" customHeight="false" outlineLevel="0" collapsed="false">
      <c r="A15" s="357" t="n">
        <v>46208</v>
      </c>
      <c r="B15" s="365" t="s">
        <v>445</v>
      </c>
      <c r="E15" s="367" t="s">
        <v>394</v>
      </c>
      <c r="G15" s="368" t="n">
        <v>480</v>
      </c>
      <c r="H15" s="340" t="n">
        <f aca="false">IF((G15&lt;&gt;0),IF((D15&gt;0)," ",G15)," ")</f>
        <v>480</v>
      </c>
      <c r="I15" s="369" t="n">
        <f aca="false">IF((G15&lt;&gt;0),IF((D15&gt;0)," ",(I$1-A15))," ")</f>
        <v>87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395</v>
      </c>
    </row>
    <row r="16" customFormat="false" ht="12.75" hidden="false" customHeight="false" outlineLevel="0" collapsed="false">
      <c r="A16" s="357" t="n">
        <v>46208</v>
      </c>
      <c r="B16" s="365" t="s">
        <v>340</v>
      </c>
      <c r="E16" s="367" t="s">
        <v>305</v>
      </c>
      <c r="G16" s="368" t="n">
        <v>180</v>
      </c>
      <c r="H16" s="340" t="n">
        <f aca="false">IF((G16&lt;&gt;0),IF((D16&gt;0)," ",G16)," ")</f>
        <v>180</v>
      </c>
      <c r="I16" s="369" t="n">
        <f aca="false">IF((G16&lt;&gt;0),IF((D16&gt;0)," ",(I$1-A16))," ")</f>
        <v>87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341</v>
      </c>
    </row>
    <row r="17" customFormat="false" ht="12.75" hidden="false" customHeight="false" outlineLevel="0" collapsed="false">
      <c r="A17" s="357" t="n">
        <v>46211</v>
      </c>
      <c r="B17" s="365" t="s">
        <v>343</v>
      </c>
      <c r="E17" s="367" t="s">
        <v>344</v>
      </c>
      <c r="G17" s="368" t="n">
        <v>48</v>
      </c>
      <c r="H17" s="340" t="n">
        <f aca="false">IF((G17&lt;&gt;0),IF((D17&gt;0)," ",G17)," ")</f>
        <v>48</v>
      </c>
      <c r="I17" s="369" t="n">
        <f aca="false">IF((G17&lt;&gt;0),IF((D17&gt;0)," ",(I$1-A17))," ")</f>
        <v>84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46213</v>
      </c>
      <c r="B18" s="365" t="s">
        <v>346</v>
      </c>
      <c r="E18" s="367" t="s">
        <v>330</v>
      </c>
      <c r="G18" s="368" t="n">
        <v>36</v>
      </c>
      <c r="H18" s="340" t="n">
        <f aca="false">IF((G18&lt;&gt;0),IF((D18&gt;0)," ",G18)," ")</f>
        <v>36</v>
      </c>
      <c r="I18" s="369" t="n">
        <f aca="false">IF((G18&lt;&gt;0),IF((D18&gt;0)," ",(I$1-A18))," ")</f>
        <v>82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46213</v>
      </c>
      <c r="B19" s="365" t="s">
        <v>347</v>
      </c>
      <c r="E19" s="367" t="s">
        <v>330</v>
      </c>
      <c r="G19" s="368" t="n">
        <v>180</v>
      </c>
      <c r="H19" s="340" t="n">
        <f aca="false">IF((G19&lt;&gt;0),IF((D19&gt;0)," ",G19)," ")</f>
        <v>180</v>
      </c>
      <c r="I19" s="369" t="n">
        <f aca="false">IF((G19&lt;&gt;0),IF((D19&gt;0)," ",(I$1-A19))," ")</f>
        <v>82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46213</v>
      </c>
      <c r="B20" s="365" t="s">
        <v>349</v>
      </c>
      <c r="E20" s="367" t="s">
        <v>350</v>
      </c>
      <c r="G20" s="368" t="n">
        <v>720</v>
      </c>
      <c r="H20" s="340" t="n">
        <f aca="false">IF((G20&lt;&gt;0),IF((D20&gt;0)," ",G20)," ")</f>
        <v>720</v>
      </c>
      <c r="I20" s="369" t="n">
        <f aca="false">IF((G20&lt;&gt;0),IF((D20&gt;0)," ",(I$1-A20))," ")</f>
        <v>82</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46215</v>
      </c>
      <c r="B21" s="365" t="s">
        <v>352</v>
      </c>
      <c r="D21" s="365"/>
      <c r="E21" s="367" t="s">
        <v>305</v>
      </c>
      <c r="G21" s="368" t="n">
        <v>18</v>
      </c>
      <c r="H21" s="340" t="n">
        <f aca="false">IF((G21&lt;&gt;0),IF((D21&gt;0)," ",G21)," ")</f>
        <v>18</v>
      </c>
      <c r="I21" s="369" t="n">
        <f aca="false">IF((G21&lt;&gt;0),IF((D21&gt;0)," ",(I$1-A21))," ")</f>
        <v>80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46215</v>
      </c>
      <c r="B22" s="365" t="s">
        <v>446</v>
      </c>
      <c r="D22" s="395"/>
      <c r="E22" s="367" t="s">
        <v>330</v>
      </c>
      <c r="G22" s="368" t="n">
        <v>480</v>
      </c>
      <c r="H22" s="340" t="n">
        <f aca="false">IF((G22&lt;&gt;0),IF((D22&gt;0)," ",G22)," ")</f>
        <v>480</v>
      </c>
      <c r="I22" s="369" t="n">
        <f aca="false">IF((G22&lt;&gt;0),IF((D22&gt;0)," ",(I$1-A22))," ")</f>
        <v>80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392</v>
      </c>
    </row>
    <row r="23" customFormat="false" ht="12.75" hidden="false" customHeight="false" outlineLevel="0" collapsed="false">
      <c r="A23" s="357" t="n">
        <v>46217</v>
      </c>
      <c r="B23" s="365" t="s">
        <v>354</v>
      </c>
      <c r="E23" s="367" t="s">
        <v>344</v>
      </c>
      <c r="G23" s="368" t="n">
        <v>24</v>
      </c>
      <c r="H23" s="340" t="n">
        <f aca="false">IF((G23&lt;&gt;0),IF((D23&gt;0)," ",G23)," ")</f>
        <v>24</v>
      </c>
      <c r="I23" s="369" t="n">
        <f aca="false">IF((G23&lt;&gt;0),IF((D23&gt;0)," ",(I$1-A23))," ")</f>
        <v>78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46217</v>
      </c>
      <c r="B24" s="365" t="s">
        <v>355</v>
      </c>
      <c r="E24" s="367" t="s">
        <v>344</v>
      </c>
      <c r="G24" s="368" t="n">
        <v>12</v>
      </c>
      <c r="H24" s="340" t="n">
        <f aca="false">IF((G24&lt;&gt;0),IF((D24&gt;0)," ",G24)," ")</f>
        <v>12</v>
      </c>
      <c r="I24" s="369" t="n">
        <f aca="false">IF((G24&lt;&gt;0),IF((D24&gt;0)," ",(I$1-A24))," ")</f>
        <v>78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345</v>
      </c>
    </row>
    <row r="25" customFormat="false" ht="12.75" hidden="false" customHeight="false" outlineLevel="0" collapsed="false">
      <c r="A25" s="357" t="n">
        <v>46218</v>
      </c>
      <c r="B25" s="365" t="s">
        <v>356</v>
      </c>
      <c r="E25" s="367" t="s">
        <v>305</v>
      </c>
      <c r="G25" s="368" t="n">
        <v>150</v>
      </c>
      <c r="H25" s="340" t="n">
        <f aca="false">IF((G25&lt;&gt;0),IF((D25&gt;0)," ",G25)," ")</f>
        <v>150</v>
      </c>
      <c r="I25" s="369" t="n">
        <f aca="false">IF((G25&lt;&gt;0),IF((D25&gt;0)," ",(I$1-A25))," ")</f>
        <v>77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341</v>
      </c>
    </row>
    <row r="26" customFormat="false" ht="12.75" hidden="false" customHeight="false" outlineLevel="0" collapsed="false">
      <c r="A26" s="357" t="n">
        <v>46218</v>
      </c>
      <c r="B26" s="365" t="s">
        <v>357</v>
      </c>
      <c r="E26" s="367" t="s">
        <v>326</v>
      </c>
      <c r="G26" s="368" t="n">
        <v>12</v>
      </c>
      <c r="H26" s="340" t="n">
        <f aca="false">IF((G26&lt;&gt;0),IF((D26&gt;0)," ",G26)," ")</f>
        <v>12</v>
      </c>
      <c r="I26" s="369" t="n">
        <f aca="false">IF((G26&lt;&gt;0),IF((D26&gt;0)," ",(I$1-A26))," ")</f>
        <v>77</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46218</v>
      </c>
      <c r="B27" s="365" t="s">
        <v>447</v>
      </c>
      <c r="C27" s="365" t="s">
        <v>227</v>
      </c>
      <c r="E27" s="367" t="s">
        <v>398</v>
      </c>
      <c r="G27" s="368" t="n">
        <v>1200</v>
      </c>
      <c r="H27" s="340" t="n">
        <f aca="false">IF((G27&lt;&gt;0),IF((D27&gt;0)," ",G27)," ")</f>
        <v>1200</v>
      </c>
      <c r="I27" s="369" t="n">
        <f aca="false">IF((G27&lt;&gt;0),IF((D27&gt;0)," ",(I$1-A27))," ")</f>
        <v>77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399</v>
      </c>
    </row>
    <row r="28" customFormat="false" ht="12.75" hidden="false" customHeight="false" outlineLevel="0" collapsed="false">
      <c r="A28" s="357" t="n">
        <v>46219</v>
      </c>
      <c r="B28" s="365" t="s">
        <v>400</v>
      </c>
      <c r="E28" s="367" t="s">
        <v>326</v>
      </c>
      <c r="G28" s="368" t="n">
        <v>24</v>
      </c>
      <c r="H28" s="340" t="n">
        <f aca="false">IF((G28&lt;&gt;0),IF((D28&gt;0)," ",G28)," ")</f>
        <v>24</v>
      </c>
      <c r="I28" s="369" t="n">
        <f aca="false">IF((G28&lt;&gt;0),IF((D28&gt;0)," ",(I$1-A28))," ")</f>
        <v>76</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46221</v>
      </c>
      <c r="B29" s="365" t="s">
        <v>358</v>
      </c>
      <c r="E29" s="367" t="s">
        <v>305</v>
      </c>
      <c r="G29" s="368" t="n">
        <v>96</v>
      </c>
      <c r="H29" s="340" t="n">
        <f aca="false">IF((G29&lt;&gt;0),IF((D29&gt;0)," ",G29)," ")</f>
        <v>96</v>
      </c>
      <c r="I29" s="369" t="n">
        <f aca="false">IF((G29&lt;&gt;0),IF((D29&gt;0)," ",(I$1-A29))," ")</f>
        <v>74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341</v>
      </c>
    </row>
    <row r="30" customFormat="false" ht="12.75" hidden="false" customHeight="false" outlineLevel="0" collapsed="false">
      <c r="A30" s="357" t="n">
        <v>46223</v>
      </c>
      <c r="B30" s="365" t="s">
        <v>359</v>
      </c>
      <c r="E30" s="367" t="s">
        <v>326</v>
      </c>
      <c r="G30" s="368" t="n">
        <v>60</v>
      </c>
      <c r="H30" s="340" t="n">
        <f aca="false">IF((G30&lt;&gt;0),IF((D30&gt;0)," ",G30)," ")</f>
        <v>60</v>
      </c>
      <c r="I30" s="369" t="n">
        <f aca="false">IF((G30&lt;&gt;0),IF((D30&gt;0)," ",(I$1-A30))," ")</f>
        <v>72</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327</v>
      </c>
    </row>
    <row r="31" customFormat="false" ht="12.75" hidden="false" customHeight="false" outlineLevel="0" collapsed="false">
      <c r="A31" s="357" t="n">
        <v>46223</v>
      </c>
      <c r="B31" s="365" t="s">
        <v>448</v>
      </c>
      <c r="E31" s="367" t="s">
        <v>330</v>
      </c>
      <c r="G31" s="368" t="n">
        <v>120</v>
      </c>
      <c r="H31" s="340" t="n">
        <f aca="false">IF((G31&lt;&gt;0),IF((D31&gt;0)," ",G31)," ")</f>
        <v>120</v>
      </c>
      <c r="I31" s="369" t="n">
        <f aca="false">IF((G31&lt;&gt;0),IF((D31&gt;0)," ",(I$1-A31))," ")</f>
        <v>72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402</v>
      </c>
    </row>
    <row r="32" customFormat="false" ht="12.75" hidden="false" customHeight="false" outlineLevel="0" collapsed="false">
      <c r="A32" s="357" t="n">
        <v>46223</v>
      </c>
      <c r="B32" s="365" t="s">
        <v>360</v>
      </c>
      <c r="E32" s="367" t="s">
        <v>361</v>
      </c>
      <c r="G32" s="368" t="n">
        <v>180</v>
      </c>
      <c r="H32" s="340" t="n">
        <f aca="false">IF((G32&lt;&gt;0),IF((D32&gt;0)," ",G32)," ")</f>
        <v>180</v>
      </c>
      <c r="I32" s="369" t="n">
        <f aca="false">IF((G32&lt;&gt;0),IF((D32&gt;0)," ",(I$1-A32))," ")</f>
        <v>72</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362</v>
      </c>
    </row>
    <row r="33" customFormat="false" ht="12.75" hidden="false" customHeight="false" outlineLevel="0" collapsed="false">
      <c r="A33" s="357" t="n">
        <v>46224</v>
      </c>
      <c r="B33" s="365" t="s">
        <v>363</v>
      </c>
      <c r="E33" s="367" t="s">
        <v>344</v>
      </c>
      <c r="G33" s="368" t="n">
        <v>8</v>
      </c>
      <c r="H33" s="340" t="n">
        <f aca="false">IF((G33&lt;&gt;0),IF((D33&gt;0)," ",G33)," ")</f>
        <v>8</v>
      </c>
      <c r="I33" s="369" t="n">
        <f aca="false">IF((G33&lt;&gt;0),IF((D33&gt;0)," ",(I$1-A33))," ")</f>
        <v>71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345</v>
      </c>
    </row>
    <row r="34" customFormat="false" ht="12.75" hidden="false" customHeight="false" outlineLevel="0" collapsed="false">
      <c r="A34" s="357" t="n">
        <v>46225</v>
      </c>
      <c r="B34" s="365" t="s">
        <v>364</v>
      </c>
      <c r="E34" s="367" t="s">
        <v>330</v>
      </c>
      <c r="G34" s="368" t="n">
        <v>18</v>
      </c>
      <c r="H34" s="340" t="n">
        <f aca="false">IF((G34&lt;&gt;0),IF((D34&gt;0)," ",G34)," ")</f>
        <v>18</v>
      </c>
      <c r="I34" s="369" t="n">
        <f aca="false">IF((G34&lt;&gt;0),IF((D34&gt;0)," ",(I$1-A34))," ")</f>
        <v>70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338</v>
      </c>
    </row>
    <row r="35" customFormat="false" ht="12.75" hidden="false" customHeight="false" outlineLevel="0" collapsed="false">
      <c r="A35" s="357" t="n">
        <v>46228</v>
      </c>
      <c r="B35" s="365" t="s">
        <v>365</v>
      </c>
      <c r="E35" s="367" t="s">
        <v>330</v>
      </c>
      <c r="G35" s="368" t="n">
        <v>15</v>
      </c>
      <c r="H35" s="340" t="n">
        <f aca="false">IF((G35&lt;&gt;0),IF((D35&gt;0)," ",G35)," ")</f>
        <v>15</v>
      </c>
      <c r="I35" s="369" t="n">
        <f aca="false">IF((G35&lt;&gt;0),IF((D35&gt;0)," ",(I$1-A35))," ")</f>
        <v>67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338</v>
      </c>
    </row>
    <row r="36" customFormat="false" ht="12.75" hidden="false" customHeight="false" outlineLevel="0" collapsed="false">
      <c r="A36" s="357" t="n">
        <v>46228</v>
      </c>
      <c r="B36" s="365" t="s">
        <v>366</v>
      </c>
      <c r="E36" s="367" t="s">
        <v>305</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46231</v>
      </c>
      <c r="B37" s="365" t="s">
        <v>356</v>
      </c>
      <c r="E37" s="367" t="s">
        <v>305</v>
      </c>
      <c r="G37" s="368" t="n">
        <v>120</v>
      </c>
      <c r="H37" s="340" t="n">
        <f aca="false">IF((G37&lt;&gt;0),IF((D37&gt;0)," ",G37)," ")</f>
        <v>120</v>
      </c>
      <c r="I37" s="369" t="n">
        <f aca="false">IF((G37&lt;&gt;0),IF((D37&gt;0)," ",(I$1-A37))," ")</f>
        <v>64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341</v>
      </c>
    </row>
    <row r="38" customFormat="false" ht="12.75" hidden="false" customHeight="false" outlineLevel="0" collapsed="false">
      <c r="A38" s="357" t="n">
        <v>46234</v>
      </c>
      <c r="B38" s="365" t="s">
        <v>367</v>
      </c>
      <c r="E38" s="367" t="s">
        <v>368</v>
      </c>
      <c r="G38" s="368" t="n">
        <v>300</v>
      </c>
      <c r="H38" s="340" t="n">
        <f aca="false">IF((G38&lt;&gt;0),IF((D38&gt;0)," ",G38)," ")</f>
        <v>300</v>
      </c>
      <c r="I38" s="369" t="n">
        <f aca="false">IF((G38&lt;&gt;0),IF((D38&gt;0)," ",(I$1-A38))," ")</f>
        <v>61</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369</v>
      </c>
    </row>
    <row r="39" customFormat="false" ht="12.75" hidden="false" customHeight="false" outlineLevel="0" collapsed="false">
      <c r="A39" s="357" t="n">
        <v>46234</v>
      </c>
      <c r="B39" s="365" t="s">
        <v>370</v>
      </c>
      <c r="C39" s="365" t="s">
        <v>449</v>
      </c>
      <c r="E39" s="367" t="s">
        <v>372</v>
      </c>
      <c r="G39" s="368" t="n">
        <v>3500</v>
      </c>
      <c r="H39" s="340" t="n">
        <f aca="false">IF((G39&lt;&gt;0),IF((D39&gt;0)," ",G39)," ")</f>
        <v>3500</v>
      </c>
      <c r="I39" s="369" t="n">
        <f aca="false">IF((G39&lt;&gt;0),IF((D39&gt;0)," ",(I$1-A39))," ")</f>
        <v>61</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t="n">
        <v>46234</v>
      </c>
      <c r="B40" s="365" t="s">
        <v>374</v>
      </c>
      <c r="C40" s="365" t="s">
        <v>450</v>
      </c>
      <c r="E40" s="367" t="s">
        <v>372</v>
      </c>
      <c r="G40" s="368" t="n">
        <v>2200</v>
      </c>
      <c r="H40" s="340" t="n">
        <f aca="false">IF((G40&lt;&gt;0),IF((D40&gt;0)," ",G40)," ")</f>
        <v>2200</v>
      </c>
      <c r="I40" s="369" t="n">
        <f aca="false">IF((G40&lt;&gt;0),IF((D40&gt;0)," ",(I$1-A40))," ")</f>
        <v>61</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373</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245</v>
      </c>
      <c r="B1" s="343" t="s">
        <v>246</v>
      </c>
      <c r="C1" s="344"/>
      <c r="D1" s="345" t="s">
        <v>247</v>
      </c>
      <c r="E1" s="346" t="n">
        <f aca="false">SUM(E4:E300)</f>
        <v>0</v>
      </c>
      <c r="F1" s="345" t="n">
        <f aca="false">SUM(F4:F300)</f>
        <v>36020</v>
      </c>
      <c r="G1" s="345" t="n">
        <f aca="false">SUM(G4:G300)</f>
        <v>0</v>
      </c>
      <c r="H1" s="347" t="n">
        <f aca="false">SUM(H4:H300)</f>
        <v>36020</v>
      </c>
      <c r="I1" s="348" t="n">
        <f aca="true">TODAY()</f>
        <v>46295</v>
      </c>
      <c r="J1" s="345" t="n">
        <f aca="false">SUM(J4:J300)</f>
        <v>0</v>
      </c>
      <c r="K1" s="349" t="n">
        <f aca="false">J1+SalesJul!K1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46235</v>
      </c>
      <c r="B4" s="336" t="s">
        <v>451</v>
      </c>
      <c r="C4" s="337" t="s">
        <v>452</v>
      </c>
      <c r="F4" s="336" t="n">
        <v>2500</v>
      </c>
      <c r="H4" s="340" t="n">
        <f aca="false">IF((F4&lt;&gt;0),IF((D4&gt;0)," ",F4)," ")</f>
        <v>2500</v>
      </c>
      <c r="I4" s="341" t="n">
        <f aca="false">IF((F4&lt;&gt;0),IF((D4&gt;0)," ",(I$1-A4))," ")</f>
        <v>60</v>
      </c>
      <c r="BZ4" s="336" t="s">
        <v>453</v>
      </c>
    </row>
    <row r="5" customFormat="false" ht="12.75" hidden="false" customHeight="false" outlineLevel="0" collapsed="false">
      <c r="A5" s="357" t="n">
        <v>46237</v>
      </c>
      <c r="B5" s="336" t="s">
        <v>261</v>
      </c>
      <c r="C5" s="337" t="s">
        <v>454</v>
      </c>
      <c r="F5" s="336" t="n">
        <v>360</v>
      </c>
      <c r="H5" s="340" t="n">
        <f aca="false">IF((F5&lt;&gt;0),IF((D5&gt;0)," ",F5)," ")</f>
        <v>360</v>
      </c>
      <c r="I5" s="341" t="n">
        <f aca="false">IF((F5&lt;&gt;0),IF((D5&gt;0)," ",(I$1-A5))," ")</f>
        <v>58</v>
      </c>
      <c r="BZ5" s="336" t="s">
        <v>260</v>
      </c>
    </row>
    <row r="6" customFormat="false" ht="12.75" hidden="false" customHeight="false" outlineLevel="0" collapsed="false">
      <c r="A6" s="357" t="n">
        <v>46239</v>
      </c>
      <c r="B6" s="336" t="s">
        <v>263</v>
      </c>
      <c r="C6" s="337" t="s">
        <v>455</v>
      </c>
      <c r="F6" s="336" t="n">
        <v>600</v>
      </c>
      <c r="H6" s="340" t="n">
        <f aca="false">IF((F6&lt;&gt;0),IF((D6&gt;0)," ",F6)," ")</f>
        <v>600</v>
      </c>
      <c r="I6" s="341" t="n">
        <f aca="false">IF((F6&lt;&gt;0),IF((D6&gt;0)," ",(I$1-A6))," ")</f>
        <v>56</v>
      </c>
      <c r="BZ6" s="336" t="s">
        <v>260</v>
      </c>
    </row>
    <row r="7" customFormat="false" ht="12.75" hidden="false" customHeight="false" outlineLevel="0" collapsed="false">
      <c r="A7" s="357" t="n">
        <v>46242</v>
      </c>
      <c r="B7" s="336" t="s">
        <v>265</v>
      </c>
      <c r="C7" s="337" t="s">
        <v>456</v>
      </c>
      <c r="F7" s="336" t="n">
        <v>480</v>
      </c>
      <c r="H7" s="340" t="n">
        <f aca="false">IF((F7&lt;&gt;0),IF((D7&gt;0)," ",F7)," ")</f>
        <v>480</v>
      </c>
      <c r="I7" s="341" t="n">
        <f aca="false">IF((F7&lt;&gt;0),IF((D7&gt;0)," ",(I$1-A7))," ")</f>
        <v>53</v>
      </c>
      <c r="BZ7" s="336" t="s">
        <v>267</v>
      </c>
    </row>
    <row r="8" customFormat="false" ht="12.75" hidden="false" customHeight="false" outlineLevel="0" collapsed="false">
      <c r="A8" s="357" t="n">
        <v>46244</v>
      </c>
      <c r="B8" s="336" t="s">
        <v>268</v>
      </c>
      <c r="C8" s="337" t="s">
        <v>457</v>
      </c>
      <c r="F8" s="336" t="n">
        <v>720</v>
      </c>
      <c r="H8" s="340" t="n">
        <f aca="false">IF((F8&lt;&gt;0),IF((D8&gt;0)," ",F8)," ")</f>
        <v>720</v>
      </c>
      <c r="I8" s="341" t="n">
        <f aca="false">IF((F8&lt;&gt;0),IF((D8&gt;0)," ",(I$1-A8))," ")</f>
        <v>51</v>
      </c>
      <c r="BZ8" s="336" t="s">
        <v>267</v>
      </c>
    </row>
    <row r="9" customFormat="false" ht="12.75" hidden="false" customHeight="false" outlineLevel="0" collapsed="false">
      <c r="A9" s="357" t="n">
        <v>46246</v>
      </c>
      <c r="B9" s="336" t="s">
        <v>380</v>
      </c>
      <c r="C9" s="337" t="s">
        <v>458</v>
      </c>
      <c r="F9" s="336" t="n">
        <v>960</v>
      </c>
      <c r="H9" s="340" t="n">
        <f aca="false">IF((F9&lt;&gt;0),IF((D9&gt;0)," ",F9)," ")</f>
        <v>960</v>
      </c>
      <c r="I9" s="341" t="n">
        <f aca="false">IF((F9&lt;&gt;0),IF((D9&gt;0)," ",(I$1-A9))," ")</f>
        <v>49</v>
      </c>
      <c r="BZ9" s="336" t="s">
        <v>267</v>
      </c>
    </row>
    <row r="10" customFormat="false" ht="12.75" hidden="false" customHeight="false" outlineLevel="0" collapsed="false">
      <c r="A10" s="357" t="n">
        <v>46249</v>
      </c>
      <c r="B10" s="336" t="s">
        <v>270</v>
      </c>
      <c r="C10" s="337" t="s">
        <v>459</v>
      </c>
      <c r="F10" s="336" t="n">
        <v>25000</v>
      </c>
      <c r="H10" s="340" t="n">
        <f aca="false">IF((F10&lt;&gt;0),IF((D10&gt;0)," ",F10)," ")</f>
        <v>25000</v>
      </c>
      <c r="I10" s="341" t="n">
        <f aca="false">IF((F10&lt;&gt;0),IF((D10&gt;0)," ",(I$1-A10))," ")</f>
        <v>46</v>
      </c>
      <c r="BZ10" s="336" t="s">
        <v>267</v>
      </c>
    </row>
    <row r="11" customFormat="false" ht="12.75" hidden="false" customHeight="false" outlineLevel="0" collapsed="false">
      <c r="A11" s="357" t="n">
        <v>46252</v>
      </c>
      <c r="B11" s="336" t="s">
        <v>272</v>
      </c>
      <c r="C11" s="337" t="s">
        <v>460</v>
      </c>
      <c r="F11" s="336" t="n">
        <v>2400</v>
      </c>
      <c r="H11" s="340" t="n">
        <f aca="false">IF((F11&lt;&gt;0),IF((D11&gt;0)," ",F11)," ")</f>
        <v>2400</v>
      </c>
      <c r="I11" s="341" t="n">
        <f aca="false">IF((F11&lt;&gt;0),IF((D11&gt;0)," ",(I$1-A11))," ")</f>
        <v>43</v>
      </c>
      <c r="BZ11" s="336" t="s">
        <v>267</v>
      </c>
    </row>
    <row r="12" customFormat="false" ht="12.75" hidden="false" customHeight="false" outlineLevel="0" collapsed="false">
      <c r="A12" s="357" t="n">
        <v>46254</v>
      </c>
      <c r="B12" s="336" t="s">
        <v>274</v>
      </c>
      <c r="C12" s="337" t="s">
        <v>461</v>
      </c>
      <c r="F12" s="336" t="n">
        <v>1800</v>
      </c>
      <c r="H12" s="340" t="n">
        <f aca="false">IF((F12&lt;&gt;0),IF((D12&gt;0)," ",F12)," ")</f>
        <v>1800</v>
      </c>
      <c r="I12" s="341" t="n">
        <f aca="false">IF((F12&lt;&gt;0),IF((D12&gt;0)," ",(I$1-A12))," ")</f>
        <v>41</v>
      </c>
      <c r="BZ12" s="336" t="s">
        <v>267</v>
      </c>
    </row>
    <row r="13" customFormat="false" ht="12.75" hidden="false" customHeight="false" outlineLevel="0" collapsed="false">
      <c r="A13" s="357" t="n">
        <v>46259</v>
      </c>
      <c r="B13" s="336" t="s">
        <v>387</v>
      </c>
      <c r="C13" s="337" t="s">
        <v>462</v>
      </c>
      <c r="F13" s="336" t="n">
        <v>1200</v>
      </c>
      <c r="H13" s="340" t="n">
        <f aca="false">IF((F13&lt;&gt;0),IF((D13&gt;0)," ",F13)," ")</f>
        <v>1200</v>
      </c>
      <c r="I13" s="341" t="n">
        <f aca="false">IF((F13&lt;&gt;0),IF((D13&gt;0)," ",(I$1-A13))," ")</f>
        <v>36</v>
      </c>
      <c r="BZ13" s="336" t="s">
        <v>267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G4+PurchasesJul!A1</f>
        <v>294.25</v>
      </c>
      <c r="B1" s="372" t="s">
        <v>280</v>
      </c>
      <c r="C1" s="346" t="n">
        <f aca="false">PurchasesJul!C1+PurchasesAug!F1+SalesAug!$E$1</f>
        <v>535</v>
      </c>
      <c r="D1" s="371" t="s">
        <v>247</v>
      </c>
      <c r="E1" s="373" t="str">
        <f aca="false">IF((G1-SUM(J1:W1)&lt;&gt;0),(G1-SUM(J1:W1))," ")</f>
        <v> </v>
      </c>
      <c r="F1" s="346" t="n">
        <f aca="false">SUM(F5:F300)</f>
        <v>85</v>
      </c>
      <c r="G1" s="345" t="n">
        <f aca="false">SUM(G4:G300)</f>
        <v>10113.75</v>
      </c>
      <c r="H1" s="374" t="n">
        <f aca="false">SUM(H5:H300)</f>
        <v>10067</v>
      </c>
      <c r="I1" s="375" t="n">
        <f aca="true">TODAY()</f>
        <v>46295</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610.75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46.75</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402" t="n">
        <f aca="false">IF((C1&lt;Admin!$F$22),((C1-PurchasesJul!C1)*Admin!$G$21),(C1*Admin!$G$21-(C1-Admin!$F$21)*(Admin!$G$21-Admin!$G$22)-PurchasesJul!A1))</f>
        <v>46.75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46235</v>
      </c>
      <c r="B5" s="365" t="s">
        <v>322</v>
      </c>
      <c r="E5" s="367" t="s">
        <v>323</v>
      </c>
      <c r="G5" s="368" t="n">
        <v>1200</v>
      </c>
      <c r="H5" s="340" t="n">
        <f aca="false">IF((G5&lt;&gt;0),IF((D5&gt;0)," ",G5)," ")</f>
        <v>1200</v>
      </c>
      <c r="I5" s="369" t="n">
        <f aca="false">IF((G5&lt;&gt;0),IF((D5&gt;0)," ",(I$1-A5))," ")</f>
        <v>60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46235</v>
      </c>
      <c r="B6" s="365" t="s">
        <v>325</v>
      </c>
      <c r="E6" s="367" t="s">
        <v>326</v>
      </c>
      <c r="G6" s="368" t="n">
        <v>30</v>
      </c>
      <c r="H6" s="340" t="n">
        <f aca="false">IF((G6&lt;&gt;0),IF((D6&gt;0)," ",G6)," ")</f>
        <v>30</v>
      </c>
      <c r="I6" s="369" t="n">
        <f aca="false">IF((G6&lt;&gt;0),IF((D6&gt;0)," ",(I$1-A6))," ")</f>
        <v>60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46235</v>
      </c>
      <c r="B7" s="365" t="s">
        <v>328</v>
      </c>
      <c r="E7" s="367" t="s">
        <v>326</v>
      </c>
      <c r="G7" s="368" t="n">
        <v>15</v>
      </c>
      <c r="H7" s="340" t="n">
        <f aca="false">IF((G7&lt;&gt;0),IF((D7&gt;0)," ",G7)," ")</f>
        <v>15</v>
      </c>
      <c r="I7" s="369" t="n">
        <f aca="false">IF((G7&lt;&gt;0),IF((D7&gt;0)," ",(I$1-A7))," ")</f>
        <v>60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46235</v>
      </c>
      <c r="B8" s="365" t="s">
        <v>329</v>
      </c>
      <c r="E8" s="367" t="s">
        <v>330</v>
      </c>
      <c r="G8" s="368" t="n">
        <v>45</v>
      </c>
      <c r="H8" s="340" t="n">
        <f aca="false">IF((G8&lt;&gt;0),IF((D8&gt;0)," ",G8)," ")</f>
        <v>45</v>
      </c>
      <c r="I8" s="369" t="n">
        <f aca="false">IF((G8&lt;&gt;0),IF((D8&gt;0)," ",(I$1-A8))," ")</f>
        <v>60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46235</v>
      </c>
      <c r="B9" s="365" t="s">
        <v>334</v>
      </c>
      <c r="E9" s="367" t="s">
        <v>330</v>
      </c>
      <c r="G9" s="368" t="n">
        <v>24</v>
      </c>
      <c r="H9" s="340" t="n">
        <f aca="false">IF((G9&lt;&gt;0),IF((D9&gt;0)," ",G9)," ")</f>
        <v>24</v>
      </c>
      <c r="I9" s="369" t="n">
        <f aca="false">IF((G9&lt;&gt;0),IF((D9&gt;0)," ",(I$1-A9))," ")</f>
        <v>60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46235</v>
      </c>
      <c r="B10" s="365" t="s">
        <v>335</v>
      </c>
      <c r="E10" s="367" t="s">
        <v>326</v>
      </c>
      <c r="G10" s="368" t="n">
        <v>18</v>
      </c>
      <c r="H10" s="340" t="n">
        <f aca="false">IF((G10&lt;&gt;0),IF((D10&gt;0)," ",G10)," ")</f>
        <v>18</v>
      </c>
      <c r="I10" s="369" t="n">
        <f aca="false">IF((G10&lt;&gt;0),IF((D10&gt;0)," ",(I$1-A10))," ")</f>
        <v>60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46237</v>
      </c>
      <c r="B11" s="365" t="s">
        <v>336</v>
      </c>
      <c r="E11" s="367" t="s">
        <v>330</v>
      </c>
      <c r="G11" s="368" t="n">
        <v>180</v>
      </c>
      <c r="H11" s="340" t="n">
        <f aca="false">IF((G11&lt;&gt;0),IF((D11&gt;0)," ",G11)," ")</f>
        <v>180</v>
      </c>
      <c r="I11" s="369" t="n">
        <f aca="false">IF((G11&lt;&gt;0),IF((D11&gt;0)," ",(I$1-A11))," ")</f>
        <v>58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46237</v>
      </c>
      <c r="B12" s="365" t="s">
        <v>337</v>
      </c>
      <c r="E12" s="367" t="s">
        <v>330</v>
      </c>
      <c r="G12" s="368" t="n">
        <v>22</v>
      </c>
      <c r="H12" s="340" t="n">
        <f aca="false">IF((G12&lt;&gt;0),IF((D12&gt;0)," ",G12)," ")</f>
        <v>22</v>
      </c>
      <c r="I12" s="369" t="n">
        <f aca="false">IF((G12&lt;&gt;0),IF((D12&gt;0)," ",(I$1-A12))," ")</f>
        <v>58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46239</v>
      </c>
      <c r="B13" s="365" t="s">
        <v>339</v>
      </c>
      <c r="E13" s="367" t="s">
        <v>330</v>
      </c>
      <c r="G13" s="368" t="n">
        <v>24</v>
      </c>
      <c r="H13" s="340" t="n">
        <f aca="false">IF((G13&lt;&gt;0),IF((D13&gt;0)," ",G13)," ")</f>
        <v>24</v>
      </c>
      <c r="I13" s="369" t="n">
        <f aca="false">IF((G13&lt;&gt;0),IF((D13&gt;0)," ",(I$1-A13))," ")</f>
        <v>56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46239</v>
      </c>
      <c r="B14" s="365" t="s">
        <v>340</v>
      </c>
      <c r="E14" s="367" t="s">
        <v>305</v>
      </c>
      <c r="G14" s="368" t="n">
        <v>180</v>
      </c>
      <c r="H14" s="340" t="n">
        <f aca="false">IF((G14&lt;&gt;0),IF((D14&gt;0)," ",G14)," ")</f>
        <v>180</v>
      </c>
      <c r="I14" s="369" t="n">
        <f aca="false">IF((G14&lt;&gt;0),IF((D14&gt;0)," ",(I$1-A14))," ")</f>
        <v>56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46239</v>
      </c>
      <c r="B15" s="365" t="s">
        <v>342</v>
      </c>
      <c r="E15" s="367" t="s">
        <v>330</v>
      </c>
      <c r="G15" s="368" t="n">
        <v>36</v>
      </c>
      <c r="H15" s="340" t="n">
        <f aca="false">IF((G15&lt;&gt;0),IF((D15&gt;0)," ",G15)," ")</f>
        <v>36</v>
      </c>
      <c r="I15" s="369" t="n">
        <f aca="false">IF((G15&lt;&gt;0),IF((D15&gt;0)," ",(I$1-A15))," ")</f>
        <v>56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46240</v>
      </c>
      <c r="B16" s="365" t="s">
        <v>390</v>
      </c>
      <c r="E16" s="367" t="s">
        <v>344</v>
      </c>
      <c r="G16" s="368" t="n">
        <v>48</v>
      </c>
      <c r="H16" s="340" t="n">
        <f aca="false">IF((G16&lt;&gt;0),IF((D16&gt;0)," ",G16)," ")</f>
        <v>48</v>
      </c>
      <c r="I16" s="369" t="n">
        <f aca="false">IF((G16&lt;&gt;0),IF((D16&gt;0)," ",(I$1-A16))," ")</f>
        <v>55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46242</v>
      </c>
      <c r="B17" s="365" t="s">
        <v>343</v>
      </c>
      <c r="E17" s="367" t="s">
        <v>344</v>
      </c>
      <c r="G17" s="368" t="n">
        <v>48</v>
      </c>
      <c r="H17" s="340" t="n">
        <f aca="false">IF((G17&lt;&gt;0),IF((D17&gt;0)," ",G17)," ")</f>
        <v>48</v>
      </c>
      <c r="I17" s="369" t="n">
        <f aca="false">IF((G17&lt;&gt;0),IF((D17&gt;0)," ",(I$1-A17))," ")</f>
        <v>53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46244</v>
      </c>
      <c r="B18" s="365" t="s">
        <v>346</v>
      </c>
      <c r="E18" s="367" t="s">
        <v>330</v>
      </c>
      <c r="G18" s="368" t="n">
        <v>36</v>
      </c>
      <c r="H18" s="340" t="n">
        <f aca="false">IF((G18&lt;&gt;0),IF((D18&gt;0)," ",G18)," ")</f>
        <v>36</v>
      </c>
      <c r="I18" s="369" t="n">
        <f aca="false">IF((G18&lt;&gt;0),IF((D18&gt;0)," ",(I$1-A18))," ")</f>
        <v>51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46246</v>
      </c>
      <c r="B19" s="365" t="s">
        <v>352</v>
      </c>
      <c r="E19" s="367" t="s">
        <v>305</v>
      </c>
      <c r="G19" s="368" t="n">
        <v>18</v>
      </c>
      <c r="H19" s="340" t="n">
        <f aca="false">IF((G19&lt;&gt;0),IF((D19&gt;0)," ",G19)," ")</f>
        <v>18</v>
      </c>
      <c r="I19" s="369" t="n">
        <f aca="false">IF((G19&lt;&gt;0),IF((D19&gt;0)," ",(I$1-A19))," ")</f>
        <v>49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46248</v>
      </c>
      <c r="B20" s="365" t="s">
        <v>353</v>
      </c>
      <c r="E20" s="367" t="s">
        <v>330</v>
      </c>
      <c r="G20" s="368" t="n">
        <v>48</v>
      </c>
      <c r="H20" s="340" t="n">
        <f aca="false">IF((G20&lt;&gt;0),IF((D20&gt;0)," ",G20)," ")</f>
        <v>48</v>
      </c>
      <c r="I20" s="369" t="n">
        <f aca="false">IF((G20&lt;&gt;0),IF((D20&gt;0)," ",(I$1-A20))," ")</f>
        <v>47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338</v>
      </c>
    </row>
    <row r="21" customFormat="false" ht="12.75" hidden="false" customHeight="false" outlineLevel="0" collapsed="false">
      <c r="A21" s="357" t="n">
        <v>46248</v>
      </c>
      <c r="B21" s="365" t="s">
        <v>354</v>
      </c>
      <c r="D21" s="365"/>
      <c r="E21" s="367" t="s">
        <v>344</v>
      </c>
      <c r="G21" s="368" t="n">
        <v>24</v>
      </c>
      <c r="H21" s="340" t="n">
        <f aca="false">IF((G21&lt;&gt;0),IF((D21&gt;0)," ",G21)," ")</f>
        <v>24</v>
      </c>
      <c r="I21" s="369" t="n">
        <f aca="false">IF((G21&lt;&gt;0),IF((D21&gt;0)," ",(I$1-A21))," ")</f>
        <v>47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46248</v>
      </c>
      <c r="B22" s="365" t="s">
        <v>355</v>
      </c>
      <c r="D22" s="395"/>
      <c r="E22" s="367" t="s">
        <v>344</v>
      </c>
      <c r="G22" s="368" t="n">
        <v>12</v>
      </c>
      <c r="H22" s="340" t="n">
        <f aca="false">IF((G22&lt;&gt;0),IF((D22&gt;0)," ",G22)," ")</f>
        <v>12</v>
      </c>
      <c r="I22" s="369" t="n">
        <f aca="false">IF((G22&lt;&gt;0),IF((D22&gt;0)," ",(I$1-A22))," ")</f>
        <v>47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46249</v>
      </c>
      <c r="B23" s="365" t="s">
        <v>356</v>
      </c>
      <c r="E23" s="367" t="s">
        <v>305</v>
      </c>
      <c r="G23" s="368" t="n">
        <v>150</v>
      </c>
      <c r="H23" s="340" t="n">
        <f aca="false">IF((G23&lt;&gt;0),IF((D23&gt;0)," ",G23)," ")</f>
        <v>150</v>
      </c>
      <c r="I23" s="369" t="n">
        <f aca="false">IF((G23&lt;&gt;0),IF((D23&gt;0)," ",(I$1-A23))," ")</f>
        <v>46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46249</v>
      </c>
      <c r="B24" s="365" t="s">
        <v>357</v>
      </c>
      <c r="E24" s="367" t="s">
        <v>326</v>
      </c>
      <c r="G24" s="368" t="n">
        <v>12</v>
      </c>
      <c r="H24" s="340" t="n">
        <f aca="false">IF((G24&lt;&gt;0),IF((D24&gt;0)," ",G24)," ")</f>
        <v>12</v>
      </c>
      <c r="I24" s="369" t="n">
        <f aca="false">IF((G24&lt;&gt;0),IF((D24&gt;0)," ",(I$1-A24))," ")</f>
        <v>46</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46249</v>
      </c>
      <c r="B25" s="365" t="s">
        <v>396</v>
      </c>
      <c r="E25" s="367" t="s">
        <v>350</v>
      </c>
      <c r="G25" s="368" t="n">
        <v>360</v>
      </c>
      <c r="H25" s="340" t="n">
        <f aca="false">IF((G25&lt;&gt;0),IF((D25&gt;0)," ",G25)," ")</f>
        <v>360</v>
      </c>
      <c r="I25" s="369" t="n">
        <f aca="false">IF((G25&lt;&gt;0),IF((D25&gt;0)," ",(I$1-A25))," ")</f>
        <v>46</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351</v>
      </c>
    </row>
    <row r="26" customFormat="false" ht="12.75" hidden="false" customHeight="false" outlineLevel="0" collapsed="false">
      <c r="A26" s="357" t="n">
        <v>46252</v>
      </c>
      <c r="B26" s="365" t="s">
        <v>463</v>
      </c>
      <c r="E26" s="367" t="s">
        <v>361</v>
      </c>
      <c r="G26" s="368" t="n">
        <v>240</v>
      </c>
      <c r="H26" s="340" t="n">
        <f aca="false">IF((G26&lt;&gt;0),IF((D26&gt;0)," ",G26)," ")</f>
        <v>240</v>
      </c>
      <c r="I26" s="369" t="n">
        <f aca="false">IF((G26&lt;&gt;0),IF((D26&gt;0)," ",(I$1-A26))," ")</f>
        <v>43</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362</v>
      </c>
    </row>
    <row r="27" customFormat="false" ht="12.75" hidden="false" customHeight="false" outlineLevel="0" collapsed="false">
      <c r="A27" s="357" t="n">
        <v>46252</v>
      </c>
      <c r="B27" s="365" t="s">
        <v>358</v>
      </c>
      <c r="E27" s="367" t="s">
        <v>305</v>
      </c>
      <c r="G27" s="368" t="n">
        <v>96</v>
      </c>
      <c r="H27" s="340" t="n">
        <f aca="false">IF((G27&lt;&gt;0),IF((D27&gt;0)," ",G27)," ")</f>
        <v>96</v>
      </c>
      <c r="I27" s="369" t="n">
        <f aca="false">IF((G27&lt;&gt;0),IF((D27&gt;0)," ",(I$1-A27))," ")</f>
        <v>43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46254</v>
      </c>
      <c r="B28" s="365" t="s">
        <v>359</v>
      </c>
      <c r="E28" s="367" t="s">
        <v>326</v>
      </c>
      <c r="G28" s="368" t="n">
        <v>60</v>
      </c>
      <c r="H28" s="340" t="n">
        <f aca="false">IF((G28&lt;&gt;0),IF((D28&gt;0)," ",G28)," ")</f>
        <v>60</v>
      </c>
      <c r="I28" s="369" t="n">
        <f aca="false">IF((G28&lt;&gt;0),IF((D28&gt;0)," ",(I$1-A28))," ")</f>
        <v>41</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46254</v>
      </c>
      <c r="B29" s="365" t="s">
        <v>464</v>
      </c>
      <c r="E29" s="367" t="s">
        <v>372</v>
      </c>
      <c r="G29" s="368" t="n">
        <v>800</v>
      </c>
      <c r="H29" s="340" t="n">
        <f aca="false">IF((G29&lt;&gt;0),IF((D29&gt;0)," ",G29)," ")</f>
        <v>800</v>
      </c>
      <c r="I29" s="369" t="n">
        <f aca="false">IF((G29&lt;&gt;0),IF((D29&gt;0)," ",(I$1-A29))," ")</f>
        <v>41</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373</v>
      </c>
    </row>
    <row r="30" customFormat="false" ht="12.75" hidden="false" customHeight="false" outlineLevel="0" collapsed="false">
      <c r="A30" s="357" t="n">
        <v>46254</v>
      </c>
      <c r="B30" s="365" t="s">
        <v>403</v>
      </c>
      <c r="E30" s="367" t="s">
        <v>350</v>
      </c>
      <c r="G30" s="368" t="n">
        <v>180</v>
      </c>
      <c r="H30" s="340" t="n">
        <f aca="false">IF((G30&lt;&gt;0),IF((D30&gt;0)," ",G30)," ")</f>
        <v>180</v>
      </c>
      <c r="I30" s="369" t="n">
        <f aca="false">IF((G30&lt;&gt;0),IF((D30&gt;0)," ",(I$1-A30))," ")</f>
        <v>41</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46255</v>
      </c>
      <c r="B31" s="365" t="s">
        <v>363</v>
      </c>
      <c r="E31" s="367" t="s">
        <v>344</v>
      </c>
      <c r="G31" s="368" t="n">
        <v>8</v>
      </c>
      <c r="H31" s="340" t="n">
        <f aca="false">IF((G31&lt;&gt;0),IF((D31&gt;0)," ",G31)," ")</f>
        <v>8</v>
      </c>
      <c r="I31" s="369" t="n">
        <f aca="false">IF((G31&lt;&gt;0),IF((D31&gt;0)," ",(I$1-A31))," ")</f>
        <v>40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345</v>
      </c>
    </row>
    <row r="32" customFormat="false" ht="12.75" hidden="false" customHeight="false" outlineLevel="0" collapsed="false">
      <c r="A32" s="357" t="n">
        <v>46256</v>
      </c>
      <c r="B32" s="365" t="s">
        <v>364</v>
      </c>
      <c r="E32" s="367" t="s">
        <v>330</v>
      </c>
      <c r="G32" s="368" t="n">
        <v>18</v>
      </c>
      <c r="H32" s="340" t="n">
        <f aca="false">IF((G32&lt;&gt;0),IF((D32&gt;0)," ",G32)," ")</f>
        <v>18</v>
      </c>
      <c r="I32" s="369" t="n">
        <f aca="false">IF((G32&lt;&gt;0),IF((D32&gt;0)," ",(I$1-A32))," ")</f>
        <v>39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338</v>
      </c>
    </row>
    <row r="33" customFormat="false" ht="12.75" hidden="false" customHeight="false" outlineLevel="0" collapsed="false">
      <c r="A33" s="357" t="n">
        <v>46259</v>
      </c>
      <c r="B33" s="365" t="s">
        <v>365</v>
      </c>
      <c r="E33" s="367" t="s">
        <v>330</v>
      </c>
      <c r="G33" s="368" t="n">
        <v>15</v>
      </c>
      <c r="H33" s="340" t="n">
        <f aca="false">IF((G33&lt;&gt;0),IF((D33&gt;0)," ",G33)," ")</f>
        <v>15</v>
      </c>
      <c r="I33" s="369" t="n">
        <f aca="false">IF((G33&lt;&gt;0),IF((D33&gt;0)," ",(I$1-A33))," ")</f>
        <v>36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338</v>
      </c>
    </row>
    <row r="34" customFormat="false" ht="12.75" hidden="false" customHeight="false" outlineLevel="0" collapsed="false">
      <c r="A34" s="357" t="n">
        <v>46259</v>
      </c>
      <c r="B34" s="365" t="s">
        <v>366</v>
      </c>
      <c r="E34" s="367" t="s">
        <v>305</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46262</v>
      </c>
      <c r="B35" s="365" t="s">
        <v>356</v>
      </c>
      <c r="E35" s="367" t="s">
        <v>305</v>
      </c>
      <c r="G35" s="368" t="n">
        <v>120</v>
      </c>
      <c r="H35" s="340" t="n">
        <f aca="false">IF((G35&lt;&gt;0),IF((D35&gt;0)," ",G35)," ")</f>
        <v>120</v>
      </c>
      <c r="I35" s="369" t="n">
        <f aca="false">IF((G35&lt;&gt;0),IF((D35&gt;0)," ",(I$1-A35))," ")</f>
        <v>33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46265</v>
      </c>
      <c r="B36" s="365" t="s">
        <v>367</v>
      </c>
      <c r="E36" s="367" t="s">
        <v>368</v>
      </c>
      <c r="G36" s="368" t="n">
        <v>300</v>
      </c>
      <c r="H36" s="340" t="n">
        <f aca="false">IF((G36&lt;&gt;0),IF((D36&gt;0)," ",G36)," ")</f>
        <v>300</v>
      </c>
      <c r="I36" s="369" t="n">
        <f aca="false">IF((G36&lt;&gt;0),IF((D36&gt;0)," ",(I$1-A36))," ")</f>
        <v>30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46265</v>
      </c>
      <c r="B37" s="365" t="s">
        <v>370</v>
      </c>
      <c r="C37" s="365" t="s">
        <v>465</v>
      </c>
      <c r="E37" s="367" t="s">
        <v>372</v>
      </c>
      <c r="G37" s="368" t="n">
        <v>3500</v>
      </c>
      <c r="H37" s="340" t="n">
        <f aca="false">IF((G37&lt;&gt;0),IF((D37&gt;0)," ",G37)," ")</f>
        <v>3500</v>
      </c>
      <c r="I37" s="369" t="n">
        <f aca="false">IF((G37&lt;&gt;0),IF((D37&gt;0)," ",(I$1-A37))," ")</f>
        <v>30</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t="n">
        <v>46265</v>
      </c>
      <c r="B38" s="365" t="s">
        <v>374</v>
      </c>
      <c r="C38" s="365" t="s">
        <v>466</v>
      </c>
      <c r="E38" s="367" t="s">
        <v>372</v>
      </c>
      <c r="G38" s="368" t="n">
        <v>2200</v>
      </c>
      <c r="H38" s="340" t="n">
        <f aca="false">IF((G38&lt;&gt;0),IF((D38&gt;0)," ",G38)," ")</f>
        <v>2200</v>
      </c>
      <c r="I38" s="369" t="n">
        <f aca="false">IF((G38&lt;&gt;0),IF((D38&gt;0)," ",(I$1-A38))," ")</f>
        <v>30</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245</v>
      </c>
      <c r="B1" s="343" t="s">
        <v>246</v>
      </c>
      <c r="C1" s="344"/>
      <c r="D1" s="345" t="s">
        <v>247</v>
      </c>
      <c r="E1" s="346" t="n">
        <f aca="false">SUM(E4:E300)</f>
        <v>0</v>
      </c>
      <c r="F1" s="345" t="n">
        <f aca="false">SUM(F4:F300)</f>
        <v>33760</v>
      </c>
      <c r="G1" s="345" t="n">
        <f aca="false">SUM(G4:G300)</f>
        <v>0</v>
      </c>
      <c r="H1" s="347" t="n">
        <f aca="false">SUM(H4:H300)</f>
        <v>33760</v>
      </c>
      <c r="I1" s="348" t="n">
        <f aca="true">TODAY()</f>
        <v>46295</v>
      </c>
      <c r="J1" s="345" t="n">
        <f aca="false">SUM(J4:J300)</f>
        <v>0</v>
      </c>
      <c r="K1" s="349" t="n">
        <f aca="false">J1+SalesAug!K1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46268</v>
      </c>
      <c r="B4" s="336" t="s">
        <v>261</v>
      </c>
      <c r="C4" s="337" t="s">
        <v>467</v>
      </c>
      <c r="F4" s="336" t="n">
        <v>360</v>
      </c>
      <c r="H4" s="340" t="n">
        <f aca="false">IF((F4&lt;&gt;0),IF((D4&gt;0)," ",F4)," ")</f>
        <v>360</v>
      </c>
      <c r="I4" s="341" t="n">
        <f aca="false">IF((F4&lt;&gt;0),IF((D4&gt;0)," ",(I$1-A4))," ")</f>
        <v>27</v>
      </c>
      <c r="BZ4" s="336" t="s">
        <v>260</v>
      </c>
    </row>
    <row r="5" customFormat="false" ht="12.75" hidden="false" customHeight="false" outlineLevel="0" collapsed="false">
      <c r="A5" s="357" t="n">
        <v>46270</v>
      </c>
      <c r="B5" s="336" t="s">
        <v>263</v>
      </c>
      <c r="C5" s="337" t="s">
        <v>468</v>
      </c>
      <c r="F5" s="336" t="n">
        <v>600</v>
      </c>
      <c r="H5" s="340" t="n">
        <f aca="false">IF((F5&lt;&gt;0),IF((D5&gt;0)," ",F5)," ")</f>
        <v>600</v>
      </c>
      <c r="I5" s="341" t="n">
        <f aca="false">IF((F5&lt;&gt;0),IF((D5&gt;0)," ",(I$1-A5))," ")</f>
        <v>25</v>
      </c>
      <c r="BZ5" s="336" t="s">
        <v>260</v>
      </c>
    </row>
    <row r="6" customFormat="false" ht="12.75" hidden="false" customHeight="false" outlineLevel="0" collapsed="false">
      <c r="A6" s="357" t="n">
        <v>46273</v>
      </c>
      <c r="B6" s="336" t="s">
        <v>265</v>
      </c>
      <c r="C6" s="337" t="s">
        <v>469</v>
      </c>
      <c r="F6" s="336" t="n">
        <v>480</v>
      </c>
      <c r="H6" s="340" t="n">
        <f aca="false">IF((F6&lt;&gt;0),IF((D6&gt;0)," ",F6)," ")</f>
        <v>480</v>
      </c>
      <c r="I6" s="341" t="n">
        <f aca="false">IF((F6&lt;&gt;0),IF((D6&gt;0)," ",(I$1-A6))," ")</f>
        <v>22</v>
      </c>
      <c r="BZ6" s="336" t="s">
        <v>267</v>
      </c>
    </row>
    <row r="7" customFormat="false" ht="12.75" hidden="false" customHeight="false" outlineLevel="0" collapsed="false">
      <c r="A7" s="357" t="n">
        <v>46275</v>
      </c>
      <c r="B7" s="336" t="s">
        <v>268</v>
      </c>
      <c r="C7" s="337" t="s">
        <v>470</v>
      </c>
      <c r="F7" s="336" t="n">
        <v>720</v>
      </c>
      <c r="H7" s="340" t="n">
        <f aca="false">IF((F7&lt;&gt;0),IF((D7&gt;0)," ",F7)," ")</f>
        <v>720</v>
      </c>
      <c r="I7" s="341" t="n">
        <f aca="false">IF((F7&lt;&gt;0),IF((D7&gt;0)," ",(I$1-A7))," ")</f>
        <v>20</v>
      </c>
      <c r="BZ7" s="336" t="s">
        <v>267</v>
      </c>
    </row>
    <row r="8" customFormat="false" ht="12.75" hidden="false" customHeight="false" outlineLevel="0" collapsed="false">
      <c r="A8" s="357" t="n">
        <v>46280</v>
      </c>
      <c r="B8" s="336" t="s">
        <v>270</v>
      </c>
      <c r="C8" s="337" t="s">
        <v>471</v>
      </c>
      <c r="F8" s="336" t="n">
        <v>25000</v>
      </c>
      <c r="H8" s="340" t="n">
        <f aca="false">IF((F8&lt;&gt;0),IF((D8&gt;0)," ",F8)," ")</f>
        <v>25000</v>
      </c>
      <c r="I8" s="341" t="n">
        <f aca="false">IF((F8&lt;&gt;0),IF((D8&gt;0)," ",(I$1-A8))," ")</f>
        <v>15</v>
      </c>
      <c r="BZ8" s="336" t="s">
        <v>267</v>
      </c>
    </row>
    <row r="9" customFormat="false" ht="12.75" hidden="false" customHeight="false" outlineLevel="0" collapsed="false">
      <c r="A9" s="357" t="n">
        <v>46281</v>
      </c>
      <c r="B9" s="336" t="s">
        <v>383</v>
      </c>
      <c r="C9" s="337" t="s">
        <v>472</v>
      </c>
      <c r="F9" s="336" t="n">
        <v>1200</v>
      </c>
      <c r="H9" s="340" t="n">
        <f aca="false">IF((F9&lt;&gt;0),IF((D9&gt;0)," ",F9)," ")</f>
        <v>1200</v>
      </c>
      <c r="I9" s="341" t="n">
        <f aca="false">IF((F9&lt;&gt;0),IF((D9&gt;0)," ",(I$1-A9))," ")</f>
        <v>14</v>
      </c>
      <c r="BZ9" s="336" t="s">
        <v>385</v>
      </c>
    </row>
    <row r="10" customFormat="false" ht="12.75" hidden="false" customHeight="false" outlineLevel="0" collapsed="false">
      <c r="A10" s="357" t="n">
        <v>46283</v>
      </c>
      <c r="B10" s="336" t="s">
        <v>272</v>
      </c>
      <c r="C10" s="337" t="s">
        <v>473</v>
      </c>
      <c r="F10" s="336" t="n">
        <v>2400</v>
      </c>
      <c r="H10" s="340" t="n">
        <f aca="false">IF((F10&lt;&gt;0),IF((D10&gt;0)," ",F10)," ")</f>
        <v>2400</v>
      </c>
      <c r="I10" s="341" t="n">
        <f aca="false">IF((F10&lt;&gt;0),IF((D10&gt;0)," ",(I$1-A10))," ")</f>
        <v>12</v>
      </c>
      <c r="BZ10" s="336" t="s">
        <v>267</v>
      </c>
    </row>
    <row r="11" customFormat="false" ht="12.75" hidden="false" customHeight="false" outlineLevel="0" collapsed="false">
      <c r="A11" s="357" t="n">
        <v>46285</v>
      </c>
      <c r="B11" s="336" t="s">
        <v>474</v>
      </c>
      <c r="C11" s="337" t="s">
        <v>475</v>
      </c>
      <c r="F11" s="336" t="n">
        <v>960</v>
      </c>
      <c r="H11" s="340" t="n">
        <f aca="false">IF((F11&lt;&gt;0),IF((D11&gt;0)," ",F11)," ")</f>
        <v>960</v>
      </c>
      <c r="I11" s="341" t="n">
        <f aca="false">IF((F11&lt;&gt;0),IF((D11&gt;0)," ",(I$1-A11))," ")</f>
        <v>10</v>
      </c>
      <c r="BZ11" s="336" t="s">
        <v>385</v>
      </c>
    </row>
    <row r="12" customFormat="false" ht="12.75" hidden="false" customHeight="false" outlineLevel="0" collapsed="false">
      <c r="A12" s="357" t="n">
        <v>46287</v>
      </c>
      <c r="B12" s="336" t="s">
        <v>416</v>
      </c>
      <c r="C12" s="337" t="s">
        <v>476</v>
      </c>
      <c r="F12" s="336" t="n">
        <v>1440</v>
      </c>
      <c r="H12" s="340" t="n">
        <f aca="false">IF((F12&lt;&gt;0),IF((D12&gt;0)," ",F12)," ")</f>
        <v>1440</v>
      </c>
      <c r="I12" s="341" t="n">
        <f aca="false">IF((F12&lt;&gt;0),IF((D12&gt;0)," ",(I$1-A12))," ")</f>
        <v>8</v>
      </c>
      <c r="BZ12" s="336" t="s">
        <v>267</v>
      </c>
    </row>
    <row r="13" customFormat="false" ht="12.75" hidden="false" customHeight="false" outlineLevel="0" collapsed="false">
      <c r="A13" s="357" t="n">
        <v>46290</v>
      </c>
      <c r="B13" s="336" t="s">
        <v>477</v>
      </c>
      <c r="C13" s="337" t="s">
        <v>478</v>
      </c>
      <c r="F13" s="336" t="n">
        <v>600</v>
      </c>
      <c r="H13" s="340" t="n">
        <f aca="false">IF((F13&lt;&gt;0),IF((D13&gt;0)," ",F13)," ")</f>
        <v>600</v>
      </c>
      <c r="I13" s="341" t="n">
        <f aca="false">IF((F13&lt;&gt;0),IF((D13&gt;0)," ",(I$1-A13))," ")</f>
        <v>5</v>
      </c>
      <c r="BZ13" s="336" t="s">
        <v>278</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G4+PurchasesAug!A1</f>
        <v>382.25</v>
      </c>
      <c r="B1" s="372" t="s">
        <v>280</v>
      </c>
      <c r="C1" s="346" t="n">
        <f aca="false">PurchasesAug!C1+PurchasesSep!F1+SalesSep!$E$1</f>
        <v>695</v>
      </c>
      <c r="D1" s="371" t="s">
        <v>247</v>
      </c>
      <c r="E1" s="373" t="str">
        <f aca="false">IF((G1-SUM(J1:W1)&lt;&gt;0),(G1-SUM(J1:W1))," ")</f>
        <v> </v>
      </c>
      <c r="F1" s="346" t="n">
        <f aca="false">SUM(F5:F300)</f>
        <v>160</v>
      </c>
      <c r="G1" s="345" t="n">
        <f aca="false">SUM(G4:G300)</f>
        <v>10691</v>
      </c>
      <c r="H1" s="374" t="n">
        <f aca="false">SUM(H5:H300)</f>
        <v>10603</v>
      </c>
      <c r="I1" s="375" t="n">
        <f aca="true">TODAY()</f>
        <v>46295</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724</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88</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402" t="n">
        <f aca="false">IF((C1&lt;Admin!$F$22),((C1-PurchasesAug!C1)*Admin!$G$21),(C1*Admin!$G$21-(C1-Admin!$F$21)*(Admin!$G$21-Admin!$G$22)-PurchasesAug!A1))</f>
        <v>88</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46266</v>
      </c>
      <c r="B5" s="365" t="s">
        <v>322</v>
      </c>
      <c r="E5" s="367" t="s">
        <v>323</v>
      </c>
      <c r="G5" s="368" t="n">
        <v>1200</v>
      </c>
      <c r="H5" s="340" t="n">
        <f aca="false">IF((G5&lt;&gt;0),IF((D5&gt;0)," ",G5)," ")</f>
        <v>1200</v>
      </c>
      <c r="I5" s="369" t="n">
        <f aca="false">IF((G5&lt;&gt;0),IF((D5&gt;0)," ",(I$1-A5))," ")</f>
        <v>29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46266</v>
      </c>
      <c r="B6" s="365" t="s">
        <v>325</v>
      </c>
      <c r="E6" s="367" t="s">
        <v>326</v>
      </c>
      <c r="G6" s="368" t="n">
        <v>30</v>
      </c>
      <c r="H6" s="340" t="n">
        <f aca="false">IF((G6&lt;&gt;0),IF((D6&gt;0)," ",G6)," ")</f>
        <v>30</v>
      </c>
      <c r="I6" s="369" t="n">
        <f aca="false">IF((G6&lt;&gt;0),IF((D6&gt;0)," ",(I$1-A6))," ")</f>
        <v>29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46266</v>
      </c>
      <c r="B7" s="365" t="s">
        <v>328</v>
      </c>
      <c r="E7" s="367" t="s">
        <v>326</v>
      </c>
      <c r="G7" s="368" t="n">
        <v>15</v>
      </c>
      <c r="H7" s="340" t="n">
        <f aca="false">IF((G7&lt;&gt;0),IF((D7&gt;0)," ",G7)," ")</f>
        <v>15</v>
      </c>
      <c r="I7" s="369" t="n">
        <f aca="false">IF((G7&lt;&gt;0),IF((D7&gt;0)," ",(I$1-A7))," ")</f>
        <v>29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46266</v>
      </c>
      <c r="B8" s="365" t="s">
        <v>329</v>
      </c>
      <c r="E8" s="367" t="s">
        <v>330</v>
      </c>
      <c r="G8" s="368" t="n">
        <v>45</v>
      </c>
      <c r="H8" s="340" t="n">
        <f aca="false">IF((G8&lt;&gt;0),IF((D8&gt;0)," ",G8)," ")</f>
        <v>45</v>
      </c>
      <c r="I8" s="369" t="n">
        <f aca="false">IF((G8&lt;&gt;0),IF((D8&gt;0)," ",(I$1-A8))," ")</f>
        <v>29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46266</v>
      </c>
      <c r="B9" s="365" t="s">
        <v>334</v>
      </c>
      <c r="E9" s="367" t="s">
        <v>330</v>
      </c>
      <c r="G9" s="368" t="n">
        <v>24</v>
      </c>
      <c r="H9" s="340" t="n">
        <f aca="false">IF((G9&lt;&gt;0),IF((D9&gt;0)," ",G9)," ")</f>
        <v>24</v>
      </c>
      <c r="I9" s="369" t="n">
        <f aca="false">IF((G9&lt;&gt;0),IF((D9&gt;0)," ",(I$1-A9))," ")</f>
        <v>29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46266</v>
      </c>
      <c r="B10" s="365" t="s">
        <v>335</v>
      </c>
      <c r="E10" s="367" t="s">
        <v>326</v>
      </c>
      <c r="G10" s="368" t="n">
        <v>18</v>
      </c>
      <c r="H10" s="340" t="n">
        <f aca="false">IF((G10&lt;&gt;0),IF((D10&gt;0)," ",G10)," ")</f>
        <v>18</v>
      </c>
      <c r="I10" s="369" t="n">
        <f aca="false">IF((G10&lt;&gt;0),IF((D10&gt;0)," ",(I$1-A10))," ")</f>
        <v>29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46268</v>
      </c>
      <c r="B11" s="365" t="s">
        <v>336</v>
      </c>
      <c r="E11" s="367" t="s">
        <v>330</v>
      </c>
      <c r="G11" s="368" t="n">
        <v>180</v>
      </c>
      <c r="H11" s="340" t="n">
        <f aca="false">IF((G11&lt;&gt;0),IF((D11&gt;0)," ",G11)," ")</f>
        <v>180</v>
      </c>
      <c r="I11" s="369" t="n">
        <f aca="false">IF((G11&lt;&gt;0),IF((D11&gt;0)," ",(I$1-A11))," ")</f>
        <v>27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46268</v>
      </c>
      <c r="B12" s="365" t="s">
        <v>337</v>
      </c>
      <c r="E12" s="367" t="s">
        <v>330</v>
      </c>
      <c r="G12" s="368" t="n">
        <v>22</v>
      </c>
      <c r="H12" s="340" t="n">
        <f aca="false">IF((G12&lt;&gt;0),IF((D12&gt;0)," ",G12)," ")</f>
        <v>22</v>
      </c>
      <c r="I12" s="369" t="n">
        <f aca="false">IF((G12&lt;&gt;0),IF((D12&gt;0)," ",(I$1-A12))," ")</f>
        <v>27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46270</v>
      </c>
      <c r="B13" s="365" t="s">
        <v>339</v>
      </c>
      <c r="E13" s="367" t="s">
        <v>330</v>
      </c>
      <c r="G13" s="368" t="n">
        <v>24</v>
      </c>
      <c r="H13" s="340" t="n">
        <f aca="false">IF((G13&lt;&gt;0),IF((D13&gt;0)," ",G13)," ")</f>
        <v>24</v>
      </c>
      <c r="I13" s="369" t="n">
        <f aca="false">IF((G13&lt;&gt;0),IF((D13&gt;0)," ",(I$1-A13))," ")</f>
        <v>25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46270</v>
      </c>
      <c r="B14" s="365" t="s">
        <v>340</v>
      </c>
      <c r="E14" s="367" t="s">
        <v>305</v>
      </c>
      <c r="G14" s="368" t="n">
        <v>180</v>
      </c>
      <c r="H14" s="340" t="n">
        <f aca="false">IF((G14&lt;&gt;0),IF((D14&gt;0)," ",G14)," ")</f>
        <v>180</v>
      </c>
      <c r="I14" s="369" t="n">
        <f aca="false">IF((G14&lt;&gt;0),IF((D14&gt;0)," ",(I$1-A14))," ")</f>
        <v>25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46273</v>
      </c>
      <c r="B15" s="365" t="s">
        <v>343</v>
      </c>
      <c r="E15" s="367" t="s">
        <v>344</v>
      </c>
      <c r="G15" s="368" t="n">
        <v>48</v>
      </c>
      <c r="H15" s="340" t="n">
        <f aca="false">IF((G15&lt;&gt;0),IF((D15&gt;0)," ",G15)," ")</f>
        <v>48</v>
      </c>
      <c r="I15" s="369" t="n">
        <f aca="false">IF((G15&lt;&gt;0),IF((D15&gt;0)," ",(I$1-A15))," ")</f>
        <v>22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46273</v>
      </c>
      <c r="B16" s="365" t="s">
        <v>391</v>
      </c>
      <c r="E16" s="367" t="s">
        <v>330</v>
      </c>
      <c r="G16" s="368" t="n">
        <v>360</v>
      </c>
      <c r="H16" s="340" t="n">
        <f aca="false">IF((G16&lt;&gt;0),IF((D16&gt;0)," ",G16)," ")</f>
        <v>360</v>
      </c>
      <c r="I16" s="369" t="n">
        <f aca="false">IF((G16&lt;&gt;0),IF((D16&gt;0)," ",(I$1-A16))," ")</f>
        <v>22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392</v>
      </c>
    </row>
    <row r="17" customFormat="false" ht="12.75" hidden="false" customHeight="false" outlineLevel="0" collapsed="false">
      <c r="A17" s="357" t="n">
        <v>46275</v>
      </c>
      <c r="B17" s="365" t="s">
        <v>346</v>
      </c>
      <c r="E17" s="367" t="s">
        <v>330</v>
      </c>
      <c r="G17" s="368" t="n">
        <v>36</v>
      </c>
      <c r="H17" s="340" t="n">
        <f aca="false">IF((G17&lt;&gt;0),IF((D17&gt;0)," ",G17)," ")</f>
        <v>36</v>
      </c>
      <c r="I17" s="369" t="n">
        <f aca="false">IF((G17&lt;&gt;0),IF((D17&gt;0)," ",(I$1-A17))," ")</f>
        <v>20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46275</v>
      </c>
      <c r="B18" s="365" t="s">
        <v>357</v>
      </c>
      <c r="E18" s="367" t="s">
        <v>330</v>
      </c>
      <c r="G18" s="368" t="n">
        <v>96</v>
      </c>
      <c r="H18" s="340" t="n">
        <f aca="false">IF((G18&lt;&gt;0),IF((D18&gt;0)," ",G18)," ")</f>
        <v>96</v>
      </c>
      <c r="I18" s="369" t="n">
        <f aca="false">IF((G18&lt;&gt;0),IF((D18&gt;0)," ",(I$1-A18))," ")</f>
        <v>20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402</v>
      </c>
    </row>
    <row r="19" customFormat="false" ht="12.75" hidden="false" customHeight="false" outlineLevel="0" collapsed="false">
      <c r="A19" s="357" t="n">
        <v>46277</v>
      </c>
      <c r="B19" s="365" t="s">
        <v>352</v>
      </c>
      <c r="E19" s="367" t="s">
        <v>305</v>
      </c>
      <c r="G19" s="368" t="n">
        <v>18</v>
      </c>
      <c r="H19" s="340" t="n">
        <f aca="false">IF((G19&lt;&gt;0),IF((D19&gt;0)," ",G19)," ")</f>
        <v>18</v>
      </c>
      <c r="I19" s="369" t="n">
        <f aca="false">IF((G19&lt;&gt;0),IF((D19&gt;0)," ",(I$1-A19))," ")</f>
        <v>18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46279</v>
      </c>
      <c r="B20" s="365" t="s">
        <v>354</v>
      </c>
      <c r="E20" s="367" t="s">
        <v>344</v>
      </c>
      <c r="G20" s="368" t="n">
        <v>24</v>
      </c>
      <c r="H20" s="340" t="n">
        <f aca="false">IF((G20&lt;&gt;0),IF((D20&gt;0)," ",G20)," ")</f>
        <v>24</v>
      </c>
      <c r="I20" s="369" t="n">
        <f aca="false">IF((G20&lt;&gt;0),IF((D20&gt;0)," ",(I$1-A20))," ")</f>
        <v>16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345</v>
      </c>
    </row>
    <row r="21" customFormat="false" ht="12.75" hidden="false" customHeight="false" outlineLevel="0" collapsed="false">
      <c r="A21" s="357" t="n">
        <v>46279</v>
      </c>
      <c r="B21" s="365" t="s">
        <v>355</v>
      </c>
      <c r="D21" s="365"/>
      <c r="E21" s="367" t="s">
        <v>344</v>
      </c>
      <c r="G21" s="368" t="n">
        <v>12</v>
      </c>
      <c r="H21" s="340" t="n">
        <f aca="false">IF((G21&lt;&gt;0),IF((D21&gt;0)," ",G21)," ")</f>
        <v>12</v>
      </c>
      <c r="I21" s="369" t="n">
        <f aca="false">IF((G21&lt;&gt;0),IF((D21&gt;0)," ",(I$1-A21))," ")</f>
        <v>16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46280</v>
      </c>
      <c r="B22" s="365" t="s">
        <v>356</v>
      </c>
      <c r="D22" s="395"/>
      <c r="E22" s="367" t="s">
        <v>305</v>
      </c>
      <c r="G22" s="368" t="n">
        <v>150</v>
      </c>
      <c r="H22" s="340" t="n">
        <f aca="false">IF((G22&lt;&gt;0),IF((D22&gt;0)," ",G22)," ")</f>
        <v>150</v>
      </c>
      <c r="I22" s="369" t="n">
        <f aca="false">IF((G22&lt;&gt;0),IF((D22&gt;0)," ",(I$1-A22))," ")</f>
        <v>15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341</v>
      </c>
    </row>
    <row r="23" customFormat="false" ht="12.75" hidden="false" customHeight="false" outlineLevel="0" collapsed="false">
      <c r="A23" s="357" t="n">
        <v>46280</v>
      </c>
      <c r="B23" s="365" t="s">
        <v>357</v>
      </c>
      <c r="E23" s="367" t="s">
        <v>326</v>
      </c>
      <c r="G23" s="368" t="n">
        <v>12</v>
      </c>
      <c r="H23" s="340" t="n">
        <f aca="false">IF((G23&lt;&gt;0),IF((D23&gt;0)," ",G23)," ")</f>
        <v>12</v>
      </c>
      <c r="I23" s="369" t="n">
        <f aca="false">IF((G23&lt;&gt;0),IF((D23&gt;0)," ",(I$1-A23))," ")</f>
        <v>15</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327</v>
      </c>
    </row>
    <row r="24" customFormat="false" ht="12.75" hidden="false" customHeight="false" outlineLevel="0" collapsed="false">
      <c r="A24" s="357" t="n">
        <v>46280</v>
      </c>
      <c r="B24" s="365" t="s">
        <v>479</v>
      </c>
      <c r="E24" s="367" t="s">
        <v>368</v>
      </c>
      <c r="G24" s="368" t="n">
        <v>960</v>
      </c>
      <c r="H24" s="340" t="n">
        <f aca="false">IF((G24&lt;&gt;0),IF((D24&gt;0)," ",G24)," ")</f>
        <v>960</v>
      </c>
      <c r="I24" s="369" t="n">
        <f aca="false">IF((G24&lt;&gt;0),IF((D24&gt;0)," ",(I$1-A24))," ")</f>
        <v>15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369</v>
      </c>
    </row>
    <row r="25" customFormat="false" ht="12.75" hidden="false" customHeight="false" outlineLevel="0" collapsed="false">
      <c r="A25" s="357" t="n">
        <v>46281</v>
      </c>
      <c r="B25" s="365" t="s">
        <v>400</v>
      </c>
      <c r="E25" s="367" t="s">
        <v>326</v>
      </c>
      <c r="G25" s="368" t="n">
        <v>12</v>
      </c>
      <c r="H25" s="340" t="n">
        <f aca="false">IF((G25&lt;&gt;0),IF((D25&gt;0)," ",G25)," ")</f>
        <v>12</v>
      </c>
      <c r="I25" s="369" t="n">
        <f aca="false">IF((G25&lt;&gt;0),IF((D25&gt;0)," ",(I$1-A25))," ")</f>
        <v>14</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46283</v>
      </c>
      <c r="B26" s="365" t="s">
        <v>424</v>
      </c>
      <c r="E26" s="367" t="s">
        <v>350</v>
      </c>
      <c r="G26" s="368" t="n">
        <v>240</v>
      </c>
      <c r="H26" s="340" t="n">
        <f aca="false">IF((G26&lt;&gt;0),IF((D26&gt;0)," ",G26)," ")</f>
        <v>240</v>
      </c>
      <c r="I26" s="369" t="n">
        <f aca="false">IF((G26&lt;&gt;0),IF((D26&gt;0)," ",(I$1-A26))," ")</f>
        <v>12</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46283</v>
      </c>
      <c r="B27" s="365" t="s">
        <v>358</v>
      </c>
      <c r="E27" s="367" t="s">
        <v>305</v>
      </c>
      <c r="G27" s="368" t="n">
        <v>96</v>
      </c>
      <c r="H27" s="340" t="n">
        <f aca="false">IF((G27&lt;&gt;0),IF((D27&gt;0)," ",G27)," ")</f>
        <v>96</v>
      </c>
      <c r="I27" s="369" t="n">
        <f aca="false">IF((G27&lt;&gt;0),IF((D27&gt;0)," ",(I$1-A27))," ")</f>
        <v>12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46285</v>
      </c>
      <c r="B28" s="365" t="s">
        <v>359</v>
      </c>
      <c r="E28" s="367" t="s">
        <v>326</v>
      </c>
      <c r="G28" s="368" t="n">
        <v>60</v>
      </c>
      <c r="H28" s="340" t="n">
        <f aca="false">IF((G28&lt;&gt;0),IF((D28&gt;0)," ",G28)," ")</f>
        <v>60</v>
      </c>
      <c r="I28" s="369" t="n">
        <f aca="false">IF((G28&lt;&gt;0),IF((D28&gt;0)," ",(I$1-A28))," ")</f>
        <v>10</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46286</v>
      </c>
      <c r="B29" s="365" t="s">
        <v>363</v>
      </c>
      <c r="E29" s="367" t="s">
        <v>344</v>
      </c>
      <c r="G29" s="368" t="n">
        <v>8</v>
      </c>
      <c r="H29" s="340" t="n">
        <f aca="false">IF((G29&lt;&gt;0),IF((D29&gt;0)," ",G29)," ")</f>
        <v>8</v>
      </c>
      <c r="I29" s="369" t="n">
        <f aca="false">IF((G29&lt;&gt;0),IF((D29&gt;0)," ",(I$1-A29))," ")</f>
        <v>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345</v>
      </c>
    </row>
    <row r="30" customFormat="false" ht="12.75" hidden="false" customHeight="false" outlineLevel="0" collapsed="false">
      <c r="A30" s="357" t="n">
        <v>46287</v>
      </c>
      <c r="B30" s="365" t="s">
        <v>364</v>
      </c>
      <c r="E30" s="367" t="s">
        <v>330</v>
      </c>
      <c r="G30" s="368" t="n">
        <v>18</v>
      </c>
      <c r="H30" s="340" t="n">
        <f aca="false">IF((G30&lt;&gt;0),IF((D30&gt;0)," ",G30)," ")</f>
        <v>18</v>
      </c>
      <c r="I30" s="369" t="n">
        <f aca="false">IF((G30&lt;&gt;0),IF((D30&gt;0)," ",(I$1-A30))," ")</f>
        <v>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338</v>
      </c>
    </row>
    <row r="31" customFormat="false" ht="12.75" hidden="false" customHeight="false" outlineLevel="0" collapsed="false">
      <c r="A31" s="357" t="n">
        <v>46287</v>
      </c>
      <c r="B31" s="365" t="s">
        <v>404</v>
      </c>
      <c r="E31" s="367" t="s">
        <v>305</v>
      </c>
      <c r="G31" s="368" t="n">
        <v>72</v>
      </c>
      <c r="H31" s="340" t="n">
        <f aca="false">IF((G31&lt;&gt;0),IF((D31&gt;0)," ",G31)," ")</f>
        <v>72</v>
      </c>
      <c r="I31" s="369" t="n">
        <f aca="false">IF((G31&lt;&gt;0),IF((D31&gt;0)," ",(I$1-A31))," ")</f>
        <v>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341</v>
      </c>
    </row>
    <row r="32" customFormat="false" ht="12.75" hidden="false" customHeight="false" outlineLevel="0" collapsed="false">
      <c r="A32" s="357" t="n">
        <v>46290</v>
      </c>
      <c r="B32" s="365" t="s">
        <v>425</v>
      </c>
      <c r="E32" s="367" t="s">
        <v>323</v>
      </c>
      <c r="G32" s="368" t="n">
        <v>300</v>
      </c>
      <c r="H32" s="340" t="n">
        <f aca="false">IF((G32&lt;&gt;0),IF((D32&gt;0)," ",G32)," ")</f>
        <v>300</v>
      </c>
      <c r="I32" s="369" t="n">
        <f aca="false">IF((G32&lt;&gt;0),IF((D32&gt;0)," ",(I$1-A32))," ")</f>
        <v>5</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426</v>
      </c>
    </row>
    <row r="33" customFormat="false" ht="12.75" hidden="false" customHeight="false" outlineLevel="0" collapsed="false">
      <c r="A33" s="357" t="n">
        <v>46290</v>
      </c>
      <c r="B33" s="365" t="s">
        <v>365</v>
      </c>
      <c r="E33" s="367" t="s">
        <v>330</v>
      </c>
      <c r="G33" s="368" t="n">
        <v>15</v>
      </c>
      <c r="H33" s="340" t="n">
        <f aca="false">IF((G33&lt;&gt;0),IF((D33&gt;0)," ",G33)," ")</f>
        <v>15</v>
      </c>
      <c r="I33" s="369" t="n">
        <f aca="false">IF((G33&lt;&gt;0),IF((D33&gt;0)," ",(I$1-A33))," ")</f>
        <v>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338</v>
      </c>
    </row>
    <row r="34" customFormat="false" ht="12.75" hidden="false" customHeight="false" outlineLevel="0" collapsed="false">
      <c r="A34" s="357" t="n">
        <v>46290</v>
      </c>
      <c r="B34" s="365" t="s">
        <v>366</v>
      </c>
      <c r="E34" s="367" t="s">
        <v>305</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46293</v>
      </c>
      <c r="B35" s="365" t="s">
        <v>356</v>
      </c>
      <c r="E35" s="367" t="s">
        <v>305</v>
      </c>
      <c r="G35" s="368" t="n">
        <v>120</v>
      </c>
      <c r="H35" s="340" t="n">
        <f aca="false">IF((G35&lt;&gt;0),IF((D35&gt;0)," ",G35)," ")</f>
        <v>120</v>
      </c>
      <c r="I35" s="369" t="n">
        <f aca="false">IF((G35&lt;&gt;0),IF((D35&gt;0)," ",(I$1-A35))," ")</f>
        <v>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46295</v>
      </c>
      <c r="B36" s="365" t="s">
        <v>367</v>
      </c>
      <c r="E36" s="367" t="s">
        <v>368</v>
      </c>
      <c r="G36" s="368" t="n">
        <v>300</v>
      </c>
      <c r="H36" s="340" t="n">
        <f aca="false">IF((G36&lt;&gt;0),IF((D36&gt;0)," ",G36)," ")</f>
        <v>300</v>
      </c>
      <c r="I36" s="369" t="n">
        <f aca="false">IF((G36&lt;&gt;0),IF((D36&gt;0)," ",(I$1-A36))," ")</f>
        <v>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46295</v>
      </c>
      <c r="B37" s="365" t="s">
        <v>427</v>
      </c>
      <c r="C37" s="365" t="s">
        <v>480</v>
      </c>
      <c r="E37" s="367" t="s">
        <v>429</v>
      </c>
      <c r="G37" s="368" t="n">
        <v>208</v>
      </c>
      <c r="H37" s="340" t="n">
        <f aca="false">IF((G37&lt;&gt;0),IF((D37&gt;0)," ",G37)," ")</f>
        <v>208</v>
      </c>
      <c r="I37" s="369" t="n">
        <f aca="false">IF((G37&lt;&gt;0),IF((D37&gt;0)," ",(I$1-A37))," ")</f>
        <v>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430</v>
      </c>
    </row>
    <row r="38" customFormat="false" ht="12.75" hidden="false" customHeight="false" outlineLevel="0" collapsed="false">
      <c r="A38" s="357" t="n">
        <v>46295</v>
      </c>
      <c r="B38" s="365" t="s">
        <v>370</v>
      </c>
      <c r="C38" s="365" t="s">
        <v>481</v>
      </c>
      <c r="E38" s="367" t="s">
        <v>372</v>
      </c>
      <c r="G38" s="368" t="n">
        <v>3500</v>
      </c>
      <c r="H38" s="340" t="n">
        <f aca="false">IF((G38&lt;&gt;0),IF((D38&gt;0)," ",G38)," ")</f>
        <v>3500</v>
      </c>
      <c r="I38" s="369" t="n">
        <f aca="false">IF((G38&lt;&gt;0),IF((D38&gt;0)," ",(I$1-A38))," ")</f>
        <v>0</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46295</v>
      </c>
      <c r="B39" s="365" t="s">
        <v>374</v>
      </c>
      <c r="C39" s="365" t="s">
        <v>482</v>
      </c>
      <c r="E39" s="367" t="s">
        <v>372</v>
      </c>
      <c r="G39" s="368" t="n">
        <v>2200</v>
      </c>
      <c r="H39" s="340" t="n">
        <f aca="false">IF((G39&lt;&gt;0),IF((D39&gt;0)," ",G39)," ")</f>
        <v>2200</v>
      </c>
      <c r="I39" s="369" t="n">
        <f aca="false">IF((G39&lt;&gt;0),IF((D39&gt;0)," ",(I$1-A39))," ")</f>
        <v>0</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245</v>
      </c>
      <c r="B1" s="343" t="s">
        <v>246</v>
      </c>
      <c r="C1" s="344"/>
      <c r="D1" s="345" t="s">
        <v>247</v>
      </c>
      <c r="E1" s="346" t="n">
        <f aca="false">SUM(E4:E300)</f>
        <v>0</v>
      </c>
      <c r="F1" s="345" t="n">
        <f aca="false">SUM(F4:F300)</f>
        <v>35560</v>
      </c>
      <c r="G1" s="345" t="n">
        <f aca="false">SUM(G4:G300)</f>
        <v>0</v>
      </c>
      <c r="H1" s="347" t="n">
        <f aca="false">SUM(H4:H300)</f>
        <v>35560</v>
      </c>
      <c r="I1" s="348" t="n">
        <f aca="true">TODAY()</f>
        <v>46295</v>
      </c>
      <c r="J1" s="345" t="n">
        <f aca="false">SUM(J4:J300)</f>
        <v>0</v>
      </c>
      <c r="K1" s="349" t="n">
        <f aca="false">J1+SalesSep!K1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46296</v>
      </c>
      <c r="B4" s="336" t="s">
        <v>258</v>
      </c>
      <c r="C4" s="337" t="s">
        <v>483</v>
      </c>
      <c r="F4" s="336" t="n">
        <v>1200</v>
      </c>
      <c r="H4" s="340" t="n">
        <f aca="false">IF((F4&lt;&gt;0),IF((D4&gt;0)," ",F4)," ")</f>
        <v>1200</v>
      </c>
      <c r="I4" s="341" t="n">
        <f aca="false">IF((F4&lt;&gt;0),IF((D4&gt;0)," ",(I$1-A4))," ")</f>
        <v>-1</v>
      </c>
      <c r="BZ4" s="336" t="s">
        <v>260</v>
      </c>
    </row>
    <row r="5" customFormat="false" ht="12.75" hidden="false" customHeight="false" outlineLevel="0" collapsed="false">
      <c r="A5" s="357" t="n">
        <v>46298</v>
      </c>
      <c r="B5" s="336" t="s">
        <v>261</v>
      </c>
      <c r="C5" s="337" t="s">
        <v>484</v>
      </c>
      <c r="F5" s="336" t="n">
        <v>360</v>
      </c>
      <c r="H5" s="340" t="n">
        <f aca="false">IF((F5&lt;&gt;0),IF((D5&gt;0)," ",F5)," ")</f>
        <v>360</v>
      </c>
      <c r="I5" s="341" t="n">
        <f aca="false">IF((F5&lt;&gt;0),IF((D5&gt;0)," ",(I$1-A5))," ")</f>
        <v>-3</v>
      </c>
      <c r="BZ5" s="336" t="s">
        <v>260</v>
      </c>
    </row>
    <row r="6" customFormat="false" ht="12.75" hidden="false" customHeight="false" outlineLevel="0" collapsed="false">
      <c r="A6" s="357" t="n">
        <v>46300</v>
      </c>
      <c r="B6" s="336" t="s">
        <v>263</v>
      </c>
      <c r="C6" s="337" t="s">
        <v>485</v>
      </c>
      <c r="F6" s="336" t="n">
        <v>600</v>
      </c>
      <c r="H6" s="340" t="n">
        <f aca="false">IF((F6&lt;&gt;0),IF((D6&gt;0)," ",F6)," ")</f>
        <v>600</v>
      </c>
      <c r="I6" s="341" t="n">
        <f aca="false">IF((F6&lt;&gt;0),IF((D6&gt;0)," ",(I$1-A6))," ")</f>
        <v>-5</v>
      </c>
      <c r="BZ6" s="336" t="s">
        <v>260</v>
      </c>
    </row>
    <row r="7" customFormat="false" ht="12.75" hidden="false" customHeight="false" outlineLevel="0" collapsed="false">
      <c r="A7" s="357" t="n">
        <v>46303</v>
      </c>
      <c r="B7" s="336" t="s">
        <v>265</v>
      </c>
      <c r="C7" s="337" t="s">
        <v>486</v>
      </c>
      <c r="F7" s="336" t="n">
        <v>480</v>
      </c>
      <c r="H7" s="340" t="n">
        <f aca="false">IF((F7&lt;&gt;0),IF((D7&gt;0)," ",F7)," ")</f>
        <v>480</v>
      </c>
      <c r="I7" s="341" t="n">
        <f aca="false">IF((F7&lt;&gt;0),IF((D7&gt;0)," ",(I$1-A7))," ")</f>
        <v>-8</v>
      </c>
      <c r="BZ7" s="336" t="s">
        <v>267</v>
      </c>
    </row>
    <row r="8" customFormat="false" ht="12.75" hidden="false" customHeight="false" outlineLevel="0" collapsed="false">
      <c r="A8" s="357" t="n">
        <v>46305</v>
      </c>
      <c r="B8" s="336" t="s">
        <v>268</v>
      </c>
      <c r="C8" s="337" t="s">
        <v>487</v>
      </c>
      <c r="F8" s="336" t="n">
        <v>720</v>
      </c>
      <c r="H8" s="340" t="n">
        <f aca="false">IF((F8&lt;&gt;0),IF((D8&gt;0)," ",F8)," ")</f>
        <v>720</v>
      </c>
      <c r="I8" s="341" t="n">
        <f aca="false">IF((F8&lt;&gt;0),IF((D8&gt;0)," ",(I$1-A8))," ")</f>
        <v>-10</v>
      </c>
      <c r="BZ8" s="336" t="s">
        <v>267</v>
      </c>
    </row>
    <row r="9" customFormat="false" ht="12.75" hidden="false" customHeight="false" outlineLevel="0" collapsed="false">
      <c r="A9" s="357" t="n">
        <v>46309</v>
      </c>
      <c r="B9" s="336" t="s">
        <v>438</v>
      </c>
      <c r="C9" s="337" t="s">
        <v>488</v>
      </c>
      <c r="F9" s="336" t="n">
        <v>2160</v>
      </c>
      <c r="H9" s="340" t="n">
        <f aca="false">IF((F9&lt;&gt;0),IF((D9&gt;0)," ",F9)," ")</f>
        <v>2160</v>
      </c>
      <c r="I9" s="341" t="n">
        <f aca="false">IF((F9&lt;&gt;0),IF((D9&gt;0)," ",(I$1-A9))," ")</f>
        <v>-14</v>
      </c>
      <c r="BZ9" s="336" t="s">
        <v>267</v>
      </c>
    </row>
    <row r="10" customFormat="false" ht="12.75" hidden="false" customHeight="false" outlineLevel="0" collapsed="false">
      <c r="A10" s="357" t="n">
        <v>46310</v>
      </c>
      <c r="B10" s="336" t="s">
        <v>270</v>
      </c>
      <c r="C10" s="337" t="s">
        <v>489</v>
      </c>
      <c r="F10" s="336" t="n">
        <v>25000</v>
      </c>
      <c r="H10" s="340" t="n">
        <f aca="false">IF((F10&lt;&gt;0),IF((D10&gt;0)," ",F10)," ")</f>
        <v>25000</v>
      </c>
      <c r="I10" s="341" t="n">
        <f aca="false">IF((F10&lt;&gt;0),IF((D10&gt;0)," ",(I$1-A10))," ")</f>
        <v>-15</v>
      </c>
      <c r="BZ10" s="336" t="s">
        <v>267</v>
      </c>
    </row>
    <row r="11" customFormat="false" ht="12.75" hidden="false" customHeight="false" outlineLevel="0" collapsed="false">
      <c r="A11" s="357" t="n">
        <v>46313</v>
      </c>
      <c r="B11" s="336" t="s">
        <v>272</v>
      </c>
      <c r="C11" s="337" t="s">
        <v>490</v>
      </c>
      <c r="F11" s="336" t="n">
        <v>2400</v>
      </c>
      <c r="H11" s="340" t="n">
        <f aca="false">IF((F11&lt;&gt;0),IF((D11&gt;0)," ",F11)," ")</f>
        <v>2400</v>
      </c>
      <c r="I11" s="341" t="n">
        <f aca="false">IF((F11&lt;&gt;0),IF((D11&gt;0)," ",(I$1-A11))," ")</f>
        <v>-18</v>
      </c>
      <c r="BZ11" s="336" t="s">
        <v>267</v>
      </c>
    </row>
    <row r="12" customFormat="false" ht="12.75" hidden="false" customHeight="false" outlineLevel="0" collapsed="false">
      <c r="A12" s="357" t="n">
        <v>46315</v>
      </c>
      <c r="B12" s="336" t="s">
        <v>274</v>
      </c>
      <c r="C12" s="337" t="s">
        <v>491</v>
      </c>
      <c r="F12" s="336" t="n">
        <v>1800</v>
      </c>
      <c r="H12" s="340" t="n">
        <f aca="false">IF((F12&lt;&gt;0),IF((D12&gt;0)," ",F12)," ")</f>
        <v>1800</v>
      </c>
      <c r="I12" s="341" t="n">
        <f aca="false">IF((F12&lt;&gt;0),IF((D12&gt;0)," ",(I$1-A12))," ")</f>
        <v>-20</v>
      </c>
      <c r="BZ12" s="336" t="s">
        <v>267</v>
      </c>
    </row>
    <row r="13" customFormat="false" ht="12.75" hidden="false" customHeight="false" outlineLevel="0" collapsed="false">
      <c r="A13" s="357" t="n">
        <v>46323</v>
      </c>
      <c r="B13" s="336" t="s">
        <v>276</v>
      </c>
      <c r="C13" s="337" t="s">
        <v>492</v>
      </c>
      <c r="F13" s="336" t="n">
        <v>840</v>
      </c>
      <c r="H13" s="340" t="n">
        <f aca="false">IF((F13&lt;&gt;0),IF((D13&gt;0)," ",F13)," ")</f>
        <v>840</v>
      </c>
      <c r="I13" s="341" t="n">
        <f aca="false">IF((F13&lt;&gt;0),IF((D13&gt;0)," ",(I$1-A13))," ")</f>
        <v>-28</v>
      </c>
      <c r="BZ13" s="336" t="s">
        <v>278</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G4+PurchasesSep!A1</f>
        <v>434.5</v>
      </c>
      <c r="B1" s="372" t="s">
        <v>280</v>
      </c>
      <c r="C1" s="346" t="n">
        <f aca="false">PurchasesSep!C1+PurchasesOct!F1+SalesOct!$E$1</f>
        <v>790</v>
      </c>
      <c r="D1" s="371" t="s">
        <v>247</v>
      </c>
      <c r="E1" s="373" t="str">
        <f aca="false">IF((G1-SUM(J1:W1)&lt;&gt;0),(G1-SUM(J1:W1))," ")</f>
        <v> </v>
      </c>
      <c r="F1" s="346" t="n">
        <f aca="false">SUM(F5:F300)</f>
        <v>95</v>
      </c>
      <c r="G1" s="345" t="n">
        <f aca="false">SUM(G4:G300)</f>
        <v>48715.25</v>
      </c>
      <c r="H1" s="374" t="n">
        <f aca="false">SUM(H5:H300)</f>
        <v>48663</v>
      </c>
      <c r="I1" s="375" t="n">
        <f aca="true">TODAY()</f>
        <v>46295</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616.25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52.25</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402" t="n">
        <f aca="false">IF((C1&lt;Admin!$F$22),((C1-PurchasesSep!C1)*Admin!$G$21),(C1*Admin!$G$21-(C1-Admin!$F$21)*(Admin!$G$21-Admin!$G$22)-PurchasesSep!A1))</f>
        <v>52.25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46296</v>
      </c>
      <c r="B5" s="365" t="s">
        <v>322</v>
      </c>
      <c r="E5" s="367" t="s">
        <v>323</v>
      </c>
      <c r="G5" s="368" t="n">
        <v>1200</v>
      </c>
      <c r="H5" s="340" t="n">
        <f aca="false">IF((G5&lt;&gt;0),IF((D5&gt;0)," ",G5)," ")</f>
        <v>1200</v>
      </c>
      <c r="I5" s="369" t="n">
        <f aca="false">IF((G5&lt;&gt;0),IF((D5&gt;0)," ",(I$1-A5))," ")</f>
        <v>-1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46296</v>
      </c>
      <c r="B6" s="365" t="s">
        <v>325</v>
      </c>
      <c r="E6" s="367" t="s">
        <v>326</v>
      </c>
      <c r="G6" s="368" t="n">
        <v>30</v>
      </c>
      <c r="H6" s="340" t="n">
        <f aca="false">IF((G6&lt;&gt;0),IF((D6&gt;0)," ",G6)," ")</f>
        <v>30</v>
      </c>
      <c r="I6" s="369" t="n">
        <f aca="false">IF((G6&lt;&gt;0),IF((D6&gt;0)," ",(I$1-A6))," ")</f>
        <v>-1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46296</v>
      </c>
      <c r="B7" s="365" t="s">
        <v>328</v>
      </c>
      <c r="E7" s="367" t="s">
        <v>326</v>
      </c>
      <c r="G7" s="368" t="n">
        <v>15</v>
      </c>
      <c r="H7" s="340" t="n">
        <f aca="false">IF((G7&lt;&gt;0),IF((D7&gt;0)," ",G7)," ")</f>
        <v>15</v>
      </c>
      <c r="I7" s="369" t="n">
        <f aca="false">IF((G7&lt;&gt;0),IF((D7&gt;0)," ",(I$1-A7))," ")</f>
        <v>-1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46296</v>
      </c>
      <c r="B8" s="365" t="s">
        <v>329</v>
      </c>
      <c r="E8" s="367" t="s">
        <v>330</v>
      </c>
      <c r="G8" s="368" t="n">
        <v>45</v>
      </c>
      <c r="H8" s="340" t="n">
        <f aca="false">IF((G8&lt;&gt;0),IF((D8&gt;0)," ",G8)," ")</f>
        <v>45</v>
      </c>
      <c r="I8" s="369" t="n">
        <f aca="false">IF((G8&lt;&gt;0),IF((D8&gt;0)," ",(I$1-A8))," ")</f>
        <v>-1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46296</v>
      </c>
      <c r="B9" s="365" t="s">
        <v>493</v>
      </c>
      <c r="E9" s="367" t="s">
        <v>330</v>
      </c>
      <c r="G9" s="368" t="n">
        <v>360</v>
      </c>
      <c r="H9" s="340" t="n">
        <f aca="false">IF((G9&lt;&gt;0),IF((D9&gt;0)," ",G9)," ")</f>
        <v>360</v>
      </c>
      <c r="I9" s="369" t="n">
        <f aca="false">IF((G9&lt;&gt;0),IF((D9&gt;0)," ",(I$1-A9))," ")</f>
        <v>-1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333</v>
      </c>
    </row>
    <row r="10" customFormat="false" ht="12.75" hidden="false" customHeight="false" outlineLevel="0" collapsed="false">
      <c r="A10" s="357" t="n">
        <v>46296</v>
      </c>
      <c r="B10" s="365" t="s">
        <v>334</v>
      </c>
      <c r="E10" s="367" t="s">
        <v>330</v>
      </c>
      <c r="G10" s="368" t="n">
        <v>24</v>
      </c>
      <c r="H10" s="340" t="n">
        <f aca="false">IF((G10&lt;&gt;0),IF((D10&gt;0)," ",G10)," ")</f>
        <v>24</v>
      </c>
      <c r="I10" s="369" t="n">
        <f aca="false">IF((G10&lt;&gt;0),IF((D10&gt;0)," ",(I$1-A10))," ")</f>
        <v>-1</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331</v>
      </c>
    </row>
    <row r="11" customFormat="false" ht="12.75" hidden="false" customHeight="false" outlineLevel="0" collapsed="false">
      <c r="A11" s="357" t="n">
        <v>46296</v>
      </c>
      <c r="B11" s="365" t="s">
        <v>335</v>
      </c>
      <c r="E11" s="367" t="s">
        <v>326</v>
      </c>
      <c r="G11" s="368" t="n">
        <v>18</v>
      </c>
      <c r="H11" s="340" t="n">
        <f aca="false">IF((G11&lt;&gt;0),IF((D11&gt;0)," ",G11)," ")</f>
        <v>18</v>
      </c>
      <c r="I11" s="369" t="n">
        <f aca="false">IF((G11&lt;&gt;0),IF((D11&gt;0)," ",(I$1-A11))," ")</f>
        <v>-1</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327</v>
      </c>
    </row>
    <row r="12" customFormat="false" ht="12.75" hidden="false" customHeight="false" outlineLevel="0" collapsed="false">
      <c r="A12" s="357" t="n">
        <v>46298</v>
      </c>
      <c r="B12" s="365" t="s">
        <v>336</v>
      </c>
      <c r="E12" s="367" t="s">
        <v>330</v>
      </c>
      <c r="G12" s="368" t="n">
        <v>180</v>
      </c>
      <c r="H12" s="340" t="n">
        <f aca="false">IF((G12&lt;&gt;0),IF((D12&gt;0)," ",G12)," ")</f>
        <v>180</v>
      </c>
      <c r="I12" s="369" t="n">
        <f aca="false">IF((G12&lt;&gt;0),IF((D12&gt;0)," ",(I$1-A12))," ")</f>
        <v>-3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331</v>
      </c>
    </row>
    <row r="13" customFormat="false" ht="12.75" hidden="false" customHeight="false" outlineLevel="0" collapsed="false">
      <c r="A13" s="357" t="n">
        <v>46298</v>
      </c>
      <c r="B13" s="365" t="s">
        <v>337</v>
      </c>
      <c r="E13" s="367" t="s">
        <v>330</v>
      </c>
      <c r="G13" s="368" t="n">
        <v>22</v>
      </c>
      <c r="H13" s="340" t="n">
        <f aca="false">IF((G13&lt;&gt;0),IF((D13&gt;0)," ",G13)," ")</f>
        <v>22</v>
      </c>
      <c r="I13" s="369" t="n">
        <f aca="false">IF((G13&lt;&gt;0),IF((D13&gt;0)," ",(I$1-A13))," ")</f>
        <v>-3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338</v>
      </c>
    </row>
    <row r="14" customFormat="false" ht="12.75" hidden="false" customHeight="false" outlineLevel="0" collapsed="false">
      <c r="A14" s="357" t="n">
        <v>46300</v>
      </c>
      <c r="B14" s="365" t="s">
        <v>339</v>
      </c>
      <c r="E14" s="367" t="s">
        <v>330</v>
      </c>
      <c r="G14" s="368" t="n">
        <v>24</v>
      </c>
      <c r="H14" s="340" t="n">
        <f aca="false">IF((G14&lt;&gt;0),IF((D14&gt;0)," ",G14)," ")</f>
        <v>24</v>
      </c>
      <c r="I14" s="369" t="n">
        <f aca="false">IF((G14&lt;&gt;0),IF((D14&gt;0)," ",(I$1-A14))," ")</f>
        <v>-5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338</v>
      </c>
    </row>
    <row r="15" customFormat="false" ht="12.75" hidden="false" customHeight="false" outlineLevel="0" collapsed="false">
      <c r="A15" s="357" t="n">
        <v>46300</v>
      </c>
      <c r="B15" s="365" t="s">
        <v>340</v>
      </c>
      <c r="E15" s="367" t="s">
        <v>305</v>
      </c>
      <c r="G15" s="368" t="n">
        <v>180</v>
      </c>
      <c r="H15" s="340" t="n">
        <f aca="false">IF((G15&lt;&gt;0),IF((D15&gt;0)," ",G15)," ")</f>
        <v>180</v>
      </c>
      <c r="I15" s="369" t="n">
        <f aca="false">IF((G15&lt;&gt;0),IF((D15&gt;0)," ",(I$1-A15))," ")</f>
        <v>-5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341</v>
      </c>
    </row>
    <row r="16" customFormat="false" ht="12.75" hidden="false" customHeight="false" outlineLevel="0" collapsed="false">
      <c r="A16" s="357" t="n">
        <v>46300</v>
      </c>
      <c r="B16" s="365" t="s">
        <v>342</v>
      </c>
      <c r="E16" s="367" t="s">
        <v>330</v>
      </c>
      <c r="G16" s="368" t="n">
        <v>36</v>
      </c>
      <c r="H16" s="340" t="n">
        <f aca="false">IF((G16&lt;&gt;0),IF((D16&gt;0)," ",G16)," ")</f>
        <v>36</v>
      </c>
      <c r="I16" s="369" t="n">
        <f aca="false">IF((G16&lt;&gt;0),IF((D16&gt;0)," ",(I$1-A16))," ")</f>
        <v>-5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331</v>
      </c>
    </row>
    <row r="17" customFormat="false" ht="12.75" hidden="false" customHeight="false" outlineLevel="0" collapsed="false">
      <c r="A17" s="357" t="n">
        <v>46303</v>
      </c>
      <c r="B17" s="365" t="s">
        <v>343</v>
      </c>
      <c r="E17" s="367" t="s">
        <v>344</v>
      </c>
      <c r="G17" s="368" t="n">
        <v>48</v>
      </c>
      <c r="H17" s="340" t="n">
        <f aca="false">IF((G17&lt;&gt;0),IF((D17&gt;0)," ",G17)," ")</f>
        <v>48</v>
      </c>
      <c r="I17" s="369" t="n">
        <f aca="false">IF((G17&lt;&gt;0),IF((D17&gt;0)," ",(I$1-A17))," ")</f>
        <v>-8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46305</v>
      </c>
      <c r="B18" s="365" t="s">
        <v>346</v>
      </c>
      <c r="E18" s="367" t="s">
        <v>330</v>
      </c>
      <c r="G18" s="368" t="n">
        <v>36</v>
      </c>
      <c r="H18" s="340" t="n">
        <f aca="false">IF((G18&lt;&gt;0),IF((D18&gt;0)," ",G18)," ")</f>
        <v>36</v>
      </c>
      <c r="I18" s="369" t="n">
        <f aca="false">IF((G18&lt;&gt;0),IF((D18&gt;0)," ",(I$1-A18))," ")</f>
        <v>-10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46305</v>
      </c>
      <c r="B19" s="365" t="s">
        <v>347</v>
      </c>
      <c r="E19" s="367" t="s">
        <v>330</v>
      </c>
      <c r="G19" s="368" t="n">
        <v>180</v>
      </c>
      <c r="H19" s="340" t="n">
        <f aca="false">IF((G19&lt;&gt;0),IF((D19&gt;0)," ",G19)," ")</f>
        <v>180</v>
      </c>
      <c r="I19" s="369" t="n">
        <f aca="false">IF((G19&lt;&gt;0),IF((D19&gt;0)," ",(I$1-A19))," ")</f>
        <v>-10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46305</v>
      </c>
      <c r="B20" s="365" t="s">
        <v>349</v>
      </c>
      <c r="E20" s="367" t="s">
        <v>350</v>
      </c>
      <c r="G20" s="368" t="n">
        <v>480</v>
      </c>
      <c r="H20" s="340" t="n">
        <f aca="false">IF((G20&lt;&gt;0),IF((D20&gt;0)," ",G20)," ")</f>
        <v>480</v>
      </c>
      <c r="I20" s="369" t="n">
        <f aca="false">IF((G20&lt;&gt;0),IF((D20&gt;0)," ",(I$1-A20))," ")</f>
        <v>-10</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46305</v>
      </c>
      <c r="B21" s="365" t="s">
        <v>393</v>
      </c>
      <c r="D21" s="365"/>
      <c r="E21" s="367" t="s">
        <v>394</v>
      </c>
      <c r="G21" s="368" t="n">
        <v>1800</v>
      </c>
      <c r="H21" s="340" t="n">
        <f aca="false">IF((G21&lt;&gt;0),IF((D21&gt;0)," ",G21)," ")</f>
        <v>1800</v>
      </c>
      <c r="I21" s="369" t="n">
        <f aca="false">IF((G21&lt;&gt;0),IF((D21&gt;0)," ",(I$1-A21))," ")</f>
        <v>-10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395</v>
      </c>
    </row>
    <row r="22" customFormat="false" ht="12.75" hidden="false" customHeight="false" outlineLevel="0" collapsed="false">
      <c r="A22" s="357" t="n">
        <v>46307</v>
      </c>
      <c r="B22" s="365" t="s">
        <v>352</v>
      </c>
      <c r="D22" s="395"/>
      <c r="E22" s="367" t="s">
        <v>305</v>
      </c>
      <c r="G22" s="368" t="n">
        <v>18</v>
      </c>
      <c r="H22" s="340" t="n">
        <f aca="false">IF((G22&lt;&gt;0),IF((D22&gt;0)," ",G22)," ")</f>
        <v>18</v>
      </c>
      <c r="I22" s="369" t="n">
        <f aca="false">IF((G22&lt;&gt;0),IF((D22&gt;0)," ",(I$1-A22))," ")</f>
        <v>-12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341</v>
      </c>
    </row>
    <row r="23" customFormat="false" ht="12.75" hidden="false" customHeight="false" outlineLevel="0" collapsed="false">
      <c r="A23" s="357" t="n">
        <v>46309</v>
      </c>
      <c r="B23" s="365" t="s">
        <v>353</v>
      </c>
      <c r="E23" s="367" t="s">
        <v>330</v>
      </c>
      <c r="G23" s="368" t="n">
        <v>36</v>
      </c>
      <c r="H23" s="340" t="n">
        <f aca="false">IF((G23&lt;&gt;0),IF((D23&gt;0)," ",G23)," ")</f>
        <v>36</v>
      </c>
      <c r="I23" s="369" t="n">
        <f aca="false">IF((G23&lt;&gt;0),IF((D23&gt;0)," ",(I$1-A23))," ")</f>
        <v>-14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338</v>
      </c>
    </row>
    <row r="24" customFormat="false" ht="12.75" hidden="false" customHeight="false" outlineLevel="0" collapsed="false">
      <c r="A24" s="357" t="n">
        <v>46309</v>
      </c>
      <c r="B24" s="365" t="s">
        <v>354</v>
      </c>
      <c r="E24" s="367" t="s">
        <v>344</v>
      </c>
      <c r="G24" s="368" t="n">
        <v>24</v>
      </c>
      <c r="H24" s="340" t="n">
        <f aca="false">IF((G24&lt;&gt;0),IF((D24&gt;0)," ",G24)," ")</f>
        <v>24</v>
      </c>
      <c r="I24" s="369" t="n">
        <f aca="false">IF((G24&lt;&gt;0),IF((D24&gt;0)," ",(I$1-A24))," ")</f>
        <v>-14</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345</v>
      </c>
    </row>
    <row r="25" customFormat="false" ht="12.75" hidden="false" customHeight="false" outlineLevel="0" collapsed="false">
      <c r="A25" s="357" t="n">
        <v>46309</v>
      </c>
      <c r="B25" s="365" t="s">
        <v>355</v>
      </c>
      <c r="E25" s="367" t="s">
        <v>344</v>
      </c>
      <c r="G25" s="368" t="n">
        <v>12</v>
      </c>
      <c r="H25" s="340" t="n">
        <f aca="false">IF((G25&lt;&gt;0),IF((D25&gt;0)," ",G25)," ")</f>
        <v>12</v>
      </c>
      <c r="I25" s="369" t="n">
        <f aca="false">IF((G25&lt;&gt;0),IF((D25&gt;0)," ",(I$1-A25))," ")</f>
        <v>-14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345</v>
      </c>
    </row>
    <row r="26" customFormat="false" ht="12.75" hidden="false" customHeight="false" outlineLevel="0" collapsed="false">
      <c r="A26" s="357" t="n">
        <v>46310</v>
      </c>
      <c r="B26" s="365" t="s">
        <v>356</v>
      </c>
      <c r="E26" s="367" t="s">
        <v>305</v>
      </c>
      <c r="G26" s="368" t="n">
        <v>150</v>
      </c>
      <c r="H26" s="340" t="n">
        <f aca="false">IF((G26&lt;&gt;0),IF((D26&gt;0)," ",G26)," ")</f>
        <v>150</v>
      </c>
      <c r="I26" s="369" t="n">
        <f aca="false">IF((G26&lt;&gt;0),IF((D26&gt;0)," ",(I$1-A26))," ")</f>
        <v>-15</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341</v>
      </c>
    </row>
    <row r="27" customFormat="false" ht="12.75" hidden="false" customHeight="false" outlineLevel="0" collapsed="false">
      <c r="A27" s="357" t="n">
        <v>46310</v>
      </c>
      <c r="B27" s="365" t="s">
        <v>357</v>
      </c>
      <c r="E27" s="367" t="s">
        <v>326</v>
      </c>
      <c r="G27" s="368" t="n">
        <v>12</v>
      </c>
      <c r="H27" s="340" t="n">
        <f aca="false">IF((G27&lt;&gt;0),IF((D27&gt;0)," ",G27)," ")</f>
        <v>12</v>
      </c>
      <c r="I27" s="369" t="n">
        <f aca="false">IF((G27&lt;&gt;0),IF((D27&gt;0)," ",(I$1-A27))," ")</f>
        <v>-15</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327</v>
      </c>
    </row>
    <row r="28" customFormat="false" ht="12.75" hidden="false" customHeight="false" outlineLevel="0" collapsed="false">
      <c r="A28" s="357" t="n">
        <v>46310</v>
      </c>
      <c r="B28" s="365" t="s">
        <v>494</v>
      </c>
      <c r="E28" s="367" t="s">
        <v>394</v>
      </c>
      <c r="G28" s="368" t="n">
        <v>1200</v>
      </c>
      <c r="H28" s="340" t="n">
        <f aca="false">IF((G28&lt;&gt;0),IF((D28&gt;0)," ",G28)," ")</f>
        <v>1200</v>
      </c>
      <c r="I28" s="369" t="n">
        <f aca="false">IF((G28&lt;&gt;0),IF((D28&gt;0)," ",(I$1-A28))," ")</f>
        <v>-15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395</v>
      </c>
    </row>
    <row r="29" customFormat="false" ht="12.75" hidden="false" customHeight="false" outlineLevel="0" collapsed="false">
      <c r="A29" s="357" t="n">
        <v>46313</v>
      </c>
      <c r="B29" s="365" t="s">
        <v>423</v>
      </c>
      <c r="E29" s="367" t="s">
        <v>344</v>
      </c>
      <c r="G29" s="368" t="n">
        <v>120</v>
      </c>
      <c r="H29" s="340" t="n">
        <f aca="false">IF((G29&lt;&gt;0),IF((D29&gt;0)," ",G29)," ")</f>
        <v>120</v>
      </c>
      <c r="I29" s="369" t="n">
        <f aca="false">IF((G29&lt;&gt;0),IF((D29&gt;0)," ",(I$1-A29))," ")</f>
        <v>-18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345</v>
      </c>
    </row>
    <row r="30" customFormat="false" ht="12.75" hidden="false" customHeight="false" outlineLevel="0" collapsed="false">
      <c r="A30" s="357" t="n">
        <v>46313</v>
      </c>
      <c r="B30" s="365" t="s">
        <v>358</v>
      </c>
      <c r="E30" s="367" t="s">
        <v>305</v>
      </c>
      <c r="G30" s="368" t="n">
        <v>96</v>
      </c>
      <c r="H30" s="340" t="n">
        <f aca="false">IF((G30&lt;&gt;0),IF((D30&gt;0)," ",G30)," ")</f>
        <v>96</v>
      </c>
      <c r="I30" s="369" t="n">
        <f aca="false">IF((G30&lt;&gt;0),IF((D30&gt;0)," ",(I$1-A30))," ")</f>
        <v>-18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341</v>
      </c>
    </row>
    <row r="31" customFormat="false" ht="12.75" hidden="false" customHeight="false" outlineLevel="0" collapsed="false">
      <c r="A31" s="357" t="n">
        <v>46315</v>
      </c>
      <c r="B31" s="365" t="s">
        <v>359</v>
      </c>
      <c r="E31" s="367" t="s">
        <v>326</v>
      </c>
      <c r="G31" s="368" t="n">
        <v>60</v>
      </c>
      <c r="H31" s="340" t="n">
        <f aca="false">IF((G31&lt;&gt;0),IF((D31&gt;0)," ",G31)," ")</f>
        <v>60</v>
      </c>
      <c r="I31" s="369" t="n">
        <f aca="false">IF((G31&lt;&gt;0),IF((D31&gt;0)," ",(I$1-A31))," ")</f>
        <v>-20</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327</v>
      </c>
    </row>
    <row r="32" customFormat="false" ht="12.75" hidden="false" customHeight="false" outlineLevel="0" collapsed="false">
      <c r="A32" s="357" t="n">
        <v>46315</v>
      </c>
      <c r="B32" s="365" t="s">
        <v>360</v>
      </c>
      <c r="E32" s="367" t="s">
        <v>361</v>
      </c>
      <c r="G32" s="368" t="n">
        <v>96</v>
      </c>
      <c r="H32" s="340" t="n">
        <f aca="false">IF((G32&lt;&gt;0),IF((D32&gt;0)," ",G32)," ")</f>
        <v>96</v>
      </c>
      <c r="I32" s="369" t="n">
        <f aca="false">IF((G32&lt;&gt;0),IF((D32&gt;0)," ",(I$1-A32))," ")</f>
        <v>-20</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362</v>
      </c>
    </row>
    <row r="33" customFormat="false" ht="12.75" hidden="false" customHeight="false" outlineLevel="0" collapsed="false">
      <c r="A33" s="357" t="n">
        <v>46316</v>
      </c>
      <c r="B33" s="365" t="s">
        <v>363</v>
      </c>
      <c r="E33" s="367" t="s">
        <v>344</v>
      </c>
      <c r="G33" s="368" t="n">
        <v>8</v>
      </c>
      <c r="H33" s="340" t="n">
        <f aca="false">IF((G33&lt;&gt;0),IF((D33&gt;0)," ",G33)," ")</f>
        <v>8</v>
      </c>
      <c r="I33" s="369" t="n">
        <f aca="false">IF((G33&lt;&gt;0),IF((D33&gt;0)," ",(I$1-A33))," ")</f>
        <v>-21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345</v>
      </c>
    </row>
    <row r="34" customFormat="false" ht="12.75" hidden="false" customHeight="false" outlineLevel="0" collapsed="false">
      <c r="A34" s="357" t="n">
        <v>46317</v>
      </c>
      <c r="B34" s="365" t="s">
        <v>364</v>
      </c>
      <c r="E34" s="367" t="s">
        <v>330</v>
      </c>
      <c r="G34" s="368" t="n">
        <v>18</v>
      </c>
      <c r="H34" s="340" t="n">
        <f aca="false">IF((G34&lt;&gt;0),IF((D34&gt;0)," ",G34)," ")</f>
        <v>18</v>
      </c>
      <c r="I34" s="369" t="n">
        <f aca="false">IF((G34&lt;&gt;0),IF((D34&gt;0)," ",(I$1-A34))," ")</f>
        <v>-22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338</v>
      </c>
    </row>
    <row r="35" customFormat="false" ht="12.75" hidden="false" customHeight="false" outlineLevel="0" collapsed="false">
      <c r="A35" s="357" t="n">
        <v>46320</v>
      </c>
      <c r="B35" s="365" t="s">
        <v>365</v>
      </c>
      <c r="E35" s="367" t="s">
        <v>330</v>
      </c>
      <c r="G35" s="368" t="n">
        <v>15</v>
      </c>
      <c r="H35" s="340" t="n">
        <f aca="false">IF((G35&lt;&gt;0),IF((D35&gt;0)," ",G35)," ")</f>
        <v>15</v>
      </c>
      <c r="I35" s="369" t="n">
        <f aca="false">IF((G35&lt;&gt;0),IF((D35&gt;0)," ",(I$1-A35))," ")</f>
        <v>-25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338</v>
      </c>
    </row>
    <row r="36" customFormat="false" ht="12.75" hidden="false" customHeight="false" outlineLevel="0" collapsed="false">
      <c r="A36" s="357" t="n">
        <v>46320</v>
      </c>
      <c r="B36" s="365" t="s">
        <v>366</v>
      </c>
      <c r="E36" s="367" t="s">
        <v>305</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46320</v>
      </c>
      <c r="B37" s="365" t="s">
        <v>495</v>
      </c>
      <c r="C37" s="365" t="s">
        <v>229</v>
      </c>
      <c r="E37" s="367" t="s">
        <v>398</v>
      </c>
      <c r="G37" s="368" t="n">
        <v>36000</v>
      </c>
      <c r="H37" s="340" t="n">
        <f aca="false">IF((G37&lt;&gt;0),IF((D37&gt;0)," ",G37)," ")</f>
        <v>36000</v>
      </c>
      <c r="I37" s="369" t="n">
        <f aca="false">IF((G37&lt;&gt;0),IF((D37&gt;0)," ",(I$1-A37))," ")</f>
        <v>-25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399</v>
      </c>
    </row>
    <row r="38" customFormat="false" ht="12.75" hidden="false" customHeight="false" outlineLevel="0" collapsed="false">
      <c r="A38" s="357" t="n">
        <v>46323</v>
      </c>
      <c r="B38" s="365" t="s">
        <v>356</v>
      </c>
      <c r="E38" s="367" t="s">
        <v>305</v>
      </c>
      <c r="G38" s="368" t="n">
        <v>120</v>
      </c>
      <c r="H38" s="340" t="n">
        <f aca="false">IF((G38&lt;&gt;0),IF((D38&gt;0)," ",G38)," ")</f>
        <v>120</v>
      </c>
      <c r="I38" s="369" t="n">
        <f aca="false">IF((G38&lt;&gt;0),IF((D38&gt;0)," ",(I$1-A38))," ")</f>
        <v>-28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341</v>
      </c>
    </row>
    <row r="39" customFormat="false" ht="12.75" hidden="false" customHeight="false" outlineLevel="0" collapsed="false">
      <c r="A39" s="357" t="n">
        <v>46326</v>
      </c>
      <c r="B39" s="365" t="s">
        <v>367</v>
      </c>
      <c r="E39" s="367" t="s">
        <v>368</v>
      </c>
      <c r="G39" s="368" t="n">
        <v>300</v>
      </c>
      <c r="H39" s="340" t="n">
        <f aca="false">IF((G39&lt;&gt;0),IF((D39&gt;0)," ",G39)," ")</f>
        <v>300</v>
      </c>
      <c r="I39" s="369" t="n">
        <f aca="false">IF((G39&lt;&gt;0),IF((D39&gt;0)," ",(I$1-A39))," ")</f>
        <v>-31</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369</v>
      </c>
    </row>
    <row r="40" customFormat="false" ht="12.75" hidden="false" customHeight="false" outlineLevel="0" collapsed="false">
      <c r="A40" s="357" t="n">
        <v>46326</v>
      </c>
      <c r="B40" s="365" t="s">
        <v>370</v>
      </c>
      <c r="C40" s="365" t="s">
        <v>496</v>
      </c>
      <c r="E40" s="367" t="s">
        <v>372</v>
      </c>
      <c r="G40" s="368" t="n">
        <v>3500</v>
      </c>
      <c r="H40" s="340" t="n">
        <f aca="false">IF((G40&lt;&gt;0),IF((D40&gt;0)," ",G40)," ")</f>
        <v>3500</v>
      </c>
      <c r="I40" s="369" t="n">
        <f aca="false">IF((G40&lt;&gt;0),IF((D40&gt;0)," ",(I$1-A40))," ")</f>
        <v>-31</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373</v>
      </c>
    </row>
    <row r="41" customFormat="false" ht="12.75" hidden="false" customHeight="false" outlineLevel="0" collapsed="false">
      <c r="A41" s="357" t="n">
        <v>46326</v>
      </c>
      <c r="B41" s="365" t="s">
        <v>374</v>
      </c>
      <c r="C41" s="365" t="s">
        <v>497</v>
      </c>
      <c r="E41" s="367" t="s">
        <v>372</v>
      </c>
      <c r="G41" s="368" t="n">
        <v>2200</v>
      </c>
      <c r="H41" s="340" t="n">
        <f aca="false">IF((G41&lt;&gt;0),IF((D41&gt;0)," ",G41)," ")</f>
        <v>2200</v>
      </c>
      <c r="I41" s="369" t="n">
        <f aca="false">IF((G41&lt;&gt;0),IF((D41&gt;0)," ",(I$1-A41))," ")</f>
        <v>-31</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373</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245</v>
      </c>
      <c r="B1" s="343" t="s">
        <v>246</v>
      </c>
      <c r="C1" s="344"/>
      <c r="D1" s="345" t="s">
        <v>247</v>
      </c>
      <c r="E1" s="346" t="n">
        <f aca="false">SUM(E4:E300)</f>
        <v>0</v>
      </c>
      <c r="F1" s="345" t="n">
        <f aca="false">SUM(F4:F300)</f>
        <v>35320</v>
      </c>
      <c r="G1" s="345" t="n">
        <f aca="false">SUM(G4:G300)</f>
        <v>0</v>
      </c>
      <c r="H1" s="347" t="n">
        <f aca="false">SUM(H4:H300)</f>
        <v>35320</v>
      </c>
      <c r="I1" s="348" t="n">
        <f aca="true">TODAY()</f>
        <v>46295</v>
      </c>
      <c r="J1" s="345" t="n">
        <f aca="false">SUM(J4:J300)</f>
        <v>0</v>
      </c>
      <c r="K1" s="349" t="n">
        <f aca="false">J1+SalesOct!K1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46329</v>
      </c>
      <c r="B4" s="336" t="s">
        <v>261</v>
      </c>
      <c r="C4" s="337" t="s">
        <v>498</v>
      </c>
      <c r="F4" s="336" t="n">
        <v>360</v>
      </c>
      <c r="H4" s="340" t="n">
        <f aca="false">IF((F4&lt;&gt;0),IF((D4&gt;0)," ",F4)," ")</f>
        <v>360</v>
      </c>
      <c r="I4" s="341" t="n">
        <f aca="false">IF((F4&lt;&gt;0),IF((D4&gt;0)," ",(I$1-A4))," ")</f>
        <v>-34</v>
      </c>
      <c r="BZ4" s="336" t="s">
        <v>260</v>
      </c>
    </row>
    <row r="5" customFormat="false" ht="12.75" hidden="false" customHeight="false" outlineLevel="0" collapsed="false">
      <c r="A5" s="357" t="n">
        <v>46331</v>
      </c>
      <c r="B5" s="336" t="s">
        <v>263</v>
      </c>
      <c r="C5" s="337" t="s">
        <v>499</v>
      </c>
      <c r="F5" s="336" t="n">
        <v>600</v>
      </c>
      <c r="H5" s="340" t="n">
        <f aca="false">IF((F5&lt;&gt;0),IF((D5&gt;0)," ",F5)," ")</f>
        <v>600</v>
      </c>
      <c r="I5" s="341" t="n">
        <f aca="false">IF((F5&lt;&gt;0),IF((D5&gt;0)," ",(I$1-A5))," ")</f>
        <v>-36</v>
      </c>
      <c r="BZ5" s="336" t="s">
        <v>260</v>
      </c>
    </row>
    <row r="6" customFormat="false" ht="12.75" hidden="false" customHeight="false" outlineLevel="0" collapsed="false">
      <c r="A6" s="357" t="n">
        <v>46334</v>
      </c>
      <c r="B6" s="336" t="s">
        <v>265</v>
      </c>
      <c r="C6" s="337" t="s">
        <v>500</v>
      </c>
      <c r="F6" s="336" t="n">
        <v>480</v>
      </c>
      <c r="H6" s="340" t="n">
        <f aca="false">IF((F6&lt;&gt;0),IF((D6&gt;0)," ",F6)," ")</f>
        <v>480</v>
      </c>
      <c r="I6" s="341" t="n">
        <f aca="false">IF((F6&lt;&gt;0),IF((D6&gt;0)," ",(I$1-A6))," ")</f>
        <v>-39</v>
      </c>
      <c r="BZ6" s="336" t="s">
        <v>267</v>
      </c>
    </row>
    <row r="7" customFormat="false" ht="12.75" hidden="false" customHeight="false" outlineLevel="0" collapsed="false">
      <c r="A7" s="357" t="n">
        <v>46336</v>
      </c>
      <c r="B7" s="336" t="s">
        <v>268</v>
      </c>
      <c r="C7" s="337" t="s">
        <v>501</v>
      </c>
      <c r="F7" s="336" t="n">
        <v>720</v>
      </c>
      <c r="H7" s="340" t="n">
        <f aca="false">IF((F7&lt;&gt;0),IF((D7&gt;0)," ",F7)," ")</f>
        <v>720</v>
      </c>
      <c r="I7" s="341" t="n">
        <f aca="false">IF((F7&lt;&gt;0),IF((D7&gt;0)," ",(I$1-A7))," ")</f>
        <v>-41</v>
      </c>
      <c r="BZ7" s="336" t="s">
        <v>267</v>
      </c>
    </row>
    <row r="8" customFormat="false" ht="12.75" hidden="false" customHeight="false" outlineLevel="0" collapsed="false">
      <c r="A8" s="357" t="n">
        <v>46338</v>
      </c>
      <c r="B8" s="336" t="s">
        <v>380</v>
      </c>
      <c r="C8" s="337" t="s">
        <v>502</v>
      </c>
      <c r="F8" s="336" t="n">
        <v>960</v>
      </c>
      <c r="H8" s="340" t="n">
        <f aca="false">IF((F8&lt;&gt;0),IF((D8&gt;0)," ",F8)," ")</f>
        <v>960</v>
      </c>
      <c r="I8" s="341" t="n">
        <f aca="false">IF((F8&lt;&gt;0),IF((D8&gt;0)," ",(I$1-A8))," ")</f>
        <v>-43</v>
      </c>
      <c r="BZ8" s="336" t="s">
        <v>267</v>
      </c>
    </row>
    <row r="9" customFormat="false" ht="12.75" hidden="false" customHeight="false" outlineLevel="0" collapsed="false">
      <c r="A9" s="357" t="n">
        <v>46341</v>
      </c>
      <c r="B9" s="336" t="s">
        <v>270</v>
      </c>
      <c r="C9" s="337" t="s">
        <v>503</v>
      </c>
      <c r="F9" s="336" t="n">
        <v>25000</v>
      </c>
      <c r="H9" s="340" t="n">
        <f aca="false">IF((F9&lt;&gt;0),IF((D9&gt;0)," ",F9)," ")</f>
        <v>25000</v>
      </c>
      <c r="I9" s="341" t="n">
        <f aca="false">IF((F9&lt;&gt;0),IF((D9&gt;0)," ",(I$1-A9))," ")</f>
        <v>-46</v>
      </c>
      <c r="BZ9" s="336" t="s">
        <v>267</v>
      </c>
    </row>
    <row r="10" customFormat="false" ht="12.75" hidden="false" customHeight="false" outlineLevel="0" collapsed="false">
      <c r="A10" s="357" t="n">
        <v>46344</v>
      </c>
      <c r="B10" s="336" t="s">
        <v>272</v>
      </c>
      <c r="C10" s="337" t="s">
        <v>504</v>
      </c>
      <c r="F10" s="336" t="n">
        <v>2400</v>
      </c>
      <c r="H10" s="340" t="n">
        <f aca="false">IF((F10&lt;&gt;0),IF((D10&gt;0)," ",F10)," ")</f>
        <v>2400</v>
      </c>
      <c r="I10" s="341" t="n">
        <f aca="false">IF((F10&lt;&gt;0),IF((D10&gt;0)," ",(I$1-A10))," ")</f>
        <v>-49</v>
      </c>
      <c r="BZ10" s="336" t="s">
        <v>267</v>
      </c>
    </row>
    <row r="11" customFormat="false" ht="12.75" hidden="false" customHeight="false" outlineLevel="0" collapsed="false">
      <c r="A11" s="357" t="n">
        <v>46346</v>
      </c>
      <c r="B11" s="336" t="s">
        <v>505</v>
      </c>
      <c r="C11" s="337" t="s">
        <v>506</v>
      </c>
      <c r="F11" s="336" t="n">
        <v>3600</v>
      </c>
      <c r="H11" s="340" t="n">
        <f aca="false">IF((F11&lt;&gt;0),IF((D11&gt;0)," ",F11)," ")</f>
        <v>3600</v>
      </c>
      <c r="I11" s="341" t="n">
        <f aca="false">IF((F11&lt;&gt;0),IF((D11&gt;0)," ",(I$1-A11))," ")</f>
        <v>-51</v>
      </c>
      <c r="BZ11" s="336" t="s">
        <v>385</v>
      </c>
    </row>
    <row r="12" customFormat="false" ht="12.75" hidden="false" customHeight="false" outlineLevel="0" collapsed="false">
      <c r="A12" s="357" t="n">
        <v>46351</v>
      </c>
      <c r="B12" s="336" t="s">
        <v>387</v>
      </c>
      <c r="C12" s="337" t="s">
        <v>507</v>
      </c>
      <c r="F12" s="336" t="n">
        <v>1200</v>
      </c>
      <c r="H12" s="340" t="n">
        <f aca="false">IF((F12&lt;&gt;0),IF((D12&gt;0)," ",F12)," ")</f>
        <v>1200</v>
      </c>
      <c r="I12" s="341" t="n">
        <f aca="false">IF((F12&lt;&gt;0),IF((D12&gt;0)," ",(I$1-A12))," ")</f>
        <v>-56</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G4+PurchasesOct!A1</f>
        <v>533.5</v>
      </c>
      <c r="B1" s="372" t="s">
        <v>280</v>
      </c>
      <c r="C1" s="346" t="n">
        <f aca="false">PurchasesOct!C1+PurchasesNov!F1+SalesNov!$E$1</f>
        <v>970</v>
      </c>
      <c r="D1" s="371" t="s">
        <v>247</v>
      </c>
      <c r="E1" s="373" t="str">
        <f aca="false">IF((G1-SUM(J1:W1)&lt;&gt;0),(G1-SUM(J1:W1))," ")</f>
        <v> </v>
      </c>
      <c r="F1" s="346" t="n">
        <f aca="false">SUM(F5:F300)</f>
        <v>180</v>
      </c>
      <c r="G1" s="345" t="n">
        <f aca="false">SUM(G4:G300)</f>
        <v>12636</v>
      </c>
      <c r="H1" s="374" t="n">
        <f aca="false">SUM(H5:H300)</f>
        <v>12537</v>
      </c>
      <c r="I1" s="375" t="n">
        <f aca="true">TODAY()</f>
        <v>46295</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663</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99</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402" t="n">
        <f aca="false">IF((C1&lt;Admin!$F$22),((C1-PurchasesOct!C1)*Admin!$G$21),(C1*Admin!$G$21-(C1-Admin!$F$21)*(Admin!$G$21-Admin!$G$22)-PurchasesOct!A1))</f>
        <v>99</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46327</v>
      </c>
      <c r="B5" s="365" t="s">
        <v>322</v>
      </c>
      <c r="E5" s="367" t="s">
        <v>323</v>
      </c>
      <c r="G5" s="368" t="n">
        <v>1200</v>
      </c>
      <c r="H5" s="340" t="n">
        <f aca="false">IF((G5&lt;&gt;0),IF((D5&gt;0)," ",G5)," ")</f>
        <v>1200</v>
      </c>
      <c r="I5" s="369" t="n">
        <f aca="false">IF((G5&lt;&gt;0),IF((D5&gt;0)," ",(I$1-A5))," ")</f>
        <v>-32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46327</v>
      </c>
      <c r="B6" s="365" t="s">
        <v>325</v>
      </c>
      <c r="E6" s="367" t="s">
        <v>326</v>
      </c>
      <c r="G6" s="368" t="n">
        <v>30</v>
      </c>
      <c r="H6" s="340" t="n">
        <f aca="false">IF((G6&lt;&gt;0),IF((D6&gt;0)," ",G6)," ")</f>
        <v>30</v>
      </c>
      <c r="I6" s="369" t="n">
        <f aca="false">IF((G6&lt;&gt;0),IF((D6&gt;0)," ",(I$1-A6))," ")</f>
        <v>-32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46327</v>
      </c>
      <c r="B7" s="365" t="s">
        <v>328</v>
      </c>
      <c r="E7" s="367" t="s">
        <v>326</v>
      </c>
      <c r="G7" s="368" t="n">
        <v>15</v>
      </c>
      <c r="H7" s="340" t="n">
        <f aca="false">IF((G7&lt;&gt;0),IF((D7&gt;0)," ",G7)," ")</f>
        <v>15</v>
      </c>
      <c r="I7" s="369" t="n">
        <f aca="false">IF((G7&lt;&gt;0),IF((D7&gt;0)," ",(I$1-A7))," ")</f>
        <v>-32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46327</v>
      </c>
      <c r="B8" s="365" t="s">
        <v>329</v>
      </c>
      <c r="E8" s="367" t="s">
        <v>330</v>
      </c>
      <c r="G8" s="368" t="n">
        <v>45</v>
      </c>
      <c r="H8" s="340" t="n">
        <f aca="false">IF((G8&lt;&gt;0),IF((D8&gt;0)," ",G8)," ")</f>
        <v>45</v>
      </c>
      <c r="I8" s="369" t="n">
        <f aca="false">IF((G8&lt;&gt;0),IF((D8&gt;0)," ",(I$1-A8))," ")</f>
        <v>-32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46327</v>
      </c>
      <c r="B9" s="365" t="s">
        <v>334</v>
      </c>
      <c r="E9" s="367" t="s">
        <v>330</v>
      </c>
      <c r="G9" s="368" t="n">
        <v>24</v>
      </c>
      <c r="H9" s="340" t="n">
        <f aca="false">IF((G9&lt;&gt;0),IF((D9&gt;0)," ",G9)," ")</f>
        <v>24</v>
      </c>
      <c r="I9" s="369" t="n">
        <f aca="false">IF((G9&lt;&gt;0),IF((D9&gt;0)," ",(I$1-A9))," ")</f>
        <v>-32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46327</v>
      </c>
      <c r="B10" s="365" t="s">
        <v>335</v>
      </c>
      <c r="E10" s="367" t="s">
        <v>326</v>
      </c>
      <c r="G10" s="368" t="n">
        <v>18</v>
      </c>
      <c r="H10" s="340" t="n">
        <f aca="false">IF((G10&lt;&gt;0),IF((D10&gt;0)," ",G10)," ")</f>
        <v>18</v>
      </c>
      <c r="I10" s="369" t="n">
        <f aca="false">IF((G10&lt;&gt;0),IF((D10&gt;0)," ",(I$1-A10))," ")</f>
        <v>-32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46329</v>
      </c>
      <c r="B11" s="365" t="s">
        <v>336</v>
      </c>
      <c r="E11" s="367" t="s">
        <v>330</v>
      </c>
      <c r="G11" s="368" t="n">
        <v>180</v>
      </c>
      <c r="H11" s="340" t="n">
        <f aca="false">IF((G11&lt;&gt;0),IF((D11&gt;0)," ",G11)," ")</f>
        <v>180</v>
      </c>
      <c r="I11" s="369" t="n">
        <f aca="false">IF((G11&lt;&gt;0),IF((D11&gt;0)," ",(I$1-A11))," ")</f>
        <v>-34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46329</v>
      </c>
      <c r="B12" s="365" t="s">
        <v>337</v>
      </c>
      <c r="E12" s="367" t="s">
        <v>330</v>
      </c>
      <c r="G12" s="368" t="n">
        <v>22</v>
      </c>
      <c r="H12" s="340" t="n">
        <f aca="false">IF((G12&lt;&gt;0),IF((D12&gt;0)," ",G12)," ")</f>
        <v>22</v>
      </c>
      <c r="I12" s="369" t="n">
        <f aca="false">IF((G12&lt;&gt;0),IF((D12&gt;0)," ",(I$1-A12))," ")</f>
        <v>-34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46331</v>
      </c>
      <c r="B13" s="365" t="s">
        <v>339</v>
      </c>
      <c r="E13" s="367" t="s">
        <v>330</v>
      </c>
      <c r="G13" s="368" t="n">
        <v>24</v>
      </c>
      <c r="H13" s="340" t="n">
        <f aca="false">IF((G13&lt;&gt;0),IF((D13&gt;0)," ",G13)," ")</f>
        <v>24</v>
      </c>
      <c r="I13" s="369" t="n">
        <f aca="false">IF((G13&lt;&gt;0),IF((D13&gt;0)," ",(I$1-A13))," ")</f>
        <v>-36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46331</v>
      </c>
      <c r="B14" s="365" t="s">
        <v>340</v>
      </c>
      <c r="E14" s="367" t="s">
        <v>305</v>
      </c>
      <c r="G14" s="368" t="n">
        <v>180</v>
      </c>
      <c r="H14" s="340" t="n">
        <f aca="false">IF((G14&lt;&gt;0),IF((D14&gt;0)," ",G14)," ")</f>
        <v>180</v>
      </c>
      <c r="I14" s="369" t="n">
        <f aca="false">IF((G14&lt;&gt;0),IF((D14&gt;0)," ",(I$1-A14))," ")</f>
        <v>-36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46332</v>
      </c>
      <c r="B15" s="365" t="s">
        <v>390</v>
      </c>
      <c r="E15" s="367" t="s">
        <v>344</v>
      </c>
      <c r="G15" s="368" t="n">
        <v>72</v>
      </c>
      <c r="H15" s="340" t="n">
        <f aca="false">IF((G15&lt;&gt;0),IF((D15&gt;0)," ",G15)," ")</f>
        <v>72</v>
      </c>
      <c r="I15" s="369" t="n">
        <f aca="false">IF((G15&lt;&gt;0),IF((D15&gt;0)," ",(I$1-A15))," ")</f>
        <v>-37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46334</v>
      </c>
      <c r="B16" s="365" t="s">
        <v>343</v>
      </c>
      <c r="E16" s="367" t="s">
        <v>344</v>
      </c>
      <c r="G16" s="368" t="n">
        <v>48</v>
      </c>
      <c r="H16" s="340" t="n">
        <f aca="false">IF((G16&lt;&gt;0),IF((D16&gt;0)," ",G16)," ")</f>
        <v>48</v>
      </c>
      <c r="I16" s="369" t="n">
        <f aca="false">IF((G16&lt;&gt;0),IF((D16&gt;0)," ",(I$1-A16))," ")</f>
        <v>-39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46336</v>
      </c>
      <c r="B17" s="365" t="s">
        <v>346</v>
      </c>
      <c r="E17" s="367" t="s">
        <v>330</v>
      </c>
      <c r="G17" s="368" t="n">
        <v>36</v>
      </c>
      <c r="H17" s="340" t="n">
        <f aca="false">IF((G17&lt;&gt;0),IF((D17&gt;0)," ",G17)," ")</f>
        <v>36</v>
      </c>
      <c r="I17" s="369" t="n">
        <f aca="false">IF((G17&lt;&gt;0),IF((D17&gt;0)," ",(I$1-A17))," ")</f>
        <v>-41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46338</v>
      </c>
      <c r="B18" s="365" t="s">
        <v>352</v>
      </c>
      <c r="E18" s="367" t="s">
        <v>305</v>
      </c>
      <c r="G18" s="368" t="n">
        <v>18</v>
      </c>
      <c r="H18" s="340" t="n">
        <f aca="false">IF((G18&lt;&gt;0),IF((D18&gt;0)," ",G18)," ")</f>
        <v>18</v>
      </c>
      <c r="I18" s="369" t="n">
        <f aca="false">IF((G18&lt;&gt;0),IF((D18&gt;0)," ",(I$1-A18))," ")</f>
        <v>-43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341</v>
      </c>
    </row>
    <row r="19" customFormat="false" ht="12.75" hidden="false" customHeight="false" outlineLevel="0" collapsed="false">
      <c r="A19" s="357" t="n">
        <v>46340</v>
      </c>
      <c r="B19" s="365" t="s">
        <v>354</v>
      </c>
      <c r="E19" s="367" t="s">
        <v>344</v>
      </c>
      <c r="G19" s="368" t="n">
        <v>24</v>
      </c>
      <c r="H19" s="340" t="n">
        <f aca="false">IF((G19&lt;&gt;0),IF((D19&gt;0)," ",G19)," ")</f>
        <v>24</v>
      </c>
      <c r="I19" s="369" t="n">
        <f aca="false">IF((G19&lt;&gt;0),IF((D19&gt;0)," ",(I$1-A19))," ")</f>
        <v>-45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345</v>
      </c>
    </row>
    <row r="20" customFormat="false" ht="12.75" hidden="false" customHeight="false" outlineLevel="0" collapsed="false">
      <c r="A20" s="357" t="n">
        <v>46340</v>
      </c>
      <c r="B20" s="365" t="s">
        <v>355</v>
      </c>
      <c r="E20" s="367" t="s">
        <v>344</v>
      </c>
      <c r="G20" s="368" t="n">
        <v>12</v>
      </c>
      <c r="H20" s="340" t="n">
        <f aca="false">IF((G20&lt;&gt;0),IF((D20&gt;0)," ",G20)," ")</f>
        <v>12</v>
      </c>
      <c r="I20" s="369" t="n">
        <f aca="false">IF((G20&lt;&gt;0),IF((D20&gt;0)," ",(I$1-A20))," ")</f>
        <v>-45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345</v>
      </c>
    </row>
    <row r="21" customFormat="false" ht="12.75" hidden="false" customHeight="false" outlineLevel="0" collapsed="false">
      <c r="A21" s="357" t="n">
        <v>46341</v>
      </c>
      <c r="B21" s="365" t="s">
        <v>356</v>
      </c>
      <c r="D21" s="365"/>
      <c r="E21" s="367" t="s">
        <v>305</v>
      </c>
      <c r="G21" s="368" t="n">
        <v>150</v>
      </c>
      <c r="H21" s="340" t="n">
        <f aca="false">IF((G21&lt;&gt;0),IF((D21&gt;0)," ",G21)," ")</f>
        <v>150</v>
      </c>
      <c r="I21" s="369" t="n">
        <f aca="false">IF((G21&lt;&gt;0),IF((D21&gt;0)," ",(I$1-A21))," ")</f>
        <v>-46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46341</v>
      </c>
      <c r="B22" s="365" t="s">
        <v>357</v>
      </c>
      <c r="D22" s="395"/>
      <c r="E22" s="367" t="s">
        <v>326</v>
      </c>
      <c r="G22" s="368" t="n">
        <v>12</v>
      </c>
      <c r="H22" s="340" t="n">
        <f aca="false">IF((G22&lt;&gt;0),IF((D22&gt;0)," ",G22)," ")</f>
        <v>12</v>
      </c>
      <c r="I22" s="369" t="n">
        <f aca="false">IF((G22&lt;&gt;0),IF((D22&gt;0)," ",(I$1-A22))," ")</f>
        <v>-46</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327</v>
      </c>
    </row>
    <row r="23" customFormat="false" ht="12.75" hidden="false" customHeight="false" outlineLevel="0" collapsed="false">
      <c r="A23" s="357" t="n">
        <v>46341</v>
      </c>
      <c r="B23" s="365" t="s">
        <v>396</v>
      </c>
      <c r="E23" s="367" t="s">
        <v>350</v>
      </c>
      <c r="G23" s="368" t="n">
        <v>540</v>
      </c>
      <c r="H23" s="340" t="n">
        <f aca="false">IF((G23&lt;&gt;0),IF((D23&gt;0)," ",G23)," ")</f>
        <v>540</v>
      </c>
      <c r="I23" s="369" t="n">
        <f aca="false">IF((G23&lt;&gt;0),IF((D23&gt;0)," ",(I$1-A23))," ")</f>
        <v>-46</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46341</v>
      </c>
      <c r="B24" s="365" t="s">
        <v>419</v>
      </c>
      <c r="C24" s="365" t="s">
        <v>508</v>
      </c>
      <c r="E24" s="367" t="s">
        <v>421</v>
      </c>
      <c r="G24" s="368" t="n">
        <v>3000</v>
      </c>
      <c r="H24" s="340" t="n">
        <f aca="false">IF((G24&lt;&gt;0),IF((D24&gt;0)," ",G24)," ")</f>
        <v>3000</v>
      </c>
      <c r="I24" s="369" t="n">
        <f aca="false">IF((G24&lt;&gt;0),IF((D24&gt;0)," ",(I$1-A24))," ")</f>
        <v>-46</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422</v>
      </c>
    </row>
    <row r="25" customFormat="false" ht="12.75" hidden="false" customHeight="false" outlineLevel="0" collapsed="false">
      <c r="A25" s="357" t="n">
        <v>46342</v>
      </c>
      <c r="B25" s="365" t="s">
        <v>400</v>
      </c>
      <c r="E25" s="367" t="s">
        <v>326</v>
      </c>
      <c r="G25" s="368" t="n">
        <v>30</v>
      </c>
      <c r="H25" s="340" t="n">
        <f aca="false">IF((G25&lt;&gt;0),IF((D25&gt;0)," ",G25)," ")</f>
        <v>30</v>
      </c>
      <c r="I25" s="369" t="n">
        <f aca="false">IF((G25&lt;&gt;0),IF((D25&gt;0)," ",(I$1-A25))," ")</f>
        <v>-47</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46344</v>
      </c>
      <c r="B26" s="365" t="s">
        <v>358</v>
      </c>
      <c r="E26" s="367" t="s">
        <v>305</v>
      </c>
      <c r="G26" s="368" t="n">
        <v>96</v>
      </c>
      <c r="H26" s="340" t="n">
        <f aca="false">IF((G26&lt;&gt;0),IF((D26&gt;0)," ",G26)," ")</f>
        <v>96</v>
      </c>
      <c r="I26" s="369" t="n">
        <f aca="false">IF((G26&lt;&gt;0),IF((D26&gt;0)," ",(I$1-A26))," ")</f>
        <v>-49</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341</v>
      </c>
    </row>
    <row r="27" customFormat="false" ht="12.75" hidden="false" customHeight="false" outlineLevel="0" collapsed="false">
      <c r="A27" s="357" t="n">
        <v>46346</v>
      </c>
      <c r="B27" s="365" t="s">
        <v>359</v>
      </c>
      <c r="E27" s="367" t="s">
        <v>326</v>
      </c>
      <c r="G27" s="368" t="n">
        <v>60</v>
      </c>
      <c r="H27" s="340" t="n">
        <f aca="false">IF((G27&lt;&gt;0),IF((D27&gt;0)," ",G27)," ")</f>
        <v>60</v>
      </c>
      <c r="I27" s="369" t="n">
        <f aca="false">IF((G27&lt;&gt;0),IF((D27&gt;0)," ",(I$1-A27))," ")</f>
        <v>-51</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327</v>
      </c>
    </row>
    <row r="28" customFormat="false" ht="12.75" hidden="false" customHeight="false" outlineLevel="0" collapsed="false">
      <c r="A28" s="357" t="n">
        <v>46346</v>
      </c>
      <c r="B28" s="365" t="s">
        <v>401</v>
      </c>
      <c r="E28" s="367" t="s">
        <v>330</v>
      </c>
      <c r="G28" s="368" t="n">
        <v>240</v>
      </c>
      <c r="H28" s="340" t="n">
        <f aca="false">IF((G28&lt;&gt;0),IF((D28&gt;0)," ",G28)," ")</f>
        <v>240</v>
      </c>
      <c r="I28" s="369" t="n">
        <f aca="false">IF((G28&lt;&gt;0),IF((D28&gt;0)," ",(I$1-A28))," ")</f>
        <v>-51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402</v>
      </c>
    </row>
    <row r="29" customFormat="false" ht="12.75" hidden="false" customHeight="false" outlineLevel="0" collapsed="false">
      <c r="A29" s="357" t="n">
        <v>46346</v>
      </c>
      <c r="B29" s="365" t="s">
        <v>403</v>
      </c>
      <c r="E29" s="367" t="s">
        <v>350</v>
      </c>
      <c r="G29" s="368" t="n">
        <v>300</v>
      </c>
      <c r="H29" s="340" t="n">
        <f aca="false">IF((G29&lt;&gt;0),IF((D29&gt;0)," ",G29)," ")</f>
        <v>300</v>
      </c>
      <c r="I29" s="369" t="n">
        <f aca="false">IF((G29&lt;&gt;0),IF((D29&gt;0)," ",(I$1-A29))," ")</f>
        <v>-51</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46347</v>
      </c>
      <c r="B30" s="365" t="s">
        <v>363</v>
      </c>
      <c r="E30" s="367" t="s">
        <v>344</v>
      </c>
      <c r="G30" s="368" t="n">
        <v>8</v>
      </c>
      <c r="H30" s="340" t="n">
        <f aca="false">IF((G30&lt;&gt;0),IF((D30&gt;0)," ",G30)," ")</f>
        <v>8</v>
      </c>
      <c r="I30" s="369" t="n">
        <f aca="false">IF((G30&lt;&gt;0),IF((D30&gt;0)," ",(I$1-A30))," ")</f>
        <v>-52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345</v>
      </c>
    </row>
    <row r="31" customFormat="false" ht="12.75" hidden="false" customHeight="false" outlineLevel="0" collapsed="false">
      <c r="A31" s="357" t="n">
        <v>46348</v>
      </c>
      <c r="B31" s="365" t="s">
        <v>364</v>
      </c>
      <c r="E31" s="367" t="s">
        <v>330</v>
      </c>
      <c r="G31" s="368" t="n">
        <v>18</v>
      </c>
      <c r="H31" s="340" t="n">
        <f aca="false">IF((G31&lt;&gt;0),IF((D31&gt;0)," ",G31)," ")</f>
        <v>18</v>
      </c>
      <c r="I31" s="369" t="n">
        <f aca="false">IF((G31&lt;&gt;0),IF((D31&gt;0)," ",(I$1-A31))," ")</f>
        <v>-53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338</v>
      </c>
    </row>
    <row r="32" customFormat="false" ht="12.75" hidden="false" customHeight="false" outlineLevel="0" collapsed="false">
      <c r="A32" s="357" t="n">
        <v>46351</v>
      </c>
      <c r="B32" s="365" t="s">
        <v>365</v>
      </c>
      <c r="E32" s="367" t="s">
        <v>330</v>
      </c>
      <c r="G32" s="368" t="n">
        <v>15</v>
      </c>
      <c r="H32" s="340" t="n">
        <f aca="false">IF((G32&lt;&gt;0),IF((D32&gt;0)," ",G32)," ")</f>
        <v>15</v>
      </c>
      <c r="I32" s="369" t="n">
        <f aca="false">IF((G32&lt;&gt;0),IF((D32&gt;0)," ",(I$1-A32))," ")</f>
        <v>-56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338</v>
      </c>
    </row>
    <row r="33" customFormat="false" ht="12.75" hidden="false" customHeight="false" outlineLevel="0" collapsed="false">
      <c r="A33" s="357" t="n">
        <v>46351</v>
      </c>
      <c r="B33" s="365" t="s">
        <v>366</v>
      </c>
      <c r="E33" s="367" t="s">
        <v>305</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46354</v>
      </c>
      <c r="B34" s="365" t="s">
        <v>356</v>
      </c>
      <c r="E34" s="367" t="s">
        <v>305</v>
      </c>
      <c r="G34" s="368" t="n">
        <v>120</v>
      </c>
      <c r="H34" s="340" t="n">
        <f aca="false">IF((G34&lt;&gt;0),IF((D34&gt;0)," ",G34)," ")</f>
        <v>120</v>
      </c>
      <c r="I34" s="369" t="n">
        <f aca="false">IF((G34&lt;&gt;0),IF((D34&gt;0)," ",(I$1-A34))," ")</f>
        <v>-59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46356</v>
      </c>
      <c r="B35" s="365" t="s">
        <v>367</v>
      </c>
      <c r="E35" s="367" t="s">
        <v>368</v>
      </c>
      <c r="G35" s="368" t="n">
        <v>300</v>
      </c>
      <c r="H35" s="340" t="n">
        <f aca="false">IF((G35&lt;&gt;0),IF((D35&gt;0)," ",G35)," ")</f>
        <v>300</v>
      </c>
      <c r="I35" s="369" t="n">
        <f aca="false">IF((G35&lt;&gt;0),IF((D35&gt;0)," ",(I$1-A35))," ")</f>
        <v>-61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369</v>
      </c>
    </row>
    <row r="36" customFormat="false" ht="12.75" hidden="false" customHeight="false" outlineLevel="0" collapsed="false">
      <c r="A36" s="357" t="n">
        <v>46356</v>
      </c>
      <c r="B36" s="365" t="s">
        <v>370</v>
      </c>
      <c r="C36" s="365" t="s">
        <v>509</v>
      </c>
      <c r="E36" s="367" t="s">
        <v>372</v>
      </c>
      <c r="G36" s="368" t="n">
        <v>3500</v>
      </c>
      <c r="H36" s="340" t="n">
        <f aca="false">IF((G36&lt;&gt;0),IF((D36&gt;0)," ",G36)," ")</f>
        <v>3500</v>
      </c>
      <c r="I36" s="369" t="n">
        <f aca="false">IF((G36&lt;&gt;0),IF((D36&gt;0)," ",(I$1-A36))," ")</f>
        <v>-61</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373</v>
      </c>
    </row>
    <row r="37" customFormat="false" ht="12.75" hidden="false" customHeight="false" outlineLevel="0" collapsed="false">
      <c r="A37" s="357" t="n">
        <v>46356</v>
      </c>
      <c r="B37" s="365" t="s">
        <v>374</v>
      </c>
      <c r="C37" s="365" t="s">
        <v>510</v>
      </c>
      <c r="E37" s="367" t="s">
        <v>372</v>
      </c>
      <c r="G37" s="368" t="n">
        <v>2200</v>
      </c>
      <c r="H37" s="340" t="n">
        <f aca="false">IF((G37&lt;&gt;0),IF((D37&gt;0)," ",G37)," ")</f>
        <v>2200</v>
      </c>
      <c r="I37" s="369" t="n">
        <f aca="false">IF((G37&lt;&gt;0),IF((D37&gt;0)," ",(I$1-A37))," ")</f>
        <v>-61</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245</v>
      </c>
      <c r="B1" s="343" t="s">
        <v>246</v>
      </c>
      <c r="C1" s="344"/>
      <c r="D1" s="345" t="s">
        <v>247</v>
      </c>
      <c r="E1" s="346" t="n">
        <f aca="false">SUM(E4:E300)</f>
        <v>0</v>
      </c>
      <c r="F1" s="345" t="n">
        <f aca="false">SUM(F4:F300)</f>
        <v>32800</v>
      </c>
      <c r="G1" s="345" t="n">
        <f aca="false">SUM(G4:G300)</f>
        <v>0</v>
      </c>
      <c r="H1" s="347" t="n">
        <f aca="false">SUM(H4:H300)</f>
        <v>32800</v>
      </c>
      <c r="I1" s="348" t="n">
        <f aca="true">TODAY()</f>
        <v>46295</v>
      </c>
      <c r="J1" s="345" t="n">
        <f aca="false">SUM(J4:J300)</f>
        <v>0</v>
      </c>
      <c r="K1" s="349" t="n">
        <f aca="false">J1+SalesNov!K1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46359</v>
      </c>
      <c r="B4" s="336" t="s">
        <v>261</v>
      </c>
      <c r="C4" s="337" t="s">
        <v>511</v>
      </c>
      <c r="F4" s="336" t="n">
        <v>360</v>
      </c>
      <c r="H4" s="340" t="n">
        <f aca="false">IF((F4&lt;&gt;0),IF((D4&gt;0)," ",F4)," ")</f>
        <v>360</v>
      </c>
      <c r="I4" s="341" t="n">
        <f aca="false">IF((F4&lt;&gt;0),IF((D4&gt;0)," ",(I$1-A4))," ")</f>
        <v>-64</v>
      </c>
      <c r="BZ4" s="336" t="s">
        <v>260</v>
      </c>
    </row>
    <row r="5" customFormat="false" ht="12.75" hidden="false" customHeight="false" outlineLevel="0" collapsed="false">
      <c r="A5" s="357" t="n">
        <v>46361</v>
      </c>
      <c r="B5" s="336" t="s">
        <v>263</v>
      </c>
      <c r="C5" s="337" t="s">
        <v>512</v>
      </c>
      <c r="F5" s="336" t="n">
        <v>600</v>
      </c>
      <c r="H5" s="340" t="n">
        <f aca="false">IF((F5&lt;&gt;0),IF((D5&gt;0)," ",F5)," ")</f>
        <v>600</v>
      </c>
      <c r="I5" s="341" t="n">
        <f aca="false">IF((F5&lt;&gt;0),IF((D5&gt;0)," ",(I$1-A5))," ")</f>
        <v>-66</v>
      </c>
      <c r="BZ5" s="336" t="s">
        <v>260</v>
      </c>
    </row>
    <row r="6" customFormat="false" ht="12.75" hidden="false" customHeight="false" outlineLevel="0" collapsed="false">
      <c r="A6" s="357" t="n">
        <v>46364</v>
      </c>
      <c r="B6" s="336" t="s">
        <v>265</v>
      </c>
      <c r="C6" s="337" t="s">
        <v>513</v>
      </c>
      <c r="F6" s="336" t="n">
        <v>480</v>
      </c>
      <c r="H6" s="340" t="n">
        <f aca="false">IF((F6&lt;&gt;0),IF((D6&gt;0)," ",F6)," ")</f>
        <v>480</v>
      </c>
      <c r="I6" s="341" t="n">
        <f aca="false">IF((F6&lt;&gt;0),IF((D6&gt;0)," ",(I$1-A6))," ")</f>
        <v>-69</v>
      </c>
      <c r="BZ6" s="336" t="s">
        <v>267</v>
      </c>
    </row>
    <row r="7" customFormat="false" ht="12.75" hidden="false" customHeight="false" outlineLevel="0" collapsed="false">
      <c r="A7" s="357" t="n">
        <v>46366</v>
      </c>
      <c r="B7" s="336" t="s">
        <v>268</v>
      </c>
      <c r="C7" s="337" t="s">
        <v>514</v>
      </c>
      <c r="F7" s="336" t="n">
        <v>720</v>
      </c>
      <c r="H7" s="340" t="n">
        <f aca="false">IF((F7&lt;&gt;0),IF((D7&gt;0)," ",F7)," ")</f>
        <v>720</v>
      </c>
      <c r="I7" s="341" t="n">
        <f aca="false">IF((F7&lt;&gt;0),IF((D7&gt;0)," ",(I$1-A7))," ")</f>
        <v>-71</v>
      </c>
      <c r="BZ7" s="336" t="s">
        <v>267</v>
      </c>
    </row>
    <row r="8" customFormat="false" ht="12.75" hidden="false" customHeight="false" outlineLevel="0" collapsed="false">
      <c r="A8" s="357" t="n">
        <v>46371</v>
      </c>
      <c r="B8" s="336" t="s">
        <v>270</v>
      </c>
      <c r="C8" s="337" t="s">
        <v>515</v>
      </c>
      <c r="F8" s="336" t="n">
        <v>25000</v>
      </c>
      <c r="H8" s="340" t="n">
        <f aca="false">IF((F8&lt;&gt;0),IF((D8&gt;0)," ",F8)," ")</f>
        <v>25000</v>
      </c>
      <c r="I8" s="341" t="n">
        <f aca="false">IF((F8&lt;&gt;0),IF((D8&gt;0)," ",(I$1-A8))," ")</f>
        <v>-76</v>
      </c>
      <c r="BZ8" s="336" t="s">
        <v>267</v>
      </c>
    </row>
    <row r="9" customFormat="false" ht="12.75" hidden="false" customHeight="false" outlineLevel="0" collapsed="false">
      <c r="A9" s="357" t="n">
        <v>46374</v>
      </c>
      <c r="B9" s="336" t="s">
        <v>272</v>
      </c>
      <c r="C9" s="337" t="s">
        <v>516</v>
      </c>
      <c r="F9" s="336" t="n">
        <v>2400</v>
      </c>
      <c r="H9" s="340" t="n">
        <f aca="false">IF((F9&lt;&gt;0),IF((D9&gt;0)," ",F9)," ")</f>
        <v>2400</v>
      </c>
      <c r="I9" s="341" t="n">
        <f aca="false">IF((F9&lt;&gt;0),IF((D9&gt;0)," ",(I$1-A9))," ")</f>
        <v>-79</v>
      </c>
      <c r="BZ9" s="336" t="s">
        <v>267</v>
      </c>
    </row>
    <row r="10" customFormat="false" ht="12.75" hidden="false" customHeight="false" outlineLevel="0" collapsed="false">
      <c r="A10" s="357" t="n">
        <v>46376</v>
      </c>
      <c r="B10" s="336" t="s">
        <v>274</v>
      </c>
      <c r="C10" s="337" t="s">
        <v>517</v>
      </c>
      <c r="F10" s="336" t="n">
        <v>1800</v>
      </c>
      <c r="H10" s="340" t="n">
        <f aca="false">IF((F10&lt;&gt;0),IF((D10&gt;0)," ",F10)," ")</f>
        <v>1800</v>
      </c>
      <c r="I10" s="341" t="n">
        <f aca="false">IF((F10&lt;&gt;0),IF((D10&gt;0)," ",(I$1-A10))," ")</f>
        <v>-81</v>
      </c>
      <c r="BZ10" s="336" t="s">
        <v>267</v>
      </c>
    </row>
    <row r="11" customFormat="false" ht="12.75" hidden="false" customHeight="false" outlineLevel="0" collapsed="false">
      <c r="A11" s="357" t="n">
        <v>46378</v>
      </c>
      <c r="B11" s="336" t="s">
        <v>416</v>
      </c>
      <c r="C11" s="337" t="s">
        <v>518</v>
      </c>
      <c r="F11" s="336" t="n">
        <v>1440</v>
      </c>
      <c r="H11" s="340" t="n">
        <f aca="false">IF((F11&lt;&gt;0),IF((D11&gt;0)," ",F11)," ")</f>
        <v>1440</v>
      </c>
      <c r="I11" s="341" t="n">
        <f aca="false">IF((F11&lt;&gt;0),IF((D11&gt;0)," ",(I$1-A11))," ")</f>
        <v>-83</v>
      </c>
      <c r="BZ11" s="336" t="s">
        <v>267</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G4+PurchasesNov!A1</f>
        <v>594</v>
      </c>
      <c r="B1" s="372" t="s">
        <v>280</v>
      </c>
      <c r="C1" s="346" t="n">
        <f aca="false">PurchasesNov!C1+PurchasesDec!F1+SalesDec!$E$1</f>
        <v>1080</v>
      </c>
      <c r="D1" s="371" t="s">
        <v>247</v>
      </c>
      <c r="E1" s="373" t="str">
        <f aca="false">IF((G1-SUM(J1:W1)&lt;&gt;0),(G1-SUM(J1:W1))," ")</f>
        <v> </v>
      </c>
      <c r="F1" s="346" t="n">
        <f aca="false">SUM(F5:F300)</f>
        <v>110</v>
      </c>
      <c r="G1" s="345" t="n">
        <f aca="false">SUM(G4:G300)</f>
        <v>15162.5</v>
      </c>
      <c r="H1" s="374" t="n">
        <f aca="false">SUM(H5:H300)</f>
        <v>15102</v>
      </c>
      <c r="I1" s="375" t="n">
        <f aca="true">TODAY()</f>
        <v>46295</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624.5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60.5</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402" t="n">
        <f aca="false">IF((C1&lt;Admin!$F$22),((C1-PurchasesNov!C1)*Admin!$G$21),(C1*Admin!$G$21-(C1-Admin!$F$21)*(Admin!$G$21-Admin!$G$22)-PurchasesNov!A1))</f>
        <v>60.5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46357</v>
      </c>
      <c r="B5" s="365" t="s">
        <v>322</v>
      </c>
      <c r="E5" s="367" t="s">
        <v>323</v>
      </c>
      <c r="G5" s="368" t="n">
        <v>1200</v>
      </c>
      <c r="H5" s="340" t="n">
        <f aca="false">IF((G5&lt;&gt;0),IF((D5&gt;0)," ",G5)," ")</f>
        <v>1200</v>
      </c>
      <c r="I5" s="369" t="n">
        <f aca="false">IF((G5&lt;&gt;0),IF((D5&gt;0)," ",(I$1-A5))," ")</f>
        <v>-62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46357</v>
      </c>
      <c r="B6" s="365" t="s">
        <v>325</v>
      </c>
      <c r="E6" s="367" t="s">
        <v>326</v>
      </c>
      <c r="G6" s="368" t="n">
        <v>30</v>
      </c>
      <c r="H6" s="340" t="n">
        <f aca="false">IF((G6&lt;&gt;0),IF((D6&gt;0)," ",G6)," ")</f>
        <v>30</v>
      </c>
      <c r="I6" s="369" t="n">
        <f aca="false">IF((G6&lt;&gt;0),IF((D6&gt;0)," ",(I$1-A6))," ")</f>
        <v>-62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46357</v>
      </c>
      <c r="B7" s="365" t="s">
        <v>328</v>
      </c>
      <c r="E7" s="367" t="s">
        <v>326</v>
      </c>
      <c r="G7" s="368" t="n">
        <v>15</v>
      </c>
      <c r="H7" s="340" t="n">
        <f aca="false">IF((G7&lt;&gt;0),IF((D7&gt;0)," ",G7)," ")</f>
        <v>15</v>
      </c>
      <c r="I7" s="369" t="n">
        <f aca="false">IF((G7&lt;&gt;0),IF((D7&gt;0)," ",(I$1-A7))," ")</f>
        <v>-62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46357</v>
      </c>
      <c r="B8" s="365" t="s">
        <v>329</v>
      </c>
      <c r="E8" s="367" t="s">
        <v>330</v>
      </c>
      <c r="G8" s="368" t="n">
        <v>45</v>
      </c>
      <c r="H8" s="340" t="n">
        <f aca="false">IF((G8&lt;&gt;0),IF((D8&gt;0)," ",G8)," ")</f>
        <v>45</v>
      </c>
      <c r="I8" s="369" t="n">
        <f aca="false">IF((G8&lt;&gt;0),IF((D8&gt;0)," ",(I$1-A8))," ")</f>
        <v>-62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46357</v>
      </c>
      <c r="B9" s="365" t="s">
        <v>334</v>
      </c>
      <c r="E9" s="367" t="s">
        <v>330</v>
      </c>
      <c r="G9" s="368" t="n">
        <v>24</v>
      </c>
      <c r="H9" s="340" t="n">
        <f aca="false">IF((G9&lt;&gt;0),IF((D9&gt;0)," ",G9)," ")</f>
        <v>24</v>
      </c>
      <c r="I9" s="369" t="n">
        <f aca="false">IF((G9&lt;&gt;0),IF((D9&gt;0)," ",(I$1-A9))," ")</f>
        <v>-62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46357</v>
      </c>
      <c r="B10" s="365" t="s">
        <v>335</v>
      </c>
      <c r="E10" s="367" t="s">
        <v>326</v>
      </c>
      <c r="G10" s="368" t="n">
        <v>18</v>
      </c>
      <c r="H10" s="340" t="n">
        <f aca="false">IF((G10&lt;&gt;0),IF((D10&gt;0)," ",G10)," ")</f>
        <v>18</v>
      </c>
      <c r="I10" s="369" t="n">
        <f aca="false">IF((G10&lt;&gt;0),IF((D10&gt;0)," ",(I$1-A10))," ")</f>
        <v>-62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46359</v>
      </c>
      <c r="B11" s="365" t="s">
        <v>336</v>
      </c>
      <c r="E11" s="367" t="s">
        <v>330</v>
      </c>
      <c r="G11" s="368" t="n">
        <v>180</v>
      </c>
      <c r="H11" s="340" t="n">
        <f aca="false">IF((G11&lt;&gt;0),IF((D11&gt;0)," ",G11)," ")</f>
        <v>180</v>
      </c>
      <c r="I11" s="369" t="n">
        <f aca="false">IF((G11&lt;&gt;0),IF((D11&gt;0)," ",(I$1-A11))," ")</f>
        <v>-64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46359</v>
      </c>
      <c r="B12" s="365" t="s">
        <v>337</v>
      </c>
      <c r="E12" s="367" t="s">
        <v>330</v>
      </c>
      <c r="G12" s="368" t="n">
        <v>22</v>
      </c>
      <c r="H12" s="340" t="n">
        <f aca="false">IF((G12&lt;&gt;0),IF((D12&gt;0)," ",G12)," ")</f>
        <v>22</v>
      </c>
      <c r="I12" s="369" t="n">
        <f aca="false">IF((G12&lt;&gt;0),IF((D12&gt;0)," ",(I$1-A12))," ")</f>
        <v>-64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46361</v>
      </c>
      <c r="B13" s="365" t="s">
        <v>339</v>
      </c>
      <c r="E13" s="367" t="s">
        <v>330</v>
      </c>
      <c r="G13" s="368" t="n">
        <v>24</v>
      </c>
      <c r="H13" s="340" t="n">
        <f aca="false">IF((G13&lt;&gt;0),IF((D13&gt;0)," ",G13)," ")</f>
        <v>24</v>
      </c>
      <c r="I13" s="369" t="n">
        <f aca="false">IF((G13&lt;&gt;0),IF((D13&gt;0)," ",(I$1-A13))," ")</f>
        <v>-66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46361</v>
      </c>
      <c r="B14" s="365" t="s">
        <v>340</v>
      </c>
      <c r="E14" s="367" t="s">
        <v>305</v>
      </c>
      <c r="G14" s="368" t="n">
        <v>180</v>
      </c>
      <c r="H14" s="340" t="n">
        <f aca="false">IF((G14&lt;&gt;0),IF((D14&gt;0)," ",G14)," ")</f>
        <v>180</v>
      </c>
      <c r="I14" s="369" t="n">
        <f aca="false">IF((G14&lt;&gt;0),IF((D14&gt;0)," ",(I$1-A14))," ")</f>
        <v>-66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46361</v>
      </c>
      <c r="B15" s="365" t="s">
        <v>342</v>
      </c>
      <c r="E15" s="367" t="s">
        <v>330</v>
      </c>
      <c r="G15" s="368" t="n">
        <v>36</v>
      </c>
      <c r="H15" s="340" t="n">
        <f aca="false">IF((G15&lt;&gt;0),IF((D15&gt;0)," ",G15)," ")</f>
        <v>36</v>
      </c>
      <c r="I15" s="369" t="n">
        <f aca="false">IF((G15&lt;&gt;0),IF((D15&gt;0)," ",(I$1-A15))," ")</f>
        <v>-66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46364</v>
      </c>
      <c r="B16" s="365" t="s">
        <v>343</v>
      </c>
      <c r="E16" s="367" t="s">
        <v>344</v>
      </c>
      <c r="G16" s="368" t="n">
        <v>48</v>
      </c>
      <c r="H16" s="340" t="n">
        <f aca="false">IF((G16&lt;&gt;0),IF((D16&gt;0)," ",G16)," ")</f>
        <v>48</v>
      </c>
      <c r="I16" s="369" t="n">
        <f aca="false">IF((G16&lt;&gt;0),IF((D16&gt;0)," ",(I$1-A16))," ")</f>
        <v>-69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46366</v>
      </c>
      <c r="B17" s="365" t="s">
        <v>346</v>
      </c>
      <c r="E17" s="367" t="s">
        <v>330</v>
      </c>
      <c r="G17" s="368" t="n">
        <v>36</v>
      </c>
      <c r="H17" s="340" t="n">
        <f aca="false">IF((G17&lt;&gt;0),IF((D17&gt;0)," ",G17)," ")</f>
        <v>36</v>
      </c>
      <c r="I17" s="369" t="n">
        <f aca="false">IF((G17&lt;&gt;0),IF((D17&gt;0)," ",(I$1-A17))," ")</f>
        <v>-71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46366</v>
      </c>
      <c r="B18" s="365" t="s">
        <v>418</v>
      </c>
      <c r="E18" s="367" t="s">
        <v>326</v>
      </c>
      <c r="G18" s="368" t="n">
        <v>120</v>
      </c>
      <c r="H18" s="340" t="n">
        <f aca="false">IF((G18&lt;&gt;0),IF((D18&gt;0)," ",G18)," ")</f>
        <v>120</v>
      </c>
      <c r="I18" s="369" t="n">
        <f aca="false">IF((G18&lt;&gt;0),IF((D18&gt;0)," ",(I$1-A18))," ")</f>
        <v>-71</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327</v>
      </c>
    </row>
    <row r="19" customFormat="false" ht="12.75" hidden="false" customHeight="false" outlineLevel="0" collapsed="false">
      <c r="A19" s="357" t="n">
        <v>46368</v>
      </c>
      <c r="B19" s="365" t="s">
        <v>352</v>
      </c>
      <c r="E19" s="367" t="s">
        <v>305</v>
      </c>
      <c r="G19" s="368" t="n">
        <v>18</v>
      </c>
      <c r="H19" s="340" t="n">
        <f aca="false">IF((G19&lt;&gt;0),IF((D19&gt;0)," ",G19)," ")</f>
        <v>18</v>
      </c>
      <c r="I19" s="369" t="n">
        <f aca="false">IF((G19&lt;&gt;0),IF((D19&gt;0)," ",(I$1-A19))," ")</f>
        <v>-73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46370</v>
      </c>
      <c r="B20" s="365" t="s">
        <v>353</v>
      </c>
      <c r="E20" s="367" t="s">
        <v>330</v>
      </c>
      <c r="G20" s="368" t="n">
        <v>24</v>
      </c>
      <c r="H20" s="340" t="n">
        <f aca="false">IF((G20&lt;&gt;0),IF((D20&gt;0)," ",G20)," ")</f>
        <v>24</v>
      </c>
      <c r="I20" s="369" t="n">
        <f aca="false">IF((G20&lt;&gt;0),IF((D20&gt;0)," ",(I$1-A20))," ")</f>
        <v>-75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338</v>
      </c>
    </row>
    <row r="21" customFormat="false" ht="12.75" hidden="false" customHeight="false" outlineLevel="0" collapsed="false">
      <c r="A21" s="357" t="n">
        <v>46370</v>
      </c>
      <c r="B21" s="365" t="s">
        <v>354</v>
      </c>
      <c r="D21" s="365"/>
      <c r="E21" s="367" t="s">
        <v>344</v>
      </c>
      <c r="G21" s="368" t="n">
        <v>24</v>
      </c>
      <c r="H21" s="340" t="n">
        <f aca="false">IF((G21&lt;&gt;0),IF((D21&gt;0)," ",G21)," ")</f>
        <v>24</v>
      </c>
      <c r="I21" s="369" t="n">
        <f aca="false">IF((G21&lt;&gt;0),IF((D21&gt;0)," ",(I$1-A21))," ")</f>
        <v>-75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46370</v>
      </c>
      <c r="B22" s="365" t="s">
        <v>355</v>
      </c>
      <c r="D22" s="395"/>
      <c r="E22" s="367" t="s">
        <v>344</v>
      </c>
      <c r="G22" s="368" t="n">
        <v>12</v>
      </c>
      <c r="H22" s="340" t="n">
        <f aca="false">IF((G22&lt;&gt;0),IF((D22&gt;0)," ",G22)," ")</f>
        <v>12</v>
      </c>
      <c r="I22" s="369" t="n">
        <f aca="false">IF((G22&lt;&gt;0),IF((D22&gt;0)," ",(I$1-A22))," ")</f>
        <v>-75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46371</v>
      </c>
      <c r="B23" s="365" t="s">
        <v>356</v>
      </c>
      <c r="E23" s="367" t="s">
        <v>305</v>
      </c>
      <c r="G23" s="368" t="n">
        <v>150</v>
      </c>
      <c r="H23" s="340" t="n">
        <f aca="false">IF((G23&lt;&gt;0),IF((D23&gt;0)," ",G23)," ")</f>
        <v>150</v>
      </c>
      <c r="I23" s="369" t="n">
        <f aca="false">IF((G23&lt;&gt;0),IF((D23&gt;0)," ",(I$1-A23))," ")</f>
        <v>-76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46371</v>
      </c>
      <c r="B24" s="365" t="s">
        <v>357</v>
      </c>
      <c r="E24" s="367" t="s">
        <v>326</v>
      </c>
      <c r="G24" s="368" t="n">
        <v>12</v>
      </c>
      <c r="H24" s="340" t="n">
        <f aca="false">IF((G24&lt;&gt;0),IF((D24&gt;0)," ",G24)," ")</f>
        <v>12</v>
      </c>
      <c r="I24" s="369" t="n">
        <f aca="false">IF((G24&lt;&gt;0),IF((D24&gt;0)," ",(I$1-A24))," ")</f>
        <v>-76</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46371</v>
      </c>
      <c r="B25" s="365" t="s">
        <v>519</v>
      </c>
      <c r="E25" s="367" t="s">
        <v>520</v>
      </c>
      <c r="G25" s="368" t="n">
        <v>500</v>
      </c>
      <c r="H25" s="340" t="n">
        <f aca="false">IF((G25&lt;&gt;0),IF((D25&gt;0)," ",G25)," ")</f>
        <v>500</v>
      </c>
      <c r="I25" s="369" t="n">
        <f aca="false">IF((G25&lt;&gt;0),IF((D25&gt;0)," ",(I$1-A25))," ")</f>
        <v>-76</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521</v>
      </c>
    </row>
    <row r="26" customFormat="false" ht="12.75" hidden="false" customHeight="false" outlineLevel="0" collapsed="false">
      <c r="A26" s="357" t="n">
        <v>46374</v>
      </c>
      <c r="B26" s="365" t="s">
        <v>424</v>
      </c>
      <c r="E26" s="367" t="s">
        <v>350</v>
      </c>
      <c r="G26" s="368" t="n">
        <v>480</v>
      </c>
      <c r="H26" s="340" t="n">
        <f aca="false">IF((G26&lt;&gt;0),IF((D26&gt;0)," ",G26)," ")</f>
        <v>480</v>
      </c>
      <c r="I26" s="369" t="n">
        <f aca="false">IF((G26&lt;&gt;0),IF((D26&gt;0)," ",(I$1-A26))," ")</f>
        <v>-79</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46374</v>
      </c>
      <c r="B27" s="365" t="s">
        <v>358</v>
      </c>
      <c r="E27" s="367" t="s">
        <v>305</v>
      </c>
      <c r="G27" s="368" t="n">
        <v>96</v>
      </c>
      <c r="H27" s="340" t="n">
        <f aca="false">IF((G27&lt;&gt;0),IF((D27&gt;0)," ",G27)," ")</f>
        <v>96</v>
      </c>
      <c r="I27" s="369" t="n">
        <f aca="false">IF((G27&lt;&gt;0),IF((D27&gt;0)," ",(I$1-A27))," ")</f>
        <v>-79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46376</v>
      </c>
      <c r="B28" s="365" t="s">
        <v>359</v>
      </c>
      <c r="E28" s="367" t="s">
        <v>326</v>
      </c>
      <c r="G28" s="368" t="n">
        <v>60</v>
      </c>
      <c r="H28" s="340" t="n">
        <f aca="false">IF((G28&lt;&gt;0),IF((D28&gt;0)," ",G28)," ")</f>
        <v>60</v>
      </c>
      <c r="I28" s="369" t="n">
        <f aca="false">IF((G28&lt;&gt;0),IF((D28&gt;0)," ",(I$1-A28))," ")</f>
        <v>-81</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46377</v>
      </c>
      <c r="B29" s="365" t="s">
        <v>363</v>
      </c>
      <c r="E29" s="367" t="s">
        <v>344</v>
      </c>
      <c r="G29" s="368" t="n">
        <v>8</v>
      </c>
      <c r="H29" s="340" t="n">
        <f aca="false">IF((G29&lt;&gt;0),IF((D29&gt;0)," ",G29)," ")</f>
        <v>8</v>
      </c>
      <c r="I29" s="369" t="n">
        <f aca="false">IF((G29&lt;&gt;0),IF((D29&gt;0)," ",(I$1-A29))," ")</f>
        <v>-82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345</v>
      </c>
    </row>
    <row r="30" customFormat="false" ht="12.75" hidden="false" customHeight="false" outlineLevel="0" collapsed="false">
      <c r="A30" s="357" t="n">
        <v>46378</v>
      </c>
      <c r="B30" s="365" t="s">
        <v>364</v>
      </c>
      <c r="E30" s="367" t="s">
        <v>330</v>
      </c>
      <c r="G30" s="368" t="n">
        <v>18</v>
      </c>
      <c r="H30" s="340" t="n">
        <f aca="false">IF((G30&lt;&gt;0),IF((D30&gt;0)," ",G30)," ")</f>
        <v>18</v>
      </c>
      <c r="I30" s="369" t="n">
        <f aca="false">IF((G30&lt;&gt;0),IF((D30&gt;0)," ",(I$1-A30))," ")</f>
        <v>-83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338</v>
      </c>
    </row>
    <row r="31" customFormat="false" ht="12.75" hidden="false" customHeight="false" outlineLevel="0" collapsed="false">
      <c r="A31" s="357" t="n">
        <v>46381</v>
      </c>
      <c r="B31" s="365" t="s">
        <v>425</v>
      </c>
      <c r="E31" s="367" t="s">
        <v>323</v>
      </c>
      <c r="G31" s="368" t="n">
        <v>420</v>
      </c>
      <c r="H31" s="340" t="n">
        <f aca="false">IF((G31&lt;&gt;0),IF((D31&gt;0)," ",G31)," ")</f>
        <v>420</v>
      </c>
      <c r="I31" s="369" t="n">
        <f aca="false">IF((G31&lt;&gt;0),IF((D31&gt;0)," ",(I$1-A31))," ")</f>
        <v>-86</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426</v>
      </c>
    </row>
    <row r="32" customFormat="false" ht="12.75" hidden="false" customHeight="false" outlineLevel="0" collapsed="false">
      <c r="A32" s="357" t="n">
        <v>46381</v>
      </c>
      <c r="B32" s="365" t="s">
        <v>365</v>
      </c>
      <c r="E32" s="367" t="s">
        <v>330</v>
      </c>
      <c r="G32" s="368" t="n">
        <v>15</v>
      </c>
      <c r="H32" s="340" t="n">
        <f aca="false">IF((G32&lt;&gt;0),IF((D32&gt;0)," ",G32)," ")</f>
        <v>15</v>
      </c>
      <c r="I32" s="369" t="n">
        <f aca="false">IF((G32&lt;&gt;0),IF((D32&gt;0)," ",(I$1-A32))," ")</f>
        <v>-86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338</v>
      </c>
    </row>
    <row r="33" customFormat="false" ht="12.75" hidden="false" customHeight="false" outlineLevel="0" collapsed="false">
      <c r="A33" s="357" t="n">
        <v>46381</v>
      </c>
      <c r="B33" s="365" t="s">
        <v>366</v>
      </c>
      <c r="E33" s="367" t="s">
        <v>305</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46384</v>
      </c>
      <c r="B34" s="365" t="s">
        <v>356</v>
      </c>
      <c r="E34" s="367" t="s">
        <v>305</v>
      </c>
      <c r="G34" s="368" t="n">
        <v>120</v>
      </c>
      <c r="H34" s="340" t="n">
        <f aca="false">IF((G34&lt;&gt;0),IF((D34&gt;0)," ",G34)," ")</f>
        <v>120</v>
      </c>
      <c r="I34" s="369" t="n">
        <f aca="false">IF((G34&lt;&gt;0),IF((D34&gt;0)," ",(I$1-A34))," ")</f>
        <v>-89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46387</v>
      </c>
      <c r="B35" s="365" t="s">
        <v>367</v>
      </c>
      <c r="E35" s="367" t="s">
        <v>368</v>
      </c>
      <c r="G35" s="368" t="n">
        <v>300</v>
      </c>
      <c r="H35" s="340" t="n">
        <f aca="false">IF((G35&lt;&gt;0),IF((D35&gt;0)," ",G35)," ")</f>
        <v>300</v>
      </c>
      <c r="I35" s="369" t="n">
        <f aca="false">IF((G35&lt;&gt;0),IF((D35&gt;0)," ",(I$1-A35))," ")</f>
        <v>-92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369</v>
      </c>
    </row>
    <row r="36" customFormat="false" ht="12.75" hidden="false" customHeight="false" outlineLevel="0" collapsed="false">
      <c r="A36" s="357" t="n">
        <v>46387</v>
      </c>
      <c r="B36" s="365" t="s">
        <v>522</v>
      </c>
      <c r="E36" s="367" t="s">
        <v>330</v>
      </c>
      <c r="G36" s="368" t="n">
        <v>5000</v>
      </c>
      <c r="H36" s="340" t="n">
        <f aca="false">IF((G36&lt;&gt;0),IF((D36&gt;0)," ",G36)," ")</f>
        <v>5000</v>
      </c>
      <c r="I36" s="369" t="n">
        <f aca="false">IF((G36&lt;&gt;0),IF((D36&gt;0)," ",(I$1-A36))," ")</f>
        <v>-92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523</v>
      </c>
    </row>
    <row r="37" customFormat="false" ht="12.75" hidden="false" customHeight="false" outlineLevel="0" collapsed="false">
      <c r="A37" s="357" t="n">
        <v>46387</v>
      </c>
      <c r="B37" s="365" t="s">
        <v>427</v>
      </c>
      <c r="C37" s="365" t="s">
        <v>524</v>
      </c>
      <c r="E37" s="367" t="s">
        <v>429</v>
      </c>
      <c r="G37" s="368" t="n">
        <v>167</v>
      </c>
      <c r="H37" s="340" t="n">
        <f aca="false">IF((G37&lt;&gt;0),IF((D37&gt;0)," ",G37)," ")</f>
        <v>167</v>
      </c>
      <c r="I37" s="369" t="n">
        <f aca="false">IF((G37&lt;&gt;0),IF((D37&gt;0)," ",(I$1-A37))," ")</f>
        <v>-92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430</v>
      </c>
    </row>
    <row r="38" customFormat="false" ht="12.75" hidden="false" customHeight="false" outlineLevel="0" collapsed="false">
      <c r="A38" s="357" t="n">
        <v>46387</v>
      </c>
      <c r="B38" s="365" t="s">
        <v>370</v>
      </c>
      <c r="C38" s="365" t="s">
        <v>525</v>
      </c>
      <c r="E38" s="367" t="s">
        <v>372</v>
      </c>
      <c r="G38" s="368" t="n">
        <v>3500</v>
      </c>
      <c r="H38" s="340" t="n">
        <f aca="false">IF((G38&lt;&gt;0),IF((D38&gt;0)," ",G38)," ")</f>
        <v>3500</v>
      </c>
      <c r="I38" s="369" t="n">
        <f aca="false">IF((G38&lt;&gt;0),IF((D38&gt;0)," ",(I$1-A38))," ")</f>
        <v>-92</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46387</v>
      </c>
      <c r="B39" s="365" t="s">
        <v>374</v>
      </c>
      <c r="C39" s="365" t="s">
        <v>526</v>
      </c>
      <c r="E39" s="367" t="s">
        <v>372</v>
      </c>
      <c r="G39" s="368" t="n">
        <v>2200</v>
      </c>
      <c r="H39" s="340" t="n">
        <f aca="false">IF((G39&lt;&gt;0),IF((D39&gt;0)," ",G39)," ")</f>
        <v>2200</v>
      </c>
      <c r="I39" s="369" t="n">
        <f aca="false">IF((G39&lt;&gt;0),IF((D39&gt;0)," ",(I$1-A39))," ")</f>
        <v>-92</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245</v>
      </c>
      <c r="B1" s="343" t="s">
        <v>246</v>
      </c>
      <c r="C1" s="344"/>
      <c r="D1" s="345" t="s">
        <v>247</v>
      </c>
      <c r="E1" s="346" t="n">
        <f aca="false">SUM(E4:E300)</f>
        <v>0</v>
      </c>
      <c r="F1" s="345" t="n">
        <f aca="false">SUM(F4:F300)</f>
        <v>35440</v>
      </c>
      <c r="G1" s="345" t="n">
        <f aca="false">SUM(G4:G300)</f>
        <v>0</v>
      </c>
      <c r="H1" s="347" t="n">
        <f aca="false">SUM(H4:H300)</f>
        <v>35440</v>
      </c>
      <c r="I1" s="348" t="n">
        <f aca="true">TODAY()</f>
        <v>46295</v>
      </c>
      <c r="J1" s="345" t="n">
        <f aca="false">SUM(J4:J300)</f>
        <v>0</v>
      </c>
      <c r="K1" s="349" t="n">
        <f aca="false">J1+SalesDec!K1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46388</v>
      </c>
      <c r="B4" s="336" t="s">
        <v>258</v>
      </c>
      <c r="C4" s="337" t="s">
        <v>527</v>
      </c>
      <c r="F4" s="336" t="n">
        <v>1200</v>
      </c>
      <c r="H4" s="340" t="n">
        <f aca="false">IF((F4&lt;&gt;0),IF((D4&gt;0)," ",F4)," ")</f>
        <v>1200</v>
      </c>
      <c r="I4" s="341" t="n">
        <f aca="false">IF((F4&lt;&gt;0),IF((D4&gt;0)," ",(I$1-A4))," ")</f>
        <v>-93</v>
      </c>
      <c r="BZ4" s="336" t="s">
        <v>260</v>
      </c>
    </row>
    <row r="5" customFormat="false" ht="12.75" hidden="false" customHeight="false" outlineLevel="0" collapsed="false">
      <c r="A5" s="357" t="n">
        <v>46390</v>
      </c>
      <c r="B5" s="336" t="s">
        <v>261</v>
      </c>
      <c r="C5" s="337" t="s">
        <v>528</v>
      </c>
      <c r="F5" s="336" t="n">
        <v>360</v>
      </c>
      <c r="H5" s="340" t="n">
        <f aca="false">IF((F5&lt;&gt;0),IF((D5&gt;0)," ",F5)," ")</f>
        <v>360</v>
      </c>
      <c r="I5" s="341" t="n">
        <f aca="false">IF((F5&lt;&gt;0),IF((D5&gt;0)," ",(I$1-A5))," ")</f>
        <v>-95</v>
      </c>
      <c r="BZ5" s="336" t="s">
        <v>260</v>
      </c>
    </row>
    <row r="6" customFormat="false" ht="12.75" hidden="false" customHeight="false" outlineLevel="0" collapsed="false">
      <c r="A6" s="357" t="n">
        <v>46392</v>
      </c>
      <c r="B6" s="336" t="s">
        <v>263</v>
      </c>
      <c r="C6" s="337" t="s">
        <v>529</v>
      </c>
      <c r="F6" s="336" t="n">
        <v>600</v>
      </c>
      <c r="H6" s="340" t="n">
        <f aca="false">IF((F6&lt;&gt;0),IF((D6&gt;0)," ",F6)," ")</f>
        <v>600</v>
      </c>
      <c r="I6" s="341" t="n">
        <f aca="false">IF((F6&lt;&gt;0),IF((D6&gt;0)," ",(I$1-A6))," ")</f>
        <v>-97</v>
      </c>
      <c r="BZ6" s="336" t="s">
        <v>260</v>
      </c>
    </row>
    <row r="7" customFormat="false" ht="12.75" hidden="false" customHeight="false" outlineLevel="0" collapsed="false">
      <c r="A7" s="357" t="n">
        <v>46395</v>
      </c>
      <c r="B7" s="336" t="s">
        <v>265</v>
      </c>
      <c r="C7" s="337" t="s">
        <v>530</v>
      </c>
      <c r="F7" s="336" t="n">
        <v>480</v>
      </c>
      <c r="H7" s="340" t="n">
        <f aca="false">IF((F7&lt;&gt;0),IF((D7&gt;0)," ",F7)," ")</f>
        <v>480</v>
      </c>
      <c r="I7" s="341" t="n">
        <f aca="false">IF((F7&lt;&gt;0),IF((D7&gt;0)," ",(I$1-A7))," ")</f>
        <v>-100</v>
      </c>
      <c r="BZ7" s="336" t="s">
        <v>267</v>
      </c>
    </row>
    <row r="8" customFormat="false" ht="12.75" hidden="false" customHeight="false" outlineLevel="0" collapsed="false">
      <c r="A8" s="357" t="n">
        <v>46397</v>
      </c>
      <c r="B8" s="336" t="s">
        <v>268</v>
      </c>
      <c r="C8" s="337" t="s">
        <v>531</v>
      </c>
      <c r="F8" s="336" t="n">
        <v>720</v>
      </c>
      <c r="H8" s="340" t="n">
        <f aca="false">IF((F8&lt;&gt;0),IF((D8&gt;0)," ",F8)," ")</f>
        <v>720</v>
      </c>
      <c r="I8" s="341" t="n">
        <f aca="false">IF((F8&lt;&gt;0),IF((D8&gt;0)," ",(I$1-A8))," ")</f>
        <v>-102</v>
      </c>
      <c r="BZ8" s="336" t="s">
        <v>267</v>
      </c>
    </row>
    <row r="9" customFormat="false" ht="12.75" hidden="false" customHeight="false" outlineLevel="0" collapsed="false">
      <c r="A9" s="357" t="n">
        <v>46401</v>
      </c>
      <c r="B9" s="336" t="s">
        <v>438</v>
      </c>
      <c r="C9" s="337" t="s">
        <v>532</v>
      </c>
      <c r="F9" s="336" t="n">
        <v>2160</v>
      </c>
      <c r="H9" s="340" t="n">
        <f aca="false">IF((F9&lt;&gt;0),IF((D9&gt;0)," ",F9)," ")</f>
        <v>2160</v>
      </c>
      <c r="I9" s="341" t="n">
        <f aca="false">IF((F9&lt;&gt;0),IF((D9&gt;0)," ",(I$1-A9))," ")</f>
        <v>-106</v>
      </c>
      <c r="BZ9" s="336" t="s">
        <v>267</v>
      </c>
    </row>
    <row r="10" customFormat="false" ht="12.75" hidden="false" customHeight="false" outlineLevel="0" collapsed="false">
      <c r="A10" s="357" t="n">
        <v>46402</v>
      </c>
      <c r="B10" s="336" t="s">
        <v>270</v>
      </c>
      <c r="C10" s="337" t="s">
        <v>533</v>
      </c>
      <c r="F10" s="336" t="n">
        <v>25000</v>
      </c>
      <c r="H10" s="340" t="n">
        <f aca="false">IF((F10&lt;&gt;0),IF((D10&gt;0)," ",F10)," ")</f>
        <v>25000</v>
      </c>
      <c r="I10" s="341" t="n">
        <f aca="false">IF((F10&lt;&gt;0),IF((D10&gt;0)," ",(I$1-A10))," ")</f>
        <v>-107</v>
      </c>
      <c r="BZ10" s="336" t="s">
        <v>267</v>
      </c>
    </row>
    <row r="11" customFormat="false" ht="12.75" hidden="false" customHeight="false" outlineLevel="0" collapsed="false">
      <c r="A11" s="357" t="n">
        <v>46403</v>
      </c>
      <c r="B11" s="336" t="s">
        <v>383</v>
      </c>
      <c r="C11" s="337" t="s">
        <v>534</v>
      </c>
      <c r="F11" s="336" t="n">
        <v>1200</v>
      </c>
      <c r="H11" s="340" t="n">
        <f aca="false">IF((F11&lt;&gt;0),IF((D11&gt;0)," ",F11)," ")</f>
        <v>1200</v>
      </c>
      <c r="I11" s="341" t="n">
        <f aca="false">IF((F11&lt;&gt;0),IF((D11&gt;0)," ",(I$1-A11))," ")</f>
        <v>-108</v>
      </c>
      <c r="BZ11" s="336" t="s">
        <v>385</v>
      </c>
    </row>
    <row r="12" customFormat="false" ht="12.75" hidden="false" customHeight="false" outlineLevel="0" collapsed="false">
      <c r="A12" s="357" t="n">
        <v>46405</v>
      </c>
      <c r="B12" s="336" t="s">
        <v>272</v>
      </c>
      <c r="C12" s="337" t="s">
        <v>535</v>
      </c>
      <c r="F12" s="336" t="n">
        <v>2400</v>
      </c>
      <c r="H12" s="340" t="n">
        <f aca="false">IF((F12&lt;&gt;0),IF((D12&gt;0)," ",F12)," ")</f>
        <v>2400</v>
      </c>
      <c r="I12" s="341" t="n">
        <f aca="false">IF((F12&lt;&gt;0),IF((D12&gt;0)," ",(I$1-A12))," ")</f>
        <v>-110</v>
      </c>
      <c r="BZ12" s="336" t="s">
        <v>267</v>
      </c>
    </row>
    <row r="13" customFormat="false" ht="12.75" hidden="false" customHeight="false" outlineLevel="0" collapsed="false">
      <c r="A13" s="357" t="n">
        <v>46412</v>
      </c>
      <c r="B13" s="336" t="s">
        <v>536</v>
      </c>
      <c r="C13" s="337" t="s">
        <v>537</v>
      </c>
      <c r="F13" s="336" t="n">
        <v>480</v>
      </c>
      <c r="H13" s="340" t="n">
        <f aca="false">IF((F13&lt;&gt;0),IF((D13&gt;0)," ",F13)," ")</f>
        <v>480</v>
      </c>
      <c r="I13" s="341" t="n">
        <f aca="false">IF((F13&lt;&gt;0),IF((D13&gt;0)," ",(I$1-A13))," ")</f>
        <v>-117</v>
      </c>
      <c r="BZ13" s="336" t="s">
        <v>278</v>
      </c>
    </row>
    <row r="14" customFormat="false" ht="12.75" hidden="false" customHeight="false" outlineLevel="0" collapsed="false">
      <c r="A14" s="357" t="n">
        <v>46415</v>
      </c>
      <c r="B14" s="336" t="s">
        <v>276</v>
      </c>
      <c r="C14" s="337" t="s">
        <v>538</v>
      </c>
      <c r="F14" s="336" t="n">
        <v>840</v>
      </c>
      <c r="H14" s="340" t="n">
        <f aca="false">IF((F14&lt;&gt;0),IF((D14&gt;0)," ",F14)," ")</f>
        <v>840</v>
      </c>
      <c r="I14" s="341" t="n">
        <f aca="false">IF((F14&lt;&gt;0),IF((D14&gt;0)," ",(I$1-A14))," ")</f>
        <v>-120</v>
      </c>
      <c r="BZ14" s="336" t="s">
        <v>278</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G4+PurchasesDec!A1</f>
        <v>640.75</v>
      </c>
      <c r="B1" s="372" t="s">
        <v>280</v>
      </c>
      <c r="C1" s="346" t="n">
        <f aca="false">PurchasesDec!C1+PurchasesJan!F1+SalesJan!$E$1</f>
        <v>1165</v>
      </c>
      <c r="D1" s="371" t="s">
        <v>247</v>
      </c>
      <c r="E1" s="373" t="str">
        <f aca="false">IF((G1-SUM(J1:W1)&lt;&gt;0),(G1-SUM(J1:W1))," ")</f>
        <v> </v>
      </c>
      <c r="F1" s="346" t="n">
        <f aca="false">SUM(F5:F300)</f>
        <v>85</v>
      </c>
      <c r="G1" s="345" t="n">
        <f aca="false">SUM(G4:G300)</f>
        <v>10219.75</v>
      </c>
      <c r="H1" s="374" t="n">
        <f aca="false">SUM(H5:H300)</f>
        <v>10173</v>
      </c>
      <c r="I1" s="375" t="n">
        <f aca="true">TODAY()</f>
        <v>46295</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646.75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46.75</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402" t="n">
        <f aca="false">IF((C1&lt;Admin!$F$22),((C1-PurchasesDec!C1)*Admin!$G$21),(C1*Admin!$G$21-(C1-Admin!$F$21)*(Admin!$G$21-Admin!$G$22)-PurchasesDec!A1))</f>
        <v>46.75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46388</v>
      </c>
      <c r="B5" s="365" t="s">
        <v>322</v>
      </c>
      <c r="E5" s="367" t="s">
        <v>323</v>
      </c>
      <c r="G5" s="368" t="n">
        <v>1200</v>
      </c>
      <c r="H5" s="340" t="n">
        <f aca="false">IF((G5&lt;&gt;0),IF((D5&gt;0)," ",G5)," ")</f>
        <v>1200</v>
      </c>
      <c r="I5" s="369" t="n">
        <f aca="false">IF((G5&lt;&gt;0),IF((D5&gt;0)," ",(I$1-A5))," ")</f>
        <v>-93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46388</v>
      </c>
      <c r="B6" s="365" t="s">
        <v>325</v>
      </c>
      <c r="E6" s="367" t="s">
        <v>326</v>
      </c>
      <c r="G6" s="368" t="n">
        <v>30</v>
      </c>
      <c r="H6" s="340" t="n">
        <f aca="false">IF((G6&lt;&gt;0),IF((D6&gt;0)," ",G6)," ")</f>
        <v>30</v>
      </c>
      <c r="I6" s="369" t="n">
        <f aca="false">IF((G6&lt;&gt;0),IF((D6&gt;0)," ",(I$1-A6))," ")</f>
        <v>-93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46388</v>
      </c>
      <c r="B7" s="365" t="s">
        <v>328</v>
      </c>
      <c r="E7" s="367" t="s">
        <v>326</v>
      </c>
      <c r="G7" s="368" t="n">
        <v>15</v>
      </c>
      <c r="H7" s="340" t="n">
        <f aca="false">IF((G7&lt;&gt;0),IF((D7&gt;0)," ",G7)," ")</f>
        <v>15</v>
      </c>
      <c r="I7" s="369" t="n">
        <f aca="false">IF((G7&lt;&gt;0),IF((D7&gt;0)," ",(I$1-A7))," ")</f>
        <v>-93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46388</v>
      </c>
      <c r="B8" s="365" t="s">
        <v>329</v>
      </c>
      <c r="E8" s="367" t="s">
        <v>330</v>
      </c>
      <c r="G8" s="368" t="n">
        <v>45</v>
      </c>
      <c r="H8" s="340" t="n">
        <f aca="false">IF((G8&lt;&gt;0),IF((D8&gt;0)," ",G8)," ")</f>
        <v>45</v>
      </c>
      <c r="I8" s="369" t="n">
        <f aca="false">IF((G8&lt;&gt;0),IF((D8&gt;0)," ",(I$1-A8))," ")</f>
        <v>-93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46388</v>
      </c>
      <c r="B9" s="365" t="s">
        <v>334</v>
      </c>
      <c r="E9" s="367" t="s">
        <v>330</v>
      </c>
      <c r="G9" s="368" t="n">
        <v>24</v>
      </c>
      <c r="H9" s="340" t="n">
        <f aca="false">IF((G9&lt;&gt;0),IF((D9&gt;0)," ",G9)," ")</f>
        <v>24</v>
      </c>
      <c r="I9" s="369" t="n">
        <f aca="false">IF((G9&lt;&gt;0),IF((D9&gt;0)," ",(I$1-A9))," ")</f>
        <v>-93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46388</v>
      </c>
      <c r="B10" s="365" t="s">
        <v>335</v>
      </c>
      <c r="E10" s="367" t="s">
        <v>326</v>
      </c>
      <c r="G10" s="368" t="n">
        <v>18</v>
      </c>
      <c r="H10" s="340" t="n">
        <f aca="false">IF((G10&lt;&gt;0),IF((D10&gt;0)," ",G10)," ")</f>
        <v>18</v>
      </c>
      <c r="I10" s="369" t="n">
        <f aca="false">IF((G10&lt;&gt;0),IF((D10&gt;0)," ",(I$1-A10))," ")</f>
        <v>-93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46390</v>
      </c>
      <c r="B11" s="365" t="s">
        <v>336</v>
      </c>
      <c r="E11" s="367" t="s">
        <v>330</v>
      </c>
      <c r="G11" s="368" t="n">
        <v>180</v>
      </c>
      <c r="H11" s="340" t="n">
        <f aca="false">IF((G11&lt;&gt;0),IF((D11&gt;0)," ",G11)," ")</f>
        <v>180</v>
      </c>
      <c r="I11" s="369" t="n">
        <f aca="false">IF((G11&lt;&gt;0),IF((D11&gt;0)," ",(I$1-A11))," ")</f>
        <v>-95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46390</v>
      </c>
      <c r="B12" s="365" t="s">
        <v>337</v>
      </c>
      <c r="E12" s="367" t="s">
        <v>330</v>
      </c>
      <c r="G12" s="368" t="n">
        <v>22</v>
      </c>
      <c r="H12" s="340" t="n">
        <f aca="false">IF((G12&lt;&gt;0),IF((D12&gt;0)," ",G12)," ")</f>
        <v>22</v>
      </c>
      <c r="I12" s="369" t="n">
        <f aca="false">IF((G12&lt;&gt;0),IF((D12&gt;0)," ",(I$1-A12))," ")</f>
        <v>-95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46392</v>
      </c>
      <c r="B13" s="365" t="s">
        <v>339</v>
      </c>
      <c r="E13" s="367" t="s">
        <v>330</v>
      </c>
      <c r="G13" s="368" t="n">
        <v>24</v>
      </c>
      <c r="H13" s="340" t="n">
        <f aca="false">IF((G13&lt;&gt;0),IF((D13&gt;0)," ",G13)," ")</f>
        <v>24</v>
      </c>
      <c r="I13" s="369" t="n">
        <f aca="false">IF((G13&lt;&gt;0),IF((D13&gt;0)," ",(I$1-A13))," ")</f>
        <v>-97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46392</v>
      </c>
      <c r="B14" s="365" t="s">
        <v>445</v>
      </c>
      <c r="E14" s="367" t="s">
        <v>394</v>
      </c>
      <c r="G14" s="368" t="n">
        <v>480</v>
      </c>
      <c r="H14" s="340" t="n">
        <f aca="false">IF((G14&lt;&gt;0),IF((D14&gt;0)," ",G14)," ")</f>
        <v>480</v>
      </c>
      <c r="I14" s="369" t="n">
        <f aca="false">IF((G14&lt;&gt;0),IF((D14&gt;0)," ",(I$1-A14))," ")</f>
        <v>-97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395</v>
      </c>
    </row>
    <row r="15" customFormat="false" ht="12.75" hidden="false" customHeight="false" outlineLevel="0" collapsed="false">
      <c r="A15" s="357" t="n">
        <v>46392</v>
      </c>
      <c r="B15" s="365" t="s">
        <v>340</v>
      </c>
      <c r="E15" s="367" t="s">
        <v>305</v>
      </c>
      <c r="G15" s="368" t="n">
        <v>180</v>
      </c>
      <c r="H15" s="340" t="n">
        <f aca="false">IF((G15&lt;&gt;0),IF((D15&gt;0)," ",G15)," ")</f>
        <v>180</v>
      </c>
      <c r="I15" s="369" t="n">
        <f aca="false">IF((G15&lt;&gt;0),IF((D15&gt;0)," ",(I$1-A15))," ")</f>
        <v>-97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341</v>
      </c>
    </row>
    <row r="16" customFormat="false" ht="12.75" hidden="false" customHeight="false" outlineLevel="0" collapsed="false">
      <c r="A16" s="357" t="n">
        <v>46395</v>
      </c>
      <c r="B16" s="365" t="s">
        <v>343</v>
      </c>
      <c r="E16" s="367" t="s">
        <v>344</v>
      </c>
      <c r="G16" s="368" t="n">
        <v>48</v>
      </c>
      <c r="H16" s="340" t="n">
        <f aca="false">IF((G16&lt;&gt;0),IF((D16&gt;0)," ",G16)," ")</f>
        <v>48</v>
      </c>
      <c r="I16" s="369" t="n">
        <f aca="false">IF((G16&lt;&gt;0),IF((D16&gt;0)," ",(I$1-A16))," ")</f>
        <v>-100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46395</v>
      </c>
      <c r="B17" s="365" t="s">
        <v>391</v>
      </c>
      <c r="E17" s="367" t="s">
        <v>330</v>
      </c>
      <c r="G17" s="368" t="n">
        <v>180</v>
      </c>
      <c r="H17" s="340" t="n">
        <f aca="false">IF((G17&lt;&gt;0),IF((D17&gt;0)," ",G17)," ")</f>
        <v>180</v>
      </c>
      <c r="I17" s="369" t="n">
        <f aca="false">IF((G17&lt;&gt;0),IF((D17&gt;0)," ",(I$1-A17))," ")</f>
        <v>-100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392</v>
      </c>
    </row>
    <row r="18" customFormat="false" ht="12.75" hidden="false" customHeight="false" outlineLevel="0" collapsed="false">
      <c r="A18" s="357" t="n">
        <v>46397</v>
      </c>
      <c r="B18" s="365" t="s">
        <v>346</v>
      </c>
      <c r="E18" s="367" t="s">
        <v>330</v>
      </c>
      <c r="G18" s="368" t="n">
        <v>36</v>
      </c>
      <c r="H18" s="340" t="n">
        <f aca="false">IF((G18&lt;&gt;0),IF((D18&gt;0)," ",G18)," ")</f>
        <v>36</v>
      </c>
      <c r="I18" s="369" t="n">
        <f aca="false">IF((G18&lt;&gt;0),IF((D18&gt;0)," ",(I$1-A18))," ")</f>
        <v>-102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46397</v>
      </c>
      <c r="B19" s="365" t="s">
        <v>347</v>
      </c>
      <c r="E19" s="367" t="s">
        <v>330</v>
      </c>
      <c r="G19" s="368" t="n">
        <v>180</v>
      </c>
      <c r="H19" s="340" t="n">
        <f aca="false">IF((G19&lt;&gt;0),IF((D19&gt;0)," ",G19)," ")</f>
        <v>180</v>
      </c>
      <c r="I19" s="369" t="n">
        <f aca="false">IF((G19&lt;&gt;0),IF((D19&gt;0)," ",(I$1-A19))," ")</f>
        <v>-102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46397</v>
      </c>
      <c r="B20" s="365" t="s">
        <v>349</v>
      </c>
      <c r="E20" s="367" t="s">
        <v>350</v>
      </c>
      <c r="G20" s="368" t="n">
        <v>600</v>
      </c>
      <c r="H20" s="340" t="n">
        <f aca="false">IF((G20&lt;&gt;0),IF((D20&gt;0)," ",G20)," ")</f>
        <v>600</v>
      </c>
      <c r="I20" s="369" t="n">
        <f aca="false">IF((G20&lt;&gt;0),IF((D20&gt;0)," ",(I$1-A20))," ")</f>
        <v>-102</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46399</v>
      </c>
      <c r="B21" s="365" t="s">
        <v>352</v>
      </c>
      <c r="D21" s="365"/>
      <c r="E21" s="367" t="s">
        <v>305</v>
      </c>
      <c r="G21" s="368" t="n">
        <v>18</v>
      </c>
      <c r="H21" s="340" t="n">
        <f aca="false">IF((G21&lt;&gt;0),IF((D21&gt;0)," ",G21)," ")</f>
        <v>18</v>
      </c>
      <c r="I21" s="369" t="n">
        <f aca="false">IF((G21&lt;&gt;0),IF((D21&gt;0)," ",(I$1-A21))," ")</f>
        <v>-104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46401</v>
      </c>
      <c r="B22" s="365" t="s">
        <v>354</v>
      </c>
      <c r="D22" s="395"/>
      <c r="E22" s="367" t="s">
        <v>344</v>
      </c>
      <c r="G22" s="368" t="n">
        <v>24</v>
      </c>
      <c r="H22" s="340" t="n">
        <f aca="false">IF((G22&lt;&gt;0),IF((D22&gt;0)," ",G22)," ")</f>
        <v>24</v>
      </c>
      <c r="I22" s="369" t="n">
        <f aca="false">IF((G22&lt;&gt;0),IF((D22&gt;0)," ",(I$1-A22))," ")</f>
        <v>-106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46401</v>
      </c>
      <c r="B23" s="365" t="s">
        <v>355</v>
      </c>
      <c r="E23" s="367" t="s">
        <v>344</v>
      </c>
      <c r="G23" s="368" t="n">
        <v>12</v>
      </c>
      <c r="H23" s="340" t="n">
        <f aca="false">IF((G23&lt;&gt;0),IF((D23&gt;0)," ",G23)," ")</f>
        <v>12</v>
      </c>
      <c r="I23" s="369" t="n">
        <f aca="false">IF((G23&lt;&gt;0),IF((D23&gt;0)," ",(I$1-A23))," ")</f>
        <v>-106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46402</v>
      </c>
      <c r="B24" s="365" t="s">
        <v>356</v>
      </c>
      <c r="E24" s="367" t="s">
        <v>305</v>
      </c>
      <c r="G24" s="368" t="n">
        <v>150</v>
      </c>
      <c r="H24" s="340" t="n">
        <f aca="false">IF((G24&lt;&gt;0),IF((D24&gt;0)," ",G24)," ")</f>
        <v>150</v>
      </c>
      <c r="I24" s="369" t="n">
        <f aca="false">IF((G24&lt;&gt;0),IF((D24&gt;0)," ",(I$1-A24))," ")</f>
        <v>-107</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341</v>
      </c>
    </row>
    <row r="25" customFormat="false" ht="12.75" hidden="false" customHeight="false" outlineLevel="0" collapsed="false">
      <c r="A25" s="357" t="n">
        <v>46402</v>
      </c>
      <c r="B25" s="365" t="s">
        <v>357</v>
      </c>
      <c r="E25" s="367" t="s">
        <v>326</v>
      </c>
      <c r="G25" s="368" t="n">
        <v>12</v>
      </c>
      <c r="H25" s="340" t="n">
        <f aca="false">IF((G25&lt;&gt;0),IF((D25&gt;0)," ",G25)," ")</f>
        <v>12</v>
      </c>
      <c r="I25" s="369" t="n">
        <f aca="false">IF((G25&lt;&gt;0),IF((D25&gt;0)," ",(I$1-A25))," ")</f>
        <v>-107</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46403</v>
      </c>
      <c r="B26" s="365" t="s">
        <v>400</v>
      </c>
      <c r="E26" s="367" t="s">
        <v>326</v>
      </c>
      <c r="G26" s="368" t="n">
        <v>18</v>
      </c>
      <c r="H26" s="340" t="n">
        <f aca="false">IF((G26&lt;&gt;0),IF((D26&gt;0)," ",G26)," ")</f>
        <v>18</v>
      </c>
      <c r="I26" s="369" t="n">
        <f aca="false">IF((G26&lt;&gt;0),IF((D26&gt;0)," ",(I$1-A26))," ")</f>
        <v>-108</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46405</v>
      </c>
      <c r="B27" s="365" t="s">
        <v>358</v>
      </c>
      <c r="E27" s="367" t="s">
        <v>305</v>
      </c>
      <c r="G27" s="368" t="n">
        <v>96</v>
      </c>
      <c r="H27" s="340" t="n">
        <f aca="false">IF((G27&lt;&gt;0),IF((D27&gt;0)," ",G27)," ")</f>
        <v>96</v>
      </c>
      <c r="I27" s="369" t="n">
        <f aca="false">IF((G27&lt;&gt;0),IF((D27&gt;0)," ",(I$1-A27))," ")</f>
        <v>-110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46407</v>
      </c>
      <c r="B28" s="365" t="s">
        <v>359</v>
      </c>
      <c r="E28" s="367" t="s">
        <v>326</v>
      </c>
      <c r="G28" s="368" t="n">
        <v>60</v>
      </c>
      <c r="H28" s="340" t="n">
        <f aca="false">IF((G28&lt;&gt;0),IF((D28&gt;0)," ",G28)," ")</f>
        <v>60</v>
      </c>
      <c r="I28" s="369" t="n">
        <f aca="false">IF((G28&lt;&gt;0),IF((D28&gt;0)," ",(I$1-A28))," ")</f>
        <v>-112</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46407</v>
      </c>
      <c r="B29" s="365" t="s">
        <v>448</v>
      </c>
      <c r="E29" s="367" t="s">
        <v>330</v>
      </c>
      <c r="G29" s="368" t="n">
        <v>180</v>
      </c>
      <c r="H29" s="340" t="n">
        <f aca="false">IF((G29&lt;&gt;0),IF((D29&gt;0)," ",G29)," ")</f>
        <v>180</v>
      </c>
      <c r="I29" s="369" t="n">
        <f aca="false">IF((G29&lt;&gt;0),IF((D29&gt;0)," ",(I$1-A29))," ")</f>
        <v>-112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402</v>
      </c>
    </row>
    <row r="30" customFormat="false" ht="12.75" hidden="false" customHeight="false" outlineLevel="0" collapsed="false">
      <c r="A30" s="357" t="n">
        <v>46407</v>
      </c>
      <c r="B30" s="365" t="s">
        <v>360</v>
      </c>
      <c r="E30" s="367" t="s">
        <v>361</v>
      </c>
      <c r="G30" s="368" t="n">
        <v>144</v>
      </c>
      <c r="H30" s="340" t="n">
        <f aca="false">IF((G30&lt;&gt;0),IF((D30&gt;0)," ",G30)," ")</f>
        <v>144</v>
      </c>
      <c r="I30" s="369" t="n">
        <f aca="false">IF((G30&lt;&gt;0),IF((D30&gt;0)," ",(I$1-A30))," ")</f>
        <v>-112</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362</v>
      </c>
    </row>
    <row r="31" customFormat="false" ht="12.75" hidden="false" customHeight="false" outlineLevel="0" collapsed="false">
      <c r="A31" s="357" t="n">
        <v>46408</v>
      </c>
      <c r="B31" s="365" t="s">
        <v>363</v>
      </c>
      <c r="E31" s="367" t="s">
        <v>344</v>
      </c>
      <c r="G31" s="368" t="n">
        <v>8</v>
      </c>
      <c r="H31" s="340" t="n">
        <f aca="false">IF((G31&lt;&gt;0),IF((D31&gt;0)," ",G31)," ")</f>
        <v>8</v>
      </c>
      <c r="I31" s="369" t="n">
        <f aca="false">IF((G31&lt;&gt;0),IF((D31&gt;0)," ",(I$1-A31))," ")</f>
        <v>-113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345</v>
      </c>
    </row>
    <row r="32" customFormat="false" ht="12.75" hidden="false" customHeight="false" outlineLevel="0" collapsed="false">
      <c r="A32" s="357" t="n">
        <v>46409</v>
      </c>
      <c r="B32" s="365" t="s">
        <v>364</v>
      </c>
      <c r="E32" s="367" t="s">
        <v>330</v>
      </c>
      <c r="G32" s="368" t="n">
        <v>18</v>
      </c>
      <c r="H32" s="340" t="n">
        <f aca="false">IF((G32&lt;&gt;0),IF((D32&gt;0)," ",G32)," ")</f>
        <v>18</v>
      </c>
      <c r="I32" s="369" t="n">
        <f aca="false">IF((G32&lt;&gt;0),IF((D32&gt;0)," ",(I$1-A32))," ")</f>
        <v>-114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338</v>
      </c>
    </row>
    <row r="33" customFormat="false" ht="12.75" hidden="false" customHeight="false" outlineLevel="0" collapsed="false">
      <c r="A33" s="357" t="n">
        <v>46409</v>
      </c>
      <c r="B33" s="365" t="s">
        <v>404</v>
      </c>
      <c r="E33" s="367" t="s">
        <v>305</v>
      </c>
      <c r="G33" s="368" t="n">
        <v>36</v>
      </c>
      <c r="H33" s="340" t="n">
        <f aca="false">IF((G33&lt;&gt;0),IF((D33&gt;0)," ",G33)," ")</f>
        <v>36</v>
      </c>
      <c r="I33" s="369" t="n">
        <f aca="false">IF((G33&lt;&gt;0),IF((D33&gt;0)," ",(I$1-A33))," ")</f>
        <v>-114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46412</v>
      </c>
      <c r="B34" s="365" t="s">
        <v>365</v>
      </c>
      <c r="E34" s="367" t="s">
        <v>330</v>
      </c>
      <c r="G34" s="368" t="n">
        <v>15</v>
      </c>
      <c r="H34" s="340" t="n">
        <f aca="false">IF((G34&lt;&gt;0),IF((D34&gt;0)," ",G34)," ")</f>
        <v>15</v>
      </c>
      <c r="I34" s="369" t="n">
        <f aca="false">IF((G34&lt;&gt;0),IF((D34&gt;0)," ",(I$1-A34))," ")</f>
        <v>-117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338</v>
      </c>
    </row>
    <row r="35" customFormat="false" ht="12.75" hidden="false" customHeight="false" outlineLevel="0" collapsed="false">
      <c r="A35" s="357" t="n">
        <v>46412</v>
      </c>
      <c r="B35" s="365" t="s">
        <v>366</v>
      </c>
      <c r="E35" s="367" t="s">
        <v>305</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46415</v>
      </c>
      <c r="B36" s="365" t="s">
        <v>356</v>
      </c>
      <c r="E36" s="367" t="s">
        <v>305</v>
      </c>
      <c r="G36" s="368" t="n">
        <v>120</v>
      </c>
      <c r="H36" s="340" t="n">
        <f aca="false">IF((G36&lt;&gt;0),IF((D36&gt;0)," ",G36)," ")</f>
        <v>120</v>
      </c>
      <c r="I36" s="369" t="n">
        <f aca="false">IF((G36&lt;&gt;0),IF((D36&gt;0)," ",(I$1-A36))," ")</f>
        <v>-120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46418</v>
      </c>
      <c r="B37" s="365" t="s">
        <v>367</v>
      </c>
      <c r="E37" s="367" t="s">
        <v>368</v>
      </c>
      <c r="G37" s="368" t="n">
        <v>300</v>
      </c>
      <c r="H37" s="340" t="n">
        <f aca="false">IF((G37&lt;&gt;0),IF((D37&gt;0)," ",G37)," ")</f>
        <v>300</v>
      </c>
      <c r="I37" s="369" t="n">
        <f aca="false">IF((G37&lt;&gt;0),IF((D37&gt;0)," ",(I$1-A37))," ")</f>
        <v>-123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369</v>
      </c>
    </row>
    <row r="38" customFormat="false" ht="12.75" hidden="false" customHeight="false" outlineLevel="0" collapsed="false">
      <c r="A38" s="357" t="n">
        <v>46418</v>
      </c>
      <c r="B38" s="365" t="s">
        <v>370</v>
      </c>
      <c r="C38" s="365" t="s">
        <v>539</v>
      </c>
      <c r="E38" s="367" t="s">
        <v>372</v>
      </c>
      <c r="G38" s="368" t="n">
        <v>3500</v>
      </c>
      <c r="H38" s="340" t="n">
        <f aca="false">IF((G38&lt;&gt;0),IF((D38&gt;0)," ",G38)," ")</f>
        <v>3500</v>
      </c>
      <c r="I38" s="369" t="n">
        <f aca="false">IF((G38&lt;&gt;0),IF((D38&gt;0)," ",(I$1-A38))," ")</f>
        <v>-123</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46418</v>
      </c>
      <c r="B39" s="365" t="s">
        <v>374</v>
      </c>
      <c r="C39" s="365" t="s">
        <v>540</v>
      </c>
      <c r="E39" s="367" t="s">
        <v>372</v>
      </c>
      <c r="G39" s="368" t="n">
        <v>2200</v>
      </c>
      <c r="H39" s="340" t="n">
        <f aca="false">IF((G39&lt;&gt;0),IF((D39&gt;0)," ",G39)," ")</f>
        <v>2200</v>
      </c>
      <c r="I39" s="369" t="n">
        <f aca="false">IF((G39&lt;&gt;0),IF((D39&gt;0)," ",(I$1-A39))," ")</f>
        <v>-123</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customFormat="false" ht="12.75" hidden="false" customHeight="true" outlineLevel="0" collapsed="false">
      <c r="A1" s="342" t="s">
        <v>245</v>
      </c>
      <c r="B1" s="343" t="s">
        <v>246</v>
      </c>
      <c r="C1" s="344"/>
      <c r="D1" s="345" t="s">
        <v>247</v>
      </c>
      <c r="E1" s="346" t="n">
        <f aca="false">SUM(E4:E300)</f>
        <v>0</v>
      </c>
      <c r="F1" s="345" t="n">
        <f aca="false">SUM(F4:F300)</f>
        <v>34360</v>
      </c>
      <c r="G1" s="345" t="n">
        <f aca="false">SUM(G4:G300)</f>
        <v>0</v>
      </c>
      <c r="H1" s="347" t="n">
        <f aca="false">SUM(H4:H300)</f>
        <v>34360</v>
      </c>
      <c r="I1" s="348" t="n">
        <f aca="true">TODAY()</f>
        <v>46295</v>
      </c>
      <c r="J1" s="345" t="n">
        <f aca="false">SUM(J4:J300)</f>
        <v>0</v>
      </c>
      <c r="K1" s="349" t="n">
        <f aca="false">J1+SalesJan!K1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46421</v>
      </c>
      <c r="B4" s="336" t="s">
        <v>261</v>
      </c>
      <c r="C4" s="337" t="s">
        <v>541</v>
      </c>
      <c r="F4" s="336" t="n">
        <v>360</v>
      </c>
      <c r="H4" s="340" t="n">
        <f aca="false">IF((F4&lt;&gt;0),IF((D4&gt;0)," ",F4)," ")</f>
        <v>360</v>
      </c>
      <c r="I4" s="341" t="n">
        <f aca="false">IF((F4&lt;&gt;0),IF((D4&gt;0)," ",(I$1-A4))," ")</f>
        <v>-126</v>
      </c>
      <c r="BZ4" s="336" t="s">
        <v>260</v>
      </c>
    </row>
    <row r="5" customFormat="false" ht="12.75" hidden="false" customHeight="false" outlineLevel="0" collapsed="false">
      <c r="A5" s="357" t="n">
        <v>46423</v>
      </c>
      <c r="B5" s="336" t="s">
        <v>263</v>
      </c>
      <c r="C5" s="337" t="s">
        <v>542</v>
      </c>
      <c r="F5" s="336" t="n">
        <v>600</v>
      </c>
      <c r="H5" s="340" t="n">
        <f aca="false">IF((F5&lt;&gt;0),IF((D5&gt;0)," ",F5)," ")</f>
        <v>600</v>
      </c>
      <c r="I5" s="341" t="n">
        <f aca="false">IF((F5&lt;&gt;0),IF((D5&gt;0)," ",(I$1-A5))," ")</f>
        <v>-128</v>
      </c>
      <c r="BZ5" s="336" t="s">
        <v>260</v>
      </c>
    </row>
    <row r="6" customFormat="false" ht="12.75" hidden="false" customHeight="false" outlineLevel="0" collapsed="false">
      <c r="A6" s="357" t="n">
        <v>46426</v>
      </c>
      <c r="B6" s="336" t="s">
        <v>265</v>
      </c>
      <c r="C6" s="337" t="s">
        <v>543</v>
      </c>
      <c r="F6" s="336" t="n">
        <v>480</v>
      </c>
      <c r="H6" s="340" t="n">
        <f aca="false">IF((F6&lt;&gt;0),IF((D6&gt;0)," ",F6)," ")</f>
        <v>480</v>
      </c>
      <c r="I6" s="341" t="n">
        <f aca="false">IF((F6&lt;&gt;0),IF((D6&gt;0)," ",(I$1-A6))," ")</f>
        <v>-131</v>
      </c>
      <c r="BZ6" s="336" t="s">
        <v>267</v>
      </c>
    </row>
    <row r="7" customFormat="false" ht="12.75" hidden="false" customHeight="false" outlineLevel="0" collapsed="false">
      <c r="A7" s="357" t="n">
        <v>46428</v>
      </c>
      <c r="B7" s="336" t="s">
        <v>268</v>
      </c>
      <c r="C7" s="337" t="s">
        <v>544</v>
      </c>
      <c r="F7" s="336" t="n">
        <v>720</v>
      </c>
      <c r="H7" s="340" t="n">
        <f aca="false">IF((F7&lt;&gt;0),IF((D7&gt;0)," ",F7)," ")</f>
        <v>720</v>
      </c>
      <c r="I7" s="341" t="n">
        <f aca="false">IF((F7&lt;&gt;0),IF((D7&gt;0)," ",(I$1-A7))," ")</f>
        <v>-133</v>
      </c>
      <c r="BZ7" s="336" t="s">
        <v>267</v>
      </c>
    </row>
    <row r="8" customFormat="false" ht="12.75" hidden="false" customHeight="false" outlineLevel="0" collapsed="false">
      <c r="A8" s="357" t="n">
        <v>46433</v>
      </c>
      <c r="B8" s="336" t="s">
        <v>270</v>
      </c>
      <c r="C8" s="337" t="s">
        <v>545</v>
      </c>
      <c r="F8" s="336" t="n">
        <v>25000</v>
      </c>
      <c r="H8" s="340" t="n">
        <f aca="false">IF((F8&lt;&gt;0),IF((D8&gt;0)," ",F8)," ")</f>
        <v>25000</v>
      </c>
      <c r="I8" s="341" t="n">
        <f aca="false">IF((F8&lt;&gt;0),IF((D8&gt;0)," ",(I$1-A8))," ")</f>
        <v>-138</v>
      </c>
      <c r="BZ8" s="336" t="s">
        <v>267</v>
      </c>
    </row>
    <row r="9" customFormat="false" ht="12.75" hidden="false" customHeight="false" outlineLevel="0" collapsed="false">
      <c r="A9" s="357" t="n">
        <v>46436</v>
      </c>
      <c r="B9" s="336" t="s">
        <v>272</v>
      </c>
      <c r="C9" s="337" t="s">
        <v>546</v>
      </c>
      <c r="F9" s="336" t="n">
        <v>2400</v>
      </c>
      <c r="H9" s="340" t="n">
        <f aca="false">IF((F9&lt;&gt;0),IF((D9&gt;0)," ",F9)," ")</f>
        <v>2400</v>
      </c>
      <c r="I9" s="341" t="n">
        <f aca="false">IF((F9&lt;&gt;0),IF((D9&gt;0)," ",(I$1-A9))," ")</f>
        <v>-141</v>
      </c>
      <c r="BZ9" s="336" t="s">
        <v>267</v>
      </c>
    </row>
    <row r="10" customFormat="false" ht="12.75" hidden="false" customHeight="false" outlineLevel="0" collapsed="false">
      <c r="A10" s="357" t="n">
        <v>46438</v>
      </c>
      <c r="B10" s="336" t="s">
        <v>274</v>
      </c>
      <c r="C10" s="337" t="s">
        <v>547</v>
      </c>
      <c r="F10" s="336" t="n">
        <v>1800</v>
      </c>
      <c r="H10" s="340" t="n">
        <f aca="false">IF((F10&lt;&gt;0),IF((D10&gt;0)," ",F10)," ")</f>
        <v>1800</v>
      </c>
      <c r="I10" s="341" t="n">
        <f aca="false">IF((F10&lt;&gt;0),IF((D10&gt;0)," ",(I$1-A10))," ")</f>
        <v>-143</v>
      </c>
      <c r="BZ10" s="336" t="s">
        <v>267</v>
      </c>
    </row>
    <row r="11" customFormat="false" ht="12.75" hidden="false" customHeight="false" outlineLevel="0" collapsed="false">
      <c r="A11" s="357" t="n">
        <v>46438</v>
      </c>
      <c r="B11" s="336" t="s">
        <v>548</v>
      </c>
      <c r="C11" s="337" t="s">
        <v>549</v>
      </c>
      <c r="F11" s="336" t="n">
        <v>1800</v>
      </c>
      <c r="H11" s="340" t="n">
        <f aca="false">IF((F11&lt;&gt;0),IF((D11&gt;0)," ",F11)," ")</f>
        <v>1800</v>
      </c>
      <c r="I11" s="341" t="n">
        <f aca="false">IF((F11&lt;&gt;0),IF((D11&gt;0)," ",(I$1-A11))," ")</f>
        <v>-143</v>
      </c>
      <c r="BZ11" s="336" t="s">
        <v>385</v>
      </c>
    </row>
    <row r="12" customFormat="false" ht="12.75" hidden="false" customHeight="false" outlineLevel="0" collapsed="false">
      <c r="A12" s="357" t="n">
        <v>46443</v>
      </c>
      <c r="B12" s="336" t="s">
        <v>387</v>
      </c>
      <c r="C12" s="337" t="s">
        <v>550</v>
      </c>
      <c r="F12" s="336" t="n">
        <v>1200</v>
      </c>
      <c r="H12" s="340" t="n">
        <f aca="false">IF((F12&lt;&gt;0),IF((D12&gt;0)," ",F12)," ")</f>
        <v>1200</v>
      </c>
      <c r="I12" s="341" t="n">
        <f aca="false">IF((F12&lt;&gt;0),IF((D12&gt;0)," ",(I$1-A12))," ")</f>
        <v>-148</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G4+PurchasesJan!A1</f>
        <v>679.25</v>
      </c>
      <c r="B1" s="372" t="s">
        <v>280</v>
      </c>
      <c r="C1" s="346" t="n">
        <f aca="false">PurchasesJan!C1+PurchasesFeb!F1+SalesFeb!$E$1</f>
        <v>1235</v>
      </c>
      <c r="D1" s="371" t="s">
        <v>247</v>
      </c>
      <c r="E1" s="373" t="str">
        <f aca="false">IF((G1-SUM(J1:W1)&lt;&gt;0),(G1-SUM(J1:W1))," ")</f>
        <v> </v>
      </c>
      <c r="F1" s="346" t="n">
        <f aca="false">SUM(F5:F300)</f>
        <v>70</v>
      </c>
      <c r="G1" s="345" t="n">
        <f aca="false">SUM(G4:G300)</f>
        <v>10103.5</v>
      </c>
      <c r="H1" s="374" t="n">
        <f aca="false">SUM(H5:H300)</f>
        <v>10065</v>
      </c>
      <c r="I1" s="375" t="n">
        <f aca="true">TODAY()</f>
        <v>46295</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602.5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38.5</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402" t="n">
        <f aca="false">IF((C1&lt;Admin!$F$22),((C1-PurchasesJan!C1)*Admin!$G$21),(C1*Admin!$G$21-(C1-Admin!$F$21)*(Admin!$G$21-Admin!$G$22)-PurchasesJan!A1))</f>
        <v>38.5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46419</v>
      </c>
      <c r="B5" s="365" t="s">
        <v>322</v>
      </c>
      <c r="E5" s="367" t="s">
        <v>323</v>
      </c>
      <c r="G5" s="368" t="n">
        <v>1200</v>
      </c>
      <c r="H5" s="340" t="n">
        <f aca="false">IF((G5&lt;&gt;0),IF((D5&gt;0)," ",G5)," ")</f>
        <v>1200</v>
      </c>
      <c r="I5" s="369" t="n">
        <f aca="false">IF((G5&lt;&gt;0),IF((D5&gt;0)," ",(I$1-A5))," ")</f>
        <v>-124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46419</v>
      </c>
      <c r="B6" s="365" t="s">
        <v>325</v>
      </c>
      <c r="E6" s="367" t="s">
        <v>326</v>
      </c>
      <c r="G6" s="368" t="n">
        <v>30</v>
      </c>
      <c r="H6" s="340" t="n">
        <f aca="false">IF((G6&lt;&gt;0),IF((D6&gt;0)," ",G6)," ")</f>
        <v>30</v>
      </c>
      <c r="I6" s="369" t="n">
        <f aca="false">IF((G6&lt;&gt;0),IF((D6&gt;0)," ",(I$1-A6))," ")</f>
        <v>-124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46419</v>
      </c>
      <c r="B7" s="365" t="s">
        <v>328</v>
      </c>
      <c r="E7" s="367" t="s">
        <v>326</v>
      </c>
      <c r="G7" s="368" t="n">
        <v>15</v>
      </c>
      <c r="H7" s="340" t="n">
        <f aca="false">IF((G7&lt;&gt;0),IF((D7&gt;0)," ",G7)," ")</f>
        <v>15</v>
      </c>
      <c r="I7" s="369" t="n">
        <f aca="false">IF((G7&lt;&gt;0),IF((D7&gt;0)," ",(I$1-A7))," ")</f>
        <v>-124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46419</v>
      </c>
      <c r="B8" s="365" t="s">
        <v>329</v>
      </c>
      <c r="E8" s="367" t="s">
        <v>330</v>
      </c>
      <c r="G8" s="368" t="n">
        <v>45</v>
      </c>
      <c r="H8" s="340" t="n">
        <f aca="false">IF((G8&lt;&gt;0),IF((D8&gt;0)," ",G8)," ")</f>
        <v>45</v>
      </c>
      <c r="I8" s="369" t="n">
        <f aca="false">IF((G8&lt;&gt;0),IF((D8&gt;0)," ",(I$1-A8))," ")</f>
        <v>-124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46419</v>
      </c>
      <c r="B9" s="365" t="s">
        <v>334</v>
      </c>
      <c r="E9" s="367" t="s">
        <v>330</v>
      </c>
      <c r="G9" s="368" t="n">
        <v>24</v>
      </c>
      <c r="H9" s="340" t="n">
        <f aca="false">IF((G9&lt;&gt;0),IF((D9&gt;0)," ",G9)," ")</f>
        <v>24</v>
      </c>
      <c r="I9" s="369" t="n">
        <f aca="false">IF((G9&lt;&gt;0),IF((D9&gt;0)," ",(I$1-A9))," ")</f>
        <v>-124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46419</v>
      </c>
      <c r="B10" s="365" t="s">
        <v>335</v>
      </c>
      <c r="E10" s="367" t="s">
        <v>326</v>
      </c>
      <c r="G10" s="368" t="n">
        <v>18</v>
      </c>
      <c r="H10" s="340" t="n">
        <f aca="false">IF((G10&lt;&gt;0),IF((D10&gt;0)," ",G10)," ")</f>
        <v>18</v>
      </c>
      <c r="I10" s="369" t="n">
        <f aca="false">IF((G10&lt;&gt;0),IF((D10&gt;0)," ",(I$1-A10))," ")</f>
        <v>-124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46421</v>
      </c>
      <c r="B11" s="365" t="s">
        <v>336</v>
      </c>
      <c r="E11" s="367" t="s">
        <v>330</v>
      </c>
      <c r="G11" s="368" t="n">
        <v>180</v>
      </c>
      <c r="H11" s="340" t="n">
        <f aca="false">IF((G11&lt;&gt;0),IF((D11&gt;0)," ",G11)," ")</f>
        <v>180</v>
      </c>
      <c r="I11" s="369" t="n">
        <f aca="false">IF((G11&lt;&gt;0),IF((D11&gt;0)," ",(I$1-A11))," ")</f>
        <v>-126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46421</v>
      </c>
      <c r="B12" s="365" t="s">
        <v>337</v>
      </c>
      <c r="E12" s="367" t="s">
        <v>330</v>
      </c>
      <c r="G12" s="368" t="n">
        <v>22</v>
      </c>
      <c r="H12" s="340" t="n">
        <f aca="false">IF((G12&lt;&gt;0),IF((D12&gt;0)," ",G12)," ")</f>
        <v>22</v>
      </c>
      <c r="I12" s="369" t="n">
        <f aca="false">IF((G12&lt;&gt;0),IF((D12&gt;0)," ",(I$1-A12))," ")</f>
        <v>-126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46423</v>
      </c>
      <c r="B13" s="365" t="s">
        <v>339</v>
      </c>
      <c r="E13" s="367" t="s">
        <v>330</v>
      </c>
      <c r="G13" s="368" t="n">
        <v>24</v>
      </c>
      <c r="H13" s="340" t="n">
        <f aca="false">IF((G13&lt;&gt;0),IF((D13&gt;0)," ",G13)," ")</f>
        <v>24</v>
      </c>
      <c r="I13" s="369" t="n">
        <f aca="false">IF((G13&lt;&gt;0),IF((D13&gt;0)," ",(I$1-A13))," ")</f>
        <v>-128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46423</v>
      </c>
      <c r="B14" s="365" t="s">
        <v>340</v>
      </c>
      <c r="E14" s="367" t="s">
        <v>305</v>
      </c>
      <c r="G14" s="368" t="n">
        <v>180</v>
      </c>
      <c r="H14" s="340" t="n">
        <f aca="false">IF((G14&lt;&gt;0),IF((D14&gt;0)," ",G14)," ")</f>
        <v>180</v>
      </c>
      <c r="I14" s="369" t="n">
        <f aca="false">IF((G14&lt;&gt;0),IF((D14&gt;0)," ",(I$1-A14))," ")</f>
        <v>-128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46423</v>
      </c>
      <c r="B15" s="365" t="s">
        <v>342</v>
      </c>
      <c r="E15" s="367" t="s">
        <v>330</v>
      </c>
      <c r="G15" s="368" t="n">
        <v>36</v>
      </c>
      <c r="H15" s="340" t="n">
        <f aca="false">IF((G15&lt;&gt;0),IF((D15&gt;0)," ",G15)," ")</f>
        <v>36</v>
      </c>
      <c r="I15" s="369" t="n">
        <f aca="false">IF((G15&lt;&gt;0),IF((D15&gt;0)," ",(I$1-A15))," ")</f>
        <v>-128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46424</v>
      </c>
      <c r="B16" s="365" t="s">
        <v>390</v>
      </c>
      <c r="E16" s="367" t="s">
        <v>344</v>
      </c>
      <c r="G16" s="368" t="n">
        <v>36</v>
      </c>
      <c r="H16" s="340" t="n">
        <f aca="false">IF((G16&lt;&gt;0),IF((D16&gt;0)," ",G16)," ")</f>
        <v>36</v>
      </c>
      <c r="I16" s="369" t="n">
        <f aca="false">IF((G16&lt;&gt;0),IF((D16&gt;0)," ",(I$1-A16))," ")</f>
        <v>-129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46426</v>
      </c>
      <c r="B17" s="365" t="s">
        <v>343</v>
      </c>
      <c r="E17" s="367" t="s">
        <v>344</v>
      </c>
      <c r="G17" s="368" t="n">
        <v>48</v>
      </c>
      <c r="H17" s="340" t="n">
        <f aca="false">IF((G17&lt;&gt;0),IF((D17&gt;0)," ",G17)," ")</f>
        <v>48</v>
      </c>
      <c r="I17" s="369" t="n">
        <f aca="false">IF((G17&lt;&gt;0),IF((D17&gt;0)," ",(I$1-A17))," ")</f>
        <v>-131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46428</v>
      </c>
      <c r="B18" s="365" t="s">
        <v>346</v>
      </c>
      <c r="E18" s="367" t="s">
        <v>330</v>
      </c>
      <c r="G18" s="368" t="n">
        <v>36</v>
      </c>
      <c r="H18" s="340" t="n">
        <f aca="false">IF((G18&lt;&gt;0),IF((D18&gt;0)," ",G18)," ")</f>
        <v>36</v>
      </c>
      <c r="I18" s="369" t="n">
        <f aca="false">IF((G18&lt;&gt;0),IF((D18&gt;0)," ",(I$1-A18))," ")</f>
        <v>-133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46430</v>
      </c>
      <c r="B19" s="365" t="s">
        <v>352</v>
      </c>
      <c r="E19" s="367" t="s">
        <v>305</v>
      </c>
      <c r="G19" s="368" t="n">
        <v>18</v>
      </c>
      <c r="H19" s="340" t="n">
        <f aca="false">IF((G19&lt;&gt;0),IF((D19&gt;0)," ",G19)," ")</f>
        <v>18</v>
      </c>
      <c r="I19" s="369" t="n">
        <f aca="false">IF((G19&lt;&gt;0),IF((D19&gt;0)," ",(I$1-A19))," ")</f>
        <v>-135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46430</v>
      </c>
      <c r="B20" s="365" t="s">
        <v>446</v>
      </c>
      <c r="E20" s="367" t="s">
        <v>330</v>
      </c>
      <c r="G20" s="368" t="n">
        <v>360</v>
      </c>
      <c r="H20" s="340" t="n">
        <f aca="false">IF((G20&lt;&gt;0),IF((D20&gt;0)," ",G20)," ")</f>
        <v>360</v>
      </c>
      <c r="I20" s="369" t="n">
        <f aca="false">IF((G20&lt;&gt;0),IF((D20&gt;0)," ",(I$1-A20))," ")</f>
        <v>-135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392</v>
      </c>
    </row>
    <row r="21" customFormat="false" ht="12.75" hidden="false" customHeight="false" outlineLevel="0" collapsed="false">
      <c r="A21" s="357" t="n">
        <v>46432</v>
      </c>
      <c r="B21" s="365" t="s">
        <v>353</v>
      </c>
      <c r="D21" s="365"/>
      <c r="E21" s="367" t="s">
        <v>330</v>
      </c>
      <c r="G21" s="368" t="n">
        <v>18</v>
      </c>
      <c r="H21" s="340" t="n">
        <f aca="false">IF((G21&lt;&gt;0),IF((D21&gt;0)," ",G21)," ")</f>
        <v>18</v>
      </c>
      <c r="I21" s="369" t="n">
        <f aca="false">IF((G21&lt;&gt;0),IF((D21&gt;0)," ",(I$1-A21))," ")</f>
        <v>-137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338</v>
      </c>
    </row>
    <row r="22" customFormat="false" ht="12.75" hidden="false" customHeight="false" outlineLevel="0" collapsed="false">
      <c r="A22" s="357" t="n">
        <v>46432</v>
      </c>
      <c r="B22" s="365" t="s">
        <v>354</v>
      </c>
      <c r="D22" s="395"/>
      <c r="E22" s="367" t="s">
        <v>344</v>
      </c>
      <c r="G22" s="368" t="n">
        <v>24</v>
      </c>
      <c r="H22" s="340" t="n">
        <f aca="false">IF((G22&lt;&gt;0),IF((D22&gt;0)," ",G22)," ")</f>
        <v>24</v>
      </c>
      <c r="I22" s="369" t="n">
        <f aca="false">IF((G22&lt;&gt;0),IF((D22&gt;0)," ",(I$1-A22))," ")</f>
        <v>-137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46432</v>
      </c>
      <c r="B23" s="365" t="s">
        <v>355</v>
      </c>
      <c r="E23" s="367" t="s">
        <v>344</v>
      </c>
      <c r="G23" s="368" t="n">
        <v>12</v>
      </c>
      <c r="H23" s="340" t="n">
        <f aca="false">IF((G23&lt;&gt;0),IF((D23&gt;0)," ",G23)," ")</f>
        <v>12</v>
      </c>
      <c r="I23" s="369" t="n">
        <f aca="false">IF((G23&lt;&gt;0),IF((D23&gt;0)," ",(I$1-A23))," ")</f>
        <v>-137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46433</v>
      </c>
      <c r="B24" s="365" t="s">
        <v>356</v>
      </c>
      <c r="E24" s="367" t="s">
        <v>305</v>
      </c>
      <c r="G24" s="368" t="n">
        <v>150</v>
      </c>
      <c r="H24" s="340" t="n">
        <f aca="false">IF((G24&lt;&gt;0),IF((D24&gt;0)," ",G24)," ")</f>
        <v>150</v>
      </c>
      <c r="I24" s="369" t="n">
        <f aca="false">IF((G24&lt;&gt;0),IF((D24&gt;0)," ",(I$1-A24))," ")</f>
        <v>-138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341</v>
      </c>
    </row>
    <row r="25" customFormat="false" ht="12.75" hidden="false" customHeight="false" outlineLevel="0" collapsed="false">
      <c r="A25" s="357" t="n">
        <v>46433</v>
      </c>
      <c r="B25" s="365" t="s">
        <v>357</v>
      </c>
      <c r="E25" s="367" t="s">
        <v>326</v>
      </c>
      <c r="G25" s="368" t="n">
        <v>12</v>
      </c>
      <c r="H25" s="340" t="n">
        <f aca="false">IF((G25&lt;&gt;0),IF((D25&gt;0)," ",G25)," ")</f>
        <v>12</v>
      </c>
      <c r="I25" s="369" t="n">
        <f aca="false">IF((G25&lt;&gt;0),IF((D25&gt;0)," ",(I$1-A25))," ")</f>
        <v>-138</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46433</v>
      </c>
      <c r="B26" s="365" t="s">
        <v>396</v>
      </c>
      <c r="E26" s="367" t="s">
        <v>350</v>
      </c>
      <c r="G26" s="368" t="n">
        <v>420</v>
      </c>
      <c r="H26" s="340" t="n">
        <f aca="false">IF((G26&lt;&gt;0),IF((D26&gt;0)," ",G26)," ")</f>
        <v>420</v>
      </c>
      <c r="I26" s="369" t="n">
        <f aca="false">IF((G26&lt;&gt;0),IF((D26&gt;0)," ",(I$1-A26))," ")</f>
        <v>-138</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46436</v>
      </c>
      <c r="B27" s="365" t="s">
        <v>463</v>
      </c>
      <c r="E27" s="367" t="s">
        <v>361</v>
      </c>
      <c r="G27" s="368" t="n">
        <v>360</v>
      </c>
      <c r="H27" s="340" t="n">
        <f aca="false">IF((G27&lt;&gt;0),IF((D27&gt;0)," ",G27)," ")</f>
        <v>360</v>
      </c>
      <c r="I27" s="369" t="n">
        <f aca="false">IF((G27&lt;&gt;0),IF((D27&gt;0)," ",(I$1-A27))," ")</f>
        <v>-141</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362</v>
      </c>
    </row>
    <row r="28" customFormat="false" ht="12.75" hidden="false" customHeight="false" outlineLevel="0" collapsed="false">
      <c r="A28" s="357" t="n">
        <v>46436</v>
      </c>
      <c r="B28" s="365" t="s">
        <v>423</v>
      </c>
      <c r="E28" s="367" t="s">
        <v>344</v>
      </c>
      <c r="G28" s="368" t="n">
        <v>240</v>
      </c>
      <c r="H28" s="340" t="n">
        <f aca="false">IF((G28&lt;&gt;0),IF((D28&gt;0)," ",G28)," ")</f>
        <v>240</v>
      </c>
      <c r="I28" s="369" t="n">
        <f aca="false">IF((G28&lt;&gt;0),IF((D28&gt;0)," ",(I$1-A28))," ")</f>
        <v>-141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345</v>
      </c>
    </row>
    <row r="29" customFormat="false" ht="12.75" hidden="false" customHeight="false" outlineLevel="0" collapsed="false">
      <c r="A29" s="357" t="n">
        <v>46436</v>
      </c>
      <c r="B29" s="365" t="s">
        <v>358</v>
      </c>
      <c r="E29" s="367" t="s">
        <v>305</v>
      </c>
      <c r="G29" s="368" t="n">
        <v>96</v>
      </c>
      <c r="H29" s="340" t="n">
        <f aca="false">IF((G29&lt;&gt;0),IF((D29&gt;0)," ",G29)," ")</f>
        <v>96</v>
      </c>
      <c r="I29" s="369" t="n">
        <f aca="false">IF((G29&lt;&gt;0),IF((D29&gt;0)," ",(I$1-A29))," ")</f>
        <v>-141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341</v>
      </c>
    </row>
    <row r="30" customFormat="false" ht="12.75" hidden="false" customHeight="false" outlineLevel="0" collapsed="false">
      <c r="A30" s="357" t="n">
        <v>46438</v>
      </c>
      <c r="B30" s="365" t="s">
        <v>359</v>
      </c>
      <c r="E30" s="367" t="s">
        <v>326</v>
      </c>
      <c r="G30" s="368" t="n">
        <v>60</v>
      </c>
      <c r="H30" s="340" t="n">
        <f aca="false">IF((G30&lt;&gt;0),IF((D30&gt;0)," ",G30)," ")</f>
        <v>60</v>
      </c>
      <c r="I30" s="369" t="n">
        <f aca="false">IF((G30&lt;&gt;0),IF((D30&gt;0)," ",(I$1-A30))," ")</f>
        <v>-143</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327</v>
      </c>
    </row>
    <row r="31" customFormat="false" ht="12.75" hidden="false" customHeight="false" outlineLevel="0" collapsed="false">
      <c r="A31" s="357" t="n">
        <v>46438</v>
      </c>
      <c r="B31" s="365" t="s">
        <v>403</v>
      </c>
      <c r="E31" s="367" t="s">
        <v>350</v>
      </c>
      <c r="G31" s="368" t="n">
        <v>240</v>
      </c>
      <c r="H31" s="340" t="n">
        <f aca="false">IF((G31&lt;&gt;0),IF((D31&gt;0)," ",G31)," ")</f>
        <v>240</v>
      </c>
      <c r="I31" s="369" t="n">
        <f aca="false">IF((G31&lt;&gt;0),IF((D31&gt;0)," ",(I$1-A31))," ")</f>
        <v>-143</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46439</v>
      </c>
      <c r="B32" s="365" t="s">
        <v>363</v>
      </c>
      <c r="E32" s="367" t="s">
        <v>344</v>
      </c>
      <c r="G32" s="368" t="n">
        <v>8</v>
      </c>
      <c r="H32" s="340" t="n">
        <f aca="false">IF((G32&lt;&gt;0),IF((D32&gt;0)," ",G32)," ")</f>
        <v>8</v>
      </c>
      <c r="I32" s="369" t="n">
        <f aca="false">IF((G32&lt;&gt;0),IF((D32&gt;0)," ",(I$1-A32))," ")</f>
        <v>-144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345</v>
      </c>
    </row>
    <row r="33" customFormat="false" ht="12.75" hidden="false" customHeight="false" outlineLevel="0" collapsed="false">
      <c r="A33" s="357" t="n">
        <v>46440</v>
      </c>
      <c r="B33" s="365" t="s">
        <v>364</v>
      </c>
      <c r="E33" s="367" t="s">
        <v>330</v>
      </c>
      <c r="G33" s="368" t="n">
        <v>18</v>
      </c>
      <c r="H33" s="340" t="n">
        <f aca="false">IF((G33&lt;&gt;0),IF((D33&gt;0)," ",G33)," ")</f>
        <v>18</v>
      </c>
      <c r="I33" s="369" t="n">
        <f aca="false">IF((G33&lt;&gt;0),IF((D33&gt;0)," ",(I$1-A33))," ")</f>
        <v>-145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338</v>
      </c>
    </row>
    <row r="34" customFormat="false" ht="12.75" hidden="false" customHeight="false" outlineLevel="0" collapsed="false">
      <c r="A34" s="357" t="n">
        <v>46443</v>
      </c>
      <c r="B34" s="365" t="s">
        <v>365</v>
      </c>
      <c r="E34" s="367" t="s">
        <v>330</v>
      </c>
      <c r="G34" s="368" t="n">
        <v>15</v>
      </c>
      <c r="H34" s="340" t="n">
        <f aca="false">IF((G34&lt;&gt;0),IF((D34&gt;0)," ",G34)," ")</f>
        <v>15</v>
      </c>
      <c r="I34" s="369" t="n">
        <f aca="false">IF((G34&lt;&gt;0),IF((D34&gt;0)," ",(I$1-A34))," ")</f>
        <v>-148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338</v>
      </c>
    </row>
    <row r="35" customFormat="false" ht="12.75" hidden="false" customHeight="false" outlineLevel="0" collapsed="false">
      <c r="A35" s="357" t="n">
        <v>46443</v>
      </c>
      <c r="B35" s="365" t="s">
        <v>366</v>
      </c>
      <c r="E35" s="367" t="s">
        <v>305</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46446</v>
      </c>
      <c r="B36" s="365" t="s">
        <v>367</v>
      </c>
      <c r="E36" s="367" t="s">
        <v>368</v>
      </c>
      <c r="G36" s="368" t="n">
        <v>300</v>
      </c>
      <c r="H36" s="340" t="n">
        <f aca="false">IF((G36&lt;&gt;0),IF((D36&gt;0)," ",G36)," ")</f>
        <v>300</v>
      </c>
      <c r="I36" s="369" t="n">
        <f aca="false">IF((G36&lt;&gt;0),IF((D36&gt;0)," ",(I$1-A36))," ")</f>
        <v>-151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46446</v>
      </c>
      <c r="B37" s="365" t="s">
        <v>356</v>
      </c>
      <c r="E37" s="367" t="s">
        <v>305</v>
      </c>
      <c r="G37" s="368" t="n">
        <v>120</v>
      </c>
      <c r="H37" s="340" t="n">
        <f aca="false">IF((G37&lt;&gt;0),IF((D37&gt;0)," ",G37)," ")</f>
        <v>120</v>
      </c>
      <c r="I37" s="369" t="n">
        <f aca="false">IF((G37&lt;&gt;0),IF((D37&gt;0)," ",(I$1-A37))," ")</f>
        <v>-151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341</v>
      </c>
    </row>
    <row r="38" customFormat="false" ht="12.75" hidden="false" customHeight="false" outlineLevel="0" collapsed="false">
      <c r="A38" s="357" t="n">
        <v>46446</v>
      </c>
      <c r="B38" s="365" t="s">
        <v>370</v>
      </c>
      <c r="C38" s="365" t="s">
        <v>551</v>
      </c>
      <c r="E38" s="367" t="s">
        <v>372</v>
      </c>
      <c r="G38" s="368" t="n">
        <v>3500</v>
      </c>
      <c r="H38" s="340" t="n">
        <f aca="false">IF((G38&lt;&gt;0),IF((D38&gt;0)," ",G38)," ")</f>
        <v>3500</v>
      </c>
      <c r="I38" s="369" t="n">
        <f aca="false">IF((G38&lt;&gt;0),IF((D38&gt;0)," ",(I$1-A38))," ")</f>
        <v>-151</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46446</v>
      </c>
      <c r="B39" s="365" t="s">
        <v>374</v>
      </c>
      <c r="C39" s="365" t="s">
        <v>552</v>
      </c>
      <c r="E39" s="367" t="s">
        <v>372</v>
      </c>
      <c r="G39" s="368" t="n">
        <v>2200</v>
      </c>
      <c r="H39" s="340" t="n">
        <f aca="false">IF((G39&lt;&gt;0),IF((D39&gt;0)," ",G39)," ")</f>
        <v>2200</v>
      </c>
      <c r="I39" s="369" t="n">
        <f aca="false">IF((G39&lt;&gt;0),IF((D39&gt;0)," ",(I$1-A39))," ")</f>
        <v>-151</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245</v>
      </c>
      <c r="B1" s="343" t="s">
        <v>246</v>
      </c>
      <c r="C1" s="344"/>
      <c r="D1" s="345" t="s">
        <v>247</v>
      </c>
      <c r="E1" s="346" t="n">
        <f aca="false">SUM(E4:E300)</f>
        <v>0</v>
      </c>
      <c r="F1" s="345" t="n">
        <f aca="false">SUM(F4:F300)</f>
        <v>31360</v>
      </c>
      <c r="G1" s="345" t="n">
        <f aca="false">SUM(G4:G300)</f>
        <v>0</v>
      </c>
      <c r="H1" s="347" t="n">
        <f aca="false">SUM(H4:H300)</f>
        <v>31360</v>
      </c>
      <c r="I1" s="348" t="n">
        <f aca="true">TODAY()</f>
        <v>46295</v>
      </c>
      <c r="J1" s="345" t="n">
        <f aca="false">SUM(J4:J300)</f>
        <v>0</v>
      </c>
      <c r="K1" s="349" t="n">
        <f aca="false">J1+SalesFeb!K1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248</v>
      </c>
      <c r="D2" s="352" t="s">
        <v>249</v>
      </c>
      <c r="E2" s="353" t="s">
        <v>250</v>
      </c>
      <c r="F2" s="343" t="s">
        <v>251</v>
      </c>
      <c r="G2" s="343" t="s">
        <v>252</v>
      </c>
      <c r="H2" s="354" t="s">
        <v>253</v>
      </c>
      <c r="I2" s="355" t="s">
        <v>254</v>
      </c>
      <c r="J2" s="343" t="s">
        <v>255</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256</v>
      </c>
      <c r="K3" s="343" t="s">
        <v>257</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46449</v>
      </c>
      <c r="B4" s="336" t="s">
        <v>261</v>
      </c>
      <c r="C4" s="337" t="s">
        <v>553</v>
      </c>
      <c r="F4" s="336" t="n">
        <v>360</v>
      </c>
      <c r="H4" s="340" t="n">
        <f aca="false">IF((F4&lt;&gt;0),IF((D4&gt;0)," ",F4)," ")</f>
        <v>360</v>
      </c>
      <c r="I4" s="341" t="n">
        <f aca="false">IF((F4&lt;&gt;0),IF((D4&gt;0)," ",(I$1-A4))," ")</f>
        <v>-154</v>
      </c>
      <c r="BZ4" s="336" t="s">
        <v>260</v>
      </c>
    </row>
    <row r="5" customFormat="false" ht="12.75" hidden="false" customHeight="false" outlineLevel="0" collapsed="false">
      <c r="A5" s="357" t="n">
        <v>46451</v>
      </c>
      <c r="B5" s="336" t="s">
        <v>263</v>
      </c>
      <c r="C5" s="337" t="s">
        <v>554</v>
      </c>
      <c r="F5" s="336" t="n">
        <v>600</v>
      </c>
      <c r="H5" s="340" t="n">
        <f aca="false">IF((F5&lt;&gt;0),IF((D5&gt;0)," ",F5)," ")</f>
        <v>600</v>
      </c>
      <c r="I5" s="341" t="n">
        <f aca="false">IF((F5&lt;&gt;0),IF((D5&gt;0)," ",(I$1-A5))," ")</f>
        <v>-156</v>
      </c>
      <c r="BZ5" s="336" t="s">
        <v>260</v>
      </c>
    </row>
    <row r="6" customFormat="false" ht="12.75" hidden="false" customHeight="false" outlineLevel="0" collapsed="false">
      <c r="A6" s="357" t="n">
        <v>46454</v>
      </c>
      <c r="B6" s="336" t="s">
        <v>265</v>
      </c>
      <c r="C6" s="337" t="s">
        <v>555</v>
      </c>
      <c r="F6" s="336" t="n">
        <v>480</v>
      </c>
      <c r="H6" s="340" t="n">
        <f aca="false">IF((F6&lt;&gt;0),IF((D6&gt;0)," ",F6)," ")</f>
        <v>480</v>
      </c>
      <c r="I6" s="341" t="n">
        <f aca="false">IF((F6&lt;&gt;0),IF((D6&gt;0)," ",(I$1-A6))," ")</f>
        <v>-159</v>
      </c>
      <c r="BZ6" s="336" t="s">
        <v>267</v>
      </c>
    </row>
    <row r="7" customFormat="false" ht="12.75" hidden="false" customHeight="false" outlineLevel="0" collapsed="false">
      <c r="A7" s="357" t="n">
        <v>46456</v>
      </c>
      <c r="B7" s="336" t="s">
        <v>268</v>
      </c>
      <c r="C7" s="337" t="s">
        <v>556</v>
      </c>
      <c r="F7" s="336" t="n">
        <v>720</v>
      </c>
      <c r="H7" s="340" t="n">
        <f aca="false">IF((F7&lt;&gt;0),IF((D7&gt;0)," ",F7)," ")</f>
        <v>720</v>
      </c>
      <c r="I7" s="341" t="n">
        <f aca="false">IF((F7&lt;&gt;0),IF((D7&gt;0)," ",(I$1-A7))," ")</f>
        <v>-161</v>
      </c>
      <c r="BZ7" s="336" t="s">
        <v>267</v>
      </c>
    </row>
    <row r="8" customFormat="false" ht="12.75" hidden="false" customHeight="false" outlineLevel="0" collapsed="false">
      <c r="A8" s="357" t="n">
        <v>46461</v>
      </c>
      <c r="B8" s="336" t="s">
        <v>270</v>
      </c>
      <c r="C8" s="337" t="s">
        <v>557</v>
      </c>
      <c r="F8" s="336" t="n">
        <v>25000</v>
      </c>
      <c r="H8" s="340" t="n">
        <f aca="false">IF((F8&lt;&gt;0),IF((D8&gt;0)," ",F8)," ")</f>
        <v>25000</v>
      </c>
      <c r="I8" s="341" t="n">
        <f aca="false">IF((F8&lt;&gt;0),IF((D8&gt;0)," ",(I$1-A8))," ")</f>
        <v>-166</v>
      </c>
      <c r="BZ8" s="336" t="s">
        <v>267</v>
      </c>
    </row>
    <row r="9" customFormat="false" ht="12.75" hidden="false" customHeight="false" outlineLevel="0" collapsed="false">
      <c r="A9" s="357" t="n">
        <v>46464</v>
      </c>
      <c r="B9" s="336" t="s">
        <v>272</v>
      </c>
      <c r="C9" s="337" t="s">
        <v>558</v>
      </c>
      <c r="F9" s="336" t="n">
        <v>2400</v>
      </c>
      <c r="H9" s="340" t="n">
        <f aca="false">IF((F9&lt;&gt;0),IF((D9&gt;0)," ",F9)," ")</f>
        <v>2400</v>
      </c>
      <c r="I9" s="341" t="n">
        <f aca="false">IF((F9&lt;&gt;0),IF((D9&gt;0)," ",(I$1-A9))," ")</f>
        <v>-169</v>
      </c>
      <c r="BZ9" s="336" t="s">
        <v>267</v>
      </c>
    </row>
    <row r="10" customFormat="false" ht="12.75" hidden="false" customHeight="false" outlineLevel="0" collapsed="false">
      <c r="A10" s="357" t="n">
        <v>46468</v>
      </c>
      <c r="B10" s="336" t="s">
        <v>416</v>
      </c>
      <c r="C10" s="337" t="s">
        <v>559</v>
      </c>
      <c r="F10" s="336" t="n">
        <v>1440</v>
      </c>
      <c r="H10" s="340" t="n">
        <f aca="false">IF((F10&lt;&gt;0),IF((D10&gt;0)," ",F10)," ")</f>
        <v>1440</v>
      </c>
      <c r="I10" s="341" t="n">
        <f aca="false">IF((F10&lt;&gt;0),IF((D10&gt;0)," ",(I$1-A10))," ")</f>
        <v>-173</v>
      </c>
      <c r="BZ10" s="336" t="s">
        <v>267</v>
      </c>
    </row>
    <row r="11" customFormat="false" ht="12.75" hidden="false" customHeight="false" outlineLevel="0" collapsed="false">
      <c r="A11" s="357" t="n">
        <v>46477</v>
      </c>
      <c r="B11" s="336" t="s">
        <v>560</v>
      </c>
      <c r="C11" s="337" t="s">
        <v>561</v>
      </c>
      <c r="F11" s="336" t="n">
        <v>360</v>
      </c>
      <c r="H11" s="340" t="n">
        <f aca="false">IF((F11&lt;&gt;0),IF((D11&gt;0)," ",F11)," ")</f>
        <v>360</v>
      </c>
      <c r="I11" s="341" t="n">
        <f aca="false">IF((F11&lt;&gt;0),IF((D11&gt;0)," ",(I$1-A11))," ")</f>
        <v>-182</v>
      </c>
      <c r="BZ11" s="336" t="s">
        <v>562</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G4+PurchasesFeb!A1</f>
        <v>750.75</v>
      </c>
      <c r="B1" s="372" t="s">
        <v>280</v>
      </c>
      <c r="C1" s="346" t="n">
        <f aca="false">PurchasesFeb!C1+PurchasesMar!F1+SalesMar!$E$1</f>
        <v>1365</v>
      </c>
      <c r="D1" s="371" t="s">
        <v>247</v>
      </c>
      <c r="E1" s="373" t="str">
        <f aca="false">IF((G1-SUM(J1:W1)&lt;&gt;0),(G1-SUM(J1:W1))," ")</f>
        <v> </v>
      </c>
      <c r="F1" s="346" t="n">
        <f aca="false">SUM(F5:F300)</f>
        <v>130</v>
      </c>
      <c r="G1" s="345" t="n">
        <f aca="false">SUM(G4:G300)</f>
        <v>9439.5</v>
      </c>
      <c r="H1" s="374" t="n">
        <f aca="false">SUM(H5:H300)</f>
        <v>9368</v>
      </c>
      <c r="I1" s="375" t="n">
        <f aca="true">TODAY()</f>
        <v>46295</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695.5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71.5</v>
      </c>
      <c r="Q3" s="382"/>
      <c r="R3" s="382"/>
      <c r="S3" s="382"/>
      <c r="T3" s="382"/>
      <c r="U3" s="382"/>
      <c r="V3" s="382"/>
      <c r="W3" s="383"/>
      <c r="X3" s="385"/>
      <c r="Y3" s="382" t="s">
        <v>304</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305</v>
      </c>
      <c r="F4" s="381"/>
      <c r="G4" s="402" t="n">
        <f aca="false">IF((C1&lt;Admin!$F$22),((C1-PurchasesFeb!C1)*Admin!$G$21),(C1*Admin!$G$21-(C1-Admin!$F$21)*(Admin!$G$21-Admin!$G$22)-PurchasesFeb!A1))</f>
        <v>71.5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46447</v>
      </c>
      <c r="B5" s="365" t="s">
        <v>322</v>
      </c>
      <c r="E5" s="367" t="s">
        <v>323</v>
      </c>
      <c r="G5" s="368" t="n">
        <v>1200</v>
      </c>
      <c r="H5" s="340" t="n">
        <f aca="false">IF((G5&lt;&gt;0),IF((D5&gt;0)," ",G5)," ")</f>
        <v>1200</v>
      </c>
      <c r="I5" s="369" t="n">
        <f aca="false">IF((G5&lt;&gt;0),IF((D5&gt;0)," ",(I$1-A5))," ")</f>
        <v>-152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46447</v>
      </c>
      <c r="B6" s="365" t="s">
        <v>325</v>
      </c>
      <c r="E6" s="367" t="s">
        <v>326</v>
      </c>
      <c r="G6" s="368" t="n">
        <v>30</v>
      </c>
      <c r="H6" s="340" t="n">
        <f aca="false">IF((G6&lt;&gt;0),IF((D6&gt;0)," ",G6)," ")</f>
        <v>30</v>
      </c>
      <c r="I6" s="369" t="n">
        <f aca="false">IF((G6&lt;&gt;0),IF((D6&gt;0)," ",(I$1-A6))," ")</f>
        <v>-152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46447</v>
      </c>
      <c r="B7" s="365" t="s">
        <v>328</v>
      </c>
      <c r="E7" s="367" t="s">
        <v>326</v>
      </c>
      <c r="G7" s="368" t="n">
        <v>15</v>
      </c>
      <c r="H7" s="340" t="n">
        <f aca="false">IF((G7&lt;&gt;0),IF((D7&gt;0)," ",G7)," ")</f>
        <v>15</v>
      </c>
      <c r="I7" s="369" t="n">
        <f aca="false">IF((G7&lt;&gt;0),IF((D7&gt;0)," ",(I$1-A7))," ")</f>
        <v>-152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46447</v>
      </c>
      <c r="B8" s="365" t="s">
        <v>329</v>
      </c>
      <c r="E8" s="367" t="s">
        <v>330</v>
      </c>
      <c r="G8" s="368" t="n">
        <v>45</v>
      </c>
      <c r="H8" s="340" t="n">
        <f aca="false">IF((G8&lt;&gt;0),IF((D8&gt;0)," ",G8)," ")</f>
        <v>45</v>
      </c>
      <c r="I8" s="369" t="n">
        <f aca="false">IF((G8&lt;&gt;0),IF((D8&gt;0)," ",(I$1-A8))," ")</f>
        <v>-152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46447</v>
      </c>
      <c r="B9" s="365" t="s">
        <v>334</v>
      </c>
      <c r="E9" s="367" t="s">
        <v>330</v>
      </c>
      <c r="G9" s="368" t="n">
        <v>24</v>
      </c>
      <c r="H9" s="340" t="n">
        <f aca="false">IF((G9&lt;&gt;0),IF((D9&gt;0)," ",G9)," ")</f>
        <v>24</v>
      </c>
      <c r="I9" s="369" t="n">
        <f aca="false">IF((G9&lt;&gt;0),IF((D9&gt;0)," ",(I$1-A9))," ")</f>
        <v>-152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46447</v>
      </c>
      <c r="B10" s="365" t="s">
        <v>335</v>
      </c>
      <c r="E10" s="367" t="s">
        <v>326</v>
      </c>
      <c r="G10" s="368" t="n">
        <v>18</v>
      </c>
      <c r="H10" s="340" t="n">
        <f aca="false">IF((G10&lt;&gt;0),IF((D10&gt;0)," ",G10)," ")</f>
        <v>18</v>
      </c>
      <c r="I10" s="369" t="n">
        <f aca="false">IF((G10&lt;&gt;0),IF((D10&gt;0)," ",(I$1-A10))," ")</f>
        <v>-152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46449</v>
      </c>
      <c r="B11" s="365" t="s">
        <v>336</v>
      </c>
      <c r="E11" s="367" t="s">
        <v>330</v>
      </c>
      <c r="G11" s="368" t="n">
        <v>180</v>
      </c>
      <c r="H11" s="340" t="n">
        <f aca="false">IF((G11&lt;&gt;0),IF((D11&gt;0)," ",G11)," ")</f>
        <v>180</v>
      </c>
      <c r="I11" s="369" t="n">
        <f aca="false">IF((G11&lt;&gt;0),IF((D11&gt;0)," ",(I$1-A11))," ")</f>
        <v>-154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46449</v>
      </c>
      <c r="B12" s="365" t="s">
        <v>337</v>
      </c>
      <c r="E12" s="367" t="s">
        <v>330</v>
      </c>
      <c r="G12" s="368" t="n">
        <v>22</v>
      </c>
      <c r="H12" s="340" t="n">
        <f aca="false">IF((G12&lt;&gt;0),IF((D12&gt;0)," ",G12)," ")</f>
        <v>22</v>
      </c>
      <c r="I12" s="369" t="n">
        <f aca="false">IF((G12&lt;&gt;0),IF((D12&gt;0)," ",(I$1-A12))," ")</f>
        <v>-154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46451</v>
      </c>
      <c r="B13" s="365" t="s">
        <v>339</v>
      </c>
      <c r="E13" s="367" t="s">
        <v>330</v>
      </c>
      <c r="G13" s="368" t="n">
        <v>24</v>
      </c>
      <c r="H13" s="340" t="n">
        <f aca="false">IF((G13&lt;&gt;0),IF((D13&gt;0)," ",G13)," ")</f>
        <v>24</v>
      </c>
      <c r="I13" s="369" t="n">
        <f aca="false">IF((G13&lt;&gt;0),IF((D13&gt;0)," ",(I$1-A13))," ")</f>
        <v>-156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46451</v>
      </c>
      <c r="B14" s="365" t="s">
        <v>340</v>
      </c>
      <c r="E14" s="367" t="s">
        <v>305</v>
      </c>
      <c r="G14" s="368" t="n">
        <v>180</v>
      </c>
      <c r="H14" s="340" t="n">
        <f aca="false">IF((G14&lt;&gt;0),IF((D14&gt;0)," ",G14)," ")</f>
        <v>180</v>
      </c>
      <c r="I14" s="369" t="n">
        <f aca="false">IF((G14&lt;&gt;0),IF((D14&gt;0)," ",(I$1-A14))," ")</f>
        <v>-156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46454</v>
      </c>
      <c r="B15" s="365" t="s">
        <v>343</v>
      </c>
      <c r="E15" s="367" t="s">
        <v>344</v>
      </c>
      <c r="G15" s="368" t="n">
        <v>48</v>
      </c>
      <c r="H15" s="340" t="n">
        <f aca="false">IF((G15&lt;&gt;0),IF((D15&gt;0)," ",G15)," ")</f>
        <v>48</v>
      </c>
      <c r="I15" s="369" t="n">
        <f aca="false">IF((G15&lt;&gt;0),IF((D15&gt;0)," ",(I$1-A15))," ")</f>
        <v>-159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46456</v>
      </c>
      <c r="B16" s="365" t="s">
        <v>346</v>
      </c>
      <c r="E16" s="367" t="s">
        <v>330</v>
      </c>
      <c r="G16" s="368" t="n">
        <v>36</v>
      </c>
      <c r="H16" s="340" t="n">
        <f aca="false">IF((G16&lt;&gt;0),IF((D16&gt;0)," ",G16)," ")</f>
        <v>36</v>
      </c>
      <c r="I16" s="369" t="n">
        <f aca="false">IF((G16&lt;&gt;0),IF((D16&gt;0)," ",(I$1-A16))," ")</f>
        <v>-161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338</v>
      </c>
    </row>
    <row r="17" customFormat="false" ht="12.75" hidden="false" customHeight="false" outlineLevel="0" collapsed="false">
      <c r="A17" s="357" t="n">
        <v>46456</v>
      </c>
      <c r="B17" s="365" t="s">
        <v>357</v>
      </c>
      <c r="E17" s="367" t="s">
        <v>330</v>
      </c>
      <c r="G17" s="368" t="n">
        <v>144</v>
      </c>
      <c r="H17" s="340" t="n">
        <f aca="false">IF((G17&lt;&gt;0),IF((D17&gt;0)," ",G17)," ")</f>
        <v>144</v>
      </c>
      <c r="I17" s="369" t="n">
        <f aca="false">IF((G17&lt;&gt;0),IF((D17&gt;0)," ",(I$1-A17))," ")</f>
        <v>-161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402</v>
      </c>
    </row>
    <row r="18" customFormat="false" ht="12.75" hidden="false" customHeight="false" outlineLevel="0" collapsed="false">
      <c r="A18" s="357" t="n">
        <v>46458</v>
      </c>
      <c r="B18" s="365" t="s">
        <v>352</v>
      </c>
      <c r="E18" s="367" t="s">
        <v>305</v>
      </c>
      <c r="G18" s="368" t="n">
        <v>18</v>
      </c>
      <c r="H18" s="340" t="n">
        <f aca="false">IF((G18&lt;&gt;0),IF((D18&gt;0)," ",G18)," ")</f>
        <v>18</v>
      </c>
      <c r="I18" s="369" t="n">
        <f aca="false">IF((G18&lt;&gt;0),IF((D18&gt;0)," ",(I$1-A18))," ")</f>
        <v>-163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341</v>
      </c>
    </row>
    <row r="19" customFormat="false" ht="12.75" hidden="false" customHeight="false" outlineLevel="0" collapsed="false">
      <c r="A19" s="357" t="n">
        <v>46460</v>
      </c>
      <c r="B19" s="365" t="s">
        <v>354</v>
      </c>
      <c r="E19" s="367" t="s">
        <v>344</v>
      </c>
      <c r="G19" s="368" t="n">
        <v>24</v>
      </c>
      <c r="H19" s="340" t="n">
        <f aca="false">IF((G19&lt;&gt;0),IF((D19&gt;0)," ",G19)," ")</f>
        <v>24</v>
      </c>
      <c r="I19" s="369" t="n">
        <f aca="false">IF((G19&lt;&gt;0),IF((D19&gt;0)," ",(I$1-A19))," ")</f>
        <v>-165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345</v>
      </c>
    </row>
    <row r="20" customFormat="false" ht="12.75" hidden="false" customHeight="false" outlineLevel="0" collapsed="false">
      <c r="A20" s="357" t="n">
        <v>46460</v>
      </c>
      <c r="B20" s="365" t="s">
        <v>355</v>
      </c>
      <c r="E20" s="367" t="s">
        <v>344</v>
      </c>
      <c r="G20" s="368" t="n">
        <v>12</v>
      </c>
      <c r="H20" s="340" t="n">
        <f aca="false">IF((G20&lt;&gt;0),IF((D20&gt;0)," ",G20)," ")</f>
        <v>12</v>
      </c>
      <c r="I20" s="369" t="n">
        <f aca="false">IF((G20&lt;&gt;0),IF((D20&gt;0)," ",(I$1-A20))," ")</f>
        <v>-165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345</v>
      </c>
    </row>
    <row r="21" customFormat="false" ht="12.75" hidden="false" customHeight="false" outlineLevel="0" collapsed="false">
      <c r="A21" s="357" t="n">
        <v>46461</v>
      </c>
      <c r="B21" s="365" t="s">
        <v>356</v>
      </c>
      <c r="D21" s="365"/>
      <c r="E21" s="367" t="s">
        <v>305</v>
      </c>
      <c r="G21" s="368" t="n">
        <v>150</v>
      </c>
      <c r="H21" s="340" t="n">
        <f aca="false">IF((G21&lt;&gt;0),IF((D21&gt;0)," ",G21)," ")</f>
        <v>150</v>
      </c>
      <c r="I21" s="369" t="n">
        <f aca="false">IF((G21&lt;&gt;0),IF((D21&gt;0)," ",(I$1-A21))," ")</f>
        <v>-166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46461</v>
      </c>
      <c r="B22" s="365" t="s">
        <v>357</v>
      </c>
      <c r="D22" s="395"/>
      <c r="E22" s="367" t="s">
        <v>326</v>
      </c>
      <c r="G22" s="368" t="n">
        <v>12</v>
      </c>
      <c r="H22" s="340" t="n">
        <f aca="false">IF((G22&lt;&gt;0),IF((D22&gt;0)," ",G22)," ")</f>
        <v>12</v>
      </c>
      <c r="I22" s="369" t="n">
        <f aca="false">IF((G22&lt;&gt;0),IF((D22&gt;0)," ",(I$1-A22))," ")</f>
        <v>-166</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327</v>
      </c>
    </row>
    <row r="23" customFormat="false" ht="12.75" hidden="false" customHeight="false" outlineLevel="0" collapsed="false">
      <c r="A23" s="357" t="n">
        <v>46462</v>
      </c>
      <c r="B23" s="365" t="s">
        <v>400</v>
      </c>
      <c r="E23" s="367" t="s">
        <v>326</v>
      </c>
      <c r="G23" s="368" t="n">
        <v>24</v>
      </c>
      <c r="H23" s="340" t="n">
        <f aca="false">IF((G23&lt;&gt;0),IF((D23&gt;0)," ",G23)," ")</f>
        <v>24</v>
      </c>
      <c r="I23" s="369" t="n">
        <f aca="false">IF((G23&lt;&gt;0),IF((D23&gt;0)," ",(I$1-A23))," ")</f>
        <v>-167</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327</v>
      </c>
    </row>
    <row r="24" customFormat="false" ht="12.75" hidden="false" customHeight="false" outlineLevel="0" collapsed="false">
      <c r="A24" s="357" t="n">
        <v>46464</v>
      </c>
      <c r="B24" s="365" t="s">
        <v>424</v>
      </c>
      <c r="E24" s="367" t="s">
        <v>350</v>
      </c>
      <c r="G24" s="368" t="n">
        <v>300</v>
      </c>
      <c r="H24" s="340" t="n">
        <f aca="false">IF((G24&lt;&gt;0),IF((D24&gt;0)," ",G24)," ")</f>
        <v>300</v>
      </c>
      <c r="I24" s="369" t="n">
        <f aca="false">IF((G24&lt;&gt;0),IF((D24&gt;0)," ",(I$1-A24))," ")</f>
        <v>-169</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46464</v>
      </c>
      <c r="B25" s="365" t="s">
        <v>358</v>
      </c>
      <c r="E25" s="367" t="s">
        <v>305</v>
      </c>
      <c r="G25" s="368" t="n">
        <v>96</v>
      </c>
      <c r="H25" s="340" t="n">
        <f aca="false">IF((G25&lt;&gt;0),IF((D25&gt;0)," ",G25)," ")</f>
        <v>96</v>
      </c>
      <c r="I25" s="369" t="n">
        <f aca="false">IF((G25&lt;&gt;0),IF((D25&gt;0)," ",(I$1-A25))," ")</f>
        <v>-169</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341</v>
      </c>
    </row>
    <row r="26" customFormat="false" ht="12.75" hidden="false" customHeight="false" outlineLevel="0" collapsed="false">
      <c r="A26" s="357" t="n">
        <v>46466</v>
      </c>
      <c r="B26" s="365" t="s">
        <v>359</v>
      </c>
      <c r="E26" s="367" t="s">
        <v>326</v>
      </c>
      <c r="G26" s="368" t="n">
        <v>60</v>
      </c>
      <c r="H26" s="340" t="n">
        <f aca="false">IF((G26&lt;&gt;0),IF((D26&gt;0)," ",G26)," ")</f>
        <v>60</v>
      </c>
      <c r="I26" s="369" t="n">
        <f aca="false">IF((G26&lt;&gt;0),IF((D26&gt;0)," ",(I$1-A26))," ")</f>
        <v>-171</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46467</v>
      </c>
      <c r="B27" s="365" t="s">
        <v>363</v>
      </c>
      <c r="E27" s="367" t="s">
        <v>344</v>
      </c>
      <c r="G27" s="368" t="n">
        <v>8</v>
      </c>
      <c r="H27" s="340" t="n">
        <f aca="false">IF((G27&lt;&gt;0),IF((D27&gt;0)," ",G27)," ")</f>
        <v>8</v>
      </c>
      <c r="I27" s="369" t="n">
        <f aca="false">IF((G27&lt;&gt;0),IF((D27&gt;0)," ",(I$1-A27))," ")</f>
        <v>-172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345</v>
      </c>
    </row>
    <row r="28" customFormat="false" ht="12.75" hidden="false" customHeight="false" outlineLevel="0" collapsed="false">
      <c r="A28" s="357" t="n">
        <v>46468</v>
      </c>
      <c r="B28" s="365" t="s">
        <v>364</v>
      </c>
      <c r="E28" s="367" t="s">
        <v>330</v>
      </c>
      <c r="G28" s="368" t="n">
        <v>18</v>
      </c>
      <c r="H28" s="340" t="n">
        <f aca="false">IF((G28&lt;&gt;0),IF((D28&gt;0)," ",G28)," ")</f>
        <v>18</v>
      </c>
      <c r="I28" s="369" t="n">
        <f aca="false">IF((G28&lt;&gt;0),IF((D28&gt;0)," ",(I$1-A28))," ")</f>
        <v>-173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338</v>
      </c>
    </row>
    <row r="29" customFormat="false" ht="12.75" hidden="false" customHeight="false" outlineLevel="0" collapsed="false">
      <c r="A29" s="357" t="n">
        <v>46468</v>
      </c>
      <c r="B29" s="365" t="s">
        <v>404</v>
      </c>
      <c r="E29" s="367" t="s">
        <v>305</v>
      </c>
      <c r="G29" s="368" t="n">
        <v>60</v>
      </c>
      <c r="H29" s="340" t="n">
        <f aca="false">IF((G29&lt;&gt;0),IF((D29&gt;0)," ",G29)," ")</f>
        <v>60</v>
      </c>
      <c r="I29" s="369" t="n">
        <f aca="false">IF((G29&lt;&gt;0),IF((D29&gt;0)," ",(I$1-A29))," ")</f>
        <v>-173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341</v>
      </c>
    </row>
    <row r="30" customFormat="false" ht="12.75" hidden="false" customHeight="false" outlineLevel="0" collapsed="false">
      <c r="A30" s="357" t="n">
        <v>46471</v>
      </c>
      <c r="B30" s="365" t="s">
        <v>425</v>
      </c>
      <c r="E30" s="367" t="s">
        <v>323</v>
      </c>
      <c r="G30" s="368" t="n">
        <v>360</v>
      </c>
      <c r="H30" s="340" t="n">
        <f aca="false">IF((G30&lt;&gt;0),IF((D30&gt;0)," ",G30)," ")</f>
        <v>360</v>
      </c>
      <c r="I30" s="369" t="n">
        <f aca="false">IF((G30&lt;&gt;0),IF((D30&gt;0)," ",(I$1-A30))," ")</f>
        <v>-176</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426</v>
      </c>
    </row>
    <row r="31" customFormat="false" ht="12.75" hidden="false" customHeight="false" outlineLevel="0" collapsed="false">
      <c r="A31" s="357" t="n">
        <v>46471</v>
      </c>
      <c r="B31" s="365" t="s">
        <v>365</v>
      </c>
      <c r="E31" s="367" t="s">
        <v>330</v>
      </c>
      <c r="G31" s="368" t="n">
        <v>15</v>
      </c>
      <c r="H31" s="340" t="n">
        <f aca="false">IF((G31&lt;&gt;0),IF((D31&gt;0)," ",G31)," ")</f>
        <v>15</v>
      </c>
      <c r="I31" s="369" t="n">
        <f aca="false">IF((G31&lt;&gt;0),IF((D31&gt;0)," ",(I$1-A31))," ")</f>
        <v>-176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338</v>
      </c>
    </row>
    <row r="32" customFormat="false" ht="12.75" hidden="false" customHeight="false" outlineLevel="0" collapsed="false">
      <c r="A32" s="357" t="n">
        <v>46471</v>
      </c>
      <c r="B32" s="365" t="s">
        <v>366</v>
      </c>
      <c r="E32" s="367" t="s">
        <v>305</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341</v>
      </c>
    </row>
    <row r="33" customFormat="false" ht="12.75" hidden="false" customHeight="false" outlineLevel="0" collapsed="false">
      <c r="A33" s="357" t="n">
        <v>46474</v>
      </c>
      <c r="B33" s="365" t="s">
        <v>356</v>
      </c>
      <c r="E33" s="367" t="s">
        <v>305</v>
      </c>
      <c r="G33" s="368" t="n">
        <v>120</v>
      </c>
      <c r="H33" s="340" t="n">
        <f aca="false">IF((G33&lt;&gt;0),IF((D33&gt;0)," ",G33)," ")</f>
        <v>120</v>
      </c>
      <c r="I33" s="369" t="n">
        <f aca="false">IF((G33&lt;&gt;0),IF((D33&gt;0)," ",(I$1-A33))," ")</f>
        <v>-179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46477</v>
      </c>
      <c r="B34" s="365" t="s">
        <v>367</v>
      </c>
      <c r="E34" s="367" t="s">
        <v>368</v>
      </c>
      <c r="G34" s="368" t="n">
        <v>300</v>
      </c>
      <c r="H34" s="340" t="n">
        <f aca="false">IF((G34&lt;&gt;0),IF((D34&gt;0)," ",G34)," ")</f>
        <v>300</v>
      </c>
      <c r="I34" s="369" t="n">
        <f aca="false">IF((G34&lt;&gt;0),IF((D34&gt;0)," ",(I$1-A34))," ")</f>
        <v>-182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369</v>
      </c>
    </row>
    <row r="35" customFormat="false" ht="12.75" hidden="false" customHeight="false" outlineLevel="0" collapsed="false">
      <c r="A35" s="357" t="n">
        <v>46477</v>
      </c>
      <c r="B35" s="365" t="s">
        <v>427</v>
      </c>
      <c r="C35" s="365" t="s">
        <v>563</v>
      </c>
      <c r="E35" s="367" t="s">
        <v>429</v>
      </c>
      <c r="G35" s="368" t="n">
        <v>125</v>
      </c>
      <c r="H35" s="340" t="n">
        <f aca="false">IF((G35&lt;&gt;0),IF((D35&gt;0)," ",G35)," ")</f>
        <v>125</v>
      </c>
      <c r="I35" s="369" t="n">
        <f aca="false">IF((G35&lt;&gt;0),IF((D35&gt;0)," ",(I$1-A35))," ")</f>
        <v>-182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430</v>
      </c>
    </row>
    <row r="36" customFormat="false" ht="12.75" hidden="false" customHeight="false" outlineLevel="0" collapsed="false">
      <c r="A36" s="357" t="n">
        <v>46477</v>
      </c>
      <c r="B36" s="365" t="s">
        <v>370</v>
      </c>
      <c r="C36" s="365" t="s">
        <v>564</v>
      </c>
      <c r="E36" s="367" t="s">
        <v>372</v>
      </c>
      <c r="G36" s="368" t="n">
        <v>3500</v>
      </c>
      <c r="H36" s="340" t="n">
        <f aca="false">IF((G36&lt;&gt;0),IF((D36&gt;0)," ",G36)," ")</f>
        <v>3500</v>
      </c>
      <c r="I36" s="369" t="n">
        <f aca="false">IF((G36&lt;&gt;0),IF((D36&gt;0)," ",(I$1-A36))," ")</f>
        <v>-182</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373</v>
      </c>
    </row>
    <row r="37" customFormat="false" ht="12.75" hidden="false" customHeight="false" outlineLevel="0" collapsed="false">
      <c r="A37" s="357" t="n">
        <v>46477</v>
      </c>
      <c r="B37" s="365" t="s">
        <v>374</v>
      </c>
      <c r="C37" s="365" t="s">
        <v>565</v>
      </c>
      <c r="E37" s="367" t="s">
        <v>372</v>
      </c>
      <c r="G37" s="368" t="n">
        <v>2200</v>
      </c>
      <c r="H37" s="340" t="n">
        <f aca="false">IF((G37&lt;&gt;0),IF((D37&gt;0)," ",G37)," ")</f>
        <v>2200</v>
      </c>
      <c r="I37" s="369" t="n">
        <f aca="false">IF((G37&lt;&gt;0),IF((D37&gt;0)," ",(I$1-A37))," ")</f>
        <v>-182</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566</v>
      </c>
      <c r="C1" s="68"/>
      <c r="D1" s="408"/>
      <c r="E1" s="408"/>
      <c r="F1" s="408"/>
      <c r="G1" s="162"/>
      <c r="H1" s="68"/>
      <c r="I1" s="68"/>
      <c r="J1" s="68"/>
      <c r="K1" s="68"/>
      <c r="L1" s="68"/>
      <c r="M1" s="68"/>
      <c r="N1" s="68"/>
      <c r="O1" s="68"/>
    </row>
    <row r="2" customFormat="false" ht="12" hidden="false" customHeight="true" outlineLevel="0" collapsed="false">
      <c r="A2" s="68"/>
      <c r="B2" s="409" t="n">
        <v>46081</v>
      </c>
      <c r="C2" s="68"/>
      <c r="D2" s="410" t="s">
        <v>567</v>
      </c>
      <c r="E2" s="410"/>
      <c r="F2" s="410"/>
      <c r="G2" s="411" t="str">
        <f aca="false">B23</f>
        <v>2026-27</v>
      </c>
      <c r="H2" s="68"/>
      <c r="I2" s="68"/>
      <c r="J2" s="412" t="s">
        <v>568</v>
      </c>
      <c r="K2" s="412"/>
      <c r="L2" s="410" t="str">
        <f aca="false">G2</f>
        <v>2026-27</v>
      </c>
      <c r="M2" s="68"/>
      <c r="N2" s="68"/>
      <c r="O2" s="68"/>
    </row>
    <row r="3" customFormat="false" ht="12" hidden="false" customHeight="true" outlineLevel="0" collapsed="false">
      <c r="A3" s="68"/>
      <c r="B3" s="409" t="n">
        <v>46112</v>
      </c>
      <c r="C3" s="68"/>
      <c r="D3" s="68"/>
      <c r="E3" s="68"/>
      <c r="F3" s="68"/>
      <c r="G3" s="413"/>
      <c r="H3" s="68"/>
      <c r="I3" s="68"/>
      <c r="J3" s="414"/>
      <c r="K3" s="414"/>
      <c r="L3" s="162"/>
      <c r="M3" s="68"/>
      <c r="N3" s="68"/>
      <c r="O3" s="68"/>
    </row>
    <row r="4" customFormat="false" ht="12" hidden="false" customHeight="true" outlineLevel="0" collapsed="false">
      <c r="A4" s="68"/>
      <c r="B4" s="415" t="n">
        <v>46118</v>
      </c>
      <c r="C4" s="68"/>
      <c r="D4" s="416" t="s">
        <v>72</v>
      </c>
      <c r="E4" s="416"/>
      <c r="F4" s="416"/>
      <c r="G4" s="417" t="n">
        <v>1</v>
      </c>
      <c r="H4" s="68"/>
      <c r="I4" s="416" t="s">
        <v>569</v>
      </c>
      <c r="J4" s="416"/>
      <c r="K4" s="416"/>
      <c r="L4" s="416"/>
      <c r="M4" s="416"/>
      <c r="N4" s="418" t="n">
        <v>12570</v>
      </c>
      <c r="O4" s="413" t="s">
        <v>32</v>
      </c>
    </row>
    <row r="5" customFormat="false" ht="12" hidden="false" customHeight="true" outlineLevel="0" collapsed="false">
      <c r="A5" s="68"/>
      <c r="B5" s="409" t="n">
        <v>46142</v>
      </c>
      <c r="C5" s="68"/>
      <c r="D5" s="416" t="s">
        <v>570</v>
      </c>
      <c r="E5" s="416"/>
      <c r="F5" s="416"/>
      <c r="G5" s="417" t="n">
        <v>0.14</v>
      </c>
      <c r="H5" s="68"/>
      <c r="I5" s="416" t="s">
        <v>571</v>
      </c>
      <c r="J5" s="416"/>
      <c r="K5" s="416"/>
      <c r="L5" s="416"/>
      <c r="M5" s="416"/>
      <c r="N5" s="419" t="n">
        <v>100000</v>
      </c>
      <c r="O5" s="413" t="s">
        <v>32</v>
      </c>
    </row>
    <row r="6" customFormat="false" ht="12" hidden="false" customHeight="true" outlineLevel="0" collapsed="false">
      <c r="A6" s="68"/>
      <c r="B6" s="409" t="n">
        <v>46173</v>
      </c>
      <c r="C6" s="68"/>
      <c r="D6" s="68"/>
      <c r="E6" s="68"/>
      <c r="F6" s="68"/>
      <c r="G6" s="413"/>
      <c r="H6" s="68"/>
      <c r="I6" s="68" t="s">
        <v>572</v>
      </c>
      <c r="J6" s="68"/>
      <c r="K6" s="68"/>
      <c r="L6" s="68"/>
      <c r="M6" s="68"/>
      <c r="N6" s="417" t="n">
        <v>0</v>
      </c>
      <c r="O6" s="413" t="s">
        <v>573</v>
      </c>
    </row>
    <row r="7" customFormat="false" ht="12" hidden="false" customHeight="true" outlineLevel="0" collapsed="false">
      <c r="A7" s="68"/>
      <c r="B7" s="409" t="n">
        <v>46203</v>
      </c>
      <c r="C7" s="68"/>
      <c r="D7" s="416" t="s">
        <v>574</v>
      </c>
      <c r="E7" s="416"/>
      <c r="F7" s="416"/>
      <c r="G7" s="413"/>
      <c r="H7" s="68"/>
      <c r="I7" s="416" t="s">
        <v>575</v>
      </c>
      <c r="J7" s="416"/>
      <c r="K7" s="416"/>
      <c r="L7" s="416"/>
      <c r="M7" s="416"/>
      <c r="N7" s="417" t="n">
        <v>0.2</v>
      </c>
      <c r="O7" s="413" t="s">
        <v>573</v>
      </c>
    </row>
    <row r="8" customFormat="false" ht="12" hidden="false" customHeight="true" outlineLevel="0" collapsed="false">
      <c r="A8" s="68"/>
      <c r="B8" s="409" t="n">
        <v>46234</v>
      </c>
      <c r="C8" s="68"/>
      <c r="D8" s="68"/>
      <c r="E8" s="419"/>
      <c r="F8" s="68"/>
      <c r="G8" s="419"/>
      <c r="H8" s="68"/>
      <c r="I8" s="416" t="s">
        <v>576</v>
      </c>
      <c r="J8" s="416"/>
      <c r="K8" s="416"/>
      <c r="L8" s="416"/>
      <c r="M8" s="416"/>
      <c r="N8" s="417" t="n">
        <v>0.4</v>
      </c>
      <c r="O8" s="413" t="s">
        <v>573</v>
      </c>
    </row>
    <row r="9" customFormat="false" ht="12" hidden="false" customHeight="true" outlineLevel="0" collapsed="false">
      <c r="A9" s="68"/>
      <c r="B9" s="409" t="n">
        <v>46265</v>
      </c>
      <c r="C9" s="68"/>
      <c r="D9" s="68"/>
      <c r="E9" s="413"/>
      <c r="F9" s="68"/>
      <c r="G9" s="413"/>
      <c r="H9" s="68"/>
      <c r="I9" s="416" t="s">
        <v>577</v>
      </c>
      <c r="J9" s="416"/>
      <c r="K9" s="416"/>
      <c r="L9" s="416"/>
      <c r="M9" s="416"/>
      <c r="N9" s="417" t="n">
        <v>0.45</v>
      </c>
      <c r="O9" s="413" t="s">
        <v>573</v>
      </c>
    </row>
    <row r="10" customFormat="false" ht="12" hidden="false" customHeight="true" outlineLevel="0" collapsed="false">
      <c r="A10" s="68"/>
      <c r="B10" s="409" t="n">
        <v>46295</v>
      </c>
      <c r="C10" s="68"/>
      <c r="D10" s="68"/>
      <c r="E10" s="413"/>
      <c r="F10" s="68"/>
      <c r="G10" s="413"/>
      <c r="H10" s="68"/>
      <c r="I10" s="416" t="s">
        <v>578</v>
      </c>
      <c r="J10" s="416"/>
      <c r="K10" s="416"/>
      <c r="L10" s="420" t="s">
        <v>579</v>
      </c>
      <c r="M10" s="420" t="s">
        <v>580</v>
      </c>
      <c r="N10" s="421" t="s">
        <v>581</v>
      </c>
      <c r="O10" s="413"/>
    </row>
    <row r="11" customFormat="false" ht="12" hidden="false" customHeight="true" outlineLevel="0" collapsed="false">
      <c r="A11" s="68"/>
      <c r="B11" s="409" t="n">
        <v>46326</v>
      </c>
      <c r="C11" s="68"/>
      <c r="D11" s="410" t="s">
        <v>582</v>
      </c>
      <c r="E11" s="410"/>
      <c r="F11" s="410"/>
      <c r="G11" s="413" t="s">
        <v>573</v>
      </c>
      <c r="H11" s="68"/>
      <c r="I11" s="68" t="s">
        <v>583</v>
      </c>
      <c r="J11" s="68"/>
      <c r="K11" s="422" t="n">
        <f aca="false">N6</f>
        <v>0</v>
      </c>
      <c r="L11" s="413" t="n">
        <f aca="false">N11</f>
        <v>0</v>
      </c>
      <c r="M11" s="413" t="n">
        <v>0</v>
      </c>
      <c r="N11" s="419" t="n">
        <v>0</v>
      </c>
      <c r="O11" s="413"/>
    </row>
    <row r="12" customFormat="false" ht="12" hidden="false" customHeight="true" outlineLevel="0" collapsed="false">
      <c r="A12" s="68"/>
      <c r="B12" s="409" t="n">
        <v>46356</v>
      </c>
      <c r="C12" s="68"/>
      <c r="D12" s="68"/>
      <c r="E12" s="68"/>
      <c r="F12" s="68"/>
      <c r="G12" s="413"/>
      <c r="H12" s="68"/>
      <c r="I12" s="68" t="s">
        <v>584</v>
      </c>
      <c r="J12" s="68"/>
      <c r="K12" s="422" t="n">
        <f aca="false">N7</f>
        <v>0.2</v>
      </c>
      <c r="L12" s="413" t="n">
        <v>0</v>
      </c>
      <c r="M12" s="413" t="n">
        <v>37700</v>
      </c>
      <c r="N12" s="419" t="n">
        <v>0</v>
      </c>
      <c r="O12" s="413"/>
    </row>
    <row r="13" customFormat="false" ht="12" hidden="false" customHeight="true" outlineLevel="0" collapsed="false">
      <c r="A13" s="68"/>
      <c r="B13" s="409" t="n">
        <v>46387</v>
      </c>
      <c r="C13" s="68"/>
      <c r="D13" s="416" t="s">
        <v>210</v>
      </c>
      <c r="E13" s="416"/>
      <c r="F13" s="416"/>
      <c r="G13" s="417" t="n">
        <v>0</v>
      </c>
      <c r="H13" s="68"/>
      <c r="I13" s="68" t="s">
        <v>585</v>
      </c>
      <c r="J13" s="68"/>
      <c r="K13" s="422" t="n">
        <f aca="false">N8</f>
        <v>0.4</v>
      </c>
      <c r="L13" s="413" t="n">
        <v>37701</v>
      </c>
      <c r="M13" s="68"/>
      <c r="N13" s="419" t="n">
        <v>37701</v>
      </c>
      <c r="O13" s="413"/>
    </row>
    <row r="14" customFormat="false" ht="12" hidden="false" customHeight="true" outlineLevel="0" collapsed="false">
      <c r="A14" s="68"/>
      <c r="B14" s="409" t="n">
        <v>46418</v>
      </c>
      <c r="C14" s="68"/>
      <c r="D14" s="416" t="s">
        <v>212</v>
      </c>
      <c r="E14" s="416"/>
      <c r="F14" s="416"/>
      <c r="G14" s="417" t="n">
        <v>0.1</v>
      </c>
      <c r="H14" s="68"/>
      <c r="I14" s="68" t="s">
        <v>586</v>
      </c>
      <c r="J14" s="68"/>
      <c r="K14" s="422" t="n">
        <v>0.45</v>
      </c>
      <c r="L14" s="413" t="n">
        <v>125141</v>
      </c>
      <c r="M14" s="68"/>
      <c r="N14" s="419" t="n">
        <v>125140</v>
      </c>
      <c r="O14" s="68"/>
    </row>
    <row r="15" customFormat="false" ht="12" hidden="false" customHeight="true" outlineLevel="0" collapsed="false">
      <c r="A15" s="68"/>
      <c r="B15" s="409" t="n">
        <v>46446</v>
      </c>
      <c r="C15" s="68"/>
      <c r="D15" s="416" t="s">
        <v>214</v>
      </c>
      <c r="E15" s="416"/>
      <c r="F15" s="416"/>
      <c r="G15" s="417" t="n">
        <v>0.2</v>
      </c>
      <c r="H15" s="68"/>
      <c r="I15" s="410" t="s">
        <v>587</v>
      </c>
      <c r="J15" s="410"/>
      <c r="K15" s="410"/>
      <c r="L15" s="410" t="str">
        <f aca="false">G2</f>
        <v>2026-27</v>
      </c>
      <c r="M15" s="68"/>
      <c r="N15" s="68"/>
      <c r="O15" s="68"/>
    </row>
    <row r="16" customFormat="false" ht="12" hidden="false" customHeight="true" outlineLevel="0" collapsed="false">
      <c r="A16" s="68"/>
      <c r="B16" s="409" t="n">
        <v>46477</v>
      </c>
      <c r="C16" s="68"/>
      <c r="D16" s="416" t="s">
        <v>588</v>
      </c>
      <c r="E16" s="416"/>
      <c r="F16" s="416"/>
      <c r="G16" s="417" t="n">
        <v>0.33</v>
      </c>
      <c r="H16" s="68"/>
      <c r="I16" s="68"/>
      <c r="J16" s="68"/>
      <c r="K16" s="68"/>
      <c r="L16" s="68"/>
      <c r="M16" s="68"/>
      <c r="N16" s="68"/>
      <c r="O16" s="68"/>
    </row>
    <row r="17" customFormat="false" ht="12" hidden="false" customHeight="true" outlineLevel="0" collapsed="false">
      <c r="A17" s="68"/>
      <c r="B17" s="415" t="n">
        <v>46482</v>
      </c>
      <c r="C17" s="68"/>
      <c r="D17" s="416" t="s">
        <v>589</v>
      </c>
      <c r="E17" s="416"/>
      <c r="F17" s="416"/>
      <c r="G17" s="417" t="n">
        <v>0.25</v>
      </c>
      <c r="H17" s="68"/>
      <c r="I17" s="416" t="s">
        <v>590</v>
      </c>
      <c r="J17" s="416"/>
      <c r="K17" s="416"/>
      <c r="L17" s="423" t="n">
        <v>3.65</v>
      </c>
      <c r="M17" s="68" t="s">
        <v>591</v>
      </c>
      <c r="N17" s="68" t="n">
        <v>7105</v>
      </c>
      <c r="O17" s="68"/>
    </row>
    <row r="18" customFormat="false" ht="12" hidden="false" customHeight="true" outlineLevel="0" collapsed="false">
      <c r="A18" s="68"/>
      <c r="B18" s="409" t="n">
        <v>46507</v>
      </c>
      <c r="C18" s="68"/>
      <c r="D18" s="68"/>
      <c r="E18" s="68"/>
      <c r="F18" s="68"/>
      <c r="G18" s="413"/>
      <c r="H18" s="68"/>
      <c r="I18" s="68"/>
      <c r="J18" s="68"/>
      <c r="K18" s="68"/>
      <c r="L18" s="68"/>
      <c r="M18" s="68"/>
      <c r="N18" s="68"/>
      <c r="O18" s="68"/>
    </row>
    <row r="19" customFormat="false" ht="12" hidden="false" customHeight="true" outlineLevel="0" collapsed="false">
      <c r="A19" s="68"/>
      <c r="B19" s="409" t="n">
        <v>46538</v>
      </c>
      <c r="C19" s="68"/>
      <c r="D19" s="410" t="s">
        <v>592</v>
      </c>
      <c r="E19" s="410"/>
      <c r="F19" s="413" t="s">
        <v>593</v>
      </c>
      <c r="G19" s="413" t="s">
        <v>594</v>
      </c>
      <c r="H19" s="68"/>
      <c r="I19" s="424" t="s">
        <v>595</v>
      </c>
      <c r="J19" s="424"/>
      <c r="K19" s="424"/>
      <c r="L19" s="68"/>
      <c r="M19" s="425" t="s">
        <v>596</v>
      </c>
      <c r="N19" s="68"/>
      <c r="O19" s="68"/>
    </row>
    <row r="20" customFormat="false" ht="12" hidden="false" customHeight="true" outlineLevel="0" collapsed="false">
      <c r="A20" s="68"/>
      <c r="B20" s="409" t="n">
        <v>46568</v>
      </c>
      <c r="C20" s="68"/>
      <c r="D20" s="162"/>
      <c r="E20" s="162"/>
      <c r="F20" s="413"/>
      <c r="G20" s="413"/>
      <c r="H20" s="68"/>
      <c r="I20" s="424"/>
      <c r="J20" s="424"/>
      <c r="K20" s="424"/>
      <c r="L20" s="426" t="n">
        <v>0.06</v>
      </c>
      <c r="M20" s="425"/>
      <c r="N20" s="419" t="n">
        <v>12570</v>
      </c>
      <c r="O20" s="413" t="s">
        <v>32</v>
      </c>
    </row>
    <row r="21" customFormat="false" ht="12" hidden="false" customHeight="true" outlineLevel="0" collapsed="false">
      <c r="A21" s="68"/>
      <c r="B21" s="409" t="n">
        <v>46783</v>
      </c>
      <c r="C21" s="68"/>
      <c r="D21" s="416" t="s">
        <v>597</v>
      </c>
      <c r="E21" s="416"/>
      <c r="F21" s="419" t="n">
        <v>10000</v>
      </c>
      <c r="G21" s="423" t="n">
        <v>0.55</v>
      </c>
      <c r="H21" s="68"/>
      <c r="I21" s="427"/>
      <c r="J21" s="427"/>
      <c r="K21" s="427"/>
      <c r="L21" s="422"/>
      <c r="M21" s="68"/>
      <c r="N21" s="68"/>
      <c r="O21" s="68"/>
    </row>
    <row r="22" customFormat="false" ht="12" hidden="false" customHeight="true" outlineLevel="0" collapsed="false">
      <c r="A22" s="68"/>
      <c r="B22" s="409" t="n">
        <v>46965</v>
      </c>
      <c r="C22" s="68"/>
      <c r="D22" s="68" t="s">
        <v>598</v>
      </c>
      <c r="E22" s="68"/>
      <c r="F22" s="419" t="n">
        <v>10001</v>
      </c>
      <c r="G22" s="423" t="n">
        <v>0.25</v>
      </c>
      <c r="H22" s="68"/>
      <c r="I22" s="424" t="s">
        <v>599</v>
      </c>
      <c r="J22" s="424"/>
      <c r="K22" s="424"/>
      <c r="L22" s="68"/>
      <c r="M22" s="425" t="s">
        <v>600</v>
      </c>
      <c r="N22" s="68"/>
      <c r="O22" s="68"/>
    </row>
    <row r="23" customFormat="false" ht="12" hidden="false" customHeight="true" outlineLevel="0" collapsed="false">
      <c r="A23" s="68"/>
      <c r="B23" s="415" t="s">
        <v>601</v>
      </c>
      <c r="C23" s="68"/>
      <c r="D23" s="68"/>
      <c r="E23" s="68"/>
      <c r="F23" s="413"/>
      <c r="G23" s="428"/>
      <c r="H23" s="68"/>
      <c r="I23" s="424"/>
      <c r="J23" s="424"/>
      <c r="K23" s="424"/>
      <c r="L23" s="426" t="n">
        <v>0.02</v>
      </c>
      <c r="M23" s="425"/>
      <c r="N23" s="419" t="n">
        <v>50270</v>
      </c>
      <c r="O23" s="413" t="s">
        <v>32</v>
      </c>
    </row>
    <row r="24" customFormat="false" ht="12" hidden="false" customHeight="true" outlineLevel="0" collapsed="false">
      <c r="A24" s="68"/>
      <c r="B24" s="415" t="s">
        <v>602</v>
      </c>
      <c r="C24" s="68"/>
      <c r="D24" s="410" t="s">
        <v>603</v>
      </c>
      <c r="E24" s="410"/>
      <c r="F24" s="68"/>
      <c r="G24" s="68"/>
      <c r="H24" s="68"/>
      <c r="I24" s="68"/>
      <c r="J24" s="68"/>
      <c r="K24" s="68"/>
      <c r="L24" s="68"/>
      <c r="M24" s="68"/>
      <c r="N24" s="68"/>
      <c r="O24" s="68"/>
    </row>
    <row r="25" customFormat="false" ht="12" hidden="false" customHeight="true" outlineLevel="0" collapsed="false">
      <c r="A25" s="68"/>
      <c r="B25" s="429"/>
      <c r="C25" s="68"/>
      <c r="D25" s="68"/>
      <c r="E25" s="68"/>
      <c r="F25" s="68"/>
      <c r="G25" s="68"/>
      <c r="H25" s="68"/>
      <c r="I25" s="68"/>
      <c r="J25" s="68"/>
      <c r="K25" s="68"/>
      <c r="L25" s="68"/>
      <c r="M25" s="68"/>
      <c r="N25" s="68"/>
      <c r="O25" s="68"/>
    </row>
    <row r="26" customFormat="false" ht="12" hidden="false" customHeight="true" outlineLevel="0" collapsed="false">
      <c r="A26" s="68"/>
      <c r="B26" s="429"/>
      <c r="C26" s="68"/>
      <c r="D26" s="68" t="s">
        <v>604</v>
      </c>
      <c r="E26" s="68"/>
      <c r="F26" s="419" t="n">
        <v>90000</v>
      </c>
      <c r="G26" s="68"/>
      <c r="H26" s="68"/>
      <c r="I26" s="68"/>
      <c r="J26" s="68"/>
      <c r="K26" s="68"/>
      <c r="L26" s="68"/>
      <c r="M26" s="68"/>
      <c r="N26" s="68"/>
      <c r="O26" s="68"/>
    </row>
    <row r="27" customFormat="false" ht="12" hidden="false" customHeight="false" outlineLevel="0" collapsed="false">
      <c r="A27" s="68"/>
      <c r="B27" s="429"/>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LibreOffice/26.2.5.2$MacOSX_X86_64 LibreOffice_project/cd7284b4cbbfeb507e630c1aac019f4157393acb</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DIY Accounting Limited</dc:creator>
  <dc:description>Copyright (C) 2006-2026 DIY Accounting Limited. Licensed under the PolyForm Internal Use License 1.0.0 with an additional grant for accountants.</dc:description>
  <dc:language>en-GB</dc:language>
  <cp:lastModifiedBy>DIY Accounting Limited</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