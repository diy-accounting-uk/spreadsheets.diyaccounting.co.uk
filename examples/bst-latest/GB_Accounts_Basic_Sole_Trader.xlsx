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<sst xmlns="http://schemas.openxmlformats.org/spreadsheetml/2006/main" count="2708" uniqueCount="603">
  <si>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</si>
  <si>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</si>
  <si>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</si>
  <si>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</si>
  <si>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</si>
  <si>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</si>
  <si>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</si>
  <si>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</si>
  <si>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</si>
  <si>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</si>
  <si>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</si>
  <si>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</si>
  <si>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</si>
  <si>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</si>
  <si>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</si>
  <si>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</si>
  <si>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</si>
  <si>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</si>
  <si>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</si>
  <si>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</si>
  <si>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</si>
  <si>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</si>
  <si>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</si>
  <si>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</si>
  <si>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</si>
  <si>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</si>
  <si>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</si>
  <si>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</si>
  <si>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</si>
  <si>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</si>
  <si>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</si>
  <si>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</si>
  <si>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</si>
  <si>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</si>
  <si>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</si>
  <si>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</si>
  <si>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</si>
  <si>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</si>
  <si>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</si>
  <si>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</si>
  <si>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</si>
  <si>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</si>
  <si>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</si>
  <si>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9</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</si>
  <si>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</si>
  <si>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</si>
  <si>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</si>
  <si>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the VAT threshold shown above</t>
    </r>
  </si>
  <si>
    <t xml:space="preserve">you may just put your total expenses in box 20,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</si>
  <si>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</si>
  <si>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</si>
  <si>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</si>
  <si>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</si>
  <si>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</si>
  <si>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</si>
  <si>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</si>
  <si>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</si>
  <si>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</si>
  <si>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</si>
  <si>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</si>
  <si>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11 to 19</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</si>
  <si>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</si>
  <si>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</si>
  <si>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</si>
  <si>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9 + box 10 minus box 20)</t>
  </si>
  <si>
    <t xml:space="preserve">income (box 9 + box 10 minus box 20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</si>
  <si>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</si>
  <si>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</si>
  <si>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</si>
  <si>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</si>
  <si>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</si>
  <si>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</si>
  <si>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</si>
  <si>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</si>
  <si>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</si>
  <si>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</si>
  <si>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</si>
  <si>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</si>
  <si>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</si>
  <si>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</si>
  <si>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</si>
  <si>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</si>
  <si>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28</t>
    </r>
  </si>
  <si>
    <t xml:space="preserve">Net business profit for tax purposes (if box 21 + box 26 +</t>
  </si>
  <si>
    <t xml:space="preserve">Any other business income not included in boxes 9 or 10</t>
  </si>
  <si>
    <t xml:space="preserve">box 27 minus boxes 22 to 25)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</si>
  <si>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</si>
  <si>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</si>
  <si>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</si>
  <si>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22 to 25</t>
  </si>
  <si>
    <t xml:space="preserve">if box 28 + box 30 minus box 29 is positive</t>
  </si>
  <si>
    <t xml:space="preserve">minus (box 21 + box 26 + box 27) is positive)</t>
  </si>
  <si>
    <t xml:space="preserve">Losses, Class 4 NICs and deductions</t>
  </si>
  <si>
    <r>
      <rPr>
        <sz val="8"/>
        <rFont val="Arial"/>
        <family val="2"/>
        <charset val="1"/>
      </rPr>
      <t xml:space="preserve">If you have made a loss for tax purposes (box 32), read page SESN 7 of the </t>
    </r>
    <r>
      <rPr>
        <i val="true"/>
        <sz val="8"/>
        <rFont val="Arial"/>
        <family val="2"/>
        <charset val="1"/>
      </rPr>
      <t xml:space="preserve">notes</t>
    </r>
    <r>
      <rPr>
        <sz val="8"/>
        <rFont val="Arial"/>
        <family val="2"/>
        <charset val="1"/>
      </rPr>
      <t xml:space="preserve"> and fill in boxes 33 to 35 as appropriate.</t>
    </r>
  </si>
  <si>
    <t xml:space="preserve">Loss from this tax year set-off against other income</t>
  </si>
  <si>
    <t xml:space="preserve">for </t>
  </si>
  <si>
    <t xml:space="preserve">choose to pay Class 2 NICs voluntarily, put 'X' in the box</t>
  </si>
  <si>
    <t xml:space="preserve">Loss to be carried back to previous year(s) and set-off</t>
  </si>
  <si>
    <t xml:space="preserve">If you are exempt from paying Class 4 NICs, put 'X' in the</t>
  </si>
  <si>
    <t xml:space="preserve">against income (or capital gains)</t>
  </si>
  <si>
    <r>
      <rPr>
        <sz val="8"/>
        <rFont val="Arial"/>
        <family val="2"/>
        <charset val="1"/>
      </rPr>
      <t xml:space="preserve">box - </t>
    </r>
    <r>
      <rPr>
        <i val="true"/>
        <sz val="8"/>
        <rFont val="Arial"/>
        <family val="2"/>
        <charset val="1"/>
      </rPr>
      <t xml:space="preserve">read page SESN 10 of the notes</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</si>
  <si>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</si>
  <si>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</si>
  <si>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</si>
  <si>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</si>
  <si>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</si>
  <si>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</si>
  <si>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</si>
  <si>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</si>
  <si>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</si>
  <si>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</si>
  <si>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</si>
  <si>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</si>
  <si>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</si>
  <si>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</si>
  <si>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</si>
  <si>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</si>
  <si>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</si>
  <si>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</si>
  <si>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</si>
  <si>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</si>
  <si>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</si>
  <si>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</si>
  <si>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</si>
  <si>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</si>
  <si>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</si>
  <si>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</si>
  <si>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</si>
  <si>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</si>
  <si>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</si>
  <si>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</si>
  <si>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</si>
  <si>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</si>
  <si>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</si>
  <si>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</si>
  <si>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</si>
  <si>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</si>
  <si>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</si>
  <si>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</si>
  <si>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</si>
  <si>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</si>
  <si>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</si>
  <si>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</si>
  <si>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</si>
  <si>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</si>
  <si>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</si>
  <si>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</si>
  <si>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</si>
  <si>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</si>
  <si>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</si>
  <si>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</si>
  <si>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</si>
  <si>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</si>
  <si>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</si>
  <si>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</si>
  <si>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</si>
  <si>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</si>
  <si>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</si>
  <si>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</si>
  <si>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</si>
  <si>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</si>
  <si>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</si>
  <si>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</si>
  <si>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</si>
  <si>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</si>
  <si>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</si>
  <si>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</si>
  <si>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</si>
  <si>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</si>
  <si>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</si>
  <si>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</si>
  <si>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</si>
  <si>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</si>
  <si>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</si>
  <si>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</si>
  <si>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</si>
  <si>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</si>
  <si>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</si>
  <si>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</si>
  <si>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</si>
  <si>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</si>
  <si>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</si>
  <si>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</si>
  <si>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</si>
  <si>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</si>
  <si>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</si>
  <si>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</si>
  <si>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</si>
  <si>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</si>
  <si>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</si>
  <si>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</si>
  <si>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</si>
  <si>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</si>
  <si>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</si>
  <si>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</si>
  <si>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</si>
  <si>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</si>
  <si>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</si>
  <si>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</si>
  <si>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</si>
  <si>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</si>
  <si>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</si>
  <si>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</si>
  <si>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</si>
  <si>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</si>
  <si>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</si>
  <si>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</si>
  <si>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</si>
  <si>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</si>
  <si>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</si>
  <si>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</si>
  <si>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</si>
  <si>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</si>
  <si>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</si>
  <si>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</si>
  <si>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</si>
  <si>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</si>
  <si>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</si>
  <si>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</si>
  <si>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</si>
  <si>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</si>
  <si>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</si>
  <si>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</si>
  <si>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</si>
  <si>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</si>
  <si>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</si>
  <si>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</si>
  <si>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</si>
  <si>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</si>
  <si>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</si>
  <si>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</si>
  <si>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</si>
  <si>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</si>
  <si>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</si>
  <si>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</si>
  <si>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</si>
  <si>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</si>
  <si>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</si>
  <si>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</si>
  <si>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</si>
  <si>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</si>
  <si>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</si>
  <si>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</si>
  <si>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</si>
  <si>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</si>
  <si>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</si>
  <si>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</si>
  <si>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</si>
  <si>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</si>
  <si>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</si>
  <si>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</si>
  <si>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</si>
  <si>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</si>
  <si>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</si>
  <si>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</si>
  <si>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</si>
  <si>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Beta Systems</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</si>
  <si>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</si>
  <si>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</si>
  <si>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</si>
  <si>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</si>
  <si>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</si>
  <si>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</si>
  <si>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</si>
  <si>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</si>
  <si>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</si>
  <si>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</si>
  <si>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</si>
  <si>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Acme Corp</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</si>
  <si>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</si>
  <si>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</si>
  <si>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</si>
  <si>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</si>
  <si>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</si>
  <si>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</si>
  <si>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</si>
  <si>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</si>
  <si>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</si>
  <si>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</si>
  <si>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</si>
  <si>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</si>
  <si>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</si>
  <si>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</si>
  <si>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</si>
  <si>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</si>
  <si>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</si>
  <si>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</si>
  <si>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</si>
  <si>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</si>
  <si>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</si>
  <si>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</si>
  <si>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</si>
  <si>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</si>
  <si>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</si>
  <si>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</si>
  <si>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</si>
  <si>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</si>
  <si>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</si>
  <si>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</si>
  <si>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</si>
  <si>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</si>
  <si>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</si>
  <si>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</si>
  <si>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</si>
  <si>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</si>
  <si>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</si>
  <si>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</si>
  <si>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</si>
  <si>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</si>
  <si>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</si>
  <si>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</si>
  <si>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</si>
  <si>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</si>
  <si>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</si>
  <si>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</si>
  <si>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</si>
  <si>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</si>
  <si>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</si>
  <si>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</si>
  <si>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</si>
  <si>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WorkSpace Ltd</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</si>
  <si>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</si>
  <si>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</si>
  <si>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</si>
  <si>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</si>
  <si>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</si>
  <si>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</si>
  <si>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</si>
  <si>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</si>
  <si>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</si>
  <si>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</si>
  <si>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</si>
  <si>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</si>
  <si>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</si>
  <si>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</si>
  <si>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</si>
  <si>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</si>
  <si>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</si>
  <si>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</si>
  <si>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</si>
  <si>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</si>
  <si>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</si>
  <si>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</si>
  <si>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</si>
  <si>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</si>
  <si>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</si>
  <si>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</si>
  <si>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</si>
  <si>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</si>
  <si>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</si>
  <si>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</si>
  <si>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</si>
  <si>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</si>
  <si>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</si>
  <si>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Shell</t>
  </si>
  <si>
    <t xml:space="preserve">Royal Mail</t>
  </si>
  <si>
    <t xml:space="preserve">Jet</t>
  </si>
  <si>
    <t xml:space="preserve">BT Business</t>
  </si>
  <si>
    <t xml:space="preserve">Office Maintenance Ltd</t>
  </si>
  <si>
    <t xml:space="preserve">r</t>
  </si>
  <si>
    <t xml:space="preserve">5400</t>
  </si>
  <si>
    <t xml:space="preserve">Greggs</t>
  </si>
  <si>
    <t xml:space="preserve">Screwfix</t>
  </si>
  <si>
    <t xml:space="preserve">Wilko</t>
  </si>
  <si>
    <t xml:space="preserve">Mileage claim</t>
  </si>
  <si>
    <t xml:space="preserve">Smith &amp; Co</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</si>
  <si>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</si>
  <si>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</si>
  <si>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</si>
  <si>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</si>
  <si>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</si>
  <si>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</si>
  <si>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</si>
  <si>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</si>
  <si>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</si>
  <si>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</si>
  <si>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</si>
  <si>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</si>
  <si>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</si>
  <si>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</si>
  <si>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</si>
  <si>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</si>
  <si>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</si>
  <si>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</si>
  <si>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</si>
  <si>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</si>
  <si>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</si>
  <si>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</si>
  <si>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</si>
  <si>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</si>
  <si>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</si>
  <si>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</si>
  <si>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</si>
  <si>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</si>
  <si>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</si>
  <si>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</si>
  <si>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</si>
  <si>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</si>
  <si>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</si>
  <si>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</si>
  <si>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</si>
  <si>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</si>
  <si>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</si>
  <si>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</si>
  <si>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</si>
  <si>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</si>
  <si>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</si>
  <si>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</si>
  <si>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</si>
  <si>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</si>
  <si>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</si>
  <si>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</si>
  <si>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Gamma Ltd</t>
  </si>
  <si>
    <t xml:space="preserve">INV-1501</t>
  </si>
  <si>
    <t xml:space="preserve">WidgetWorks</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</si>
  <si>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</si>
  <si>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</si>
  <si>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</si>
  <si>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</si>
  <si>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</si>
  <si>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</si>
  <si>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</si>
  <si>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</si>
  <si>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</si>
  <si>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</si>
  <si>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</si>
  <si>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</si>
  <si>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</si>
  <si>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</si>
  <si>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</si>
  <si>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</si>
  <si>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</si>
  <si>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</si>
  <si>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</si>
  <si>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</si>
  <si>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</si>
  <si>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</si>
  <si>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</si>
  <si>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</si>
  <si>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</si>
  <si>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</si>
  <si>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</si>
  <si>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</si>
  <si>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</si>
  <si>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</si>
  <si>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</si>
  <si>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</si>
  <si>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</si>
  <si>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</si>
  <si>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</si>
  <si>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</si>
  <si>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</si>
  <si>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</si>
  <si>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</si>
  <si>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</si>
  <si>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</si>
  <si>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</si>
  <si>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</si>
  <si>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</si>
  <si>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</si>
  <si>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</si>
  <si>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</si>
  <si>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</si>
  <si>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</si>
  <si>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</si>
  <si>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</si>
  <si>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</si>
  <si>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</si>
  <si>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</si>
  <si>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</si>
  <si>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</si>
  <si>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</si>
  <si>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</si>
  <si>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</si>
  <si>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</si>
  <si>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</si>
  <si>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</si>
  <si>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</si>
  <si>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</si>
  <si>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</si>
  <si>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</si>
  <si>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</si>
  <si>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</si>
  <si>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</si>
  <si>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</si>
  <si>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</si>
  <si>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</si>
  <si>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</si>
  <si>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</si>
  <si>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</si>
  <si>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</si>
  <si>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</si>
  <si>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</si>
  <si>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</si>
  <si>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</si>
  <si>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</si>
  <si>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</si>
  <si>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</si>
  <si>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</si>
  <si>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</si>
  <si>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</si>
  <si>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</si>
  <si>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</si>
  <si>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</si>
  <si>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</si>
  <si>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</si>
  <si>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</si>
  <si>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</si>
  <si>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</si>
  <si>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</si>
  <si>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</si>
  <si>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</si>
  <si>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</si>
  <si>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</si>
  <si>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</si>
  <si>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</si>
  <si>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</si>
  <si>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</si>
  <si>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</si>
  <si>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</si>
  <si>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</si>
  <si>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</si>
  <si>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</si>
  <si>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</si>
  <si>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</si>
  <si>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</si>
  <si>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</si>
  <si>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</si>
  <si>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</si>
  <si>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</si>
  <si>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</si>
  <si>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</si>
  <si>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</si>
  <si>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</si>
  <si>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</si>
  <si>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</si>
  <si>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</si>
  <si>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</si>
  <si>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</si>
  <si>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</si>
  <si>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</si>
  <si>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</si>
  <si>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</si>
  <si>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</si>
  <si>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</si>
  <si>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</si>
  <si>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</si>
  <si>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</si>
  <si>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</si>
  <si>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</si>
  <si>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</si>
  <si>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</si>
  <si>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</si>
  <si>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</si>
  <si>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</si>
  <si>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</si>
  <si>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</si>
  <si>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</si>
  <si>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Zeta Corp</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</si>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</sst>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9</v>
      </c>
      <c r="B35" s="68"/>
      <c r="C35" s="69" t="s">
        <v>42</v>
      </c>
      <c r="D35" s="69"/>
      <c r="E35" s="69"/>
      <c r="F35" s="69"/>
      <c r="G35" s="69"/>
      <c r="H35" s="69"/>
      <c r="I35" s="69"/>
      <c r="J35" s="69"/>
      <c r="K35" s="69"/>
      <c r="L35" s="81" t="n">
        <v>10</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11</v>
      </c>
      <c r="B44" s="68"/>
      <c r="C44" s="69" t="s">
        <v>49</v>
      </c>
      <c r="D44" s="69"/>
      <c r="E44" s="69"/>
      <c r="F44" s="69"/>
      <c r="G44" s="69"/>
      <c r="H44" s="69"/>
      <c r="I44" s="69"/>
      <c r="J44" s="69"/>
      <c r="K44" s="69"/>
      <c r="L44" s="81" t="n">
        <v>16</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Acc'!C4&lt;Admin!F26)," ",'Profit &amp; Loss Acc'!C6+'Profit &amp; Loss Acc'!C7)</f>
        <v>18540</v>
      </c>
      <c r="E46" s="102"/>
      <c r="F46" s="102"/>
      <c r="G46" s="103" t="s">
        <v>31</v>
      </c>
      <c r="H46" s="104" t="n">
        <v>0</v>
      </c>
      <c r="I46" s="104" t="n">
        <v>0</v>
      </c>
      <c r="J46" s="68"/>
      <c r="K46" s="68"/>
      <c r="L46" s="68"/>
      <c r="M46" s="68"/>
      <c r="N46" s="101" t="s">
        <v>30</v>
      </c>
      <c r="O46" s="102" t="n">
        <f aca="false">IF(('Profit &amp; Loss Acc'!C4&lt;Admin!F26),"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12</v>
      </c>
      <c r="B48" s="68"/>
      <c r="C48" s="69" t="s">
        <v>51</v>
      </c>
      <c r="D48" s="69"/>
      <c r="E48" s="69"/>
      <c r="F48" s="69"/>
      <c r="G48" s="69"/>
      <c r="H48" s="69"/>
      <c r="I48" s="69"/>
      <c r="J48" s="69"/>
      <c r="K48" s="69"/>
      <c r="L48" s="81" t="n">
        <v>17</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Acc'!C4&lt;Admin!F26)," ",'Profit &amp; Loss Acc'!C15+'Profit &amp; Loss Acc'!C16)</f>
        <v>9458</v>
      </c>
      <c r="E51" s="102"/>
      <c r="F51" s="102"/>
      <c r="G51" s="103" t="s">
        <v>31</v>
      </c>
      <c r="H51" s="104" t="n">
        <v>0</v>
      </c>
      <c r="I51" s="104" t="n">
        <v>0</v>
      </c>
      <c r="J51" s="68"/>
      <c r="K51" s="68"/>
      <c r="L51" s="68"/>
      <c r="M51" s="68"/>
      <c r="N51" s="101" t="s">
        <v>30</v>
      </c>
      <c r="O51" s="102" t="n">
        <f aca="false">IF(('Profit &amp; Loss Acc'!C4&lt;Admin!F26),"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13</v>
      </c>
      <c r="B53" s="68"/>
      <c r="C53" s="69" t="s">
        <v>54</v>
      </c>
      <c r="D53" s="69"/>
      <c r="E53" s="69"/>
      <c r="F53" s="69"/>
      <c r="G53" s="69"/>
      <c r="H53" s="69"/>
      <c r="I53" s="69"/>
      <c r="J53" s="69"/>
      <c r="K53" s="69"/>
      <c r="L53" s="81" t="n">
        <v>18</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Acc'!C4&lt;Admin!F26)," ",'Profit &amp; Loss Acc'!C11)</f>
        <v>69200</v>
      </c>
      <c r="E55" s="102"/>
      <c r="F55" s="102"/>
      <c r="G55" s="103" t="s">
        <v>31</v>
      </c>
      <c r="H55" s="104" t="n">
        <v>0</v>
      </c>
      <c r="I55" s="104" t="n">
        <v>0</v>
      </c>
      <c r="J55" s="68"/>
      <c r="K55" s="68"/>
      <c r="L55" s="68"/>
      <c r="M55" s="68"/>
      <c r="N55" s="101" t="s">
        <v>30</v>
      </c>
      <c r="O55" s="102" t="n">
        <f aca="false">IF(('Profit &amp; Loss Acc'!C4&lt;Admin!F26),"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14</v>
      </c>
      <c r="B57" s="68"/>
      <c r="C57" s="69" t="s">
        <v>56</v>
      </c>
      <c r="D57" s="69"/>
      <c r="E57" s="69"/>
      <c r="F57" s="69"/>
      <c r="G57" s="69"/>
      <c r="H57" s="69"/>
      <c r="I57" s="69"/>
      <c r="J57" s="69"/>
      <c r="K57" s="69"/>
      <c r="L57" s="81" t="n">
        <v>19</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Acc'!C4&lt;Admin!F26)," ",'Profit &amp; Loss Acc'!C12)</f>
        <v>15840</v>
      </c>
      <c r="E60" s="102"/>
      <c r="F60" s="102"/>
      <c r="G60" s="103" t="s">
        <v>31</v>
      </c>
      <c r="H60" s="104" t="n">
        <v>0</v>
      </c>
      <c r="I60" s="104" t="n">
        <v>0</v>
      </c>
      <c r="J60" s="68"/>
      <c r="K60" s="68"/>
      <c r="L60" s="68"/>
      <c r="M60" s="68"/>
      <c r="N60" s="101" t="s">
        <v>30</v>
      </c>
      <c r="O60" s="102" t="n">
        <f aca="false">IF(('Profit &amp; Loss Acc'!C4&lt;Admin!F26),"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15</v>
      </c>
      <c r="B62" s="68"/>
      <c r="C62" s="69" t="s">
        <v>59</v>
      </c>
      <c r="D62" s="69"/>
      <c r="E62" s="69"/>
      <c r="F62" s="69"/>
      <c r="G62" s="69"/>
      <c r="H62" s="69"/>
      <c r="I62" s="69"/>
      <c r="J62" s="69"/>
      <c r="K62" s="69"/>
      <c r="L62" s="81" t="n">
        <v>20</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Acc'!C4&lt;Admin!F26),"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21</v>
      </c>
      <c r="B68" s="68"/>
      <c r="C68" s="69" t="s">
        <v>62</v>
      </c>
      <c r="D68" s="69"/>
      <c r="E68" s="69"/>
      <c r="F68" s="69"/>
      <c r="G68" s="69"/>
      <c r="H68" s="69"/>
      <c r="I68" s="69"/>
      <c r="J68" s="69"/>
      <c r="K68" s="69"/>
      <c r="L68" s="81" t="n">
        <v>22</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23</v>
      </c>
      <c r="B78" s="68"/>
      <c r="C78" s="69" t="s">
        <v>70</v>
      </c>
      <c r="D78" s="69"/>
      <c r="E78" s="69"/>
      <c r="F78" s="69"/>
      <c r="G78" s="69"/>
      <c r="H78" s="69"/>
      <c r="I78" s="69"/>
      <c r="J78" s="69"/>
      <c r="K78" s="69"/>
      <c r="L78" s="81" t="n">
        <v>25</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24</v>
      </c>
      <c r="B82" s="68"/>
      <c r="C82" s="69" t="s">
        <v>72</v>
      </c>
      <c r="D82" s="68"/>
      <c r="E82" s="68"/>
      <c r="F82" s="68"/>
      <c r="G82" s="68"/>
      <c r="H82" s="68"/>
      <c r="I82" s="68"/>
      <c r="J82" s="68"/>
      <c r="K82" s="68"/>
      <c r="L82" s="81" t="n">
        <v>26</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27</v>
      </c>
      <c r="B91" s="68"/>
      <c r="C91" s="69" t="s">
        <v>79</v>
      </c>
      <c r="D91" s="69"/>
      <c r="E91" s="69"/>
      <c r="F91" s="69"/>
      <c r="G91" s="69"/>
      <c r="H91" s="69"/>
      <c r="I91" s="69"/>
      <c r="J91" s="69"/>
      <c r="K91" s="69"/>
      <c r="L91" s="81" t="n">
        <v>29</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28</v>
      </c>
      <c r="B96" s="68"/>
      <c r="C96" s="69" t="s">
        <v>83</v>
      </c>
      <c r="D96" s="69"/>
      <c r="E96" s="69"/>
      <c r="F96" s="69"/>
      <c r="G96" s="69"/>
      <c r="H96" s="69"/>
      <c r="I96" s="69"/>
      <c r="J96" s="69"/>
      <c r="K96" s="69"/>
      <c r="L96" s="81" t="n">
        <v>30</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31</v>
      </c>
      <c r="B103" s="68"/>
      <c r="C103" s="69" t="s">
        <v>88</v>
      </c>
      <c r="D103" s="69"/>
      <c r="E103" s="69"/>
      <c r="F103" s="69"/>
      <c r="G103" s="69"/>
      <c r="H103" s="69"/>
      <c r="I103" s="69"/>
      <c r="J103" s="69"/>
      <c r="K103" s="69"/>
      <c r="L103" s="81" t="n">
        <v>32</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33</v>
      </c>
      <c r="B111" s="68"/>
      <c r="C111" s="69" t="s">
        <v>94</v>
      </c>
      <c r="D111" s="69"/>
      <c r="E111" s="69"/>
      <c r="F111" s="69"/>
      <c r="G111" s="69"/>
      <c r="H111" s="69"/>
      <c r="I111" s="69"/>
      <c r="J111" s="69"/>
      <c r="K111" s="69"/>
      <c r="L111" s="81" t="n">
        <v>36</v>
      </c>
      <c r="M111" s="68"/>
      <c r="N111" s="69" t="str">
        <f aca="false">"If your total profits for "&amp;Admin!G2&amp;" are less than £"&amp;TEXT(Admin!N17,"#,##0")&amp;" and you"</f>
        <v>If your total profits for 2026-27 are less than £7,105 and you</v>
      </c>
      <c r="O111" s="68"/>
      <c r="P111" s="68"/>
      <c r="Q111" s="68"/>
      <c r="R111" s="68"/>
      <c r="S111" s="68"/>
      <c r="T111" s="68"/>
      <c r="U111" s="68"/>
      <c r="V111" s="68"/>
      <c r="W111" s="88"/>
    </row>
    <row r="112" customFormat="false" ht="12" hidden="false" customHeight="false" outlineLevel="0" collapsed="false">
      <c r="A112" s="109"/>
      <c r="B112" s="68"/>
      <c r="C112" s="69" t="s">
        <v>95</v>
      </c>
      <c r="D112" s="117" t="str">
        <f aca="false">Admin!G$2</f>
        <v>2026-27</v>
      </c>
      <c r="E112" s="117"/>
      <c r="F112" s="117"/>
      <c r="G112" s="69"/>
      <c r="H112" s="69"/>
      <c r="I112" s="69"/>
      <c r="J112" s="69"/>
      <c r="K112" s="69"/>
      <c r="L112" s="69"/>
      <c r="M112" s="68"/>
      <c r="N112" s="69" t="s">
        <v>96</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34</v>
      </c>
      <c r="B116" s="68"/>
      <c r="C116" s="69" t="s">
        <v>97</v>
      </c>
      <c r="D116" s="69"/>
      <c r="E116" s="69"/>
      <c r="F116" s="69"/>
      <c r="G116" s="69"/>
      <c r="H116" s="69"/>
      <c r="I116" s="69"/>
      <c r="J116" s="69"/>
      <c r="K116" s="69"/>
      <c r="L116" s="81" t="n">
        <v>37</v>
      </c>
      <c r="M116" s="68"/>
      <c r="N116" s="69" t="s">
        <v>98</v>
      </c>
      <c r="O116" s="68"/>
      <c r="P116" s="68"/>
      <c r="Q116" s="68"/>
      <c r="R116" s="118"/>
      <c r="S116" s="118"/>
      <c r="T116" s="118"/>
      <c r="U116" s="69"/>
      <c r="V116" s="68"/>
      <c r="W116" s="88"/>
    </row>
    <row r="117" customFormat="false" ht="12" hidden="false" customHeight="true" outlineLevel="0" collapsed="false">
      <c r="A117" s="109"/>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101</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35</v>
      </c>
      <c r="B120" s="68"/>
      <c r="C120" s="69" t="s">
        <v>102</v>
      </c>
      <c r="D120" s="69"/>
      <c r="E120" s="69"/>
      <c r="F120" s="69"/>
      <c r="G120" s="69"/>
      <c r="H120" s="69"/>
      <c r="I120" s="69"/>
      <c r="J120" s="69"/>
      <c r="K120" s="69"/>
      <c r="L120" s="81" t="n">
        <v>38</v>
      </c>
      <c r="M120" s="68"/>
      <c r="N120" s="69" t="s">
        <v>103</v>
      </c>
      <c r="O120" s="68"/>
      <c r="P120" s="68"/>
      <c r="Q120" s="68"/>
      <c r="R120" s="68"/>
      <c r="S120" s="68"/>
      <c r="T120" s="68"/>
      <c r="U120" s="68"/>
      <c r="V120" s="68"/>
      <c r="W120" s="88"/>
    </row>
    <row r="121" customFormat="false" ht="12" hidden="false" customHeight="true" outlineLevel="0" collapsed="false">
      <c r="A121" s="109"/>
      <c r="B121" s="68"/>
      <c r="C121" s="95" t="s">
        <v>104</v>
      </c>
      <c r="D121" s="69"/>
      <c r="E121" s="69"/>
      <c r="F121" s="69"/>
      <c r="G121" s="69"/>
      <c r="H121" s="69"/>
      <c r="I121" s="69"/>
      <c r="J121" s="69"/>
      <c r="K121" s="69"/>
      <c r="L121" s="69"/>
      <c r="M121" s="68"/>
      <c r="N121" s="69" t="s">
        <v>105</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106</v>
      </c>
      <c r="B1" s="127" t="s">
        <v>107</v>
      </c>
      <c r="C1" s="128" t="s">
        <v>108</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109</v>
      </c>
      <c r="T1" s="133" t="s">
        <v>110</v>
      </c>
      <c r="U1" s="133" t="s">
        <v>111</v>
      </c>
      <c r="V1" s="133" t="s">
        <v>112</v>
      </c>
      <c r="W1" s="133" t="s">
        <v>113</v>
      </c>
      <c r="X1" s="133" t="s">
        <v>114</v>
      </c>
      <c r="Y1" s="133" t="s">
        <v>115</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116</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117</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118</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119</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120</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121</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122</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123</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124</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125</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126</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127</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128</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129</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130</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131</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132</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133</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134</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135</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136</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137</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138</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139</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140</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141</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142</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143</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144</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145</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146</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147</v>
      </c>
      <c r="T23" s="144" t="n">
        <v>0</v>
      </c>
      <c r="U23" s="144" t="n">
        <v>0</v>
      </c>
      <c r="V23" s="144" t="n">
        <v>0</v>
      </c>
      <c r="W23" s="144" t="n">
        <v>0</v>
      </c>
      <c r="X23" s="144" t="n">
        <f aca="false">SUM(T23:W23)</f>
        <v>0</v>
      </c>
      <c r="Y23" s="132" t="s">
        <v>148</v>
      </c>
      <c r="Z23" s="132"/>
    </row>
    <row r="24" customFormat="false" ht="12.75" hidden="false" customHeight="false" outlineLevel="0" collapsed="false">
      <c r="A24" s="152" t="s">
        <v>149</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150</v>
      </c>
      <c r="T24" s="144" t="n">
        <v>0</v>
      </c>
      <c r="U24" s="144" t="n">
        <v>0</v>
      </c>
      <c r="V24" s="144" t="n">
        <v>0</v>
      </c>
      <c r="W24" s="144" t="n">
        <v>0</v>
      </c>
      <c r="X24" s="144" t="n">
        <f aca="false">SUM(T24:W24)</f>
        <v>0</v>
      </c>
      <c r="Y24" s="132" t="s">
        <v>148</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151</v>
      </c>
      <c r="T25" s="144" t="n">
        <v>0</v>
      </c>
      <c r="U25" s="144" t="n">
        <v>0</v>
      </c>
      <c r="V25" s="144" t="n">
        <v>0</v>
      </c>
      <c r="W25" s="144" t="n">
        <v>0</v>
      </c>
      <c r="X25" s="144" t="n">
        <f aca="false">SUM(T25:W25)</f>
        <v>0</v>
      </c>
      <c r="Y25" s="132" t="s">
        <v>148</v>
      </c>
      <c r="Z25" s="132"/>
    </row>
    <row r="26" customFormat="false" ht="12.75" hidden="false" customHeight="false" outlineLevel="0" collapsed="false">
      <c r="A26" s="156" t="s">
        <v>152</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153</v>
      </c>
      <c r="B28" s="161"/>
      <c r="C28" s="163" t="n">
        <f aca="false">C24-C26</f>
        <v>226508</v>
      </c>
      <c r="D28" s="147"/>
      <c r="E28" s="147"/>
      <c r="F28" s="147"/>
      <c r="G28" s="147"/>
      <c r="H28" s="147"/>
      <c r="I28" s="147"/>
      <c r="J28" s="147"/>
      <c r="K28" s="147"/>
      <c r="L28" s="147"/>
      <c r="M28" s="147"/>
      <c r="N28" s="147"/>
      <c r="O28" s="147"/>
      <c r="P28" s="132"/>
      <c r="R28" s="132"/>
      <c r="S28" s="155" t="s">
        <v>154</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155</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156</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157</v>
      </c>
      <c r="C33" s="149" t="n">
        <f aca="false">'Income Tax'!E15+'Income Tax'!E16</f>
        <v>5786.76</v>
      </c>
      <c r="D33" s="147"/>
      <c r="E33" s="147"/>
      <c r="F33" s="147"/>
      <c r="G33" s="147"/>
      <c r="H33" s="147"/>
      <c r="I33" s="147"/>
      <c r="J33" s="147"/>
      <c r="K33" s="147"/>
      <c r="L33" s="147"/>
      <c r="M33" s="147"/>
      <c r="N33" s="147"/>
      <c r="O33" s="147"/>
      <c r="P33" s="132"/>
      <c r="R33" s="132"/>
      <c r="S33" s="155" t="s">
        <v>158</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159</v>
      </c>
      <c r="C35" s="163" t="n">
        <f aca="false">C28+C30-C32-C33</f>
        <v>132589.64</v>
      </c>
      <c r="D35" s="147"/>
      <c r="E35" s="147"/>
      <c r="F35" s="147"/>
      <c r="G35" s="147"/>
      <c r="H35" s="147"/>
      <c r="I35" s="147"/>
      <c r="J35" s="147"/>
      <c r="K35" s="147"/>
      <c r="L35" s="147"/>
      <c r="M35" s="147"/>
      <c r="N35" s="147"/>
      <c r="O35" s="147"/>
      <c r="P35" s="132"/>
      <c r="R35" s="132"/>
      <c r="S35" s="132" t="s">
        <v>120</v>
      </c>
      <c r="T35" s="144" t="n">
        <v>0</v>
      </c>
      <c r="U35" s="144" t="n">
        <v>0</v>
      </c>
      <c r="V35" s="144" t="n">
        <v>0</v>
      </c>
      <c r="W35" s="144" t="n">
        <v>0</v>
      </c>
      <c r="X35" s="144" t="n">
        <f aca="false">SUM(T35:W35)</f>
        <v>0</v>
      </c>
      <c r="Y35" s="132" t="s">
        <v>148</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147</v>
      </c>
      <c r="T36" s="144" t="n">
        <v>0</v>
      </c>
      <c r="U36" s="144" t="n">
        <v>0</v>
      </c>
      <c r="V36" s="144" t="n">
        <v>0</v>
      </c>
      <c r="W36" s="144" t="n">
        <v>0</v>
      </c>
      <c r="X36" s="144" t="n">
        <f aca="false">SUM(T36:W36)</f>
        <v>0</v>
      </c>
      <c r="Y36" s="132" t="s">
        <v>148</v>
      </c>
      <c r="Z36" s="132"/>
    </row>
    <row r="37" customFormat="false" ht="12.75" hidden="false" customHeight="false" outlineLevel="0" collapsed="false">
      <c r="A37" s="132" t="s">
        <v>160</v>
      </c>
      <c r="C37" s="149" t="n">
        <f aca="false">ROUND(SUM(D37:O37),0)</f>
        <v>0</v>
      </c>
      <c r="D37" s="154"/>
      <c r="E37" s="154"/>
      <c r="F37" s="154"/>
      <c r="G37" s="154"/>
      <c r="H37" s="154"/>
      <c r="I37" s="154"/>
      <c r="J37" s="154"/>
      <c r="K37" s="154"/>
      <c r="L37" s="154"/>
      <c r="M37" s="154"/>
      <c r="N37" s="154"/>
      <c r="O37" s="154"/>
      <c r="P37" s="132"/>
      <c r="R37" s="132"/>
      <c r="S37" s="132" t="s">
        <v>125</v>
      </c>
      <c r="T37" s="144" t="n">
        <v>0</v>
      </c>
      <c r="U37" s="144" t="n">
        <v>0</v>
      </c>
      <c r="V37" s="144" t="n">
        <v>0</v>
      </c>
      <c r="W37" s="144" t="n">
        <v>0</v>
      </c>
      <c r="X37" s="144" t="n">
        <f aca="false">SUM(T37:W37)</f>
        <v>0</v>
      </c>
      <c r="Y37" s="132" t="s">
        <v>148</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161</v>
      </c>
      <c r="T38" s="144" t="n">
        <v>0</v>
      </c>
      <c r="U38" s="144" t="n">
        <v>0</v>
      </c>
      <c r="V38" s="144" t="n">
        <v>0</v>
      </c>
      <c r="W38" s="144" t="n">
        <v>0</v>
      </c>
      <c r="X38" s="144" t="n">
        <f aca="false">SUM(T38:W38)</f>
        <v>0</v>
      </c>
      <c r="Y38" s="132" t="s">
        <v>148</v>
      </c>
      <c r="Z38" s="132"/>
    </row>
    <row r="39" customFormat="false" ht="12.75" hidden="false" customHeight="false" outlineLevel="0" collapsed="false">
      <c r="R39" s="132"/>
      <c r="S39" s="132" t="s">
        <v>127</v>
      </c>
      <c r="T39" s="144" t="n">
        <v>0</v>
      </c>
      <c r="U39" s="144" t="n">
        <v>0</v>
      </c>
      <c r="V39" s="144" t="n">
        <v>0</v>
      </c>
      <c r="W39" s="144" t="n">
        <v>0</v>
      </c>
      <c r="X39" s="144" t="n">
        <f aca="false">SUM(T39:W39)</f>
        <v>0</v>
      </c>
      <c r="Y39" s="132" t="s">
        <v>148</v>
      </c>
      <c r="Z39" s="132"/>
    </row>
    <row r="40" customFormat="false" ht="12.75" hidden="false" customHeight="false" outlineLevel="0" collapsed="false">
      <c r="R40" s="132"/>
      <c r="S40" s="132" t="s">
        <v>129</v>
      </c>
      <c r="T40" s="144" t="n">
        <v>0</v>
      </c>
      <c r="U40" s="144" t="n">
        <v>0</v>
      </c>
      <c r="V40" s="144" t="n">
        <v>0</v>
      </c>
      <c r="W40" s="144" t="n">
        <v>0</v>
      </c>
      <c r="X40" s="144" t="n">
        <f aca="false">SUM(T40:W40)</f>
        <v>0</v>
      </c>
      <c r="Y40" s="132" t="s">
        <v>148</v>
      </c>
      <c r="Z40" s="132"/>
    </row>
    <row r="41" customFormat="false" ht="12.75" hidden="false" customHeight="false" outlineLevel="0" collapsed="false">
      <c r="R41" s="132"/>
      <c r="S41" s="132" t="s">
        <v>131</v>
      </c>
      <c r="T41" s="144" t="n">
        <v>0</v>
      </c>
      <c r="U41" s="144" t="n">
        <v>0</v>
      </c>
      <c r="V41" s="144" t="n">
        <v>0</v>
      </c>
      <c r="W41" s="144" t="n">
        <v>0</v>
      </c>
      <c r="X41" s="144" t="n">
        <f aca="false">SUM(T41:W41)</f>
        <v>0</v>
      </c>
      <c r="Y41" s="132" t="s">
        <v>148</v>
      </c>
      <c r="Z41" s="132"/>
    </row>
    <row r="42" customFormat="false" ht="12.75" hidden="false" customHeight="false" outlineLevel="0" collapsed="false">
      <c r="R42" s="132"/>
      <c r="S42" s="132" t="s">
        <v>137</v>
      </c>
      <c r="T42" s="144" t="n">
        <v>0</v>
      </c>
      <c r="U42" s="144" t="n">
        <v>0</v>
      </c>
      <c r="V42" s="144" t="n">
        <v>0</v>
      </c>
      <c r="W42" s="144" t="n">
        <v>0</v>
      </c>
      <c r="X42" s="144" t="n">
        <f aca="false">SUM(T42:W42)</f>
        <v>0</v>
      </c>
      <c r="Y42" s="132" t="s">
        <v>148</v>
      </c>
      <c r="Z42" s="132"/>
    </row>
    <row r="43" customFormat="false" ht="12.75" hidden="false" customHeight="false" outlineLevel="0" collapsed="false">
      <c r="R43" s="132"/>
      <c r="S43" s="132" t="s">
        <v>150</v>
      </c>
      <c r="T43" s="144" t="n">
        <v>0</v>
      </c>
      <c r="U43" s="144" t="n">
        <v>0</v>
      </c>
      <c r="V43" s="144" t="n">
        <v>0</v>
      </c>
      <c r="W43" s="144" t="n">
        <v>0</v>
      </c>
      <c r="X43" s="144" t="n">
        <f aca="false">SUM(T43:W43)</f>
        <v>0</v>
      </c>
      <c r="Y43" s="132" t="s">
        <v>148</v>
      </c>
      <c r="Z43" s="132"/>
    </row>
    <row r="44" customFormat="false" ht="12.75" hidden="false" customHeight="false" outlineLevel="0" collapsed="false">
      <c r="R44" s="132"/>
      <c r="S44" s="132" t="s">
        <v>143</v>
      </c>
      <c r="T44" s="144" t="n">
        <v>0</v>
      </c>
      <c r="U44" s="144" t="n">
        <v>0</v>
      </c>
      <c r="V44" s="144" t="n">
        <v>0</v>
      </c>
      <c r="W44" s="144" t="n">
        <v>0</v>
      </c>
      <c r="X44" s="144" t="n">
        <f aca="false">SUM(T44:W44)</f>
        <v>0</v>
      </c>
      <c r="Y44" s="132" t="s">
        <v>148</v>
      </c>
      <c r="Z44" s="132"/>
    </row>
    <row r="45" customFormat="false" ht="12.75" hidden="false" customHeight="false" outlineLevel="0" collapsed="false">
      <c r="R45" s="132"/>
      <c r="S45" s="132" t="s">
        <v>162</v>
      </c>
      <c r="T45" s="144" t="n">
        <v>0</v>
      </c>
      <c r="U45" s="144" t="n">
        <v>0</v>
      </c>
      <c r="V45" s="144" t="n">
        <v>0</v>
      </c>
      <c r="W45" s="144" t="n">
        <v>0</v>
      </c>
      <c r="X45" s="144" t="n">
        <f aca="false">SUM(T45:W45)</f>
        <v>0</v>
      </c>
      <c r="Y45" s="132" t="s">
        <v>148</v>
      </c>
      <c r="Z45" s="132"/>
    </row>
    <row r="46" customFormat="false" ht="12.75" hidden="false" customHeight="false" outlineLevel="0" collapsed="false">
      <c r="R46" s="132"/>
      <c r="S46" s="132" t="s">
        <v>163</v>
      </c>
      <c r="T46" s="144" t="n">
        <v>0</v>
      </c>
      <c r="U46" s="144" t="n">
        <v>0</v>
      </c>
      <c r="V46" s="144" t="n">
        <v>0</v>
      </c>
      <c r="W46" s="144" t="n">
        <v>0</v>
      </c>
      <c r="X46" s="144" t="n">
        <f aca="false">SUM(T46:W46)</f>
        <v>0</v>
      </c>
      <c r="Y46" s="132" t="s">
        <v>148</v>
      </c>
      <c r="Z46" s="132"/>
    </row>
    <row r="47" customFormat="false" ht="12.75" hidden="false" customHeight="false" outlineLevel="0" collapsed="false">
      <c r="R47" s="132"/>
      <c r="S47" s="132" t="s">
        <v>139</v>
      </c>
      <c r="T47" s="144" t="n">
        <v>0</v>
      </c>
      <c r="U47" s="144" t="n">
        <v>0</v>
      </c>
      <c r="V47" s="144" t="n">
        <v>0</v>
      </c>
      <c r="W47" s="144" t="n">
        <v>0</v>
      </c>
      <c r="X47" s="144" t="n">
        <f aca="false">SUM(T47:W47)</f>
        <v>0</v>
      </c>
      <c r="Y47" s="132" t="s">
        <v>148</v>
      </c>
      <c r="Z47" s="132"/>
    </row>
    <row r="48" customFormat="false" ht="12.75" hidden="false" customHeight="false" outlineLevel="0" collapsed="false">
      <c r="R48" s="132"/>
      <c r="S48" s="132" t="s">
        <v>151</v>
      </c>
      <c r="T48" s="144" t="n">
        <v>0</v>
      </c>
      <c r="U48" s="144" t="n">
        <v>0</v>
      </c>
      <c r="V48" s="144" t="n">
        <v>0</v>
      </c>
      <c r="W48" s="144" t="n">
        <v>0</v>
      </c>
      <c r="X48" s="144" t="n">
        <f aca="false">SUM(T48:W48)</f>
        <v>0</v>
      </c>
      <c r="Y48" s="132" t="s">
        <v>148</v>
      </c>
      <c r="Z48" s="132"/>
    </row>
    <row r="49" customFormat="false" ht="12.75" hidden="false" customHeight="false" outlineLevel="0" collapsed="false">
      <c r="R49" s="132"/>
      <c r="S49" s="132" t="s">
        <v>145</v>
      </c>
      <c r="T49" s="144" t="n">
        <v>0</v>
      </c>
      <c r="U49" s="144" t="n">
        <v>0</v>
      </c>
      <c r="V49" s="144" t="n">
        <v>0</v>
      </c>
      <c r="W49" s="144" t="n">
        <v>0</v>
      </c>
      <c r="X49" s="144" t="n">
        <f aca="false">SUM(T49:W49)</f>
        <v>0</v>
      </c>
      <c r="Y49" s="132" t="s">
        <v>148</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164</v>
      </c>
      <c r="C2" s="175" t="str">
        <f aca="false">Admin!L2</f>
        <v>2026-27</v>
      </c>
      <c r="D2" s="176" t="s">
        <v>165</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166</v>
      </c>
      <c r="C5" s="179"/>
      <c r="D5" s="179"/>
      <c r="E5" s="180" t="n">
        <f aca="false">'SE Short'!D106</f>
        <v>226508</v>
      </c>
      <c r="F5" s="173"/>
      <c r="G5" s="148"/>
    </row>
    <row r="6" customFormat="false" ht="12.75" hidden="false" customHeight="false" outlineLevel="0" collapsed="false">
      <c r="A6" s="132"/>
      <c r="B6" s="178" t="s">
        <v>167</v>
      </c>
      <c r="C6" s="178" t="str">
        <f aca="false">C2</f>
        <v>2026-27</v>
      </c>
      <c r="D6" s="181"/>
      <c r="E6" s="148" t="n">
        <f aca="false">IF(E5&lt;=0,0,MAX(0,Admin!N$4-MAX(0,E5-Admin!N$5)/2))</f>
        <v>0</v>
      </c>
      <c r="F6" s="173"/>
      <c r="G6" s="148"/>
    </row>
    <row r="7" customFormat="false" ht="12.75" hidden="false" customHeight="false" outlineLevel="0" collapsed="false">
      <c r="A7" s="132"/>
      <c r="B7" s="179" t="s">
        <v>168</v>
      </c>
      <c r="C7" s="179"/>
      <c r="D7" s="179"/>
      <c r="E7" s="180" t="n">
        <f aca="false">IF((E5&gt;E6),(E5-E6),0)</f>
        <v>226508</v>
      </c>
      <c r="F7" s="173"/>
      <c r="G7" s="148"/>
    </row>
    <row r="8" customFormat="false" ht="12.75" hidden="false" customHeight="false" outlineLevel="0" collapsed="false">
      <c r="A8" s="132"/>
      <c r="B8" s="178" t="s">
        <v>169</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170</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171</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172</v>
      </c>
      <c r="C11" s="186"/>
      <c r="D11" s="187"/>
      <c r="E11" s="188" t="n">
        <f aca="false">SUM(E8:E10)</f>
        <v>88131.6</v>
      </c>
      <c r="F11" s="189"/>
      <c r="G11" s="190"/>
    </row>
    <row r="12" customFormat="false" ht="12.75" hidden="false" customHeight="false" outlineLevel="0" collapsed="false">
      <c r="A12" s="132"/>
      <c r="B12" s="178" t="s">
        <v>173</v>
      </c>
      <c r="C12" s="178"/>
      <c r="D12" s="191"/>
      <c r="E12" s="172" t="n">
        <f aca="false">-SalesMar!$K$1</f>
        <v>-0</v>
      </c>
      <c r="F12" s="189"/>
      <c r="G12" s="190"/>
    </row>
    <row r="13" customFormat="false" ht="12.75" hidden="false" customHeight="false" outlineLevel="0" collapsed="false">
      <c r="A13" s="132"/>
      <c r="B13" s="192" t="s">
        <v>174</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175</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176</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177</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178</v>
      </c>
      <c r="C21" s="200"/>
      <c r="D21" s="201" t="s">
        <v>179</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180</v>
      </c>
      <c r="E23" s="203" t="s">
        <v>181</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182</v>
      </c>
      <c r="C25" s="205" t="str">
        <f aca="false">Admin!B24</f>
        <v>2027-28</v>
      </c>
      <c r="D25" s="206" t="s">
        <v>183</v>
      </c>
      <c r="E25" s="197" t="n">
        <f aca="false">E18</f>
        <v>93918.36</v>
      </c>
      <c r="F25" s="173"/>
      <c r="G25" s="148"/>
    </row>
    <row r="26" customFormat="false" ht="12.75" hidden="false" customHeight="false" outlineLevel="0" collapsed="false">
      <c r="A26" s="132"/>
      <c r="B26" s="178" t="s">
        <v>184</v>
      </c>
      <c r="C26" s="178"/>
      <c r="D26" s="207" t="n">
        <f aca="false">Admin!B21</f>
        <v>46783</v>
      </c>
      <c r="E26" s="180" t="n">
        <f aca="false">E25/2</f>
        <v>46959.18</v>
      </c>
      <c r="F26" s="173"/>
      <c r="G26" s="148"/>
    </row>
    <row r="27" customFormat="false" ht="12.75" hidden="false" customHeight="false" outlineLevel="0" collapsed="false">
      <c r="A27" s="132"/>
      <c r="B27" s="178" t="s">
        <v>184</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185</v>
      </c>
      <c r="C29" s="209"/>
      <c r="D29" s="194"/>
      <c r="E29" s="172"/>
      <c r="F29" s="173"/>
      <c r="G29" s="148"/>
    </row>
    <row r="30" customFormat="false" ht="12.75" hidden="false" customHeight="false" outlineLevel="0" collapsed="false">
      <c r="A30" s="132"/>
      <c r="B30" s="210" t="s">
        <v>186</v>
      </c>
      <c r="C30" s="210"/>
      <c r="D30" s="132"/>
      <c r="E30" s="211"/>
      <c r="F30" s="173"/>
      <c r="G30" s="212"/>
    </row>
    <row r="31" customFormat="false" ht="12.75" hidden="false" customHeight="false" outlineLevel="0" collapsed="false">
      <c r="A31" s="132"/>
      <c r="B31" s="213" t="s">
        <v>187</v>
      </c>
      <c r="C31" s="213"/>
      <c r="D31" s="214"/>
      <c r="E31" s="211"/>
      <c r="F31" s="173"/>
      <c r="G31" s="212"/>
    </row>
    <row r="32" customFormat="false" ht="12.75" hidden="false" customHeight="false" outlineLevel="0" collapsed="false">
      <c r="A32" s="132"/>
      <c r="B32" s="215" t="s">
        <v>188</v>
      </c>
      <c r="C32" s="213"/>
      <c r="D32" s="214"/>
      <c r="E32" s="211"/>
      <c r="F32" s="173"/>
      <c r="G32" s="212"/>
    </row>
    <row r="33" customFormat="false" ht="12.75" hidden="false" customHeight="false" outlineLevel="0" collapsed="false">
      <c r="A33" s="132"/>
      <c r="B33" s="209" t="s">
        <v>189</v>
      </c>
      <c r="C33" s="209"/>
      <c r="D33" s="214"/>
      <c r="E33" s="216"/>
      <c r="F33" s="173"/>
      <c r="G33" s="212"/>
    </row>
    <row r="34" customFormat="false" ht="12.75" hidden="false" customHeight="false" outlineLevel="0" collapsed="false">
      <c r="A34" s="132"/>
      <c r="B34" s="209" t="s">
        <v>190</v>
      </c>
      <c r="C34" s="209"/>
      <c r="D34" s="214"/>
      <c r="E34" s="216"/>
      <c r="F34" s="173"/>
      <c r="G34" s="212"/>
    </row>
    <row r="35" customFormat="false" ht="12.75" hidden="false" customHeight="false" outlineLevel="0" collapsed="false">
      <c r="A35" s="132"/>
      <c r="B35" s="209" t="s">
        <v>191</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192</v>
      </c>
      <c r="C1" s="227" t="s">
        <v>193</v>
      </c>
      <c r="D1" s="227"/>
      <c r="E1" s="228" t="n">
        <f aca="false">E57+E110</f>
        <v>39000</v>
      </c>
      <c r="F1" s="229"/>
      <c r="G1" s="230" t="s">
        <v>194</v>
      </c>
      <c r="H1" s="229"/>
      <c r="I1" s="229" t="n">
        <f aca="false">I57+I110</f>
        <v>0</v>
      </c>
      <c r="J1" s="231" t="s">
        <v>195</v>
      </c>
      <c r="K1" s="229" t="n">
        <f aca="false">K57+K110</f>
        <v>39000</v>
      </c>
      <c r="L1" s="229" t="n">
        <f aca="false">L57+L110</f>
        <v>0</v>
      </c>
      <c r="M1" s="229" t="n">
        <f aca="false">M57+M110</f>
        <v>0</v>
      </c>
      <c r="N1" s="232"/>
      <c r="O1" s="233" t="s">
        <v>196</v>
      </c>
      <c r="P1" s="229" t="n">
        <f aca="false">P57+P110</f>
        <v>0</v>
      </c>
      <c r="Q1" s="229" t="n">
        <f aca="false">Q57+Q110</f>
        <v>0</v>
      </c>
      <c r="R1" s="229" t="n">
        <f aca="false">R57+R110</f>
        <v>0</v>
      </c>
      <c r="S1" s="234"/>
    </row>
    <row r="2" customFormat="false" ht="12" hidden="false" customHeight="true" outlineLevel="0" collapsed="false">
      <c r="A2" s="225"/>
      <c r="B2" s="226"/>
      <c r="C2" s="236" t="s">
        <v>197</v>
      </c>
      <c r="D2" s="237" t="s">
        <v>198</v>
      </c>
      <c r="E2" s="238" t="s">
        <v>199</v>
      </c>
      <c r="F2" s="229"/>
      <c r="G2" s="230"/>
      <c r="H2" s="229"/>
      <c r="I2" s="238" t="s">
        <v>200</v>
      </c>
      <c r="J2" s="231"/>
      <c r="K2" s="238" t="s">
        <v>201</v>
      </c>
      <c r="L2" s="238" t="s">
        <v>202</v>
      </c>
      <c r="M2" s="238" t="s">
        <v>203</v>
      </c>
      <c r="N2" s="232"/>
      <c r="O2" s="233"/>
      <c r="P2" s="239" t="s">
        <v>204</v>
      </c>
      <c r="Q2" s="238" t="s">
        <v>205</v>
      </c>
      <c r="R2" s="238" t="s">
        <v>206</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207</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208</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209</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210</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211</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212</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213</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214</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215</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216</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217</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218</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219</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220</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208</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221</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210</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46157</v>
      </c>
      <c r="C67" s="267" t="s">
        <v>222</v>
      </c>
      <c r="D67" s="268" t="s">
        <v>223</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46218</v>
      </c>
      <c r="C68" s="267" t="s">
        <v>224</v>
      </c>
      <c r="D68" s="268" t="s">
        <v>225</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46320</v>
      </c>
      <c r="C69" s="267" t="s">
        <v>226</v>
      </c>
      <c r="D69" s="268" t="s">
        <v>227</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228</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212</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229</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214</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230</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218</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231</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232</v>
      </c>
      <c r="C2" s="310"/>
      <c r="D2" s="311" t="s">
        <v>233</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234</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235</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236</v>
      </c>
      <c r="C1" s="323" t="s">
        <v>237</v>
      </c>
      <c r="D1" s="324"/>
      <c r="E1" s="322" t="s">
        <v>238</v>
      </c>
      <c r="F1" s="323" t="s">
        <v>239</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240</v>
      </c>
      <c r="C3" s="330" t="n">
        <v>10800</v>
      </c>
      <c r="D3" s="326"/>
      <c r="E3" s="329" t="s">
        <v>240</v>
      </c>
      <c r="F3" s="330" t="n">
        <v>2220</v>
      </c>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n">
        <f aca="false">IF((SalesApr!$H$1&gt;0),SalesApr!$H$1," ")</f>
        <v>33400</v>
      </c>
      <c r="D5" s="326"/>
      <c r="E5" s="331" t="n">
        <f aca="false">B5</f>
        <v>46142</v>
      </c>
      <c r="F5" s="330" t="n">
        <f aca="false">IF((PurchasesApr!$H$1&gt;0),PurchasesApr!$H$1," ")</f>
        <v>10773</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n">
        <f aca="false">IF((SalesMay!$H$1&gt;0),SalesMay!$H$1," ")</f>
        <v>32920</v>
      </c>
      <c r="D7" s="326"/>
      <c r="E7" s="331" t="n">
        <f aca="false">B7</f>
        <v>46173</v>
      </c>
      <c r="F7" s="330" t="n">
        <f aca="false">IF((PurchasesMay!$H$1&gt;0),PurchasesMay!$H$1," ")</f>
        <v>12021</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n">
        <f aca="false">IF((SalesAug!$H$1&gt;0),SalesAug!$H$1," ")</f>
        <v>36020</v>
      </c>
      <c r="D13" s="326"/>
      <c r="E13" s="331" t="n">
        <f aca="false">B13</f>
        <v>46265</v>
      </c>
      <c r="F13" s="330" t="n">
        <f aca="false">IF((PurchasesAug!$H$1&gt;0),PurchasesAug!$H$1," ")</f>
        <v>10067</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n">
        <f aca="false">IF((SalesSep!$H$1&gt;0),SalesSep!$H$1," ")</f>
        <v>33760</v>
      </c>
      <c r="D15" s="326"/>
      <c r="E15" s="331" t="n">
        <f aca="false">B15</f>
        <v>46295</v>
      </c>
      <c r="F15" s="330" t="n">
        <f aca="false">IF((PurchasesSep!$H$1&gt;0),PurchasesSep!$H$1," ")</f>
        <v>10603</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241</v>
      </c>
      <c r="C29" s="334" t="n">
        <f aca="false">SUM(C3:C28)</f>
        <v>420700</v>
      </c>
      <c r="D29" s="321"/>
      <c r="E29" s="333" t="s">
        <v>242</v>
      </c>
      <c r="F29" s="334" t="n">
        <f aca="false">SUM(F3:F28)</f>
        <v>180998</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33400</v>
      </c>
      <c r="G1" s="345" t="n">
        <f aca="false">SUM(G4:G300)</f>
        <v>0</v>
      </c>
      <c r="H1" s="347" t="n">
        <f aca="false">SUM(H4:H300)</f>
        <v>33400</v>
      </c>
      <c r="I1" s="348" t="n">
        <f aca="true">TODAY()</f>
        <v>46271</v>
      </c>
      <c r="J1" s="345" t="n">
        <f aca="false">SUM(J4:J300)</f>
        <v>0</v>
      </c>
      <c r="K1" s="349" t="n">
        <f aca="false">J1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46113</v>
      </c>
      <c r="B4" s="336" t="s">
        <v>256</v>
      </c>
      <c r="C4" s="337" t="s">
        <v>257</v>
      </c>
      <c r="F4" s="336" t="n">
        <v>1200</v>
      </c>
      <c r="H4" s="340" t="n">
        <f aca="false">IF((F4&lt;&gt;0),IF((D4&gt;0)," ",F4)," ")</f>
        <v>1200</v>
      </c>
      <c r="I4" s="341" t="n">
        <f aca="false">IF((F4&lt;&gt;0),IF((D4&gt;0)," ",(I$1-A4))," ")</f>
        <v>158</v>
      </c>
      <c r="BZ4" s="336" t="s">
        <v>258</v>
      </c>
    </row>
    <row r="5" customFormat="false" ht="12.75" hidden="false" customHeight="false" outlineLevel="0" collapsed="false">
      <c r="A5" s="357" t="n">
        <v>46115</v>
      </c>
      <c r="B5" s="336" t="s">
        <v>259</v>
      </c>
      <c r="C5" s="337" t="s">
        <v>260</v>
      </c>
      <c r="F5" s="336" t="n">
        <v>360</v>
      </c>
      <c r="H5" s="340" t="n">
        <f aca="false">IF((F5&lt;&gt;0),IF((D5&gt;0)," ",F5)," ")</f>
        <v>360</v>
      </c>
      <c r="I5" s="341" t="n">
        <f aca="false">IF((F5&lt;&gt;0),IF((D5&gt;0)," ",(I$1-A5))," ")</f>
        <v>156</v>
      </c>
      <c r="BZ5" s="336" t="s">
        <v>258</v>
      </c>
    </row>
    <row r="6" customFormat="false" ht="12.75" hidden="false" customHeight="false" outlineLevel="0" collapsed="false">
      <c r="A6" s="357" t="n">
        <v>46117</v>
      </c>
      <c r="B6" s="336" t="s">
        <v>261</v>
      </c>
      <c r="C6" s="337" t="s">
        <v>262</v>
      </c>
      <c r="F6" s="336" t="n">
        <v>600</v>
      </c>
      <c r="H6" s="340" t="n">
        <f aca="false">IF((F6&lt;&gt;0),IF((D6&gt;0)," ",F6)," ")</f>
        <v>600</v>
      </c>
      <c r="I6" s="341" t="n">
        <f aca="false">IF((F6&lt;&gt;0),IF((D6&gt;0)," ",(I$1-A6))," ")</f>
        <v>154</v>
      </c>
      <c r="BZ6" s="336" t="s">
        <v>258</v>
      </c>
    </row>
    <row r="7" customFormat="false" ht="12.75" hidden="false" customHeight="false" outlineLevel="0" collapsed="false">
      <c r="A7" s="357" t="n">
        <v>46120</v>
      </c>
      <c r="B7" s="336" t="s">
        <v>263</v>
      </c>
      <c r="C7" s="337" t="s">
        <v>264</v>
      </c>
      <c r="F7" s="336" t="n">
        <v>480</v>
      </c>
      <c r="H7" s="340" t="n">
        <f aca="false">IF((F7&lt;&gt;0),IF((D7&gt;0)," ",F7)," ")</f>
        <v>480</v>
      </c>
      <c r="I7" s="341" t="n">
        <f aca="false">IF((F7&lt;&gt;0),IF((D7&gt;0)," ",(I$1-A7))," ")</f>
        <v>151</v>
      </c>
      <c r="BZ7" s="336" t="s">
        <v>265</v>
      </c>
    </row>
    <row r="8" customFormat="false" ht="12.75" hidden="false" customHeight="false" outlineLevel="0" collapsed="false">
      <c r="A8" s="357" t="n">
        <v>46122</v>
      </c>
      <c r="B8" s="336" t="s">
        <v>266</v>
      </c>
      <c r="C8" s="337" t="s">
        <v>267</v>
      </c>
      <c r="F8" s="336" t="n">
        <v>720</v>
      </c>
      <c r="H8" s="340" t="n">
        <f aca="false">IF((F8&lt;&gt;0),IF((D8&gt;0)," ",F8)," ")</f>
        <v>720</v>
      </c>
      <c r="I8" s="341" t="n">
        <f aca="false">IF((F8&lt;&gt;0),IF((D8&gt;0)," ",(I$1-A8))," ")</f>
        <v>149</v>
      </c>
      <c r="BZ8" s="336" t="s">
        <v>265</v>
      </c>
    </row>
    <row r="9" customFormat="false" ht="12.75" hidden="false" customHeight="false" outlineLevel="0" collapsed="false">
      <c r="A9" s="357" t="n">
        <v>46127</v>
      </c>
      <c r="B9" s="336" t="s">
        <v>268</v>
      </c>
      <c r="C9" s="337" t="s">
        <v>269</v>
      </c>
      <c r="F9" s="336" t="n">
        <v>25000</v>
      </c>
      <c r="H9" s="340" t="n">
        <f aca="false">IF((F9&lt;&gt;0),IF((D9&gt;0)," ",F9)," ")</f>
        <v>25000</v>
      </c>
      <c r="I9" s="341" t="n">
        <f aca="false">IF((F9&lt;&gt;0),IF((D9&gt;0)," ",(I$1-A9))," ")</f>
        <v>144</v>
      </c>
      <c r="BZ9" s="336" t="s">
        <v>265</v>
      </c>
    </row>
    <row r="10" customFormat="false" ht="12.75" hidden="false" customHeight="false" outlineLevel="0" collapsed="false">
      <c r="A10" s="357" t="n">
        <v>46130</v>
      </c>
      <c r="B10" s="336" t="s">
        <v>270</v>
      </c>
      <c r="C10" s="337" t="s">
        <v>271</v>
      </c>
      <c r="F10" s="336" t="n">
        <v>2400</v>
      </c>
      <c r="H10" s="340" t="n">
        <f aca="false">IF((F10&lt;&gt;0),IF((D10&gt;0)," ",F10)," ")</f>
        <v>2400</v>
      </c>
      <c r="I10" s="341" t="n">
        <f aca="false">IF((F10&lt;&gt;0),IF((D10&gt;0)," ",(I$1-A10))," ")</f>
        <v>141</v>
      </c>
      <c r="BZ10" s="336" t="s">
        <v>265</v>
      </c>
    </row>
    <row r="11" customFormat="false" ht="12.75" hidden="false" customHeight="false" outlineLevel="0" collapsed="false">
      <c r="A11" s="357" t="n">
        <v>46132</v>
      </c>
      <c r="B11" s="336" t="s">
        <v>272</v>
      </c>
      <c r="C11" s="337" t="s">
        <v>273</v>
      </c>
      <c r="F11" s="336" t="n">
        <v>1800</v>
      </c>
      <c r="H11" s="340" t="n">
        <f aca="false">IF((F11&lt;&gt;0),IF((D11&gt;0)," ",F11)," ")</f>
        <v>1800</v>
      </c>
      <c r="I11" s="341" t="n">
        <f aca="false">IF((F11&lt;&gt;0),IF((D11&gt;0)," ",(I$1-A11))," ")</f>
        <v>139</v>
      </c>
      <c r="BZ11" s="336" t="s">
        <v>265</v>
      </c>
    </row>
    <row r="12" customFormat="false" ht="12.75" hidden="false" customHeight="false" outlineLevel="0" collapsed="false">
      <c r="A12" s="357" t="n">
        <v>46140</v>
      </c>
      <c r="B12" s="336" t="s">
        <v>274</v>
      </c>
      <c r="C12" s="337" t="s">
        <v>275</v>
      </c>
      <c r="F12" s="336" t="n">
        <v>840</v>
      </c>
      <c r="H12" s="340" t="n">
        <f aca="false">IF((F12&lt;&gt;0),IF((D12&gt;0)," ",F12)," ")</f>
        <v>840</v>
      </c>
      <c r="I12" s="341" t="n">
        <f aca="false">IF((F12&lt;&gt;0),IF((D12&gt;0)," ",(I$1-A12))," ")</f>
        <v>131</v>
      </c>
      <c r="BZ12" s="336" t="s">
        <v>276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278</v>
      </c>
      <c r="C1" s="346" t="n">
        <f aca="false">F1+SalesApr!$E$1</f>
        <v>85</v>
      </c>
      <c r="D1" s="371" t="s">
        <v>245</v>
      </c>
      <c r="E1" s="373" t="str">
        <f aca="false">IF((G1-SUM(J1:W1)&lt;&gt;0),(G1-SUM(J1:W1))," ")</f>
        <v> </v>
      </c>
      <c r="F1" s="346" t="n">
        <f aca="false">SUM(F5:F300)</f>
        <v>85</v>
      </c>
      <c r="G1" s="345" t="n">
        <f aca="false">SUM(G4:G300)</f>
        <v>10811.25</v>
      </c>
      <c r="H1" s="374" t="n">
        <f aca="false">SUM(H5:H300)</f>
        <v>10773</v>
      </c>
      <c r="I1" s="375" t="n">
        <f aca="true">TODAY()</f>
        <v>46271</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283</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390" t="n">
        <f aca="false">IF((C1&lt;Admin!$F$22),(C1*Admin!$G$21),(C1*Admin!$G$21-(C1-Admin!$F$21)*(Admin!$G$21-Admin!$G$22)))</f>
        <v>38.25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46113</v>
      </c>
      <c r="B5" s="365" t="s">
        <v>320</v>
      </c>
      <c r="E5" s="367" t="s">
        <v>321</v>
      </c>
      <c r="G5" s="368" t="n">
        <v>1200</v>
      </c>
      <c r="H5" s="340" t="n">
        <f aca="false">IF((G5&lt;&gt;0),IF((D5&gt;0)," ",G5)," ")</f>
        <v>1200</v>
      </c>
      <c r="I5" s="369" t="n">
        <f aca="false">IF((G5&lt;&gt;0),IF((D5&gt;0)," ",(I$1-A5))," ")</f>
        <v>158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46113</v>
      </c>
      <c r="B6" s="365" t="s">
        <v>323</v>
      </c>
      <c r="E6" s="367" t="s">
        <v>324</v>
      </c>
      <c r="G6" s="368" t="n">
        <v>30</v>
      </c>
      <c r="H6" s="340" t="n">
        <f aca="false">IF((G6&lt;&gt;0),IF((D6&gt;0)," ",G6)," ")</f>
        <v>30</v>
      </c>
      <c r="I6" s="369" t="n">
        <f aca="false">IF((G6&lt;&gt;0),IF((D6&gt;0)," ",(I$1-A6))," ")</f>
        <v>158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46113</v>
      </c>
      <c r="B7" s="365" t="s">
        <v>326</v>
      </c>
      <c r="E7" s="367" t="s">
        <v>324</v>
      </c>
      <c r="G7" s="368" t="n">
        <v>15</v>
      </c>
      <c r="H7" s="340" t="n">
        <f aca="false">IF((G7&lt;&gt;0),IF((D7&gt;0)," ",G7)," ")</f>
        <v>15</v>
      </c>
      <c r="I7" s="369" t="n">
        <f aca="false">IF((G7&lt;&gt;0),IF((D7&gt;0)," ",(I$1-A7))," ")</f>
        <v>158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46113</v>
      </c>
      <c r="B8" s="365" t="s">
        <v>327</v>
      </c>
      <c r="E8" s="367" t="s">
        <v>328</v>
      </c>
      <c r="G8" s="368" t="n">
        <v>45</v>
      </c>
      <c r="H8" s="340" t="n">
        <f aca="false">IF((G8&lt;&gt;0),IF((D8&gt;0)," ",G8)," ")</f>
        <v>45</v>
      </c>
      <c r="I8" s="369" t="n">
        <f aca="false">IF((G8&lt;&gt;0),IF((D8&gt;0)," ",(I$1-A8))," ")</f>
        <v>158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46113</v>
      </c>
      <c r="B9" s="365" t="s">
        <v>330</v>
      </c>
      <c r="E9" s="367" t="s">
        <v>328</v>
      </c>
      <c r="G9" s="368" t="n">
        <v>1440</v>
      </c>
      <c r="H9" s="340" t="n">
        <f aca="false">IF((G9&lt;&gt;0),IF((D9&gt;0)," ",G9)," ")</f>
        <v>1440</v>
      </c>
      <c r="I9" s="369" t="n">
        <f aca="false">IF((G9&lt;&gt;0),IF((D9&gt;0)," ",(I$1-A9))," ")</f>
        <v>158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331</v>
      </c>
    </row>
    <row r="10" customFormat="false" ht="12.75" hidden="false" customHeight="false" outlineLevel="0" collapsed="false">
      <c r="A10" s="357" t="n">
        <v>46113</v>
      </c>
      <c r="B10" s="365" t="s">
        <v>332</v>
      </c>
      <c r="E10" s="367" t="s">
        <v>328</v>
      </c>
      <c r="G10" s="368" t="n">
        <v>24</v>
      </c>
      <c r="H10" s="340" t="n">
        <f aca="false">IF((G10&lt;&gt;0),IF((D10&gt;0)," ",G10)," ")</f>
        <v>24</v>
      </c>
      <c r="I10" s="369" t="n">
        <f aca="false">IF((G10&lt;&gt;0),IF((D10&gt;0)," ",(I$1-A10))," ")</f>
        <v>158</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329</v>
      </c>
    </row>
    <row r="11" customFormat="false" ht="12.75" hidden="false" customHeight="false" outlineLevel="0" collapsed="false">
      <c r="A11" s="357" t="n">
        <v>46113</v>
      </c>
      <c r="B11" s="365" t="s">
        <v>333</v>
      </c>
      <c r="E11" s="367" t="s">
        <v>324</v>
      </c>
      <c r="G11" s="368" t="n">
        <v>18</v>
      </c>
      <c r="H11" s="340" t="n">
        <f aca="false">IF((G11&lt;&gt;0),IF((D11&gt;0)," ",G11)," ")</f>
        <v>18</v>
      </c>
      <c r="I11" s="369" t="n">
        <f aca="false">IF((G11&lt;&gt;0),IF((D11&gt;0)," ",(I$1-A11))," ")</f>
        <v>158</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325</v>
      </c>
    </row>
    <row r="12" customFormat="false" ht="12.75" hidden="false" customHeight="false" outlineLevel="0" collapsed="false">
      <c r="A12" s="357" t="n">
        <v>46115</v>
      </c>
      <c r="B12" s="365" t="s">
        <v>334</v>
      </c>
      <c r="E12" s="367" t="s">
        <v>328</v>
      </c>
      <c r="G12" s="368" t="n">
        <v>180</v>
      </c>
      <c r="H12" s="340" t="n">
        <f aca="false">IF((G12&lt;&gt;0),IF((D12&gt;0)," ",G12)," ")</f>
        <v>180</v>
      </c>
      <c r="I12" s="369" t="n">
        <f aca="false">IF((G12&lt;&gt;0),IF((D12&gt;0)," ",(I$1-A12))," ")</f>
        <v>156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329</v>
      </c>
    </row>
    <row r="13" customFormat="false" ht="12.75" hidden="false" customHeight="false" outlineLevel="0" collapsed="false">
      <c r="A13" s="357" t="n">
        <v>46115</v>
      </c>
      <c r="B13" s="365" t="s">
        <v>335</v>
      </c>
      <c r="E13" s="367" t="s">
        <v>328</v>
      </c>
      <c r="G13" s="368" t="n">
        <v>22</v>
      </c>
      <c r="H13" s="340" t="n">
        <f aca="false">IF((G13&lt;&gt;0),IF((D13&gt;0)," ",G13)," ")</f>
        <v>22</v>
      </c>
      <c r="I13" s="369" t="n">
        <f aca="false">IF((G13&lt;&gt;0),IF((D13&gt;0)," ",(I$1-A13))," ")</f>
        <v>156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336</v>
      </c>
    </row>
    <row r="14" customFormat="false" ht="12.75" hidden="false" customHeight="false" outlineLevel="0" collapsed="false">
      <c r="A14" s="357" t="n">
        <v>46117</v>
      </c>
      <c r="B14" s="365" t="s">
        <v>337</v>
      </c>
      <c r="E14" s="367" t="s">
        <v>328</v>
      </c>
      <c r="G14" s="368" t="n">
        <v>24</v>
      </c>
      <c r="H14" s="340" t="n">
        <f aca="false">IF((G14&lt;&gt;0),IF((D14&gt;0)," ",G14)," ")</f>
        <v>24</v>
      </c>
      <c r="I14" s="369" t="n">
        <f aca="false">IF((G14&lt;&gt;0),IF((D14&gt;0)," ",(I$1-A14))," ")</f>
        <v>154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336</v>
      </c>
    </row>
    <row r="15" customFormat="false" ht="12.75" hidden="false" customHeight="false" outlineLevel="0" collapsed="false">
      <c r="A15" s="357" t="n">
        <v>46117</v>
      </c>
      <c r="B15" s="365" t="s">
        <v>338</v>
      </c>
      <c r="E15" s="367" t="s">
        <v>303</v>
      </c>
      <c r="G15" s="368" t="n">
        <v>180</v>
      </c>
      <c r="H15" s="340" t="n">
        <f aca="false">IF((G15&lt;&gt;0),IF((D15&gt;0)," ",G15)," ")</f>
        <v>180</v>
      </c>
      <c r="I15" s="369" t="n">
        <f aca="false">IF((G15&lt;&gt;0),IF((D15&gt;0)," ",(I$1-A15))," ")</f>
        <v>154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339</v>
      </c>
    </row>
    <row r="16" customFormat="false" ht="12.75" hidden="false" customHeight="false" outlineLevel="0" collapsed="false">
      <c r="A16" s="357" t="n">
        <v>46117</v>
      </c>
      <c r="B16" s="365" t="s">
        <v>340</v>
      </c>
      <c r="E16" s="367" t="s">
        <v>328</v>
      </c>
      <c r="G16" s="368" t="n">
        <v>36</v>
      </c>
      <c r="H16" s="340" t="n">
        <f aca="false">IF((G16&lt;&gt;0),IF((D16&gt;0)," ",G16)," ")</f>
        <v>36</v>
      </c>
      <c r="I16" s="369" t="n">
        <f aca="false">IF((G16&lt;&gt;0),IF((D16&gt;0)," ",(I$1-A16))," ")</f>
        <v>154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329</v>
      </c>
    </row>
    <row r="17" customFormat="false" ht="12.75" hidden="false" customHeight="false" outlineLevel="0" collapsed="false">
      <c r="A17" s="357" t="n">
        <v>46120</v>
      </c>
      <c r="B17" s="365" t="s">
        <v>341</v>
      </c>
      <c r="E17" s="367" t="s">
        <v>342</v>
      </c>
      <c r="G17" s="368" t="n">
        <v>48</v>
      </c>
      <c r="H17" s="340" t="n">
        <f aca="false">IF((G17&lt;&gt;0),IF((D17&gt;0)," ",G17)," ")</f>
        <v>48</v>
      </c>
      <c r="I17" s="369" t="n">
        <f aca="false">IF((G17&lt;&gt;0),IF((D17&gt;0)," ",(I$1-A17))," ")</f>
        <v>151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343</v>
      </c>
    </row>
    <row r="18" customFormat="false" ht="12.75" hidden="false" customHeight="false" outlineLevel="0" collapsed="false">
      <c r="A18" s="357" t="n">
        <v>46122</v>
      </c>
      <c r="B18" s="365" t="s">
        <v>344</v>
      </c>
      <c r="E18" s="367" t="s">
        <v>328</v>
      </c>
      <c r="G18" s="368" t="n">
        <v>36</v>
      </c>
      <c r="H18" s="340" t="n">
        <f aca="false">IF((G18&lt;&gt;0),IF((D18&gt;0)," ",G18)," ")</f>
        <v>36</v>
      </c>
      <c r="I18" s="369" t="n">
        <f aca="false">IF((G18&lt;&gt;0),IF((D18&gt;0)," ",(I$1-A18))," ")</f>
        <v>149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46122</v>
      </c>
      <c r="B19" s="365" t="s">
        <v>345</v>
      </c>
      <c r="E19" s="367" t="s">
        <v>328</v>
      </c>
      <c r="G19" s="368" t="n">
        <v>180</v>
      </c>
      <c r="H19" s="340" t="n">
        <f aca="false">IF((G19&lt;&gt;0),IF((D19&gt;0)," ",G19)," ")</f>
        <v>180</v>
      </c>
      <c r="I19" s="369" t="n">
        <f aca="false">IF((G19&lt;&gt;0),IF((D19&gt;0)," ",(I$1-A19))," ")</f>
        <v>149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346</v>
      </c>
    </row>
    <row r="20" customFormat="false" ht="12.75" hidden="false" customHeight="false" outlineLevel="0" collapsed="false">
      <c r="A20" s="357" t="n">
        <v>46122</v>
      </c>
      <c r="B20" s="365" t="s">
        <v>347</v>
      </c>
      <c r="E20" s="367" t="s">
        <v>348</v>
      </c>
      <c r="G20" s="368" t="n">
        <v>600</v>
      </c>
      <c r="H20" s="340" t="n">
        <f aca="false">IF((G20&lt;&gt;0),IF((D20&gt;0)," ",G20)," ")</f>
        <v>600</v>
      </c>
      <c r="I20" s="369" t="n">
        <f aca="false">IF((G20&lt;&gt;0),IF((D20&gt;0)," ",(I$1-A20))," ")</f>
        <v>149</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349</v>
      </c>
    </row>
    <row r="21" customFormat="false" ht="12.75" hidden="false" customHeight="false" outlineLevel="0" collapsed="false">
      <c r="A21" s="357" t="n">
        <v>46124</v>
      </c>
      <c r="B21" s="365" t="s">
        <v>350</v>
      </c>
      <c r="D21" s="365"/>
      <c r="E21" s="367" t="s">
        <v>303</v>
      </c>
      <c r="G21" s="368" t="n">
        <v>18</v>
      </c>
      <c r="H21" s="340" t="n">
        <f aca="false">IF((G21&lt;&gt;0),IF((D21&gt;0)," ",G21)," ")</f>
        <v>18</v>
      </c>
      <c r="I21" s="369" t="n">
        <f aca="false">IF((G21&lt;&gt;0),IF((D21&gt;0)," ",(I$1-A21))," ")</f>
        <v>147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339</v>
      </c>
    </row>
    <row r="22" customFormat="false" ht="12.75" hidden="false" customHeight="false" outlineLevel="0" collapsed="false">
      <c r="A22" s="357" t="n">
        <v>46126</v>
      </c>
      <c r="B22" s="365" t="s">
        <v>351</v>
      </c>
      <c r="D22" s="395"/>
      <c r="E22" s="367" t="s">
        <v>328</v>
      </c>
      <c r="G22" s="368" t="n">
        <v>42</v>
      </c>
      <c r="H22" s="340" t="n">
        <f aca="false">IF((G22&lt;&gt;0),IF((D22&gt;0)," ",G22)," ")</f>
        <v>42</v>
      </c>
      <c r="I22" s="369" t="n">
        <f aca="false">IF((G22&lt;&gt;0),IF((D22&gt;0)," ",(I$1-A22))," ")</f>
        <v>145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336</v>
      </c>
    </row>
    <row r="23" customFormat="false" ht="12.75" hidden="false" customHeight="false" outlineLevel="0" collapsed="false">
      <c r="A23" s="357" t="n">
        <v>46126</v>
      </c>
      <c r="B23" s="365" t="s">
        <v>352</v>
      </c>
      <c r="E23" s="367" t="s">
        <v>342</v>
      </c>
      <c r="G23" s="368" t="n">
        <v>24</v>
      </c>
      <c r="H23" s="340" t="n">
        <f aca="false">IF((G23&lt;&gt;0),IF((D23&gt;0)," ",G23)," ")</f>
        <v>24</v>
      </c>
      <c r="I23" s="369" t="n">
        <f aca="false">IF((G23&lt;&gt;0),IF((D23&gt;0)," ",(I$1-A23))," ")</f>
        <v>145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343</v>
      </c>
    </row>
    <row r="24" customFormat="false" ht="12.75" hidden="false" customHeight="false" outlineLevel="0" collapsed="false">
      <c r="A24" s="357" t="n">
        <v>46126</v>
      </c>
      <c r="B24" s="365" t="s">
        <v>353</v>
      </c>
      <c r="E24" s="367" t="s">
        <v>342</v>
      </c>
      <c r="G24" s="368" t="n">
        <v>12</v>
      </c>
      <c r="H24" s="340" t="n">
        <f aca="false">IF((G24&lt;&gt;0),IF((D24&gt;0)," ",G24)," ")</f>
        <v>12</v>
      </c>
      <c r="I24" s="369" t="n">
        <f aca="false">IF((G24&lt;&gt;0),IF((D24&gt;0)," ",(I$1-A24))," ")</f>
        <v>145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343</v>
      </c>
    </row>
    <row r="25" customFormat="false" ht="12.75" hidden="false" customHeight="false" outlineLevel="0" collapsed="false">
      <c r="A25" s="357" t="n">
        <v>46127</v>
      </c>
      <c r="B25" s="365" t="s">
        <v>354</v>
      </c>
      <c r="E25" s="367" t="s">
        <v>303</v>
      </c>
      <c r="G25" s="368" t="n">
        <v>150</v>
      </c>
      <c r="H25" s="340" t="n">
        <f aca="false">IF((G25&lt;&gt;0),IF((D25&gt;0)," ",G25)," ")</f>
        <v>150</v>
      </c>
      <c r="I25" s="369" t="n">
        <f aca="false">IF((G25&lt;&gt;0),IF((D25&gt;0)," ",(I$1-A25))," ")</f>
        <v>144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339</v>
      </c>
    </row>
    <row r="26" customFormat="false" ht="12.75" hidden="false" customHeight="false" outlineLevel="0" collapsed="false">
      <c r="A26" s="357" t="n">
        <v>46127</v>
      </c>
      <c r="B26" s="365" t="s">
        <v>355</v>
      </c>
      <c r="E26" s="367" t="s">
        <v>324</v>
      </c>
      <c r="G26" s="368" t="n">
        <v>12</v>
      </c>
      <c r="H26" s="340" t="n">
        <f aca="false">IF((G26&lt;&gt;0),IF((D26&gt;0)," ",G26)," ")</f>
        <v>12</v>
      </c>
      <c r="I26" s="369" t="n">
        <f aca="false">IF((G26&lt;&gt;0),IF((D26&gt;0)," ",(I$1-A26))," ")</f>
        <v>144</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325</v>
      </c>
    </row>
    <row r="27" customFormat="false" ht="12.75" hidden="false" customHeight="false" outlineLevel="0" collapsed="false">
      <c r="A27" s="357" t="n">
        <v>46130</v>
      </c>
      <c r="B27" s="365" t="s">
        <v>356</v>
      </c>
      <c r="E27" s="367" t="s">
        <v>303</v>
      </c>
      <c r="G27" s="368" t="n">
        <v>96</v>
      </c>
      <c r="H27" s="340" t="n">
        <f aca="false">IF((G27&lt;&gt;0),IF((D27&gt;0)," ",G27)," ")</f>
        <v>96</v>
      </c>
      <c r="I27" s="369" t="n">
        <f aca="false">IF((G27&lt;&gt;0),IF((D27&gt;0)," ",(I$1-A27))," ")</f>
        <v>141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339</v>
      </c>
    </row>
    <row r="28" customFormat="false" ht="12.75" hidden="false" customHeight="false" outlineLevel="0" collapsed="false">
      <c r="A28" s="357" t="n">
        <v>46132</v>
      </c>
      <c r="B28" s="365" t="s">
        <v>357</v>
      </c>
      <c r="E28" s="367" t="s">
        <v>324</v>
      </c>
      <c r="G28" s="368" t="n">
        <v>60</v>
      </c>
      <c r="H28" s="340" t="n">
        <f aca="false">IF((G28&lt;&gt;0),IF((D28&gt;0)," ",G28)," ")</f>
        <v>60</v>
      </c>
      <c r="I28" s="369" t="n">
        <f aca="false">IF((G28&lt;&gt;0),IF((D28&gt;0)," ",(I$1-A28))," ")</f>
        <v>139</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46132</v>
      </c>
      <c r="B29" s="365" t="s">
        <v>358</v>
      </c>
      <c r="E29" s="367" t="s">
        <v>359</v>
      </c>
      <c r="G29" s="368" t="n">
        <v>120</v>
      </c>
      <c r="H29" s="340" t="n">
        <f aca="false">IF((G29&lt;&gt;0),IF((D29&gt;0)," ",G29)," ")</f>
        <v>120</v>
      </c>
      <c r="I29" s="369" t="n">
        <f aca="false">IF((G29&lt;&gt;0),IF((D29&gt;0)," ",(I$1-A29))," ")</f>
        <v>139</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360</v>
      </c>
    </row>
    <row r="30" customFormat="false" ht="12.75" hidden="false" customHeight="false" outlineLevel="0" collapsed="false">
      <c r="A30" s="357" t="n">
        <v>46133</v>
      </c>
      <c r="B30" s="365" t="s">
        <v>361</v>
      </c>
      <c r="E30" s="367" t="s">
        <v>342</v>
      </c>
      <c r="G30" s="368" t="n">
        <v>8</v>
      </c>
      <c r="H30" s="340" t="n">
        <f aca="false">IF((G30&lt;&gt;0),IF((D30&gt;0)," ",G30)," ")</f>
        <v>8</v>
      </c>
      <c r="I30" s="369" t="n">
        <f aca="false">IF((G30&lt;&gt;0),IF((D30&gt;0)," ",(I$1-A30))," ")</f>
        <v>138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343</v>
      </c>
    </row>
    <row r="31" customFormat="false" ht="12.75" hidden="false" customHeight="false" outlineLevel="0" collapsed="false">
      <c r="A31" s="357" t="n">
        <v>46134</v>
      </c>
      <c r="B31" s="365" t="s">
        <v>362</v>
      </c>
      <c r="E31" s="367" t="s">
        <v>328</v>
      </c>
      <c r="G31" s="368" t="n">
        <v>18</v>
      </c>
      <c r="H31" s="340" t="n">
        <f aca="false">IF((G31&lt;&gt;0),IF((D31&gt;0)," ",G31)," ")</f>
        <v>18</v>
      </c>
      <c r="I31" s="369" t="n">
        <f aca="false">IF((G31&lt;&gt;0),IF((D31&gt;0)," ",(I$1-A31))," ")</f>
        <v>137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336</v>
      </c>
    </row>
    <row r="32" customFormat="false" ht="12.75" hidden="false" customHeight="false" outlineLevel="0" collapsed="false">
      <c r="A32" s="357" t="n">
        <v>46137</v>
      </c>
      <c r="B32" s="365" t="s">
        <v>363</v>
      </c>
      <c r="E32" s="367" t="s">
        <v>328</v>
      </c>
      <c r="G32" s="368" t="n">
        <v>15</v>
      </c>
      <c r="H32" s="340" t="n">
        <f aca="false">IF((G32&lt;&gt;0),IF((D32&gt;0)," ",G32)," ")</f>
        <v>15</v>
      </c>
      <c r="I32" s="369" t="n">
        <f aca="false">IF((G32&lt;&gt;0),IF((D32&gt;0)," ",(I$1-A32))," ")</f>
        <v>134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336</v>
      </c>
    </row>
    <row r="33" customFormat="false" ht="12.75" hidden="false" customHeight="false" outlineLevel="0" collapsed="false">
      <c r="A33" s="357" t="n">
        <v>46137</v>
      </c>
      <c r="B33" s="365" t="s">
        <v>364</v>
      </c>
      <c r="E33" s="367" t="s">
        <v>303</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339</v>
      </c>
    </row>
    <row r="34" customFormat="false" ht="12.75" hidden="false" customHeight="false" outlineLevel="0" collapsed="false">
      <c r="A34" s="357" t="n">
        <v>46140</v>
      </c>
      <c r="B34" s="365" t="s">
        <v>354</v>
      </c>
      <c r="E34" s="367" t="s">
        <v>303</v>
      </c>
      <c r="G34" s="368" t="n">
        <v>120</v>
      </c>
      <c r="H34" s="340" t="n">
        <f aca="false">IF((G34&lt;&gt;0),IF((D34&gt;0)," ",G34)," ")</f>
        <v>120</v>
      </c>
      <c r="I34" s="369" t="n">
        <f aca="false">IF((G34&lt;&gt;0),IF((D34&gt;0)," ",(I$1-A34))," ")</f>
        <v>131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46142</v>
      </c>
      <c r="B35" s="365" t="s">
        <v>365</v>
      </c>
      <c r="E35" s="367" t="s">
        <v>366</v>
      </c>
      <c r="G35" s="368" t="n">
        <v>300</v>
      </c>
      <c r="H35" s="340" t="n">
        <f aca="false">IF((G35&lt;&gt;0),IF((D35&gt;0)," ",G35)," ")</f>
        <v>300</v>
      </c>
      <c r="I35" s="369" t="n">
        <f aca="false">IF((G35&lt;&gt;0),IF((D35&gt;0)," ",(I$1-A35))," ")</f>
        <v>129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367</v>
      </c>
    </row>
    <row r="36" customFormat="false" ht="12.75" hidden="false" customHeight="false" outlineLevel="0" collapsed="false">
      <c r="A36" s="357" t="n">
        <v>46142</v>
      </c>
      <c r="B36" s="365" t="s">
        <v>368</v>
      </c>
      <c r="C36" s="365" t="s">
        <v>369</v>
      </c>
      <c r="E36" s="367" t="s">
        <v>370</v>
      </c>
      <c r="G36" s="368" t="n">
        <v>3500</v>
      </c>
      <c r="H36" s="340" t="n">
        <f aca="false">IF((G36&lt;&gt;0),IF((D36&gt;0)," ",G36)," ")</f>
        <v>3500</v>
      </c>
      <c r="I36" s="369" t="n">
        <f aca="false">IF((G36&lt;&gt;0),IF((D36&gt;0)," ",(I$1-A36))," ")</f>
        <v>129</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371</v>
      </c>
    </row>
    <row r="37" customFormat="false" ht="12.75" hidden="false" customHeight="false" outlineLevel="0" collapsed="false">
      <c r="A37" s="357" t="n">
        <v>46142</v>
      </c>
      <c r="B37" s="365" t="s">
        <v>372</v>
      </c>
      <c r="C37" s="365" t="s">
        <v>373</v>
      </c>
      <c r="E37" s="367" t="s">
        <v>370</v>
      </c>
      <c r="G37" s="368" t="n">
        <v>2200</v>
      </c>
      <c r="H37" s="340" t="n">
        <f aca="false">IF((G37&lt;&gt;0),IF((D37&gt;0)," ",G37)," ")</f>
        <v>2200</v>
      </c>
      <c r="I37" s="369" t="n">
        <f aca="false">IF((G37&lt;&gt;0),IF((D37&gt;0)," ",(I$1-A37))," ")</f>
        <v>129</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371</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32920</v>
      </c>
      <c r="G1" s="345" t="n">
        <f aca="false">SUM(G4:G300)</f>
        <v>0</v>
      </c>
      <c r="H1" s="347" t="n">
        <f aca="false">SUM(H4:H300)</f>
        <v>32920</v>
      </c>
      <c r="I1" s="348" t="n">
        <f aca="true">TODAY()</f>
        <v>46271</v>
      </c>
      <c r="J1" s="345" t="n">
        <f aca="false">SUM(J4:J300)</f>
        <v>0</v>
      </c>
      <c r="K1" s="349" t="n">
        <f aca="false">J1+SalesApr!K1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46145</v>
      </c>
      <c r="B4" s="336" t="s">
        <v>259</v>
      </c>
      <c r="C4" s="337" t="s">
        <v>374</v>
      </c>
      <c r="F4" s="336" t="n">
        <v>360</v>
      </c>
      <c r="H4" s="340" t="n">
        <f aca="false">IF((F4&lt;&gt;0),IF((D4&gt;0)," ",F4)," ")</f>
        <v>360</v>
      </c>
      <c r="I4" s="341" t="n">
        <f aca="false">IF((F4&lt;&gt;0),IF((D4&gt;0)," ",(I$1-A4))," ")</f>
        <v>126</v>
      </c>
      <c r="BZ4" s="336" t="s">
        <v>258</v>
      </c>
    </row>
    <row r="5" customFormat="false" ht="12.75" hidden="false" customHeight="false" outlineLevel="0" collapsed="false">
      <c r="A5" s="357" t="n">
        <v>46147</v>
      </c>
      <c r="B5" s="336" t="s">
        <v>261</v>
      </c>
      <c r="C5" s="337" t="s">
        <v>375</v>
      </c>
      <c r="F5" s="336" t="n">
        <v>600</v>
      </c>
      <c r="H5" s="340" t="n">
        <f aca="false">IF((F5&lt;&gt;0),IF((D5&gt;0)," ",F5)," ")</f>
        <v>600</v>
      </c>
      <c r="I5" s="341" t="n">
        <f aca="false">IF((F5&lt;&gt;0),IF((D5&gt;0)," ",(I$1-A5))," ")</f>
        <v>124</v>
      </c>
      <c r="BZ5" s="336" t="s">
        <v>258</v>
      </c>
    </row>
    <row r="6" customFormat="false" ht="12.75" hidden="false" customHeight="false" outlineLevel="0" collapsed="false">
      <c r="A6" s="357" t="n">
        <v>46150</v>
      </c>
      <c r="B6" s="336" t="s">
        <v>263</v>
      </c>
      <c r="C6" s="337" t="s">
        <v>376</v>
      </c>
      <c r="F6" s="336" t="n">
        <v>480</v>
      </c>
      <c r="H6" s="340" t="n">
        <f aca="false">IF((F6&lt;&gt;0),IF((D6&gt;0)," ",F6)," ")</f>
        <v>480</v>
      </c>
      <c r="I6" s="341" t="n">
        <f aca="false">IF((F6&lt;&gt;0),IF((D6&gt;0)," ",(I$1-A6))," ")</f>
        <v>121</v>
      </c>
      <c r="BZ6" s="336" t="s">
        <v>265</v>
      </c>
    </row>
    <row r="7" customFormat="false" ht="12.75" hidden="false" customHeight="false" outlineLevel="0" collapsed="false">
      <c r="A7" s="357" t="n">
        <v>46152</v>
      </c>
      <c r="B7" s="336" t="s">
        <v>266</v>
      </c>
      <c r="C7" s="337" t="s">
        <v>377</v>
      </c>
      <c r="F7" s="336" t="n">
        <v>720</v>
      </c>
      <c r="H7" s="340" t="n">
        <f aca="false">IF((F7&lt;&gt;0),IF((D7&gt;0)," ",F7)," ")</f>
        <v>720</v>
      </c>
      <c r="I7" s="341" t="n">
        <f aca="false">IF((F7&lt;&gt;0),IF((D7&gt;0)," ",(I$1-A7))," ")</f>
        <v>119</v>
      </c>
      <c r="BZ7" s="336" t="s">
        <v>265</v>
      </c>
    </row>
    <row r="8" customFormat="false" ht="12.75" hidden="false" customHeight="false" outlineLevel="0" collapsed="false">
      <c r="A8" s="357" t="n">
        <v>46154</v>
      </c>
      <c r="B8" s="336" t="s">
        <v>378</v>
      </c>
      <c r="C8" s="337" t="s">
        <v>379</v>
      </c>
      <c r="F8" s="336" t="n">
        <v>960</v>
      </c>
      <c r="H8" s="340" t="n">
        <f aca="false">IF((F8&lt;&gt;0),IF((D8&gt;0)," ",F8)," ")</f>
        <v>960</v>
      </c>
      <c r="I8" s="341" t="n">
        <f aca="false">IF((F8&lt;&gt;0),IF((D8&gt;0)," ",(I$1-A8))," ")</f>
        <v>117</v>
      </c>
      <c r="BZ8" s="336" t="s">
        <v>265</v>
      </c>
    </row>
    <row r="9" customFormat="false" ht="12.75" hidden="false" customHeight="false" outlineLevel="0" collapsed="false">
      <c r="A9" s="357" t="n">
        <v>46157</v>
      </c>
      <c r="B9" s="336" t="s">
        <v>268</v>
      </c>
      <c r="C9" s="337" t="s">
        <v>380</v>
      </c>
      <c r="F9" s="336" t="n">
        <v>25000</v>
      </c>
      <c r="H9" s="340" t="n">
        <f aca="false">IF((F9&lt;&gt;0),IF((D9&gt;0)," ",F9)," ")</f>
        <v>25000</v>
      </c>
      <c r="I9" s="341" t="n">
        <f aca="false">IF((F9&lt;&gt;0),IF((D9&gt;0)," ",(I$1-A9))," ")</f>
        <v>114</v>
      </c>
      <c r="BZ9" s="336" t="s">
        <v>265</v>
      </c>
    </row>
    <row r="10" customFormat="false" ht="12.75" hidden="false" customHeight="false" outlineLevel="0" collapsed="false">
      <c r="A10" s="357" t="n">
        <v>46158</v>
      </c>
      <c r="B10" s="336" t="s">
        <v>381</v>
      </c>
      <c r="C10" s="337" t="s">
        <v>382</v>
      </c>
      <c r="F10" s="336" t="n">
        <v>1200</v>
      </c>
      <c r="H10" s="340" t="n">
        <f aca="false">IF((F10&lt;&gt;0),IF((D10&gt;0)," ",F10)," ")</f>
        <v>1200</v>
      </c>
      <c r="I10" s="341" t="n">
        <f aca="false">IF((F10&lt;&gt;0),IF((D10&gt;0)," ",(I$1-A10))," ")</f>
        <v>113</v>
      </c>
      <c r="BZ10" s="336" t="s">
        <v>383</v>
      </c>
    </row>
    <row r="11" customFormat="false" ht="12.75" hidden="false" customHeight="false" outlineLevel="0" collapsed="false">
      <c r="A11" s="357" t="n">
        <v>46160</v>
      </c>
      <c r="B11" s="336" t="s">
        <v>270</v>
      </c>
      <c r="C11" s="337" t="s">
        <v>384</v>
      </c>
      <c r="F11" s="336" t="n">
        <v>2400</v>
      </c>
      <c r="H11" s="340" t="n">
        <f aca="false">IF((F11&lt;&gt;0),IF((D11&gt;0)," ",F11)," ")</f>
        <v>2400</v>
      </c>
      <c r="I11" s="341" t="n">
        <f aca="false">IF((F11&lt;&gt;0),IF((D11&gt;0)," ",(I$1-A11))," ")</f>
        <v>111</v>
      </c>
      <c r="BZ11" s="336" t="s">
        <v>265</v>
      </c>
    </row>
    <row r="12" customFormat="false" ht="12.75" hidden="false" customHeight="false" outlineLevel="0" collapsed="false">
      <c r="A12" s="357" t="n">
        <v>46167</v>
      </c>
      <c r="B12" s="336" t="s">
        <v>385</v>
      </c>
      <c r="C12" s="337" t="s">
        <v>386</v>
      </c>
      <c r="F12" s="336" t="n">
        <v>1200</v>
      </c>
      <c r="H12" s="340" t="n">
        <f aca="false">IF((F12&lt;&gt;0),IF((D12&gt;0)," ",F12)," ")</f>
        <v>1200</v>
      </c>
      <c r="I12" s="341" t="n">
        <f aca="false">IF((F12&lt;&gt;0),IF((D12&gt;0)," ",(I$1-A12))," ")</f>
        <v>104</v>
      </c>
      <c r="BZ12" s="336" t="s">
        <v>265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278</v>
      </c>
      <c r="C1" s="346" t="n">
        <f aca="false">PurchasesApr!C1+PurchasesMay!F1+SalesMay!$E$1</f>
        <v>205</v>
      </c>
      <c r="D1" s="371" t="s">
        <v>245</v>
      </c>
      <c r="E1" s="373" t="str">
        <f aca="false">IF((G1-SUM(J1:W1)&lt;&gt;0),(G1-SUM(J1:W1))," ")</f>
        <v> </v>
      </c>
      <c r="F1" s="346" t="n">
        <f aca="false">SUM(F5:F300)</f>
        <v>120</v>
      </c>
      <c r="G1" s="345" t="n">
        <f aca="false">SUM(G4:G300)</f>
        <v>12075</v>
      </c>
      <c r="H1" s="374" t="n">
        <f aca="false">SUM(H5:H300)</f>
        <v>12021</v>
      </c>
      <c r="I1" s="375" t="n">
        <f aca="true">TODAY()</f>
        <v>46271</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IF((C1&lt;Admin!$F$22),((C1-PurchasesApr!C1)*Admin!$G$21),(C1*Admin!$G$21-(C1-Admin!$F$21)*(Admin!$G$21-Admin!$G$22)-PurchasesApr!A1))</f>
        <v>54</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46143</v>
      </c>
      <c r="B5" s="365" t="s">
        <v>320</v>
      </c>
      <c r="E5" s="367" t="s">
        <v>321</v>
      </c>
      <c r="G5" s="368" t="n">
        <v>1200</v>
      </c>
      <c r="H5" s="340" t="n">
        <f aca="false">IF((G5&lt;&gt;0),IF((D5&gt;0)," ",G5)," ")</f>
        <v>1200</v>
      </c>
      <c r="I5" s="369" t="n">
        <f aca="false">IF((G5&lt;&gt;0),IF((D5&gt;0)," ",(I$1-A5))," ")</f>
        <v>128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46143</v>
      </c>
      <c r="B6" s="365" t="s">
        <v>323</v>
      </c>
      <c r="E6" s="367" t="s">
        <v>324</v>
      </c>
      <c r="G6" s="368" t="n">
        <v>30</v>
      </c>
      <c r="H6" s="340" t="n">
        <f aca="false">IF((G6&lt;&gt;0),IF((D6&gt;0)," ",G6)," ")</f>
        <v>30</v>
      </c>
      <c r="I6" s="369" t="n">
        <f aca="false">IF((G6&lt;&gt;0),IF((D6&gt;0)," ",(I$1-A6))," ")</f>
        <v>128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46143</v>
      </c>
      <c r="B7" s="365" t="s">
        <v>326</v>
      </c>
      <c r="E7" s="367" t="s">
        <v>324</v>
      </c>
      <c r="G7" s="368" t="n">
        <v>15</v>
      </c>
      <c r="H7" s="340" t="n">
        <f aca="false">IF((G7&lt;&gt;0),IF((D7&gt;0)," ",G7)," ")</f>
        <v>15</v>
      </c>
      <c r="I7" s="369" t="n">
        <f aca="false">IF((G7&lt;&gt;0),IF((D7&gt;0)," ",(I$1-A7))," ")</f>
        <v>128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46143</v>
      </c>
      <c r="B8" s="365" t="s">
        <v>327</v>
      </c>
      <c r="E8" s="367" t="s">
        <v>328</v>
      </c>
      <c r="G8" s="368" t="n">
        <v>45</v>
      </c>
      <c r="H8" s="340" t="n">
        <f aca="false">IF((G8&lt;&gt;0),IF((D8&gt;0)," ",G8)," ")</f>
        <v>45</v>
      </c>
      <c r="I8" s="369" t="n">
        <f aca="false">IF((G8&lt;&gt;0),IF((D8&gt;0)," ",(I$1-A8))," ")</f>
        <v>128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46143</v>
      </c>
      <c r="B9" s="365" t="s">
        <v>332</v>
      </c>
      <c r="E9" s="367" t="s">
        <v>328</v>
      </c>
      <c r="G9" s="368" t="n">
        <v>24</v>
      </c>
      <c r="H9" s="340" t="n">
        <f aca="false">IF((G9&lt;&gt;0),IF((D9&gt;0)," ",G9)," ")</f>
        <v>24</v>
      </c>
      <c r="I9" s="369" t="n">
        <f aca="false">IF((G9&lt;&gt;0),IF((D9&gt;0)," ",(I$1-A9))," ")</f>
        <v>128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46143</v>
      </c>
      <c r="B10" s="365" t="s">
        <v>333</v>
      </c>
      <c r="E10" s="367" t="s">
        <v>324</v>
      </c>
      <c r="G10" s="368" t="n">
        <v>18</v>
      </c>
      <c r="H10" s="340" t="n">
        <f aca="false">IF((G10&lt;&gt;0),IF((D10&gt;0)," ",G10)," ")</f>
        <v>18</v>
      </c>
      <c r="I10" s="369" t="n">
        <f aca="false">IF((G10&lt;&gt;0),IF((D10&gt;0)," ",(I$1-A10))," ")</f>
        <v>128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46145</v>
      </c>
      <c r="B11" s="365" t="s">
        <v>334</v>
      </c>
      <c r="E11" s="367" t="s">
        <v>328</v>
      </c>
      <c r="G11" s="368" t="n">
        <v>180</v>
      </c>
      <c r="H11" s="340" t="n">
        <f aca="false">IF((G11&lt;&gt;0),IF((D11&gt;0)," ",G11)," ")</f>
        <v>180</v>
      </c>
      <c r="I11" s="369" t="n">
        <f aca="false">IF((G11&lt;&gt;0),IF((D11&gt;0)," ",(I$1-A11))," ")</f>
        <v>126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46145</v>
      </c>
      <c r="B12" s="365" t="s">
        <v>335</v>
      </c>
      <c r="E12" s="367" t="s">
        <v>328</v>
      </c>
      <c r="G12" s="368" t="n">
        <v>22</v>
      </c>
      <c r="H12" s="340" t="n">
        <f aca="false">IF((G12&lt;&gt;0),IF((D12&gt;0)," ",G12)," ")</f>
        <v>22</v>
      </c>
      <c r="I12" s="369" t="n">
        <f aca="false">IF((G12&lt;&gt;0),IF((D12&gt;0)," ",(I$1-A12))," ")</f>
        <v>126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46147</v>
      </c>
      <c r="B13" s="365" t="s">
        <v>337</v>
      </c>
      <c r="E13" s="367" t="s">
        <v>328</v>
      </c>
      <c r="G13" s="368" t="n">
        <v>24</v>
      </c>
      <c r="H13" s="340" t="n">
        <f aca="false">IF((G13&lt;&gt;0),IF((D13&gt;0)," ",G13)," ")</f>
        <v>24</v>
      </c>
      <c r="I13" s="369" t="n">
        <f aca="false">IF((G13&lt;&gt;0),IF((D13&gt;0)," ",(I$1-A13))," ")</f>
        <v>124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46147</v>
      </c>
      <c r="B14" s="365" t="s">
        <v>338</v>
      </c>
      <c r="E14" s="367" t="s">
        <v>303</v>
      </c>
      <c r="G14" s="368" t="n">
        <v>180</v>
      </c>
      <c r="H14" s="340" t="n">
        <f aca="false">IF((G14&lt;&gt;0),IF((D14&gt;0)," ",G14)," ")</f>
        <v>180</v>
      </c>
      <c r="I14" s="369" t="n">
        <f aca="false">IF((G14&lt;&gt;0),IF((D14&gt;0)," ",(I$1-A14))," ")</f>
        <v>124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46148</v>
      </c>
      <c r="B15" s="365" t="s">
        <v>388</v>
      </c>
      <c r="E15" s="367" t="s">
        <v>342</v>
      </c>
      <c r="G15" s="368" t="n">
        <v>60</v>
      </c>
      <c r="H15" s="340" t="n">
        <f aca="false">IF((G15&lt;&gt;0),IF((D15&gt;0)," ",G15)," ")</f>
        <v>60</v>
      </c>
      <c r="I15" s="369" t="n">
        <f aca="false">IF((G15&lt;&gt;0),IF((D15&gt;0)," ",(I$1-A15))," ")</f>
        <v>123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343</v>
      </c>
    </row>
    <row r="16" customFormat="false" ht="12.75" hidden="false" customHeight="false" outlineLevel="0" collapsed="false">
      <c r="A16" s="357" t="n">
        <v>46150</v>
      </c>
      <c r="B16" s="365" t="s">
        <v>341</v>
      </c>
      <c r="E16" s="367" t="s">
        <v>342</v>
      </c>
      <c r="G16" s="368" t="n">
        <v>48</v>
      </c>
      <c r="H16" s="340" t="n">
        <f aca="false">IF((G16&lt;&gt;0),IF((D16&gt;0)," ",G16)," ")</f>
        <v>48</v>
      </c>
      <c r="I16" s="369" t="n">
        <f aca="false">IF((G16&lt;&gt;0),IF((D16&gt;0)," ",(I$1-A16))," ")</f>
        <v>121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46150</v>
      </c>
      <c r="B17" s="365" t="s">
        <v>389</v>
      </c>
      <c r="E17" s="367" t="s">
        <v>328</v>
      </c>
      <c r="G17" s="368" t="n">
        <v>240</v>
      </c>
      <c r="H17" s="340" t="n">
        <f aca="false">IF((G17&lt;&gt;0),IF((D17&gt;0)," ",G17)," ")</f>
        <v>240</v>
      </c>
      <c r="I17" s="369" t="n">
        <f aca="false">IF((G17&lt;&gt;0),IF((D17&gt;0)," ",(I$1-A17))," ")</f>
        <v>121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390</v>
      </c>
    </row>
    <row r="18" customFormat="false" ht="12.75" hidden="false" customHeight="false" outlineLevel="0" collapsed="false">
      <c r="A18" s="357" t="n">
        <v>46152</v>
      </c>
      <c r="B18" s="365" t="s">
        <v>344</v>
      </c>
      <c r="E18" s="367" t="s">
        <v>328</v>
      </c>
      <c r="G18" s="368" t="n">
        <v>36</v>
      </c>
      <c r="H18" s="340" t="n">
        <f aca="false">IF((G18&lt;&gt;0),IF((D18&gt;0)," ",G18)," ")</f>
        <v>36</v>
      </c>
      <c r="I18" s="369" t="n">
        <f aca="false">IF((G18&lt;&gt;0),IF((D18&gt;0)," ",(I$1-A18))," ")</f>
        <v>119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46152</v>
      </c>
      <c r="B19" s="365" t="s">
        <v>391</v>
      </c>
      <c r="E19" s="367" t="s">
        <v>392</v>
      </c>
      <c r="G19" s="368" t="n">
        <v>600</v>
      </c>
      <c r="H19" s="340" t="n">
        <f aca="false">IF((G19&lt;&gt;0),IF((D19&gt;0)," ",G19)," ")</f>
        <v>600</v>
      </c>
      <c r="I19" s="369" t="n">
        <f aca="false">IF((G19&lt;&gt;0),IF((D19&gt;0)," ",(I$1-A19))," ")</f>
        <v>119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393</v>
      </c>
    </row>
    <row r="20" customFormat="false" ht="12.75" hidden="false" customHeight="false" outlineLevel="0" collapsed="false">
      <c r="A20" s="357" t="n">
        <v>46154</v>
      </c>
      <c r="B20" s="365" t="s">
        <v>350</v>
      </c>
      <c r="E20" s="367" t="s">
        <v>303</v>
      </c>
      <c r="G20" s="368" t="n">
        <v>18</v>
      </c>
      <c r="H20" s="340" t="n">
        <f aca="false">IF((G20&lt;&gt;0),IF((D20&gt;0)," ",G20)," ")</f>
        <v>18</v>
      </c>
      <c r="I20" s="369" t="n">
        <f aca="false">IF((G20&lt;&gt;0),IF((D20&gt;0)," ",(I$1-A20))," ")</f>
        <v>117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339</v>
      </c>
    </row>
    <row r="21" customFormat="false" ht="12.75" hidden="false" customHeight="false" outlineLevel="0" collapsed="false">
      <c r="A21" s="357" t="n">
        <v>46156</v>
      </c>
      <c r="B21" s="365" t="s">
        <v>352</v>
      </c>
      <c r="D21" s="365"/>
      <c r="E21" s="367" t="s">
        <v>342</v>
      </c>
      <c r="G21" s="368" t="n">
        <v>24</v>
      </c>
      <c r="H21" s="340" t="n">
        <f aca="false">IF((G21&lt;&gt;0),IF((D21&gt;0)," ",G21)," ")</f>
        <v>24</v>
      </c>
      <c r="I21" s="369" t="n">
        <f aca="false">IF((G21&lt;&gt;0),IF((D21&gt;0)," ",(I$1-A21))," ")</f>
        <v>115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343</v>
      </c>
    </row>
    <row r="22" customFormat="false" ht="12.75" hidden="false" customHeight="false" outlineLevel="0" collapsed="false">
      <c r="A22" s="357" t="n">
        <v>46156</v>
      </c>
      <c r="B22" s="365" t="s">
        <v>353</v>
      </c>
      <c r="D22" s="395"/>
      <c r="E22" s="367" t="s">
        <v>342</v>
      </c>
      <c r="G22" s="368" t="n">
        <v>12</v>
      </c>
      <c r="H22" s="340" t="n">
        <f aca="false">IF((G22&lt;&gt;0),IF((D22&gt;0)," ",G22)," ")</f>
        <v>12</v>
      </c>
      <c r="I22" s="369" t="n">
        <f aca="false">IF((G22&lt;&gt;0),IF((D22&gt;0)," ",(I$1-A22))," ")</f>
        <v>115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46157</v>
      </c>
      <c r="B23" s="365" t="s">
        <v>354</v>
      </c>
      <c r="E23" s="367" t="s">
        <v>303</v>
      </c>
      <c r="G23" s="368" t="n">
        <v>150</v>
      </c>
      <c r="H23" s="340" t="n">
        <f aca="false">IF((G23&lt;&gt;0),IF((D23&gt;0)," ",G23)," ")</f>
        <v>150</v>
      </c>
      <c r="I23" s="369" t="n">
        <f aca="false">IF((G23&lt;&gt;0),IF((D23&gt;0)," ",(I$1-A23))," ")</f>
        <v>114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339</v>
      </c>
    </row>
    <row r="24" customFormat="false" ht="12.75" hidden="false" customHeight="false" outlineLevel="0" collapsed="false">
      <c r="A24" s="357" t="n">
        <v>46157</v>
      </c>
      <c r="B24" s="365" t="s">
        <v>355</v>
      </c>
      <c r="E24" s="367" t="s">
        <v>324</v>
      </c>
      <c r="G24" s="368" t="n">
        <v>12</v>
      </c>
      <c r="H24" s="340" t="n">
        <f aca="false">IF((G24&lt;&gt;0),IF((D24&gt;0)," ",G24)," ")</f>
        <v>12</v>
      </c>
      <c r="I24" s="369" t="n">
        <f aca="false">IF((G24&lt;&gt;0),IF((D24&gt;0)," ",(I$1-A24))," ")</f>
        <v>114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325</v>
      </c>
    </row>
    <row r="25" customFormat="false" ht="12.75" hidden="false" customHeight="false" outlineLevel="0" collapsed="false">
      <c r="A25" s="357" t="n">
        <v>46157</v>
      </c>
      <c r="B25" s="365" t="s">
        <v>394</v>
      </c>
      <c r="E25" s="367" t="s">
        <v>348</v>
      </c>
      <c r="G25" s="368" t="n">
        <v>480</v>
      </c>
      <c r="H25" s="340" t="n">
        <f aca="false">IF((G25&lt;&gt;0),IF((D25&gt;0)," ",G25)," ")</f>
        <v>480</v>
      </c>
      <c r="I25" s="369" t="n">
        <f aca="false">IF((G25&lt;&gt;0),IF((D25&gt;0)," ",(I$1-A25))," ")</f>
        <v>114</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349</v>
      </c>
    </row>
    <row r="26" customFormat="false" ht="12.75" hidden="false" customHeight="false" outlineLevel="0" collapsed="false">
      <c r="A26" s="357" t="n">
        <v>46157</v>
      </c>
      <c r="B26" s="365" t="s">
        <v>395</v>
      </c>
      <c r="C26" s="365" t="s">
        <v>223</v>
      </c>
      <c r="E26" s="367" t="s">
        <v>396</v>
      </c>
      <c r="G26" s="368" t="n">
        <v>1800</v>
      </c>
      <c r="H26" s="340" t="n">
        <f aca="false">IF((G26&lt;&gt;0),IF((D26&gt;0)," ",G26)," ")</f>
        <v>1800</v>
      </c>
      <c r="I26" s="369" t="n">
        <f aca="false">IF((G26&lt;&gt;0),IF((D26&gt;0)," ",(I$1-A26))," ")</f>
        <v>114</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397</v>
      </c>
    </row>
    <row r="27" customFormat="false" ht="12.75" hidden="false" customHeight="false" outlineLevel="0" collapsed="false">
      <c r="A27" s="357" t="n">
        <v>46158</v>
      </c>
      <c r="B27" s="365" t="s">
        <v>398</v>
      </c>
      <c r="E27" s="367" t="s">
        <v>324</v>
      </c>
      <c r="G27" s="368" t="n">
        <v>18</v>
      </c>
      <c r="H27" s="340" t="n">
        <f aca="false">IF((G27&lt;&gt;0),IF((D27&gt;0)," ",G27)," ")</f>
        <v>18</v>
      </c>
      <c r="I27" s="369" t="n">
        <f aca="false">IF((G27&lt;&gt;0),IF((D27&gt;0)," ",(I$1-A27))," ")</f>
        <v>113</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325</v>
      </c>
    </row>
    <row r="28" customFormat="false" ht="12.75" hidden="false" customHeight="false" outlineLevel="0" collapsed="false">
      <c r="A28" s="357" t="n">
        <v>46160</v>
      </c>
      <c r="B28" s="365" t="s">
        <v>356</v>
      </c>
      <c r="E28" s="367" t="s">
        <v>303</v>
      </c>
      <c r="G28" s="368" t="n">
        <v>96</v>
      </c>
      <c r="H28" s="340" t="n">
        <f aca="false">IF((G28&lt;&gt;0),IF((D28&gt;0)," ",G28)," ")</f>
        <v>96</v>
      </c>
      <c r="I28" s="369" t="n">
        <f aca="false">IF((G28&lt;&gt;0),IF((D28&gt;0)," ",(I$1-A28))," ")</f>
        <v>111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339</v>
      </c>
    </row>
    <row r="29" customFormat="false" ht="12.75" hidden="false" customHeight="false" outlineLevel="0" collapsed="false">
      <c r="A29" s="357" t="n">
        <v>46162</v>
      </c>
      <c r="B29" s="365" t="s">
        <v>357</v>
      </c>
      <c r="E29" s="367" t="s">
        <v>324</v>
      </c>
      <c r="G29" s="368" t="n">
        <v>60</v>
      </c>
      <c r="H29" s="340" t="n">
        <f aca="false">IF((G29&lt;&gt;0),IF((D29&gt;0)," ",G29)," ")</f>
        <v>60</v>
      </c>
      <c r="I29" s="369" t="n">
        <f aca="false">IF((G29&lt;&gt;0),IF((D29&gt;0)," ",(I$1-A29))," ")</f>
        <v>109</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325</v>
      </c>
    </row>
    <row r="30" customFormat="false" ht="12.75" hidden="false" customHeight="false" outlineLevel="0" collapsed="false">
      <c r="A30" s="357" t="n">
        <v>46162</v>
      </c>
      <c r="B30" s="365" t="s">
        <v>399</v>
      </c>
      <c r="E30" s="367" t="s">
        <v>328</v>
      </c>
      <c r="G30" s="368" t="n">
        <v>180</v>
      </c>
      <c r="H30" s="340" t="n">
        <f aca="false">IF((G30&lt;&gt;0),IF((D30&gt;0)," ",G30)," ")</f>
        <v>180</v>
      </c>
      <c r="I30" s="369" t="n">
        <f aca="false">IF((G30&lt;&gt;0),IF((D30&gt;0)," ",(I$1-A30))," ")</f>
        <v>109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400</v>
      </c>
    </row>
    <row r="31" customFormat="false" ht="12.75" hidden="false" customHeight="false" outlineLevel="0" collapsed="false">
      <c r="A31" s="357" t="n">
        <v>46162</v>
      </c>
      <c r="B31" s="365" t="s">
        <v>401</v>
      </c>
      <c r="E31" s="367" t="s">
        <v>348</v>
      </c>
      <c r="G31" s="368" t="n">
        <v>240</v>
      </c>
      <c r="H31" s="340" t="n">
        <f aca="false">IF((G31&lt;&gt;0),IF((D31&gt;0)," ",G31)," ")</f>
        <v>240</v>
      </c>
      <c r="I31" s="369" t="n">
        <f aca="false">IF((G31&lt;&gt;0),IF((D31&gt;0)," ",(I$1-A31))," ")</f>
        <v>109</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349</v>
      </c>
    </row>
    <row r="32" customFormat="false" ht="12.75" hidden="false" customHeight="false" outlineLevel="0" collapsed="false">
      <c r="A32" s="357" t="n">
        <v>46163</v>
      </c>
      <c r="B32" s="365" t="s">
        <v>361</v>
      </c>
      <c r="E32" s="367" t="s">
        <v>342</v>
      </c>
      <c r="G32" s="368" t="n">
        <v>8</v>
      </c>
      <c r="H32" s="340" t="n">
        <f aca="false">IF((G32&lt;&gt;0),IF((D32&gt;0)," ",G32)," ")</f>
        <v>8</v>
      </c>
      <c r="I32" s="369" t="n">
        <f aca="false">IF((G32&lt;&gt;0),IF((D32&gt;0)," ",(I$1-A32))," ")</f>
        <v>108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343</v>
      </c>
    </row>
    <row r="33" customFormat="false" ht="12.75" hidden="false" customHeight="false" outlineLevel="0" collapsed="false">
      <c r="A33" s="357" t="n">
        <v>46164</v>
      </c>
      <c r="B33" s="365" t="s">
        <v>362</v>
      </c>
      <c r="E33" s="367" t="s">
        <v>328</v>
      </c>
      <c r="G33" s="368" t="n">
        <v>18</v>
      </c>
      <c r="H33" s="340" t="n">
        <f aca="false">IF((G33&lt;&gt;0),IF((D33&gt;0)," ",G33)," ")</f>
        <v>18</v>
      </c>
      <c r="I33" s="369" t="n">
        <f aca="false">IF((G33&lt;&gt;0),IF((D33&gt;0)," ",(I$1-A33))," ")</f>
        <v>107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336</v>
      </c>
    </row>
    <row r="34" customFormat="false" ht="12.75" hidden="false" customHeight="false" outlineLevel="0" collapsed="false">
      <c r="A34" s="357" t="n">
        <v>46164</v>
      </c>
      <c r="B34" s="365" t="s">
        <v>402</v>
      </c>
      <c r="E34" s="367" t="s">
        <v>303</v>
      </c>
      <c r="G34" s="368" t="n">
        <v>48</v>
      </c>
      <c r="H34" s="340" t="n">
        <f aca="false">IF((G34&lt;&gt;0),IF((D34&gt;0)," ",G34)," ")</f>
        <v>48</v>
      </c>
      <c r="I34" s="369" t="n">
        <f aca="false">IF((G34&lt;&gt;0),IF((D34&gt;0)," ",(I$1-A34))," ")</f>
        <v>107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46167</v>
      </c>
      <c r="B35" s="365" t="s">
        <v>363</v>
      </c>
      <c r="E35" s="367" t="s">
        <v>328</v>
      </c>
      <c r="G35" s="368" t="n">
        <v>15</v>
      </c>
      <c r="H35" s="340" t="n">
        <f aca="false">IF((G35&lt;&gt;0),IF((D35&gt;0)," ",G35)," ")</f>
        <v>15</v>
      </c>
      <c r="I35" s="369" t="n">
        <f aca="false">IF((G35&lt;&gt;0),IF((D35&gt;0)," ",(I$1-A35))," ")</f>
        <v>104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336</v>
      </c>
    </row>
    <row r="36" customFormat="false" ht="12.75" hidden="false" customHeight="false" outlineLevel="0" collapsed="false">
      <c r="A36" s="357" t="n">
        <v>46167</v>
      </c>
      <c r="B36" s="365" t="s">
        <v>364</v>
      </c>
      <c r="E36" s="367" t="s">
        <v>303</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339</v>
      </c>
    </row>
    <row r="37" customFormat="false" ht="12.75" hidden="false" customHeight="false" outlineLevel="0" collapsed="false">
      <c r="A37" s="357" t="n">
        <v>46170</v>
      </c>
      <c r="B37" s="365" t="s">
        <v>354</v>
      </c>
      <c r="E37" s="367" t="s">
        <v>303</v>
      </c>
      <c r="G37" s="368" t="n">
        <v>120</v>
      </c>
      <c r="H37" s="340" t="n">
        <f aca="false">IF((G37&lt;&gt;0),IF((D37&gt;0)," ",G37)," ")</f>
        <v>120</v>
      </c>
      <c r="I37" s="369" t="n">
        <f aca="false">IF((G37&lt;&gt;0),IF((D37&gt;0)," ",(I$1-A37))," ")</f>
        <v>101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339</v>
      </c>
    </row>
    <row r="38" customFormat="false" ht="12.75" hidden="false" customHeight="false" outlineLevel="0" collapsed="false">
      <c r="A38" s="357" t="n">
        <v>46173</v>
      </c>
      <c r="B38" s="365" t="s">
        <v>365</v>
      </c>
      <c r="E38" s="367" t="s">
        <v>366</v>
      </c>
      <c r="G38" s="368" t="n">
        <v>300</v>
      </c>
      <c r="H38" s="340" t="n">
        <f aca="false">IF((G38&lt;&gt;0),IF((D38&gt;0)," ",G38)," ")</f>
        <v>300</v>
      </c>
      <c r="I38" s="369" t="n">
        <f aca="false">IF((G38&lt;&gt;0),IF((D38&gt;0)," ",(I$1-A38))," ")</f>
        <v>98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367</v>
      </c>
    </row>
    <row r="39" customFormat="false" ht="12.75" hidden="false" customHeight="false" outlineLevel="0" collapsed="false">
      <c r="A39" s="357" t="n">
        <v>46173</v>
      </c>
      <c r="B39" s="365" t="s">
        <v>368</v>
      </c>
      <c r="C39" s="365" t="s">
        <v>403</v>
      </c>
      <c r="E39" s="367" t="s">
        <v>370</v>
      </c>
      <c r="G39" s="368" t="n">
        <v>3500</v>
      </c>
      <c r="H39" s="340" t="n">
        <f aca="false">IF((G39&lt;&gt;0),IF((D39&gt;0)," ",G39)," ")</f>
        <v>3500</v>
      </c>
      <c r="I39" s="369" t="n">
        <f aca="false">IF((G39&lt;&gt;0),IF((D39&gt;0)," ",(I$1-A39))," ")</f>
        <v>98</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t="n">
        <v>46173</v>
      </c>
      <c r="B40" s="365" t="s">
        <v>372</v>
      </c>
      <c r="C40" s="365" t="s">
        <v>404</v>
      </c>
      <c r="E40" s="367" t="s">
        <v>370</v>
      </c>
      <c r="G40" s="368" t="n">
        <v>2200</v>
      </c>
      <c r="H40" s="340" t="n">
        <f aca="false">IF((G40&lt;&gt;0),IF((D40&gt;0)," ",G40)," ")</f>
        <v>2200</v>
      </c>
      <c r="I40" s="369" t="n">
        <f aca="false">IF((G40&lt;&gt;0),IF((D40&gt;0)," ",(I$1-A40))," ")</f>
        <v>98</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371</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35200</v>
      </c>
      <c r="G1" s="345" t="n">
        <f aca="false">SUM(G4:G300)</f>
        <v>0</v>
      </c>
      <c r="H1" s="347" t="n">
        <f aca="false">SUM(H4:H300)</f>
        <v>35200</v>
      </c>
      <c r="I1" s="348" t="n">
        <f aca="true">TODAY()</f>
        <v>46271</v>
      </c>
      <c r="J1" s="345" t="n">
        <f aca="false">SUM(J4:J300)</f>
        <v>0</v>
      </c>
      <c r="K1" s="349" t="n">
        <f aca="false">J1+SalesMay!K1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46176</v>
      </c>
      <c r="B4" s="336" t="s">
        <v>259</v>
      </c>
      <c r="C4" s="337" t="s">
        <v>405</v>
      </c>
      <c r="F4" s="336" t="n">
        <v>360</v>
      </c>
      <c r="H4" s="340" t="n">
        <f aca="false">IF((F4&lt;&gt;0),IF((D4&gt;0)," ",F4)," ")</f>
        <v>360</v>
      </c>
      <c r="I4" s="341" t="n">
        <f aca="false">IF((F4&lt;&gt;0),IF((D4&gt;0)," ",(I$1-A4))," ")</f>
        <v>95</v>
      </c>
      <c r="BZ4" s="336" t="s">
        <v>258</v>
      </c>
    </row>
    <row r="5" customFormat="false" ht="12.75" hidden="false" customHeight="false" outlineLevel="0" collapsed="false">
      <c r="A5" s="357" t="n">
        <v>46178</v>
      </c>
      <c r="B5" s="336" t="s">
        <v>261</v>
      </c>
      <c r="C5" s="337" t="s">
        <v>406</v>
      </c>
      <c r="F5" s="336" t="n">
        <v>600</v>
      </c>
      <c r="H5" s="340" t="n">
        <f aca="false">IF((F5&lt;&gt;0),IF((D5&gt;0)," ",F5)," ")</f>
        <v>600</v>
      </c>
      <c r="I5" s="341" t="n">
        <f aca="false">IF((F5&lt;&gt;0),IF((D5&gt;0)," ",(I$1-A5))," ")</f>
        <v>93</v>
      </c>
      <c r="BZ5" s="336" t="s">
        <v>258</v>
      </c>
    </row>
    <row r="6" customFormat="false" ht="12.75" hidden="false" customHeight="false" outlineLevel="0" collapsed="false">
      <c r="A6" s="357" t="n">
        <v>46181</v>
      </c>
      <c r="B6" s="336" t="s">
        <v>263</v>
      </c>
      <c r="C6" s="337" t="s">
        <v>407</v>
      </c>
      <c r="F6" s="336" t="n">
        <v>480</v>
      </c>
      <c r="H6" s="340" t="n">
        <f aca="false">IF((F6&lt;&gt;0),IF((D6&gt;0)," ",F6)," ")</f>
        <v>480</v>
      </c>
      <c r="I6" s="341" t="n">
        <f aca="false">IF((F6&lt;&gt;0),IF((D6&gt;0)," ",(I$1-A6))," ")</f>
        <v>90</v>
      </c>
      <c r="BZ6" s="336" t="s">
        <v>265</v>
      </c>
    </row>
    <row r="7" customFormat="false" ht="12.75" hidden="false" customHeight="false" outlineLevel="0" collapsed="false">
      <c r="A7" s="357" t="n">
        <v>46183</v>
      </c>
      <c r="B7" s="336" t="s">
        <v>266</v>
      </c>
      <c r="C7" s="337" t="s">
        <v>408</v>
      </c>
      <c r="F7" s="336" t="n">
        <v>720</v>
      </c>
      <c r="H7" s="340" t="n">
        <f aca="false">IF((F7&lt;&gt;0),IF((D7&gt;0)," ",F7)," ")</f>
        <v>720</v>
      </c>
      <c r="I7" s="341" t="n">
        <f aca="false">IF((F7&lt;&gt;0),IF((D7&gt;0)," ",(I$1-A7))," ")</f>
        <v>88</v>
      </c>
      <c r="BZ7" s="336" t="s">
        <v>265</v>
      </c>
    </row>
    <row r="8" customFormat="false" ht="12.75" hidden="false" customHeight="false" outlineLevel="0" collapsed="false">
      <c r="A8" s="357" t="n">
        <v>46188</v>
      </c>
      <c r="B8" s="336" t="s">
        <v>268</v>
      </c>
      <c r="C8" s="337" t="s">
        <v>409</v>
      </c>
      <c r="F8" s="336" t="n">
        <v>25000</v>
      </c>
      <c r="H8" s="340" t="n">
        <f aca="false">IF((F8&lt;&gt;0),IF((D8&gt;0)," ",F8)," ")</f>
        <v>25000</v>
      </c>
      <c r="I8" s="341" t="n">
        <f aca="false">IF((F8&lt;&gt;0),IF((D8&gt;0)," ",(I$1-A8))," ")</f>
        <v>83</v>
      </c>
      <c r="BZ8" s="336" t="s">
        <v>265</v>
      </c>
    </row>
    <row r="9" customFormat="false" ht="12.75" hidden="false" customHeight="false" outlineLevel="0" collapsed="false">
      <c r="A9" s="357" t="n">
        <v>46191</v>
      </c>
      <c r="B9" s="336" t="s">
        <v>270</v>
      </c>
      <c r="C9" s="337" t="s">
        <v>410</v>
      </c>
      <c r="F9" s="336" t="n">
        <v>2400</v>
      </c>
      <c r="H9" s="340" t="n">
        <f aca="false">IF((F9&lt;&gt;0),IF((D9&gt;0)," ",F9)," ")</f>
        <v>2400</v>
      </c>
      <c r="I9" s="341" t="n">
        <f aca="false">IF((F9&lt;&gt;0),IF((D9&gt;0)," ",(I$1-A9))," ")</f>
        <v>80</v>
      </c>
      <c r="BZ9" s="336" t="s">
        <v>265</v>
      </c>
    </row>
    <row r="10" customFormat="false" ht="12.75" hidden="false" customHeight="false" outlineLevel="0" collapsed="false">
      <c r="A10" s="357" t="n">
        <v>46193</v>
      </c>
      <c r="B10" s="336" t="s">
        <v>272</v>
      </c>
      <c r="C10" s="337" t="s">
        <v>411</v>
      </c>
      <c r="F10" s="336" t="n">
        <v>1800</v>
      </c>
      <c r="H10" s="340" t="n">
        <f aca="false">IF((F10&lt;&gt;0),IF((D10&gt;0)," ",F10)," ")</f>
        <v>1800</v>
      </c>
      <c r="I10" s="341" t="n">
        <f aca="false">IF((F10&lt;&gt;0),IF((D10&gt;0)," ",(I$1-A10))," ")</f>
        <v>78</v>
      </c>
      <c r="BZ10" s="336" t="s">
        <v>265</v>
      </c>
    </row>
    <row r="11" customFormat="false" ht="12.75" hidden="false" customHeight="false" outlineLevel="0" collapsed="false">
      <c r="A11" s="357" t="n">
        <v>46193</v>
      </c>
      <c r="B11" s="336" t="s">
        <v>412</v>
      </c>
      <c r="C11" s="337" t="s">
        <v>413</v>
      </c>
      <c r="F11" s="336" t="n">
        <v>2400</v>
      </c>
      <c r="H11" s="340" t="n">
        <f aca="false">IF((F11&lt;&gt;0),IF((D11&gt;0)," ",F11)," ")</f>
        <v>2400</v>
      </c>
      <c r="I11" s="341" t="n">
        <f aca="false">IF((F11&lt;&gt;0),IF((D11&gt;0)," ",(I$1-A11))," ")</f>
        <v>78</v>
      </c>
      <c r="BZ11" s="336" t="s">
        <v>383</v>
      </c>
    </row>
    <row r="12" customFormat="false" ht="12.75" hidden="false" customHeight="false" outlineLevel="0" collapsed="false">
      <c r="A12" s="357" t="n">
        <v>46195</v>
      </c>
      <c r="B12" s="336" t="s">
        <v>414</v>
      </c>
      <c r="C12" s="337" t="s">
        <v>415</v>
      </c>
      <c r="F12" s="336" t="n">
        <v>1440</v>
      </c>
      <c r="H12" s="340" t="n">
        <f aca="false">IF((F12&lt;&gt;0),IF((D12&gt;0)," ",F12)," ")</f>
        <v>1440</v>
      </c>
      <c r="I12" s="341" t="n">
        <f aca="false">IF((F12&lt;&gt;0),IF((D12&gt;0)," ",(I$1-A12))," ")</f>
        <v>76</v>
      </c>
      <c r="BZ12" s="336" t="s">
        <v>265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278</v>
      </c>
      <c r="C1" s="346" t="n">
        <f aca="false">PurchasesMay!C1+PurchasesJun!F1+SalesJun!$E$1</f>
        <v>405</v>
      </c>
      <c r="D1" s="371" t="s">
        <v>245</v>
      </c>
      <c r="E1" s="373" t="str">
        <f aca="false">IF((G1-SUM(J1:W1)&lt;&gt;0),(G1-SUM(J1:W1))," ")</f>
        <v> </v>
      </c>
      <c r="F1" s="346" t="n">
        <f aca="false">SUM(F5:F300)</f>
        <v>200</v>
      </c>
      <c r="G1" s="345" t="n">
        <f aca="false">SUM(G4:G300)</f>
        <v>14757</v>
      </c>
      <c r="H1" s="374" t="n">
        <f aca="false">SUM(H5:H300)</f>
        <v>14667</v>
      </c>
      <c r="I1" s="375" t="n">
        <f aca="true">TODAY()</f>
        <v>46271</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IF((C1&lt;Admin!$F$22),((C1-PurchasesMay!C1)*Admin!$G$21),(C1*Admin!$G$21-(C1-Admin!$F$21)*(Admin!$G$21-Admin!$G$22)-PurchasesMay!A1))</f>
        <v>90</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46174</v>
      </c>
      <c r="B5" s="365" t="s">
        <v>320</v>
      </c>
      <c r="E5" s="367" t="s">
        <v>321</v>
      </c>
      <c r="G5" s="368" t="n">
        <v>1200</v>
      </c>
      <c r="H5" s="340" t="n">
        <f aca="false">IF((G5&lt;&gt;0),IF((D5&gt;0)," ",G5)," ")</f>
        <v>1200</v>
      </c>
      <c r="I5" s="369" t="n">
        <f aca="false">IF((G5&lt;&gt;0),IF((D5&gt;0)," ",(I$1-A5))," ")</f>
        <v>97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46174</v>
      </c>
      <c r="B6" s="365" t="s">
        <v>323</v>
      </c>
      <c r="E6" s="367" t="s">
        <v>324</v>
      </c>
      <c r="G6" s="368" t="n">
        <v>30</v>
      </c>
      <c r="H6" s="340" t="n">
        <f aca="false">IF((G6&lt;&gt;0),IF((D6&gt;0)," ",G6)," ")</f>
        <v>30</v>
      </c>
      <c r="I6" s="369" t="n">
        <f aca="false">IF((G6&lt;&gt;0),IF((D6&gt;0)," ",(I$1-A6))," ")</f>
        <v>97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46174</v>
      </c>
      <c r="B7" s="365" t="s">
        <v>326</v>
      </c>
      <c r="E7" s="367" t="s">
        <v>324</v>
      </c>
      <c r="G7" s="368" t="n">
        <v>15</v>
      </c>
      <c r="H7" s="340" t="n">
        <f aca="false">IF((G7&lt;&gt;0),IF((D7&gt;0)," ",G7)," ")</f>
        <v>15</v>
      </c>
      <c r="I7" s="369" t="n">
        <f aca="false">IF((G7&lt;&gt;0),IF((D7&gt;0)," ",(I$1-A7))," ")</f>
        <v>97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46174</v>
      </c>
      <c r="B8" s="365" t="s">
        <v>327</v>
      </c>
      <c r="E8" s="367" t="s">
        <v>328</v>
      </c>
      <c r="G8" s="368" t="n">
        <v>45</v>
      </c>
      <c r="H8" s="340" t="n">
        <f aca="false">IF((G8&lt;&gt;0),IF((D8&gt;0)," ",G8)," ")</f>
        <v>45</v>
      </c>
      <c r="I8" s="369" t="n">
        <f aca="false">IF((G8&lt;&gt;0),IF((D8&gt;0)," ",(I$1-A8))," ")</f>
        <v>97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46174</v>
      </c>
      <c r="B9" s="365" t="s">
        <v>332</v>
      </c>
      <c r="E9" s="367" t="s">
        <v>328</v>
      </c>
      <c r="G9" s="368" t="n">
        <v>24</v>
      </c>
      <c r="H9" s="340" t="n">
        <f aca="false">IF((G9&lt;&gt;0),IF((D9&gt;0)," ",G9)," ")</f>
        <v>24</v>
      </c>
      <c r="I9" s="369" t="n">
        <f aca="false">IF((G9&lt;&gt;0),IF((D9&gt;0)," ",(I$1-A9))," ")</f>
        <v>97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46174</v>
      </c>
      <c r="B10" s="365" t="s">
        <v>333</v>
      </c>
      <c r="E10" s="367" t="s">
        <v>324</v>
      </c>
      <c r="G10" s="368" t="n">
        <v>18</v>
      </c>
      <c r="H10" s="340" t="n">
        <f aca="false">IF((G10&lt;&gt;0),IF((D10&gt;0)," ",G10)," ")</f>
        <v>18</v>
      </c>
      <c r="I10" s="369" t="n">
        <f aca="false">IF((G10&lt;&gt;0),IF((D10&gt;0)," ",(I$1-A10))," ")</f>
        <v>97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46176</v>
      </c>
      <c r="B11" s="365" t="s">
        <v>334</v>
      </c>
      <c r="E11" s="367" t="s">
        <v>328</v>
      </c>
      <c r="G11" s="368" t="n">
        <v>180</v>
      </c>
      <c r="H11" s="340" t="n">
        <f aca="false">IF((G11&lt;&gt;0),IF((D11&gt;0)," ",G11)," ")</f>
        <v>180</v>
      </c>
      <c r="I11" s="369" t="n">
        <f aca="false">IF((G11&lt;&gt;0),IF((D11&gt;0)," ",(I$1-A11))," ")</f>
        <v>95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46176</v>
      </c>
      <c r="B12" s="365" t="s">
        <v>335</v>
      </c>
      <c r="E12" s="367" t="s">
        <v>328</v>
      </c>
      <c r="G12" s="368" t="n">
        <v>22</v>
      </c>
      <c r="H12" s="340" t="n">
        <f aca="false">IF((G12&lt;&gt;0),IF((D12&gt;0)," ",G12)," ")</f>
        <v>22</v>
      </c>
      <c r="I12" s="369" t="n">
        <f aca="false">IF((G12&lt;&gt;0),IF((D12&gt;0)," ",(I$1-A12))," ")</f>
        <v>95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46178</v>
      </c>
      <c r="B13" s="365" t="s">
        <v>337</v>
      </c>
      <c r="E13" s="367" t="s">
        <v>328</v>
      </c>
      <c r="G13" s="368" t="n">
        <v>24</v>
      </c>
      <c r="H13" s="340" t="n">
        <f aca="false">IF((G13&lt;&gt;0),IF((D13&gt;0)," ",G13)," ")</f>
        <v>24</v>
      </c>
      <c r="I13" s="369" t="n">
        <f aca="false">IF((G13&lt;&gt;0),IF((D13&gt;0)," ",(I$1-A13))," ")</f>
        <v>93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46178</v>
      </c>
      <c r="B14" s="365" t="s">
        <v>338</v>
      </c>
      <c r="E14" s="367" t="s">
        <v>303</v>
      </c>
      <c r="G14" s="368" t="n">
        <v>180</v>
      </c>
      <c r="H14" s="340" t="n">
        <f aca="false">IF((G14&lt;&gt;0),IF((D14&gt;0)," ",G14)," ")</f>
        <v>180</v>
      </c>
      <c r="I14" s="369" t="n">
        <f aca="false">IF((G14&lt;&gt;0),IF((D14&gt;0)," ",(I$1-A14))," ")</f>
        <v>93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46178</v>
      </c>
      <c r="B15" s="365" t="s">
        <v>340</v>
      </c>
      <c r="E15" s="367" t="s">
        <v>328</v>
      </c>
      <c r="G15" s="368" t="n">
        <v>36</v>
      </c>
      <c r="H15" s="340" t="n">
        <f aca="false">IF((G15&lt;&gt;0),IF((D15&gt;0)," ",G15)," ")</f>
        <v>36</v>
      </c>
      <c r="I15" s="369" t="n">
        <f aca="false">IF((G15&lt;&gt;0),IF((D15&gt;0)," ",(I$1-A15))," ")</f>
        <v>93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329</v>
      </c>
    </row>
    <row r="16" customFormat="false" ht="12.75" hidden="false" customHeight="false" outlineLevel="0" collapsed="false">
      <c r="A16" s="357" t="n">
        <v>46181</v>
      </c>
      <c r="B16" s="365" t="s">
        <v>341</v>
      </c>
      <c r="E16" s="367" t="s">
        <v>342</v>
      </c>
      <c r="G16" s="368" t="n">
        <v>48</v>
      </c>
      <c r="H16" s="340" t="n">
        <f aca="false">IF((G16&lt;&gt;0),IF((D16&gt;0)," ",G16)," ")</f>
        <v>48</v>
      </c>
      <c r="I16" s="369" t="n">
        <f aca="false">IF((G16&lt;&gt;0),IF((D16&gt;0)," ",(I$1-A16))," ")</f>
        <v>90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46183</v>
      </c>
      <c r="B17" s="365" t="s">
        <v>344</v>
      </c>
      <c r="E17" s="367" t="s">
        <v>328</v>
      </c>
      <c r="G17" s="368" t="n">
        <v>36</v>
      </c>
      <c r="H17" s="340" t="n">
        <f aca="false">IF((G17&lt;&gt;0),IF((D17&gt;0)," ",G17)," ")</f>
        <v>36</v>
      </c>
      <c r="I17" s="369" t="n">
        <f aca="false">IF((G17&lt;&gt;0),IF((D17&gt;0)," ",(I$1-A17))," ")</f>
        <v>88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336</v>
      </c>
    </row>
    <row r="18" customFormat="false" ht="12.75" hidden="false" customHeight="false" outlineLevel="0" collapsed="false">
      <c r="A18" s="357" t="n">
        <v>46183</v>
      </c>
      <c r="B18" s="365" t="s">
        <v>416</v>
      </c>
      <c r="E18" s="367" t="s">
        <v>324</v>
      </c>
      <c r="G18" s="368" t="n">
        <v>96</v>
      </c>
      <c r="H18" s="340" t="n">
        <f aca="false">IF((G18&lt;&gt;0),IF((D18&gt;0)," ",G18)," ")</f>
        <v>96</v>
      </c>
      <c r="I18" s="369" t="n">
        <f aca="false">IF((G18&lt;&gt;0),IF((D18&gt;0)," ",(I$1-A18))," ")</f>
        <v>88</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325</v>
      </c>
    </row>
    <row r="19" customFormat="false" ht="12.75" hidden="false" customHeight="false" outlineLevel="0" collapsed="false">
      <c r="A19" s="357" t="n">
        <v>46185</v>
      </c>
      <c r="B19" s="365" t="s">
        <v>350</v>
      </c>
      <c r="E19" s="367" t="s">
        <v>303</v>
      </c>
      <c r="G19" s="368" t="n">
        <v>18</v>
      </c>
      <c r="H19" s="340" t="n">
        <f aca="false">IF((G19&lt;&gt;0),IF((D19&gt;0)," ",G19)," ")</f>
        <v>18</v>
      </c>
      <c r="I19" s="369" t="n">
        <f aca="false">IF((G19&lt;&gt;0),IF((D19&gt;0)," ",(I$1-A19))," ")</f>
        <v>86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339</v>
      </c>
    </row>
    <row r="20" customFormat="false" ht="12.75" hidden="false" customHeight="false" outlineLevel="0" collapsed="false">
      <c r="A20" s="357" t="n">
        <v>46187</v>
      </c>
      <c r="B20" s="365" t="s">
        <v>351</v>
      </c>
      <c r="E20" s="367" t="s">
        <v>328</v>
      </c>
      <c r="G20" s="368" t="n">
        <v>30</v>
      </c>
      <c r="H20" s="340" t="n">
        <f aca="false">IF((G20&lt;&gt;0),IF((D20&gt;0)," ",G20)," ")</f>
        <v>30</v>
      </c>
      <c r="I20" s="369" t="n">
        <f aca="false">IF((G20&lt;&gt;0),IF((D20&gt;0)," ",(I$1-A20))," ")</f>
        <v>84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336</v>
      </c>
    </row>
    <row r="21" customFormat="false" ht="12.75" hidden="false" customHeight="false" outlineLevel="0" collapsed="false">
      <c r="A21" s="357" t="n">
        <v>46187</v>
      </c>
      <c r="B21" s="365" t="s">
        <v>352</v>
      </c>
      <c r="D21" s="365"/>
      <c r="E21" s="367" t="s">
        <v>342</v>
      </c>
      <c r="G21" s="368" t="n">
        <v>24</v>
      </c>
      <c r="H21" s="340" t="n">
        <f aca="false">IF((G21&lt;&gt;0),IF((D21&gt;0)," ",G21)," ")</f>
        <v>24</v>
      </c>
      <c r="I21" s="369" t="n">
        <f aca="false">IF((G21&lt;&gt;0),IF((D21&gt;0)," ",(I$1-A21))," ")</f>
        <v>84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343</v>
      </c>
    </row>
    <row r="22" customFormat="false" ht="12.75" hidden="false" customHeight="false" outlineLevel="0" collapsed="false">
      <c r="A22" s="357" t="n">
        <v>46187</v>
      </c>
      <c r="B22" s="365" t="s">
        <v>353</v>
      </c>
      <c r="D22" s="395"/>
      <c r="E22" s="367" t="s">
        <v>342</v>
      </c>
      <c r="G22" s="368" t="n">
        <v>12</v>
      </c>
      <c r="H22" s="340" t="n">
        <f aca="false">IF((G22&lt;&gt;0),IF((D22&gt;0)," ",G22)," ")</f>
        <v>12</v>
      </c>
      <c r="I22" s="369" t="n">
        <f aca="false">IF((G22&lt;&gt;0),IF((D22&gt;0)," ",(I$1-A22))," ")</f>
        <v>84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46188</v>
      </c>
      <c r="B23" s="365" t="s">
        <v>354</v>
      </c>
      <c r="E23" s="367" t="s">
        <v>303</v>
      </c>
      <c r="G23" s="368" t="n">
        <v>150</v>
      </c>
      <c r="H23" s="340" t="n">
        <f aca="false">IF((G23&lt;&gt;0),IF((D23&gt;0)," ",G23)," ")</f>
        <v>150</v>
      </c>
      <c r="I23" s="369" t="n">
        <f aca="false">IF((G23&lt;&gt;0),IF((D23&gt;0)," ",(I$1-A23))," ")</f>
        <v>83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339</v>
      </c>
    </row>
    <row r="24" customFormat="false" ht="12.75" hidden="false" customHeight="false" outlineLevel="0" collapsed="false">
      <c r="A24" s="357" t="n">
        <v>46188</v>
      </c>
      <c r="B24" s="365" t="s">
        <v>355</v>
      </c>
      <c r="E24" s="367" t="s">
        <v>324</v>
      </c>
      <c r="G24" s="368" t="n">
        <v>12</v>
      </c>
      <c r="H24" s="340" t="n">
        <f aca="false">IF((G24&lt;&gt;0),IF((D24&gt;0)," ",G24)," ")</f>
        <v>12</v>
      </c>
      <c r="I24" s="369" t="n">
        <f aca="false">IF((G24&lt;&gt;0),IF((D24&gt;0)," ",(I$1-A24))," ")</f>
        <v>83</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325</v>
      </c>
    </row>
    <row r="25" customFormat="false" ht="12.75" hidden="false" customHeight="false" outlineLevel="0" collapsed="false">
      <c r="A25" s="357" t="n">
        <v>46188</v>
      </c>
      <c r="B25" s="365" t="s">
        <v>417</v>
      </c>
      <c r="C25" s="365" t="s">
        <v>418</v>
      </c>
      <c r="E25" s="367" t="s">
        <v>419</v>
      </c>
      <c r="G25" s="368" t="n">
        <v>5000</v>
      </c>
      <c r="H25" s="340" t="n">
        <f aca="false">IF((G25&lt;&gt;0),IF((D25&gt;0)," ",G25)," ")</f>
        <v>5000</v>
      </c>
      <c r="I25" s="369" t="n">
        <f aca="false">IF((G25&lt;&gt;0),IF((D25&gt;0)," ",(I$1-A25))," ")</f>
        <v>83</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420</v>
      </c>
    </row>
    <row r="26" customFormat="false" ht="12.75" hidden="false" customHeight="false" outlineLevel="0" collapsed="false">
      <c r="A26" s="357" t="n">
        <v>46191</v>
      </c>
      <c r="B26" s="365" t="s">
        <v>421</v>
      </c>
      <c r="E26" s="367" t="s">
        <v>342</v>
      </c>
      <c r="G26" s="368" t="n">
        <v>180</v>
      </c>
      <c r="H26" s="340" t="n">
        <f aca="false">IF((G26&lt;&gt;0),IF((D26&gt;0)," ",G26)," ")</f>
        <v>180</v>
      </c>
      <c r="I26" s="369" t="n">
        <f aca="false">IF((G26&lt;&gt;0),IF((D26&gt;0)," ",(I$1-A26))," ")</f>
        <v>80</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343</v>
      </c>
    </row>
    <row r="27" customFormat="false" ht="12.75" hidden="false" customHeight="false" outlineLevel="0" collapsed="false">
      <c r="A27" s="357" t="n">
        <v>46191</v>
      </c>
      <c r="B27" s="365" t="s">
        <v>422</v>
      </c>
      <c r="E27" s="367" t="s">
        <v>348</v>
      </c>
      <c r="G27" s="368" t="n">
        <v>360</v>
      </c>
      <c r="H27" s="340" t="n">
        <f aca="false">IF((G27&lt;&gt;0),IF((D27&gt;0)," ",G27)," ")</f>
        <v>360</v>
      </c>
      <c r="I27" s="369" t="n">
        <f aca="false">IF((G27&lt;&gt;0),IF((D27&gt;0)," ",(I$1-A27))," ")</f>
        <v>80</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349</v>
      </c>
    </row>
    <row r="28" customFormat="false" ht="12.75" hidden="false" customHeight="false" outlineLevel="0" collapsed="false">
      <c r="A28" s="357" t="n">
        <v>46191</v>
      </c>
      <c r="B28" s="365" t="s">
        <v>356</v>
      </c>
      <c r="E28" s="367" t="s">
        <v>303</v>
      </c>
      <c r="G28" s="368" t="n">
        <v>96</v>
      </c>
      <c r="H28" s="340" t="n">
        <f aca="false">IF((G28&lt;&gt;0),IF((D28&gt;0)," ",G28)," ")</f>
        <v>96</v>
      </c>
      <c r="I28" s="369" t="n">
        <f aca="false">IF((G28&lt;&gt;0),IF((D28&gt;0)," ",(I$1-A28))," ")</f>
        <v>80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339</v>
      </c>
    </row>
    <row r="29" customFormat="false" ht="12.75" hidden="false" customHeight="false" outlineLevel="0" collapsed="false">
      <c r="A29" s="357" t="n">
        <v>46193</v>
      </c>
      <c r="B29" s="365" t="s">
        <v>357</v>
      </c>
      <c r="E29" s="367" t="s">
        <v>324</v>
      </c>
      <c r="G29" s="368" t="n">
        <v>60</v>
      </c>
      <c r="H29" s="340" t="n">
        <f aca="false">IF((G29&lt;&gt;0),IF((D29&gt;0)," ",G29)," ")</f>
        <v>60</v>
      </c>
      <c r="I29" s="369" t="n">
        <f aca="false">IF((G29&lt;&gt;0),IF((D29&gt;0)," ",(I$1-A29))," ")</f>
        <v>78</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325</v>
      </c>
    </row>
    <row r="30" customFormat="false" ht="12.75" hidden="false" customHeight="false" outlineLevel="0" collapsed="false">
      <c r="A30" s="357" t="n">
        <v>46194</v>
      </c>
      <c r="B30" s="365" t="s">
        <v>361</v>
      </c>
      <c r="E30" s="367" t="s">
        <v>342</v>
      </c>
      <c r="G30" s="368" t="n">
        <v>8</v>
      </c>
      <c r="H30" s="340" t="n">
        <f aca="false">IF((G30&lt;&gt;0),IF((D30&gt;0)," ",G30)," ")</f>
        <v>8</v>
      </c>
      <c r="I30" s="369" t="n">
        <f aca="false">IF((G30&lt;&gt;0),IF((D30&gt;0)," ",(I$1-A30))," ")</f>
        <v>77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343</v>
      </c>
    </row>
    <row r="31" customFormat="false" ht="12.75" hidden="false" customHeight="false" outlineLevel="0" collapsed="false">
      <c r="A31" s="357" t="n">
        <v>46195</v>
      </c>
      <c r="B31" s="365" t="s">
        <v>362</v>
      </c>
      <c r="E31" s="367" t="s">
        <v>328</v>
      </c>
      <c r="G31" s="368" t="n">
        <v>18</v>
      </c>
      <c r="H31" s="340" t="n">
        <f aca="false">IF((G31&lt;&gt;0),IF((D31&gt;0)," ",G31)," ")</f>
        <v>18</v>
      </c>
      <c r="I31" s="369" t="n">
        <f aca="false">IF((G31&lt;&gt;0),IF((D31&gt;0)," ",(I$1-A31))," ")</f>
        <v>76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336</v>
      </c>
    </row>
    <row r="32" customFormat="false" ht="12.75" hidden="false" customHeight="false" outlineLevel="0" collapsed="false">
      <c r="A32" s="357" t="n">
        <v>46198</v>
      </c>
      <c r="B32" s="365" t="s">
        <v>423</v>
      </c>
      <c r="E32" s="367" t="s">
        <v>321</v>
      </c>
      <c r="G32" s="368" t="n">
        <v>360</v>
      </c>
      <c r="H32" s="340" t="n">
        <f aca="false">IF((G32&lt;&gt;0),IF((D32&gt;0)," ",G32)," ")</f>
        <v>360</v>
      </c>
      <c r="I32" s="369" t="n">
        <f aca="false">IF((G32&lt;&gt;0),IF((D32&gt;0)," ",(I$1-A32))," ")</f>
        <v>73</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424</v>
      </c>
    </row>
    <row r="33" customFormat="false" ht="12.75" hidden="false" customHeight="false" outlineLevel="0" collapsed="false">
      <c r="A33" s="357" t="n">
        <v>46198</v>
      </c>
      <c r="B33" s="365" t="s">
        <v>363</v>
      </c>
      <c r="E33" s="367" t="s">
        <v>328</v>
      </c>
      <c r="G33" s="368" t="n">
        <v>15</v>
      </c>
      <c r="H33" s="340" t="n">
        <f aca="false">IF((G33&lt;&gt;0),IF((D33&gt;0)," ",G33)," ")</f>
        <v>15</v>
      </c>
      <c r="I33" s="369" t="n">
        <f aca="false">IF((G33&lt;&gt;0),IF((D33&gt;0)," ",(I$1-A33))," ")</f>
        <v>73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336</v>
      </c>
    </row>
    <row r="34" customFormat="false" ht="12.75" hidden="false" customHeight="false" outlineLevel="0" collapsed="false">
      <c r="A34" s="357" t="n">
        <v>46198</v>
      </c>
      <c r="B34" s="365" t="s">
        <v>364</v>
      </c>
      <c r="E34" s="367" t="s">
        <v>303</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46201</v>
      </c>
      <c r="B35" s="365" t="s">
        <v>354</v>
      </c>
      <c r="E35" s="367" t="s">
        <v>303</v>
      </c>
      <c r="G35" s="368" t="n">
        <v>120</v>
      </c>
      <c r="H35" s="340" t="n">
        <f aca="false">IF((G35&lt;&gt;0),IF((D35&gt;0)," ",G35)," ")</f>
        <v>120</v>
      </c>
      <c r="I35" s="369" t="n">
        <f aca="false">IF((G35&lt;&gt;0),IF((D35&gt;0)," ",(I$1-A35))," ")</f>
        <v>70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339</v>
      </c>
    </row>
    <row r="36" customFormat="false" ht="12.75" hidden="false" customHeight="false" outlineLevel="0" collapsed="false">
      <c r="A36" s="357" t="n">
        <v>46203</v>
      </c>
      <c r="B36" s="365" t="s">
        <v>365</v>
      </c>
      <c r="E36" s="367" t="s">
        <v>366</v>
      </c>
      <c r="G36" s="368" t="n">
        <v>300</v>
      </c>
      <c r="H36" s="340" t="n">
        <f aca="false">IF((G36&lt;&gt;0),IF((D36&gt;0)," ",G36)," ")</f>
        <v>300</v>
      </c>
      <c r="I36" s="369" t="n">
        <f aca="false">IF((G36&lt;&gt;0),IF((D36&gt;0)," ",(I$1-A36))," ")</f>
        <v>68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367</v>
      </c>
    </row>
    <row r="37" customFormat="false" ht="12.75" hidden="false" customHeight="false" outlineLevel="0" collapsed="false">
      <c r="A37" s="357" t="n">
        <v>46203</v>
      </c>
      <c r="B37" s="365" t="s">
        <v>425</v>
      </c>
      <c r="C37" s="365" t="s">
        <v>426</v>
      </c>
      <c r="E37" s="367" t="s">
        <v>427</v>
      </c>
      <c r="G37" s="368" t="n">
        <v>250</v>
      </c>
      <c r="H37" s="340" t="n">
        <f aca="false">IF((G37&lt;&gt;0),IF((D37&gt;0)," ",G37)," ")</f>
        <v>250</v>
      </c>
      <c r="I37" s="369" t="n">
        <f aca="false">IF((G37&lt;&gt;0),IF((D37&gt;0)," ",(I$1-A37))," ")</f>
        <v>68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428</v>
      </c>
    </row>
    <row r="38" customFormat="false" ht="12.75" hidden="false" customHeight="false" outlineLevel="0" collapsed="false">
      <c r="A38" s="357" t="n">
        <v>46203</v>
      </c>
      <c r="B38" s="365" t="s">
        <v>368</v>
      </c>
      <c r="C38" s="365" t="s">
        <v>429</v>
      </c>
      <c r="E38" s="367" t="s">
        <v>370</v>
      </c>
      <c r="G38" s="368" t="n">
        <v>3500</v>
      </c>
      <c r="H38" s="340" t="n">
        <f aca="false">IF((G38&lt;&gt;0),IF((D38&gt;0)," ",G38)," ")</f>
        <v>3500</v>
      </c>
      <c r="I38" s="369" t="n">
        <f aca="false">IF((G38&lt;&gt;0),IF((D38&gt;0)," ",(I$1-A38))," ")</f>
        <v>68</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t="n">
        <v>46203</v>
      </c>
      <c r="B39" s="365" t="s">
        <v>372</v>
      </c>
      <c r="C39" s="365" t="s">
        <v>430</v>
      </c>
      <c r="E39" s="367" t="s">
        <v>370</v>
      </c>
      <c r="G39" s="368" t="n">
        <v>2200</v>
      </c>
      <c r="H39" s="340" t="n">
        <f aca="false">IF((G39&lt;&gt;0),IF((D39&gt;0)," ",G39)," ")</f>
        <v>2200</v>
      </c>
      <c r="I39" s="369" t="n">
        <f aca="false">IF((G39&lt;&gt;0),IF((D39&gt;0)," ",(I$1-A39))," ")</f>
        <v>68</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33760</v>
      </c>
      <c r="G1" s="345" t="n">
        <f aca="false">SUM(G4:G300)</f>
        <v>0</v>
      </c>
      <c r="H1" s="347" t="n">
        <f aca="false">SUM(H4:H300)</f>
        <v>33760</v>
      </c>
      <c r="I1" s="348" t="n">
        <f aca="true">TODAY()</f>
        <v>46271</v>
      </c>
      <c r="J1" s="345" t="n">
        <f aca="false">SUM(J4:J300)</f>
        <v>0</v>
      </c>
      <c r="K1" s="349" t="n">
        <f aca="false">J1+SalesJun!K1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46204</v>
      </c>
      <c r="B4" s="336" t="s">
        <v>256</v>
      </c>
      <c r="C4" s="337" t="s">
        <v>431</v>
      </c>
      <c r="F4" s="336" t="n">
        <v>1200</v>
      </c>
      <c r="H4" s="340" t="n">
        <f aca="false">IF((F4&lt;&gt;0),IF((D4&gt;0)," ",F4)," ")</f>
        <v>1200</v>
      </c>
      <c r="I4" s="341" t="n">
        <f aca="false">IF((F4&lt;&gt;0),IF((D4&gt;0)," ",(I$1-A4))," ")</f>
        <v>67</v>
      </c>
      <c r="BZ4" s="336" t="s">
        <v>258</v>
      </c>
    </row>
    <row r="5" customFormat="false" ht="12.75" hidden="false" customHeight="false" outlineLevel="0" collapsed="false">
      <c r="A5" s="357" t="n">
        <v>46206</v>
      </c>
      <c r="B5" s="336" t="s">
        <v>259</v>
      </c>
      <c r="C5" s="337" t="s">
        <v>432</v>
      </c>
      <c r="F5" s="336" t="n">
        <v>360</v>
      </c>
      <c r="H5" s="340" t="n">
        <f aca="false">IF((F5&lt;&gt;0),IF((D5&gt;0)," ",F5)," ")</f>
        <v>360</v>
      </c>
      <c r="I5" s="341" t="n">
        <f aca="false">IF((F5&lt;&gt;0),IF((D5&gt;0)," ",(I$1-A5))," ")</f>
        <v>65</v>
      </c>
      <c r="BZ5" s="336" t="s">
        <v>258</v>
      </c>
    </row>
    <row r="6" customFormat="false" ht="12.75" hidden="false" customHeight="false" outlineLevel="0" collapsed="false">
      <c r="A6" s="357" t="n">
        <v>46208</v>
      </c>
      <c r="B6" s="336" t="s">
        <v>261</v>
      </c>
      <c r="C6" s="337" t="s">
        <v>433</v>
      </c>
      <c r="F6" s="336" t="n">
        <v>600</v>
      </c>
      <c r="H6" s="340" t="n">
        <f aca="false">IF((F6&lt;&gt;0),IF((D6&gt;0)," ",F6)," ")</f>
        <v>600</v>
      </c>
      <c r="I6" s="341" t="n">
        <f aca="false">IF((F6&lt;&gt;0),IF((D6&gt;0)," ",(I$1-A6))," ")</f>
        <v>63</v>
      </c>
      <c r="BZ6" s="336" t="s">
        <v>258</v>
      </c>
    </row>
    <row r="7" customFormat="false" ht="12.75" hidden="false" customHeight="false" outlineLevel="0" collapsed="false">
      <c r="A7" s="357" t="n">
        <v>46211</v>
      </c>
      <c r="B7" s="336" t="s">
        <v>263</v>
      </c>
      <c r="C7" s="337" t="s">
        <v>434</v>
      </c>
      <c r="F7" s="336" t="n">
        <v>480</v>
      </c>
      <c r="H7" s="340" t="n">
        <f aca="false">IF((F7&lt;&gt;0),IF((D7&gt;0)," ",F7)," ")</f>
        <v>480</v>
      </c>
      <c r="I7" s="341" t="n">
        <f aca="false">IF((F7&lt;&gt;0),IF((D7&gt;0)," ",(I$1-A7))," ")</f>
        <v>60</v>
      </c>
      <c r="BZ7" s="336" t="s">
        <v>265</v>
      </c>
    </row>
    <row r="8" customFormat="false" ht="12.75" hidden="false" customHeight="false" outlineLevel="0" collapsed="false">
      <c r="A8" s="357" t="n">
        <v>46213</v>
      </c>
      <c r="B8" s="336" t="s">
        <v>266</v>
      </c>
      <c r="C8" s="337" t="s">
        <v>435</v>
      </c>
      <c r="F8" s="336" t="n">
        <v>720</v>
      </c>
      <c r="H8" s="340" t="n">
        <f aca="false">IF((F8&lt;&gt;0),IF((D8&gt;0)," ",F8)," ")</f>
        <v>720</v>
      </c>
      <c r="I8" s="341" t="n">
        <f aca="false">IF((F8&lt;&gt;0),IF((D8&gt;0)," ",(I$1-A8))," ")</f>
        <v>58</v>
      </c>
      <c r="BZ8" s="336" t="s">
        <v>265</v>
      </c>
    </row>
    <row r="9" customFormat="false" ht="12.75" hidden="false" customHeight="false" outlineLevel="0" collapsed="false">
      <c r="A9" s="357" t="n">
        <v>46217</v>
      </c>
      <c r="B9" s="336" t="s">
        <v>436</v>
      </c>
      <c r="C9" s="337" t="s">
        <v>437</v>
      </c>
      <c r="F9" s="336" t="n">
        <v>2160</v>
      </c>
      <c r="H9" s="340" t="n">
        <f aca="false">IF((F9&lt;&gt;0),IF((D9&gt;0)," ",F9)," ")</f>
        <v>2160</v>
      </c>
      <c r="I9" s="341" t="n">
        <f aca="false">IF((F9&lt;&gt;0),IF((D9&gt;0)," ",(I$1-A9))," ")</f>
        <v>54</v>
      </c>
      <c r="BZ9" s="336" t="s">
        <v>265</v>
      </c>
    </row>
    <row r="10" customFormat="false" ht="12.75" hidden="false" customHeight="false" outlineLevel="0" collapsed="false">
      <c r="A10" s="357" t="n">
        <v>46218</v>
      </c>
      <c r="B10" s="336" t="s">
        <v>268</v>
      </c>
      <c r="C10" s="337" t="s">
        <v>438</v>
      </c>
      <c r="F10" s="336" t="n">
        <v>25000</v>
      </c>
      <c r="H10" s="340" t="n">
        <f aca="false">IF((F10&lt;&gt;0),IF((D10&gt;0)," ",F10)," ")</f>
        <v>25000</v>
      </c>
      <c r="I10" s="341" t="n">
        <f aca="false">IF((F10&lt;&gt;0),IF((D10&gt;0)," ",(I$1-A10))," ")</f>
        <v>53</v>
      </c>
      <c r="BZ10" s="336" t="s">
        <v>265</v>
      </c>
    </row>
    <row r="11" customFormat="false" ht="12.75" hidden="false" customHeight="false" outlineLevel="0" collapsed="false">
      <c r="A11" s="357" t="n">
        <v>46221</v>
      </c>
      <c r="B11" s="336" t="s">
        <v>270</v>
      </c>
      <c r="C11" s="337" t="s">
        <v>439</v>
      </c>
      <c r="F11" s="336" t="n">
        <v>2400</v>
      </c>
      <c r="H11" s="340" t="n">
        <f aca="false">IF((F11&lt;&gt;0),IF((D11&gt;0)," ",F11)," ")</f>
        <v>2400</v>
      </c>
      <c r="I11" s="341" t="n">
        <f aca="false">IF((F11&lt;&gt;0),IF((D11&gt;0)," ",(I$1-A11))," ")</f>
        <v>50</v>
      </c>
      <c r="BZ11" s="336" t="s">
        <v>265</v>
      </c>
    </row>
    <row r="12" customFormat="false" ht="12.75" hidden="false" customHeight="false" outlineLevel="0" collapsed="false">
      <c r="A12" s="357" t="n">
        <v>46231</v>
      </c>
      <c r="B12" s="336" t="s">
        <v>274</v>
      </c>
      <c r="C12" s="337" t="s">
        <v>440</v>
      </c>
      <c r="F12" s="336" t="n">
        <v>840</v>
      </c>
      <c r="H12" s="340" t="n">
        <f aca="false">IF((F12&lt;&gt;0),IF((D12&gt;0)," ",F12)," ")</f>
        <v>840</v>
      </c>
      <c r="I12" s="341" t="n">
        <f aca="false">IF((F12&lt;&gt;0),IF((D12&gt;0)," ",(I$1-A12))," ")</f>
        <v>40</v>
      </c>
      <c r="BZ12" s="336" t="s">
        <v>276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278</v>
      </c>
      <c r="C1" s="346" t="n">
        <f aca="false">PurchasesJun!C1+PurchasesJul!F1+SalesJul!$E$1</f>
        <v>450</v>
      </c>
      <c r="D1" s="371" t="s">
        <v>245</v>
      </c>
      <c r="E1" s="373" t="str">
        <f aca="false">IF((G1-SUM(J1:W1)&lt;&gt;0),(G1-SUM(J1:W1))," ")</f>
        <v> </v>
      </c>
      <c r="F1" s="346" t="n">
        <f aca="false">SUM(F5:F300)</f>
        <v>45</v>
      </c>
      <c r="G1" s="345" t="n">
        <f aca="false">SUM(G4:G300)</f>
        <v>14759.25</v>
      </c>
      <c r="H1" s="374" t="n">
        <f aca="false">SUM(H5:H300)</f>
        <v>14739</v>
      </c>
      <c r="I1" s="375" t="n">
        <f aca="true">TODAY()</f>
        <v>46271</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IF((C1&lt;Admin!$F$22),((C1-PurchasesJun!C1)*Admin!$G$21),(C1*Admin!$G$21-(C1-Admin!$F$21)*(Admin!$G$21-Admin!$G$22)-PurchasesJun!A1))</f>
        <v>20.25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true" outlineLevel="0" collapsed="false">
      <c r="A5" s="357" t="n">
        <v>46204</v>
      </c>
      <c r="B5" s="365" t="s">
        <v>320</v>
      </c>
      <c r="E5" s="367" t="s">
        <v>321</v>
      </c>
      <c r="G5" s="368" t="n">
        <v>1200</v>
      </c>
      <c r="H5" s="340" t="n">
        <f aca="false">IF((G5&lt;&gt;0),IF((D5&gt;0)," ",G5)," ")</f>
        <v>1200</v>
      </c>
      <c r="I5" s="369" t="n">
        <f aca="false">IF((G5&lt;&gt;0),IF((D5&gt;0)," ",(I$1-A5))," ")</f>
        <v>67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46204</v>
      </c>
      <c r="B6" s="365" t="s">
        <v>323</v>
      </c>
      <c r="E6" s="367" t="s">
        <v>324</v>
      </c>
      <c r="G6" s="368" t="n">
        <v>30</v>
      </c>
      <c r="H6" s="340" t="n">
        <f aca="false">IF((G6&lt;&gt;0),IF((D6&gt;0)," ",G6)," ")</f>
        <v>30</v>
      </c>
      <c r="I6" s="369" t="n">
        <f aca="false">IF((G6&lt;&gt;0),IF((D6&gt;0)," ",(I$1-A6))," ")</f>
        <v>67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46204</v>
      </c>
      <c r="B7" s="365" t="s">
        <v>326</v>
      </c>
      <c r="E7" s="367" t="s">
        <v>324</v>
      </c>
      <c r="G7" s="368" t="n">
        <v>15</v>
      </c>
      <c r="H7" s="340" t="n">
        <f aca="false">IF((G7&lt;&gt;0),IF((D7&gt;0)," ",G7)," ")</f>
        <v>15</v>
      </c>
      <c r="I7" s="369" t="n">
        <f aca="false">IF((G7&lt;&gt;0),IF((D7&gt;0)," ",(I$1-A7))," ")</f>
        <v>67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46204</v>
      </c>
      <c r="B8" s="365" t="s">
        <v>327</v>
      </c>
      <c r="E8" s="367" t="s">
        <v>328</v>
      </c>
      <c r="G8" s="368" t="n">
        <v>45</v>
      </c>
      <c r="H8" s="340" t="n">
        <f aca="false">IF((G8&lt;&gt;0),IF((D8&gt;0)," ",G8)," ")</f>
        <v>45</v>
      </c>
      <c r="I8" s="369" t="n">
        <f aca="false">IF((G8&lt;&gt;0),IF((D8&gt;0)," ",(I$1-A8))," ")</f>
        <v>67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46204</v>
      </c>
      <c r="B9" s="365" t="s">
        <v>441</v>
      </c>
      <c r="E9" s="367" t="s">
        <v>328</v>
      </c>
      <c r="G9" s="368" t="n">
        <v>3000</v>
      </c>
      <c r="H9" s="340" t="n">
        <f aca="false">IF((G9&lt;&gt;0),IF((D9&gt;0)," ",G9)," ")</f>
        <v>3000</v>
      </c>
      <c r="I9" s="369" t="n">
        <f aca="false">IF((G9&lt;&gt;0),IF((D9&gt;0)," ",(I$1-A9))," ")</f>
        <v>67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442</v>
      </c>
    </row>
    <row r="10" customFormat="false" ht="12.75" hidden="false" customHeight="false" outlineLevel="0" collapsed="false">
      <c r="A10" s="357" t="n">
        <v>46204</v>
      </c>
      <c r="B10" s="365" t="s">
        <v>332</v>
      </c>
      <c r="E10" s="367" t="s">
        <v>328</v>
      </c>
      <c r="G10" s="368" t="n">
        <v>24</v>
      </c>
      <c r="H10" s="340" t="n">
        <f aca="false">IF((G10&lt;&gt;0),IF((D10&gt;0)," ",G10)," ")</f>
        <v>24</v>
      </c>
      <c r="I10" s="369" t="n">
        <f aca="false">IF((G10&lt;&gt;0),IF((D10&gt;0)," ",(I$1-A10))," ")</f>
        <v>67</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329</v>
      </c>
    </row>
    <row r="11" customFormat="false" ht="12.75" hidden="false" customHeight="false" outlineLevel="0" collapsed="false">
      <c r="A11" s="357" t="n">
        <v>46204</v>
      </c>
      <c r="B11" s="365" t="s">
        <v>333</v>
      </c>
      <c r="E11" s="367" t="s">
        <v>324</v>
      </c>
      <c r="G11" s="368" t="n">
        <v>18</v>
      </c>
      <c r="H11" s="340" t="n">
        <f aca="false">IF((G11&lt;&gt;0),IF((D11&gt;0)," ",G11)," ")</f>
        <v>18</v>
      </c>
      <c r="I11" s="369" t="n">
        <f aca="false">IF((G11&lt;&gt;0),IF((D11&gt;0)," ",(I$1-A11))," ")</f>
        <v>67</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325</v>
      </c>
    </row>
    <row r="12" customFormat="false" ht="12.75" hidden="false" customHeight="false" outlineLevel="0" collapsed="false">
      <c r="A12" s="357" t="n">
        <v>46206</v>
      </c>
      <c r="B12" s="365" t="s">
        <v>334</v>
      </c>
      <c r="E12" s="367" t="s">
        <v>328</v>
      </c>
      <c r="G12" s="368" t="n">
        <v>180</v>
      </c>
      <c r="H12" s="340" t="n">
        <f aca="false">IF((G12&lt;&gt;0),IF((D12&gt;0)," ",G12)," ")</f>
        <v>180</v>
      </c>
      <c r="I12" s="369" t="n">
        <f aca="false">IF((G12&lt;&gt;0),IF((D12&gt;0)," ",(I$1-A12))," ")</f>
        <v>65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329</v>
      </c>
    </row>
    <row r="13" customFormat="false" ht="12.75" hidden="false" customHeight="false" outlineLevel="0" collapsed="false">
      <c r="A13" s="357" t="n">
        <v>46206</v>
      </c>
      <c r="B13" s="365" t="s">
        <v>335</v>
      </c>
      <c r="E13" s="367" t="s">
        <v>328</v>
      </c>
      <c r="G13" s="368" t="n">
        <v>22</v>
      </c>
      <c r="H13" s="340" t="n">
        <f aca="false">IF((G13&lt;&gt;0),IF((D13&gt;0)," ",G13)," ")</f>
        <v>22</v>
      </c>
      <c r="I13" s="369" t="n">
        <f aca="false">IF((G13&lt;&gt;0),IF((D13&gt;0)," ",(I$1-A13))," ")</f>
        <v>65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336</v>
      </c>
    </row>
    <row r="14" customFormat="false" ht="12.75" hidden="false" customHeight="false" outlineLevel="0" collapsed="false">
      <c r="A14" s="357" t="n">
        <v>46208</v>
      </c>
      <c r="B14" s="365" t="s">
        <v>337</v>
      </c>
      <c r="E14" s="367" t="s">
        <v>328</v>
      </c>
      <c r="G14" s="368" t="n">
        <v>24</v>
      </c>
      <c r="H14" s="340" t="n">
        <f aca="false">IF((G14&lt;&gt;0),IF((D14&gt;0)," ",G14)," ")</f>
        <v>24</v>
      </c>
      <c r="I14" s="369" t="n">
        <f aca="false">IF((G14&lt;&gt;0),IF((D14&gt;0)," ",(I$1-A14))," ")</f>
        <v>63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336</v>
      </c>
    </row>
    <row r="15" customFormat="false" ht="12.75" hidden="false" customHeight="false" outlineLevel="0" collapsed="false">
      <c r="A15" s="357" t="n">
        <v>46208</v>
      </c>
      <c r="B15" s="365" t="s">
        <v>443</v>
      </c>
      <c r="E15" s="367" t="s">
        <v>392</v>
      </c>
      <c r="G15" s="368" t="n">
        <v>480</v>
      </c>
      <c r="H15" s="340" t="n">
        <f aca="false">IF((G15&lt;&gt;0),IF((D15&gt;0)," ",G15)," ")</f>
        <v>480</v>
      </c>
      <c r="I15" s="369" t="n">
        <f aca="false">IF((G15&lt;&gt;0),IF((D15&gt;0)," ",(I$1-A15))," ")</f>
        <v>63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393</v>
      </c>
    </row>
    <row r="16" customFormat="false" ht="12.75" hidden="false" customHeight="false" outlineLevel="0" collapsed="false">
      <c r="A16" s="357" t="n">
        <v>46208</v>
      </c>
      <c r="B16" s="365" t="s">
        <v>338</v>
      </c>
      <c r="E16" s="367" t="s">
        <v>303</v>
      </c>
      <c r="G16" s="368" t="n">
        <v>180</v>
      </c>
      <c r="H16" s="340" t="n">
        <f aca="false">IF((G16&lt;&gt;0),IF((D16&gt;0)," ",G16)," ")</f>
        <v>180</v>
      </c>
      <c r="I16" s="369" t="n">
        <f aca="false">IF((G16&lt;&gt;0),IF((D16&gt;0)," ",(I$1-A16))," ")</f>
        <v>63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339</v>
      </c>
    </row>
    <row r="17" customFormat="false" ht="12.75" hidden="false" customHeight="false" outlineLevel="0" collapsed="false">
      <c r="A17" s="357" t="n">
        <v>46211</v>
      </c>
      <c r="B17" s="365" t="s">
        <v>341</v>
      </c>
      <c r="E17" s="367" t="s">
        <v>342</v>
      </c>
      <c r="G17" s="368" t="n">
        <v>48</v>
      </c>
      <c r="H17" s="340" t="n">
        <f aca="false">IF((G17&lt;&gt;0),IF((D17&gt;0)," ",G17)," ")</f>
        <v>48</v>
      </c>
      <c r="I17" s="369" t="n">
        <f aca="false">IF((G17&lt;&gt;0),IF((D17&gt;0)," ",(I$1-A17))," ")</f>
        <v>60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343</v>
      </c>
    </row>
    <row r="18" customFormat="false" ht="12.75" hidden="false" customHeight="false" outlineLevel="0" collapsed="false">
      <c r="A18" s="357" t="n">
        <v>46213</v>
      </c>
      <c r="B18" s="365" t="s">
        <v>344</v>
      </c>
      <c r="E18" s="367" t="s">
        <v>328</v>
      </c>
      <c r="G18" s="368" t="n">
        <v>36</v>
      </c>
      <c r="H18" s="340" t="n">
        <f aca="false">IF((G18&lt;&gt;0),IF((D18&gt;0)," ",G18)," ")</f>
        <v>36</v>
      </c>
      <c r="I18" s="369" t="n">
        <f aca="false">IF((G18&lt;&gt;0),IF((D18&gt;0)," ",(I$1-A18))," ")</f>
        <v>58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46213</v>
      </c>
      <c r="B19" s="365" t="s">
        <v>345</v>
      </c>
      <c r="E19" s="367" t="s">
        <v>328</v>
      </c>
      <c r="G19" s="368" t="n">
        <v>180</v>
      </c>
      <c r="H19" s="340" t="n">
        <f aca="false">IF((G19&lt;&gt;0),IF((D19&gt;0)," ",G19)," ")</f>
        <v>180</v>
      </c>
      <c r="I19" s="369" t="n">
        <f aca="false">IF((G19&lt;&gt;0),IF((D19&gt;0)," ",(I$1-A19))," ")</f>
        <v>58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346</v>
      </c>
    </row>
    <row r="20" customFormat="false" ht="12.75" hidden="false" customHeight="false" outlineLevel="0" collapsed="false">
      <c r="A20" s="357" t="n">
        <v>46213</v>
      </c>
      <c r="B20" s="365" t="s">
        <v>347</v>
      </c>
      <c r="E20" s="367" t="s">
        <v>348</v>
      </c>
      <c r="G20" s="368" t="n">
        <v>720</v>
      </c>
      <c r="H20" s="340" t="n">
        <f aca="false">IF((G20&lt;&gt;0),IF((D20&gt;0)," ",G20)," ")</f>
        <v>720</v>
      </c>
      <c r="I20" s="369" t="n">
        <f aca="false">IF((G20&lt;&gt;0),IF((D20&gt;0)," ",(I$1-A20))," ")</f>
        <v>58</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349</v>
      </c>
    </row>
    <row r="21" customFormat="false" ht="12.75" hidden="false" customHeight="false" outlineLevel="0" collapsed="false">
      <c r="A21" s="357" t="n">
        <v>46215</v>
      </c>
      <c r="B21" s="365" t="s">
        <v>350</v>
      </c>
      <c r="D21" s="365"/>
      <c r="E21" s="367" t="s">
        <v>303</v>
      </c>
      <c r="G21" s="368" t="n">
        <v>18</v>
      </c>
      <c r="H21" s="340" t="n">
        <f aca="false">IF((G21&lt;&gt;0),IF((D21&gt;0)," ",G21)," ")</f>
        <v>18</v>
      </c>
      <c r="I21" s="369" t="n">
        <f aca="false">IF((G21&lt;&gt;0),IF((D21&gt;0)," ",(I$1-A21))," ")</f>
        <v>56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339</v>
      </c>
    </row>
    <row r="22" customFormat="false" ht="12.75" hidden="false" customHeight="false" outlineLevel="0" collapsed="false">
      <c r="A22" s="357" t="n">
        <v>46215</v>
      </c>
      <c r="B22" s="365" t="s">
        <v>444</v>
      </c>
      <c r="D22" s="395"/>
      <c r="E22" s="367" t="s">
        <v>328</v>
      </c>
      <c r="G22" s="368" t="n">
        <v>480</v>
      </c>
      <c r="H22" s="340" t="n">
        <f aca="false">IF((G22&lt;&gt;0),IF((D22&gt;0)," ",G22)," ")</f>
        <v>480</v>
      </c>
      <c r="I22" s="369" t="n">
        <f aca="false">IF((G22&lt;&gt;0),IF((D22&gt;0)," ",(I$1-A22))," ")</f>
        <v>56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390</v>
      </c>
    </row>
    <row r="23" customFormat="false" ht="12.75" hidden="false" customHeight="false" outlineLevel="0" collapsed="false">
      <c r="A23" s="357" t="n">
        <v>46217</v>
      </c>
      <c r="B23" s="365" t="s">
        <v>352</v>
      </c>
      <c r="E23" s="367" t="s">
        <v>342</v>
      </c>
      <c r="G23" s="368" t="n">
        <v>24</v>
      </c>
      <c r="H23" s="340" t="n">
        <f aca="false">IF((G23&lt;&gt;0),IF((D23&gt;0)," ",G23)," ")</f>
        <v>24</v>
      </c>
      <c r="I23" s="369" t="n">
        <f aca="false">IF((G23&lt;&gt;0),IF((D23&gt;0)," ",(I$1-A23))," ")</f>
        <v>54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343</v>
      </c>
    </row>
    <row r="24" customFormat="false" ht="12.75" hidden="false" customHeight="false" outlineLevel="0" collapsed="false">
      <c r="A24" s="357" t="n">
        <v>46217</v>
      </c>
      <c r="B24" s="365" t="s">
        <v>353</v>
      </c>
      <c r="E24" s="367" t="s">
        <v>342</v>
      </c>
      <c r="G24" s="368" t="n">
        <v>12</v>
      </c>
      <c r="H24" s="340" t="n">
        <f aca="false">IF((G24&lt;&gt;0),IF((D24&gt;0)," ",G24)," ")</f>
        <v>12</v>
      </c>
      <c r="I24" s="369" t="n">
        <f aca="false">IF((G24&lt;&gt;0),IF((D24&gt;0)," ",(I$1-A24))," ")</f>
        <v>54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343</v>
      </c>
    </row>
    <row r="25" customFormat="false" ht="12.75" hidden="false" customHeight="false" outlineLevel="0" collapsed="false">
      <c r="A25" s="357" t="n">
        <v>46218</v>
      </c>
      <c r="B25" s="365" t="s">
        <v>354</v>
      </c>
      <c r="E25" s="367" t="s">
        <v>303</v>
      </c>
      <c r="G25" s="368" t="n">
        <v>150</v>
      </c>
      <c r="H25" s="340" t="n">
        <f aca="false">IF((G25&lt;&gt;0),IF((D25&gt;0)," ",G25)," ")</f>
        <v>150</v>
      </c>
      <c r="I25" s="369" t="n">
        <f aca="false">IF((G25&lt;&gt;0),IF((D25&gt;0)," ",(I$1-A25))," ")</f>
        <v>53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339</v>
      </c>
    </row>
    <row r="26" customFormat="false" ht="12.75" hidden="false" customHeight="false" outlineLevel="0" collapsed="false">
      <c r="A26" s="357" t="n">
        <v>46218</v>
      </c>
      <c r="B26" s="365" t="s">
        <v>355</v>
      </c>
      <c r="E26" s="367" t="s">
        <v>324</v>
      </c>
      <c r="G26" s="368" t="n">
        <v>12</v>
      </c>
      <c r="H26" s="340" t="n">
        <f aca="false">IF((G26&lt;&gt;0),IF((D26&gt;0)," ",G26)," ")</f>
        <v>12</v>
      </c>
      <c r="I26" s="369" t="n">
        <f aca="false">IF((G26&lt;&gt;0),IF((D26&gt;0)," ",(I$1-A26))," ")</f>
        <v>53</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325</v>
      </c>
    </row>
    <row r="27" customFormat="false" ht="12.75" hidden="false" customHeight="false" outlineLevel="0" collapsed="false">
      <c r="A27" s="357" t="n">
        <v>46218</v>
      </c>
      <c r="B27" s="365" t="s">
        <v>445</v>
      </c>
      <c r="C27" s="365" t="s">
        <v>225</v>
      </c>
      <c r="E27" s="367" t="s">
        <v>396</v>
      </c>
      <c r="G27" s="368" t="n">
        <v>1200</v>
      </c>
      <c r="H27" s="340" t="n">
        <f aca="false">IF((G27&lt;&gt;0),IF((D27&gt;0)," ",G27)," ")</f>
        <v>1200</v>
      </c>
      <c r="I27" s="369" t="n">
        <f aca="false">IF((G27&lt;&gt;0),IF((D27&gt;0)," ",(I$1-A27))," ")</f>
        <v>53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397</v>
      </c>
    </row>
    <row r="28" customFormat="false" ht="12.75" hidden="false" customHeight="false" outlineLevel="0" collapsed="false">
      <c r="A28" s="357" t="n">
        <v>46219</v>
      </c>
      <c r="B28" s="365" t="s">
        <v>398</v>
      </c>
      <c r="E28" s="367" t="s">
        <v>324</v>
      </c>
      <c r="G28" s="368" t="n">
        <v>24</v>
      </c>
      <c r="H28" s="340" t="n">
        <f aca="false">IF((G28&lt;&gt;0),IF((D28&gt;0)," ",G28)," ")</f>
        <v>24</v>
      </c>
      <c r="I28" s="369" t="n">
        <f aca="false">IF((G28&lt;&gt;0),IF((D28&gt;0)," ",(I$1-A28))," ")</f>
        <v>52</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46221</v>
      </c>
      <c r="B29" s="365" t="s">
        <v>356</v>
      </c>
      <c r="E29" s="367" t="s">
        <v>303</v>
      </c>
      <c r="G29" s="368" t="n">
        <v>96</v>
      </c>
      <c r="H29" s="340" t="n">
        <f aca="false">IF((G29&lt;&gt;0),IF((D29&gt;0)," ",G29)," ")</f>
        <v>96</v>
      </c>
      <c r="I29" s="369" t="n">
        <f aca="false">IF((G29&lt;&gt;0),IF((D29&gt;0)," ",(I$1-A29))," ")</f>
        <v>50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339</v>
      </c>
    </row>
    <row r="30" customFormat="false" ht="12.75" hidden="false" customHeight="false" outlineLevel="0" collapsed="false">
      <c r="A30" s="357" t="n">
        <v>46223</v>
      </c>
      <c r="B30" s="365" t="s">
        <v>357</v>
      </c>
      <c r="E30" s="367" t="s">
        <v>324</v>
      </c>
      <c r="G30" s="368" t="n">
        <v>60</v>
      </c>
      <c r="H30" s="340" t="n">
        <f aca="false">IF((G30&lt;&gt;0),IF((D30&gt;0)," ",G30)," ")</f>
        <v>60</v>
      </c>
      <c r="I30" s="369" t="n">
        <f aca="false">IF((G30&lt;&gt;0),IF((D30&gt;0)," ",(I$1-A30))," ")</f>
        <v>48</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325</v>
      </c>
    </row>
    <row r="31" customFormat="false" ht="12.75" hidden="false" customHeight="false" outlineLevel="0" collapsed="false">
      <c r="A31" s="357" t="n">
        <v>46223</v>
      </c>
      <c r="B31" s="365" t="s">
        <v>446</v>
      </c>
      <c r="E31" s="367" t="s">
        <v>328</v>
      </c>
      <c r="G31" s="368" t="n">
        <v>120</v>
      </c>
      <c r="H31" s="340" t="n">
        <f aca="false">IF((G31&lt;&gt;0),IF((D31&gt;0)," ",G31)," ")</f>
        <v>120</v>
      </c>
      <c r="I31" s="369" t="n">
        <f aca="false">IF((G31&lt;&gt;0),IF((D31&gt;0)," ",(I$1-A31))," ")</f>
        <v>48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400</v>
      </c>
    </row>
    <row r="32" customFormat="false" ht="12.75" hidden="false" customHeight="false" outlineLevel="0" collapsed="false">
      <c r="A32" s="357" t="n">
        <v>46223</v>
      </c>
      <c r="B32" s="365" t="s">
        <v>358</v>
      </c>
      <c r="E32" s="367" t="s">
        <v>359</v>
      </c>
      <c r="G32" s="368" t="n">
        <v>180</v>
      </c>
      <c r="H32" s="340" t="n">
        <f aca="false">IF((G32&lt;&gt;0),IF((D32&gt;0)," ",G32)," ")</f>
        <v>180</v>
      </c>
      <c r="I32" s="369" t="n">
        <f aca="false">IF((G32&lt;&gt;0),IF((D32&gt;0)," ",(I$1-A32))," ")</f>
        <v>48</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360</v>
      </c>
    </row>
    <row r="33" customFormat="false" ht="12.75" hidden="false" customHeight="false" outlineLevel="0" collapsed="false">
      <c r="A33" s="357" t="n">
        <v>46224</v>
      </c>
      <c r="B33" s="365" t="s">
        <v>361</v>
      </c>
      <c r="E33" s="367" t="s">
        <v>342</v>
      </c>
      <c r="G33" s="368" t="n">
        <v>8</v>
      </c>
      <c r="H33" s="340" t="n">
        <f aca="false">IF((G33&lt;&gt;0),IF((D33&gt;0)," ",G33)," ")</f>
        <v>8</v>
      </c>
      <c r="I33" s="369" t="n">
        <f aca="false">IF((G33&lt;&gt;0),IF((D33&gt;0)," ",(I$1-A33))," ")</f>
        <v>47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343</v>
      </c>
    </row>
    <row r="34" customFormat="false" ht="12.75" hidden="false" customHeight="false" outlineLevel="0" collapsed="false">
      <c r="A34" s="357" t="n">
        <v>46225</v>
      </c>
      <c r="B34" s="365" t="s">
        <v>362</v>
      </c>
      <c r="E34" s="367" t="s">
        <v>328</v>
      </c>
      <c r="G34" s="368" t="n">
        <v>18</v>
      </c>
      <c r="H34" s="340" t="n">
        <f aca="false">IF((G34&lt;&gt;0),IF((D34&gt;0)," ",G34)," ")</f>
        <v>18</v>
      </c>
      <c r="I34" s="369" t="n">
        <f aca="false">IF((G34&lt;&gt;0),IF((D34&gt;0)," ",(I$1-A34))," ")</f>
        <v>46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336</v>
      </c>
    </row>
    <row r="35" customFormat="false" ht="12.75" hidden="false" customHeight="false" outlineLevel="0" collapsed="false">
      <c r="A35" s="357" t="n">
        <v>46228</v>
      </c>
      <c r="B35" s="365" t="s">
        <v>363</v>
      </c>
      <c r="E35" s="367" t="s">
        <v>328</v>
      </c>
      <c r="G35" s="368" t="n">
        <v>15</v>
      </c>
      <c r="H35" s="340" t="n">
        <f aca="false">IF((G35&lt;&gt;0),IF((D35&gt;0)," ",G35)," ")</f>
        <v>15</v>
      </c>
      <c r="I35" s="369" t="n">
        <f aca="false">IF((G35&lt;&gt;0),IF((D35&gt;0)," ",(I$1-A35))," ")</f>
        <v>43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336</v>
      </c>
    </row>
    <row r="36" customFormat="false" ht="12.75" hidden="false" customHeight="false" outlineLevel="0" collapsed="false">
      <c r="A36" s="357" t="n">
        <v>46228</v>
      </c>
      <c r="B36" s="365" t="s">
        <v>364</v>
      </c>
      <c r="E36" s="367" t="s">
        <v>303</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339</v>
      </c>
    </row>
    <row r="37" customFormat="false" ht="12.75" hidden="false" customHeight="false" outlineLevel="0" collapsed="false">
      <c r="A37" s="357" t="n">
        <v>46231</v>
      </c>
      <c r="B37" s="365" t="s">
        <v>354</v>
      </c>
      <c r="E37" s="367" t="s">
        <v>303</v>
      </c>
      <c r="G37" s="368" t="n">
        <v>120</v>
      </c>
      <c r="H37" s="340" t="n">
        <f aca="false">IF((G37&lt;&gt;0),IF((D37&gt;0)," ",G37)," ")</f>
        <v>120</v>
      </c>
      <c r="I37" s="369" t="n">
        <f aca="false">IF((G37&lt;&gt;0),IF((D37&gt;0)," ",(I$1-A37))," ")</f>
        <v>40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339</v>
      </c>
    </row>
    <row r="38" customFormat="false" ht="12.75" hidden="false" customHeight="false" outlineLevel="0" collapsed="false">
      <c r="A38" s="357" t="n">
        <v>46234</v>
      </c>
      <c r="B38" s="365" t="s">
        <v>365</v>
      </c>
      <c r="E38" s="367" t="s">
        <v>366</v>
      </c>
      <c r="G38" s="368" t="n">
        <v>300</v>
      </c>
      <c r="H38" s="340" t="n">
        <f aca="false">IF((G38&lt;&gt;0),IF((D38&gt;0)," ",G38)," ")</f>
        <v>300</v>
      </c>
      <c r="I38" s="369" t="n">
        <f aca="false">IF((G38&lt;&gt;0),IF((D38&gt;0)," ",(I$1-A38))," ")</f>
        <v>37</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367</v>
      </c>
    </row>
    <row r="39" customFormat="false" ht="12.75" hidden="false" customHeight="false" outlineLevel="0" collapsed="false">
      <c r="A39" s="357" t="n">
        <v>46234</v>
      </c>
      <c r="B39" s="365" t="s">
        <v>368</v>
      </c>
      <c r="C39" s="365" t="s">
        <v>447</v>
      </c>
      <c r="E39" s="367" t="s">
        <v>370</v>
      </c>
      <c r="G39" s="368" t="n">
        <v>3500</v>
      </c>
      <c r="H39" s="340" t="n">
        <f aca="false">IF((G39&lt;&gt;0),IF((D39&gt;0)," ",G39)," ")</f>
        <v>3500</v>
      </c>
      <c r="I39" s="369" t="n">
        <f aca="false">IF((G39&lt;&gt;0),IF((D39&gt;0)," ",(I$1-A39))," ")</f>
        <v>37</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t="n">
        <v>46234</v>
      </c>
      <c r="B40" s="365" t="s">
        <v>372</v>
      </c>
      <c r="C40" s="365" t="s">
        <v>448</v>
      </c>
      <c r="E40" s="367" t="s">
        <v>370</v>
      </c>
      <c r="G40" s="368" t="n">
        <v>2200</v>
      </c>
      <c r="H40" s="340" t="n">
        <f aca="false">IF((G40&lt;&gt;0),IF((D40&gt;0)," ",G40)," ")</f>
        <v>2200</v>
      </c>
      <c r="I40" s="369" t="n">
        <f aca="false">IF((G40&lt;&gt;0),IF((D40&gt;0)," ",(I$1-A40))," ")</f>
        <v>37</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371</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36020</v>
      </c>
      <c r="G1" s="345" t="n">
        <f aca="false">SUM(G4:G300)</f>
        <v>0</v>
      </c>
      <c r="H1" s="347" t="n">
        <f aca="false">SUM(H4:H300)</f>
        <v>36020</v>
      </c>
      <c r="I1" s="348" t="n">
        <f aca="true">TODAY()</f>
        <v>46271</v>
      </c>
      <c r="J1" s="345" t="n">
        <f aca="false">SUM(J4:J300)</f>
        <v>0</v>
      </c>
      <c r="K1" s="349" t="n">
        <f aca="false">J1+SalesJul!K1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46235</v>
      </c>
      <c r="B4" s="336" t="s">
        <v>449</v>
      </c>
      <c r="C4" s="337" t="s">
        <v>450</v>
      </c>
      <c r="F4" s="336" t="n">
        <v>2500</v>
      </c>
      <c r="H4" s="340" t="n">
        <f aca="false">IF((F4&lt;&gt;0),IF((D4&gt;0)," ",F4)," ")</f>
        <v>2500</v>
      </c>
      <c r="I4" s="341" t="n">
        <f aca="false">IF((F4&lt;&gt;0),IF((D4&gt;0)," ",(I$1-A4))," ")</f>
        <v>36</v>
      </c>
      <c r="BZ4" s="336" t="s">
        <v>451</v>
      </c>
    </row>
    <row r="5" customFormat="false" ht="12.75" hidden="false" customHeight="false" outlineLevel="0" collapsed="false">
      <c r="A5" s="357" t="n">
        <v>46237</v>
      </c>
      <c r="B5" s="336" t="s">
        <v>259</v>
      </c>
      <c r="C5" s="337" t="s">
        <v>452</v>
      </c>
      <c r="F5" s="336" t="n">
        <v>360</v>
      </c>
      <c r="H5" s="340" t="n">
        <f aca="false">IF((F5&lt;&gt;0),IF((D5&gt;0)," ",F5)," ")</f>
        <v>360</v>
      </c>
      <c r="I5" s="341" t="n">
        <f aca="false">IF((F5&lt;&gt;0),IF((D5&gt;0)," ",(I$1-A5))," ")</f>
        <v>34</v>
      </c>
      <c r="BZ5" s="336" t="s">
        <v>258</v>
      </c>
    </row>
    <row r="6" customFormat="false" ht="12.75" hidden="false" customHeight="false" outlineLevel="0" collapsed="false">
      <c r="A6" s="357" t="n">
        <v>46239</v>
      </c>
      <c r="B6" s="336" t="s">
        <v>261</v>
      </c>
      <c r="C6" s="337" t="s">
        <v>453</v>
      </c>
      <c r="F6" s="336" t="n">
        <v>600</v>
      </c>
      <c r="H6" s="340" t="n">
        <f aca="false">IF((F6&lt;&gt;0),IF((D6&gt;0)," ",F6)," ")</f>
        <v>600</v>
      </c>
      <c r="I6" s="341" t="n">
        <f aca="false">IF((F6&lt;&gt;0),IF((D6&gt;0)," ",(I$1-A6))," ")</f>
        <v>32</v>
      </c>
      <c r="BZ6" s="336" t="s">
        <v>258</v>
      </c>
    </row>
    <row r="7" customFormat="false" ht="12.75" hidden="false" customHeight="false" outlineLevel="0" collapsed="false">
      <c r="A7" s="357" t="n">
        <v>46242</v>
      </c>
      <c r="B7" s="336" t="s">
        <v>263</v>
      </c>
      <c r="C7" s="337" t="s">
        <v>454</v>
      </c>
      <c r="F7" s="336" t="n">
        <v>480</v>
      </c>
      <c r="H7" s="340" t="n">
        <f aca="false">IF((F7&lt;&gt;0),IF((D7&gt;0)," ",F7)," ")</f>
        <v>480</v>
      </c>
      <c r="I7" s="341" t="n">
        <f aca="false">IF((F7&lt;&gt;0),IF((D7&gt;0)," ",(I$1-A7))," ")</f>
        <v>29</v>
      </c>
      <c r="BZ7" s="336" t="s">
        <v>265</v>
      </c>
    </row>
    <row r="8" customFormat="false" ht="12.75" hidden="false" customHeight="false" outlineLevel="0" collapsed="false">
      <c r="A8" s="357" t="n">
        <v>46244</v>
      </c>
      <c r="B8" s="336" t="s">
        <v>266</v>
      </c>
      <c r="C8" s="337" t="s">
        <v>455</v>
      </c>
      <c r="F8" s="336" t="n">
        <v>720</v>
      </c>
      <c r="H8" s="340" t="n">
        <f aca="false">IF((F8&lt;&gt;0),IF((D8&gt;0)," ",F8)," ")</f>
        <v>720</v>
      </c>
      <c r="I8" s="341" t="n">
        <f aca="false">IF((F8&lt;&gt;0),IF((D8&gt;0)," ",(I$1-A8))," ")</f>
        <v>27</v>
      </c>
      <c r="BZ8" s="336" t="s">
        <v>265</v>
      </c>
    </row>
    <row r="9" customFormat="false" ht="12.75" hidden="false" customHeight="false" outlineLevel="0" collapsed="false">
      <c r="A9" s="357" t="n">
        <v>46246</v>
      </c>
      <c r="B9" s="336" t="s">
        <v>378</v>
      </c>
      <c r="C9" s="337" t="s">
        <v>456</v>
      </c>
      <c r="F9" s="336" t="n">
        <v>960</v>
      </c>
      <c r="H9" s="340" t="n">
        <f aca="false">IF((F9&lt;&gt;0),IF((D9&gt;0)," ",F9)," ")</f>
        <v>960</v>
      </c>
      <c r="I9" s="341" t="n">
        <f aca="false">IF((F9&lt;&gt;0),IF((D9&gt;0)," ",(I$1-A9))," ")</f>
        <v>25</v>
      </c>
      <c r="BZ9" s="336" t="s">
        <v>265</v>
      </c>
    </row>
    <row r="10" customFormat="false" ht="12.75" hidden="false" customHeight="false" outlineLevel="0" collapsed="false">
      <c r="A10" s="357" t="n">
        <v>46249</v>
      </c>
      <c r="B10" s="336" t="s">
        <v>268</v>
      </c>
      <c r="C10" s="337" t="s">
        <v>457</v>
      </c>
      <c r="F10" s="336" t="n">
        <v>25000</v>
      </c>
      <c r="H10" s="340" t="n">
        <f aca="false">IF((F10&lt;&gt;0),IF((D10&gt;0)," ",F10)," ")</f>
        <v>25000</v>
      </c>
      <c r="I10" s="341" t="n">
        <f aca="false">IF((F10&lt;&gt;0),IF((D10&gt;0)," ",(I$1-A10))," ")</f>
        <v>22</v>
      </c>
      <c r="BZ10" s="336" t="s">
        <v>265</v>
      </c>
    </row>
    <row r="11" customFormat="false" ht="12.75" hidden="false" customHeight="false" outlineLevel="0" collapsed="false">
      <c r="A11" s="357" t="n">
        <v>46252</v>
      </c>
      <c r="B11" s="336" t="s">
        <v>270</v>
      </c>
      <c r="C11" s="337" t="s">
        <v>458</v>
      </c>
      <c r="F11" s="336" t="n">
        <v>2400</v>
      </c>
      <c r="H11" s="340" t="n">
        <f aca="false">IF((F11&lt;&gt;0),IF((D11&gt;0)," ",F11)," ")</f>
        <v>2400</v>
      </c>
      <c r="I11" s="341" t="n">
        <f aca="false">IF((F11&lt;&gt;0),IF((D11&gt;0)," ",(I$1-A11))," ")</f>
        <v>19</v>
      </c>
      <c r="BZ11" s="336" t="s">
        <v>265</v>
      </c>
    </row>
    <row r="12" customFormat="false" ht="12.75" hidden="false" customHeight="false" outlineLevel="0" collapsed="false">
      <c r="A12" s="357" t="n">
        <v>46254</v>
      </c>
      <c r="B12" s="336" t="s">
        <v>272</v>
      </c>
      <c r="C12" s="337" t="s">
        <v>459</v>
      </c>
      <c r="F12" s="336" t="n">
        <v>1800</v>
      </c>
      <c r="H12" s="340" t="n">
        <f aca="false">IF((F12&lt;&gt;0),IF((D12&gt;0)," ",F12)," ")</f>
        <v>1800</v>
      </c>
      <c r="I12" s="341" t="n">
        <f aca="false">IF((F12&lt;&gt;0),IF((D12&gt;0)," ",(I$1-A12))," ")</f>
        <v>17</v>
      </c>
      <c r="BZ12" s="336" t="s">
        <v>265</v>
      </c>
    </row>
    <row r="13" customFormat="false" ht="12.75" hidden="false" customHeight="false" outlineLevel="0" collapsed="false">
      <c r="A13" s="357" t="n">
        <v>46259</v>
      </c>
      <c r="B13" s="336" t="s">
        <v>385</v>
      </c>
      <c r="C13" s="337" t="s">
        <v>460</v>
      </c>
      <c r="F13" s="336" t="n">
        <v>1200</v>
      </c>
      <c r="H13" s="340" t="n">
        <f aca="false">IF((F13&lt;&gt;0),IF((D13&gt;0)," ",F13)," ")</f>
        <v>1200</v>
      </c>
      <c r="I13" s="341" t="n">
        <f aca="false">IF((F13&lt;&gt;0),IF((D13&gt;0)," ",(I$1-A13))," ")</f>
        <v>12</v>
      </c>
      <c r="BZ13" s="336" t="s">
        <v>265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278</v>
      </c>
      <c r="C1" s="346" t="n">
        <f aca="false">PurchasesJul!C1+PurchasesAug!F1+SalesAug!$E$1</f>
        <v>535</v>
      </c>
      <c r="D1" s="371" t="s">
        <v>245</v>
      </c>
      <c r="E1" s="373" t="str">
        <f aca="false">IF((G1-SUM(J1:W1)&lt;&gt;0),(G1-SUM(J1:W1))," ")</f>
        <v> </v>
      </c>
      <c r="F1" s="346" t="n">
        <f aca="false">SUM(F5:F300)</f>
        <v>85</v>
      </c>
      <c r="G1" s="345" t="n">
        <f aca="false">SUM(G4:G300)</f>
        <v>10105.25</v>
      </c>
      <c r="H1" s="374" t="n">
        <f aca="false">SUM(H5:H300)</f>
        <v>10067</v>
      </c>
      <c r="I1" s="375" t="n">
        <f aca="true">TODAY()</f>
        <v>46271</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IF((C1&lt;Admin!$F$22),((C1-PurchasesJul!C1)*Admin!$G$21),(C1*Admin!$G$21-(C1-Admin!$F$21)*(Admin!$G$21-Admin!$G$22)-PurchasesJul!A1))</f>
        <v>38.25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46235</v>
      </c>
      <c r="B5" s="365" t="s">
        <v>320</v>
      </c>
      <c r="E5" s="367" t="s">
        <v>321</v>
      </c>
      <c r="G5" s="368" t="n">
        <v>1200</v>
      </c>
      <c r="H5" s="340" t="n">
        <f aca="false">IF((G5&lt;&gt;0),IF((D5&gt;0)," ",G5)," ")</f>
        <v>1200</v>
      </c>
      <c r="I5" s="369" t="n">
        <f aca="false">IF((G5&lt;&gt;0),IF((D5&gt;0)," ",(I$1-A5))," ")</f>
        <v>36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46235</v>
      </c>
      <c r="B6" s="365" t="s">
        <v>323</v>
      </c>
      <c r="E6" s="367" t="s">
        <v>324</v>
      </c>
      <c r="G6" s="368" t="n">
        <v>30</v>
      </c>
      <c r="H6" s="340" t="n">
        <f aca="false">IF((G6&lt;&gt;0),IF((D6&gt;0)," ",G6)," ")</f>
        <v>30</v>
      </c>
      <c r="I6" s="369" t="n">
        <f aca="false">IF((G6&lt;&gt;0),IF((D6&gt;0)," ",(I$1-A6))," ")</f>
        <v>36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46235</v>
      </c>
      <c r="B7" s="365" t="s">
        <v>326</v>
      </c>
      <c r="E7" s="367" t="s">
        <v>324</v>
      </c>
      <c r="G7" s="368" t="n">
        <v>15</v>
      </c>
      <c r="H7" s="340" t="n">
        <f aca="false">IF((G7&lt;&gt;0),IF((D7&gt;0)," ",G7)," ")</f>
        <v>15</v>
      </c>
      <c r="I7" s="369" t="n">
        <f aca="false">IF((G7&lt;&gt;0),IF((D7&gt;0)," ",(I$1-A7))," ")</f>
        <v>36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46235</v>
      </c>
      <c r="B8" s="365" t="s">
        <v>327</v>
      </c>
      <c r="E8" s="367" t="s">
        <v>328</v>
      </c>
      <c r="G8" s="368" t="n">
        <v>45</v>
      </c>
      <c r="H8" s="340" t="n">
        <f aca="false">IF((G8&lt;&gt;0),IF((D8&gt;0)," ",G8)," ")</f>
        <v>45</v>
      </c>
      <c r="I8" s="369" t="n">
        <f aca="false">IF((G8&lt;&gt;0),IF((D8&gt;0)," ",(I$1-A8))," ")</f>
        <v>36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46235</v>
      </c>
      <c r="B9" s="365" t="s">
        <v>332</v>
      </c>
      <c r="E9" s="367" t="s">
        <v>328</v>
      </c>
      <c r="G9" s="368" t="n">
        <v>24</v>
      </c>
      <c r="H9" s="340" t="n">
        <f aca="false">IF((G9&lt;&gt;0),IF((D9&gt;0)," ",G9)," ")</f>
        <v>24</v>
      </c>
      <c r="I9" s="369" t="n">
        <f aca="false">IF((G9&lt;&gt;0),IF((D9&gt;0)," ",(I$1-A9))," ")</f>
        <v>36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46235</v>
      </c>
      <c r="B10" s="365" t="s">
        <v>333</v>
      </c>
      <c r="E10" s="367" t="s">
        <v>324</v>
      </c>
      <c r="G10" s="368" t="n">
        <v>18</v>
      </c>
      <c r="H10" s="340" t="n">
        <f aca="false">IF((G10&lt;&gt;0),IF((D10&gt;0)," ",G10)," ")</f>
        <v>18</v>
      </c>
      <c r="I10" s="369" t="n">
        <f aca="false">IF((G10&lt;&gt;0),IF((D10&gt;0)," ",(I$1-A10))," ")</f>
        <v>36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46237</v>
      </c>
      <c r="B11" s="365" t="s">
        <v>334</v>
      </c>
      <c r="E11" s="367" t="s">
        <v>328</v>
      </c>
      <c r="G11" s="368" t="n">
        <v>180</v>
      </c>
      <c r="H11" s="340" t="n">
        <f aca="false">IF((G11&lt;&gt;0),IF((D11&gt;0)," ",G11)," ")</f>
        <v>180</v>
      </c>
      <c r="I11" s="369" t="n">
        <f aca="false">IF((G11&lt;&gt;0),IF((D11&gt;0)," ",(I$1-A11))," ")</f>
        <v>34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46237</v>
      </c>
      <c r="B12" s="365" t="s">
        <v>335</v>
      </c>
      <c r="E12" s="367" t="s">
        <v>328</v>
      </c>
      <c r="G12" s="368" t="n">
        <v>22</v>
      </c>
      <c r="H12" s="340" t="n">
        <f aca="false">IF((G12&lt;&gt;0),IF((D12&gt;0)," ",G12)," ")</f>
        <v>22</v>
      </c>
      <c r="I12" s="369" t="n">
        <f aca="false">IF((G12&lt;&gt;0),IF((D12&gt;0)," ",(I$1-A12))," ")</f>
        <v>34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46239</v>
      </c>
      <c r="B13" s="365" t="s">
        <v>337</v>
      </c>
      <c r="E13" s="367" t="s">
        <v>328</v>
      </c>
      <c r="G13" s="368" t="n">
        <v>24</v>
      </c>
      <c r="H13" s="340" t="n">
        <f aca="false">IF((G13&lt;&gt;0),IF((D13&gt;0)," ",G13)," ")</f>
        <v>24</v>
      </c>
      <c r="I13" s="369" t="n">
        <f aca="false">IF((G13&lt;&gt;0),IF((D13&gt;0)," ",(I$1-A13))," ")</f>
        <v>32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46239</v>
      </c>
      <c r="B14" s="365" t="s">
        <v>338</v>
      </c>
      <c r="E14" s="367" t="s">
        <v>303</v>
      </c>
      <c r="G14" s="368" t="n">
        <v>180</v>
      </c>
      <c r="H14" s="340" t="n">
        <f aca="false">IF((G14&lt;&gt;0),IF((D14&gt;0)," ",G14)," ")</f>
        <v>180</v>
      </c>
      <c r="I14" s="369" t="n">
        <f aca="false">IF((G14&lt;&gt;0),IF((D14&gt;0)," ",(I$1-A14))," ")</f>
        <v>32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46239</v>
      </c>
      <c r="B15" s="365" t="s">
        <v>340</v>
      </c>
      <c r="E15" s="367" t="s">
        <v>328</v>
      </c>
      <c r="G15" s="368" t="n">
        <v>36</v>
      </c>
      <c r="H15" s="340" t="n">
        <f aca="false">IF((G15&lt;&gt;0),IF((D15&gt;0)," ",G15)," ")</f>
        <v>36</v>
      </c>
      <c r="I15" s="369" t="n">
        <f aca="false">IF((G15&lt;&gt;0),IF((D15&gt;0)," ",(I$1-A15))," ")</f>
        <v>32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329</v>
      </c>
    </row>
    <row r="16" customFormat="false" ht="12.75" hidden="false" customHeight="false" outlineLevel="0" collapsed="false">
      <c r="A16" s="357" t="n">
        <v>46240</v>
      </c>
      <c r="B16" s="365" t="s">
        <v>388</v>
      </c>
      <c r="E16" s="367" t="s">
        <v>342</v>
      </c>
      <c r="G16" s="368" t="n">
        <v>48</v>
      </c>
      <c r="H16" s="340" t="n">
        <f aca="false">IF((G16&lt;&gt;0),IF((D16&gt;0)," ",G16)," ")</f>
        <v>48</v>
      </c>
      <c r="I16" s="369" t="n">
        <f aca="false">IF((G16&lt;&gt;0),IF((D16&gt;0)," ",(I$1-A16))," ")</f>
        <v>31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46242</v>
      </c>
      <c r="B17" s="365" t="s">
        <v>341</v>
      </c>
      <c r="E17" s="367" t="s">
        <v>342</v>
      </c>
      <c r="G17" s="368" t="n">
        <v>48</v>
      </c>
      <c r="H17" s="340" t="n">
        <f aca="false">IF((G17&lt;&gt;0),IF((D17&gt;0)," ",G17)," ")</f>
        <v>48</v>
      </c>
      <c r="I17" s="369" t="n">
        <f aca="false">IF((G17&lt;&gt;0),IF((D17&gt;0)," ",(I$1-A17))," ")</f>
        <v>29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343</v>
      </c>
    </row>
    <row r="18" customFormat="false" ht="12.75" hidden="false" customHeight="false" outlineLevel="0" collapsed="false">
      <c r="A18" s="357" t="n">
        <v>46244</v>
      </c>
      <c r="B18" s="365" t="s">
        <v>344</v>
      </c>
      <c r="E18" s="367" t="s">
        <v>328</v>
      </c>
      <c r="G18" s="368" t="n">
        <v>36</v>
      </c>
      <c r="H18" s="340" t="n">
        <f aca="false">IF((G18&lt;&gt;0),IF((D18&gt;0)," ",G18)," ")</f>
        <v>36</v>
      </c>
      <c r="I18" s="369" t="n">
        <f aca="false">IF((G18&lt;&gt;0),IF((D18&gt;0)," ",(I$1-A18))," ")</f>
        <v>27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46246</v>
      </c>
      <c r="B19" s="365" t="s">
        <v>350</v>
      </c>
      <c r="E19" s="367" t="s">
        <v>303</v>
      </c>
      <c r="G19" s="368" t="n">
        <v>18</v>
      </c>
      <c r="H19" s="340" t="n">
        <f aca="false">IF((G19&lt;&gt;0),IF((D19&gt;0)," ",G19)," ")</f>
        <v>18</v>
      </c>
      <c r="I19" s="369" t="n">
        <f aca="false">IF((G19&lt;&gt;0),IF((D19&gt;0)," ",(I$1-A19))," ")</f>
        <v>25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339</v>
      </c>
    </row>
    <row r="20" customFormat="false" ht="12.75" hidden="false" customHeight="false" outlineLevel="0" collapsed="false">
      <c r="A20" s="357" t="n">
        <v>46248</v>
      </c>
      <c r="B20" s="365" t="s">
        <v>351</v>
      </c>
      <c r="E20" s="367" t="s">
        <v>328</v>
      </c>
      <c r="G20" s="368" t="n">
        <v>48</v>
      </c>
      <c r="H20" s="340" t="n">
        <f aca="false">IF((G20&lt;&gt;0),IF((D20&gt;0)," ",G20)," ")</f>
        <v>48</v>
      </c>
      <c r="I20" s="369" t="n">
        <f aca="false">IF((G20&lt;&gt;0),IF((D20&gt;0)," ",(I$1-A20))," ")</f>
        <v>23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336</v>
      </c>
    </row>
    <row r="21" customFormat="false" ht="12.75" hidden="false" customHeight="false" outlineLevel="0" collapsed="false">
      <c r="A21" s="357" t="n">
        <v>46248</v>
      </c>
      <c r="B21" s="365" t="s">
        <v>352</v>
      </c>
      <c r="D21" s="365"/>
      <c r="E21" s="367" t="s">
        <v>342</v>
      </c>
      <c r="G21" s="368" t="n">
        <v>24</v>
      </c>
      <c r="H21" s="340" t="n">
        <f aca="false">IF((G21&lt;&gt;0),IF((D21&gt;0)," ",G21)," ")</f>
        <v>24</v>
      </c>
      <c r="I21" s="369" t="n">
        <f aca="false">IF((G21&lt;&gt;0),IF((D21&gt;0)," ",(I$1-A21))," ")</f>
        <v>23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343</v>
      </c>
    </row>
    <row r="22" customFormat="false" ht="12.75" hidden="false" customHeight="false" outlineLevel="0" collapsed="false">
      <c r="A22" s="357" t="n">
        <v>46248</v>
      </c>
      <c r="B22" s="365" t="s">
        <v>353</v>
      </c>
      <c r="D22" s="395"/>
      <c r="E22" s="367" t="s">
        <v>342</v>
      </c>
      <c r="G22" s="368" t="n">
        <v>12</v>
      </c>
      <c r="H22" s="340" t="n">
        <f aca="false">IF((G22&lt;&gt;0),IF((D22&gt;0)," ",G22)," ")</f>
        <v>12</v>
      </c>
      <c r="I22" s="369" t="n">
        <f aca="false">IF((G22&lt;&gt;0),IF((D22&gt;0)," ",(I$1-A22))," ")</f>
        <v>23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46249</v>
      </c>
      <c r="B23" s="365" t="s">
        <v>354</v>
      </c>
      <c r="E23" s="367" t="s">
        <v>303</v>
      </c>
      <c r="G23" s="368" t="n">
        <v>150</v>
      </c>
      <c r="H23" s="340" t="n">
        <f aca="false">IF((G23&lt;&gt;0),IF((D23&gt;0)," ",G23)," ")</f>
        <v>150</v>
      </c>
      <c r="I23" s="369" t="n">
        <f aca="false">IF((G23&lt;&gt;0),IF((D23&gt;0)," ",(I$1-A23))," ")</f>
        <v>22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339</v>
      </c>
    </row>
    <row r="24" customFormat="false" ht="12.75" hidden="false" customHeight="false" outlineLevel="0" collapsed="false">
      <c r="A24" s="357" t="n">
        <v>46249</v>
      </c>
      <c r="B24" s="365" t="s">
        <v>355</v>
      </c>
      <c r="E24" s="367" t="s">
        <v>324</v>
      </c>
      <c r="G24" s="368" t="n">
        <v>12</v>
      </c>
      <c r="H24" s="340" t="n">
        <f aca="false">IF((G24&lt;&gt;0),IF((D24&gt;0)," ",G24)," ")</f>
        <v>12</v>
      </c>
      <c r="I24" s="369" t="n">
        <f aca="false">IF((G24&lt;&gt;0),IF((D24&gt;0)," ",(I$1-A24))," ")</f>
        <v>22</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325</v>
      </c>
    </row>
    <row r="25" customFormat="false" ht="12.75" hidden="false" customHeight="false" outlineLevel="0" collapsed="false">
      <c r="A25" s="357" t="n">
        <v>46249</v>
      </c>
      <c r="B25" s="365" t="s">
        <v>394</v>
      </c>
      <c r="E25" s="367" t="s">
        <v>348</v>
      </c>
      <c r="G25" s="368" t="n">
        <v>360</v>
      </c>
      <c r="H25" s="340" t="n">
        <f aca="false">IF((G25&lt;&gt;0),IF((D25&gt;0)," ",G25)," ")</f>
        <v>360</v>
      </c>
      <c r="I25" s="369" t="n">
        <f aca="false">IF((G25&lt;&gt;0),IF((D25&gt;0)," ",(I$1-A25))," ")</f>
        <v>22</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349</v>
      </c>
    </row>
    <row r="26" customFormat="false" ht="12.75" hidden="false" customHeight="false" outlineLevel="0" collapsed="false">
      <c r="A26" s="357" t="n">
        <v>46252</v>
      </c>
      <c r="B26" s="365" t="s">
        <v>461</v>
      </c>
      <c r="E26" s="367" t="s">
        <v>359</v>
      </c>
      <c r="G26" s="368" t="n">
        <v>240</v>
      </c>
      <c r="H26" s="340" t="n">
        <f aca="false">IF((G26&lt;&gt;0),IF((D26&gt;0)," ",G26)," ")</f>
        <v>240</v>
      </c>
      <c r="I26" s="369" t="n">
        <f aca="false">IF((G26&lt;&gt;0),IF((D26&gt;0)," ",(I$1-A26))," ")</f>
        <v>19</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360</v>
      </c>
    </row>
    <row r="27" customFormat="false" ht="12.75" hidden="false" customHeight="false" outlineLevel="0" collapsed="false">
      <c r="A27" s="357" t="n">
        <v>46252</v>
      </c>
      <c r="B27" s="365" t="s">
        <v>356</v>
      </c>
      <c r="E27" s="367" t="s">
        <v>303</v>
      </c>
      <c r="G27" s="368" t="n">
        <v>96</v>
      </c>
      <c r="H27" s="340" t="n">
        <f aca="false">IF((G27&lt;&gt;0),IF((D27&gt;0)," ",G27)," ")</f>
        <v>96</v>
      </c>
      <c r="I27" s="369" t="n">
        <f aca="false">IF((G27&lt;&gt;0),IF((D27&gt;0)," ",(I$1-A27))," ")</f>
        <v>19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339</v>
      </c>
    </row>
    <row r="28" customFormat="false" ht="12.75" hidden="false" customHeight="false" outlineLevel="0" collapsed="false">
      <c r="A28" s="357" t="n">
        <v>46254</v>
      </c>
      <c r="B28" s="365" t="s">
        <v>357</v>
      </c>
      <c r="E28" s="367" t="s">
        <v>324</v>
      </c>
      <c r="G28" s="368" t="n">
        <v>60</v>
      </c>
      <c r="H28" s="340" t="n">
        <f aca="false">IF((G28&lt;&gt;0),IF((D28&gt;0)," ",G28)," ")</f>
        <v>60</v>
      </c>
      <c r="I28" s="369" t="n">
        <f aca="false">IF((G28&lt;&gt;0),IF((D28&gt;0)," ",(I$1-A28))," ")</f>
        <v>17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46254</v>
      </c>
      <c r="B29" s="365" t="s">
        <v>462</v>
      </c>
      <c r="E29" s="367" t="s">
        <v>370</v>
      </c>
      <c r="G29" s="368" t="n">
        <v>800</v>
      </c>
      <c r="H29" s="340" t="n">
        <f aca="false">IF((G29&lt;&gt;0),IF((D29&gt;0)," ",G29)," ")</f>
        <v>800</v>
      </c>
      <c r="I29" s="369" t="n">
        <f aca="false">IF((G29&lt;&gt;0),IF((D29&gt;0)," ",(I$1-A29))," ")</f>
        <v>17</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371</v>
      </c>
    </row>
    <row r="30" customFormat="false" ht="12.75" hidden="false" customHeight="false" outlineLevel="0" collapsed="false">
      <c r="A30" s="357" t="n">
        <v>46254</v>
      </c>
      <c r="B30" s="365" t="s">
        <v>401</v>
      </c>
      <c r="E30" s="367" t="s">
        <v>348</v>
      </c>
      <c r="G30" s="368" t="n">
        <v>180</v>
      </c>
      <c r="H30" s="340" t="n">
        <f aca="false">IF((G30&lt;&gt;0),IF((D30&gt;0)," ",G30)," ")</f>
        <v>180</v>
      </c>
      <c r="I30" s="369" t="n">
        <f aca="false">IF((G30&lt;&gt;0),IF((D30&gt;0)," ",(I$1-A30))," ")</f>
        <v>17</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349</v>
      </c>
    </row>
    <row r="31" customFormat="false" ht="12.75" hidden="false" customHeight="false" outlineLevel="0" collapsed="false">
      <c r="A31" s="357" t="n">
        <v>46255</v>
      </c>
      <c r="B31" s="365" t="s">
        <v>361</v>
      </c>
      <c r="E31" s="367" t="s">
        <v>342</v>
      </c>
      <c r="G31" s="368" t="n">
        <v>8</v>
      </c>
      <c r="H31" s="340" t="n">
        <f aca="false">IF((G31&lt;&gt;0),IF((D31&gt;0)," ",G31)," ")</f>
        <v>8</v>
      </c>
      <c r="I31" s="369" t="n">
        <f aca="false">IF((G31&lt;&gt;0),IF((D31&gt;0)," ",(I$1-A31))," ")</f>
        <v>16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343</v>
      </c>
    </row>
    <row r="32" customFormat="false" ht="12.75" hidden="false" customHeight="false" outlineLevel="0" collapsed="false">
      <c r="A32" s="357" t="n">
        <v>46256</v>
      </c>
      <c r="B32" s="365" t="s">
        <v>362</v>
      </c>
      <c r="E32" s="367" t="s">
        <v>328</v>
      </c>
      <c r="G32" s="368" t="n">
        <v>18</v>
      </c>
      <c r="H32" s="340" t="n">
        <f aca="false">IF((G32&lt;&gt;0),IF((D32&gt;0)," ",G32)," ")</f>
        <v>18</v>
      </c>
      <c r="I32" s="369" t="n">
        <f aca="false">IF((G32&lt;&gt;0),IF((D32&gt;0)," ",(I$1-A32))," ")</f>
        <v>15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336</v>
      </c>
    </row>
    <row r="33" customFormat="false" ht="12.75" hidden="false" customHeight="false" outlineLevel="0" collapsed="false">
      <c r="A33" s="357" t="n">
        <v>46259</v>
      </c>
      <c r="B33" s="365" t="s">
        <v>363</v>
      </c>
      <c r="E33" s="367" t="s">
        <v>328</v>
      </c>
      <c r="G33" s="368" t="n">
        <v>15</v>
      </c>
      <c r="H33" s="340" t="n">
        <f aca="false">IF((G33&lt;&gt;0),IF((D33&gt;0)," ",G33)," ")</f>
        <v>15</v>
      </c>
      <c r="I33" s="369" t="n">
        <f aca="false">IF((G33&lt;&gt;0),IF((D33&gt;0)," ",(I$1-A33))," ")</f>
        <v>12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336</v>
      </c>
    </row>
    <row r="34" customFormat="false" ht="12.75" hidden="false" customHeight="false" outlineLevel="0" collapsed="false">
      <c r="A34" s="357" t="n">
        <v>46259</v>
      </c>
      <c r="B34" s="365" t="s">
        <v>364</v>
      </c>
      <c r="E34" s="367" t="s">
        <v>303</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46262</v>
      </c>
      <c r="B35" s="365" t="s">
        <v>354</v>
      </c>
      <c r="E35" s="367" t="s">
        <v>303</v>
      </c>
      <c r="G35" s="368" t="n">
        <v>120</v>
      </c>
      <c r="H35" s="340" t="n">
        <f aca="false">IF((G35&lt;&gt;0),IF((D35&gt;0)," ",G35)," ")</f>
        <v>120</v>
      </c>
      <c r="I35" s="369" t="n">
        <f aca="false">IF((G35&lt;&gt;0),IF((D35&gt;0)," ",(I$1-A35))," ")</f>
        <v>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339</v>
      </c>
    </row>
    <row r="36" customFormat="false" ht="12.75" hidden="false" customHeight="false" outlineLevel="0" collapsed="false">
      <c r="A36" s="357" t="n">
        <v>46265</v>
      </c>
      <c r="B36" s="365" t="s">
        <v>365</v>
      </c>
      <c r="E36" s="367" t="s">
        <v>366</v>
      </c>
      <c r="G36" s="368" t="n">
        <v>300</v>
      </c>
      <c r="H36" s="340" t="n">
        <f aca="false">IF((G36&lt;&gt;0),IF((D36&gt;0)," ",G36)," ")</f>
        <v>300</v>
      </c>
      <c r="I36" s="369" t="n">
        <f aca="false">IF((G36&lt;&gt;0),IF((D36&gt;0)," ",(I$1-A36))," ")</f>
        <v>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367</v>
      </c>
    </row>
    <row r="37" customFormat="false" ht="12.75" hidden="false" customHeight="false" outlineLevel="0" collapsed="false">
      <c r="A37" s="357" t="n">
        <v>46265</v>
      </c>
      <c r="B37" s="365" t="s">
        <v>368</v>
      </c>
      <c r="C37" s="365" t="s">
        <v>463</v>
      </c>
      <c r="E37" s="367" t="s">
        <v>370</v>
      </c>
      <c r="G37" s="368" t="n">
        <v>3500</v>
      </c>
      <c r="H37" s="340" t="n">
        <f aca="false">IF((G37&lt;&gt;0),IF((D37&gt;0)," ",G37)," ")</f>
        <v>3500</v>
      </c>
      <c r="I37" s="369" t="n">
        <f aca="false">IF((G37&lt;&gt;0),IF((D37&gt;0)," ",(I$1-A37))," ")</f>
        <v>6</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371</v>
      </c>
    </row>
    <row r="38" customFormat="false" ht="12.75" hidden="false" customHeight="false" outlineLevel="0" collapsed="false">
      <c r="A38" s="357" t="n">
        <v>46265</v>
      </c>
      <c r="B38" s="365" t="s">
        <v>372</v>
      </c>
      <c r="C38" s="365" t="s">
        <v>464</v>
      </c>
      <c r="E38" s="367" t="s">
        <v>370</v>
      </c>
      <c r="G38" s="368" t="n">
        <v>2200</v>
      </c>
      <c r="H38" s="340" t="n">
        <f aca="false">IF((G38&lt;&gt;0),IF((D38&gt;0)," ",G38)," ")</f>
        <v>2200</v>
      </c>
      <c r="I38" s="369" t="n">
        <f aca="false">IF((G38&lt;&gt;0),IF((D38&gt;0)," ",(I$1-A38))," ")</f>
        <v>6</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33760</v>
      </c>
      <c r="G1" s="345" t="n">
        <f aca="false">SUM(G4:G300)</f>
        <v>0</v>
      </c>
      <c r="H1" s="347" t="n">
        <f aca="false">SUM(H4:H300)</f>
        <v>33760</v>
      </c>
      <c r="I1" s="348" t="n">
        <f aca="true">TODAY()</f>
        <v>46271</v>
      </c>
      <c r="J1" s="345" t="n">
        <f aca="false">SUM(J4:J300)</f>
        <v>0</v>
      </c>
      <c r="K1" s="349" t="n">
        <f aca="false">J1+SalesAug!K1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46268</v>
      </c>
      <c r="B4" s="336" t="s">
        <v>259</v>
      </c>
      <c r="C4" s="337" t="s">
        <v>465</v>
      </c>
      <c r="F4" s="336" t="n">
        <v>360</v>
      </c>
      <c r="H4" s="340" t="n">
        <f aca="false">IF((F4&lt;&gt;0),IF((D4&gt;0)," ",F4)," ")</f>
        <v>360</v>
      </c>
      <c r="I4" s="341" t="n">
        <f aca="false">IF((F4&lt;&gt;0),IF((D4&gt;0)," ",(I$1-A4))," ")</f>
        <v>3</v>
      </c>
      <c r="BZ4" s="336" t="s">
        <v>258</v>
      </c>
    </row>
    <row r="5" customFormat="false" ht="12.75" hidden="false" customHeight="false" outlineLevel="0" collapsed="false">
      <c r="A5" s="357" t="n">
        <v>46270</v>
      </c>
      <c r="B5" s="336" t="s">
        <v>261</v>
      </c>
      <c r="C5" s="337" t="s">
        <v>466</v>
      </c>
      <c r="F5" s="336" t="n">
        <v>600</v>
      </c>
      <c r="H5" s="340" t="n">
        <f aca="false">IF((F5&lt;&gt;0),IF((D5&gt;0)," ",F5)," ")</f>
        <v>600</v>
      </c>
      <c r="I5" s="341" t="n">
        <f aca="false">IF((F5&lt;&gt;0),IF((D5&gt;0)," ",(I$1-A5))," ")</f>
        <v>1</v>
      </c>
      <c r="BZ5" s="336" t="s">
        <v>258</v>
      </c>
    </row>
    <row r="6" customFormat="false" ht="12.75" hidden="false" customHeight="false" outlineLevel="0" collapsed="false">
      <c r="A6" s="357" t="n">
        <v>46273</v>
      </c>
      <c r="B6" s="336" t="s">
        <v>263</v>
      </c>
      <c r="C6" s="337" t="s">
        <v>467</v>
      </c>
      <c r="F6" s="336" t="n">
        <v>480</v>
      </c>
      <c r="H6" s="340" t="n">
        <f aca="false">IF((F6&lt;&gt;0),IF((D6&gt;0)," ",F6)," ")</f>
        <v>480</v>
      </c>
      <c r="I6" s="341" t="n">
        <f aca="false">IF((F6&lt;&gt;0),IF((D6&gt;0)," ",(I$1-A6))," ")</f>
        <v>-2</v>
      </c>
      <c r="BZ6" s="336" t="s">
        <v>265</v>
      </c>
    </row>
    <row r="7" customFormat="false" ht="12.75" hidden="false" customHeight="false" outlineLevel="0" collapsed="false">
      <c r="A7" s="357" t="n">
        <v>46275</v>
      </c>
      <c r="B7" s="336" t="s">
        <v>266</v>
      </c>
      <c r="C7" s="337" t="s">
        <v>468</v>
      </c>
      <c r="F7" s="336" t="n">
        <v>720</v>
      </c>
      <c r="H7" s="340" t="n">
        <f aca="false">IF((F7&lt;&gt;0),IF((D7&gt;0)," ",F7)," ")</f>
        <v>720</v>
      </c>
      <c r="I7" s="341" t="n">
        <f aca="false">IF((F7&lt;&gt;0),IF((D7&gt;0)," ",(I$1-A7))," ")</f>
        <v>-4</v>
      </c>
      <c r="BZ7" s="336" t="s">
        <v>265</v>
      </c>
    </row>
    <row r="8" customFormat="false" ht="12.75" hidden="false" customHeight="false" outlineLevel="0" collapsed="false">
      <c r="A8" s="357" t="n">
        <v>46280</v>
      </c>
      <c r="B8" s="336" t="s">
        <v>268</v>
      </c>
      <c r="C8" s="337" t="s">
        <v>469</v>
      </c>
      <c r="F8" s="336" t="n">
        <v>25000</v>
      </c>
      <c r="H8" s="340" t="n">
        <f aca="false">IF((F8&lt;&gt;0),IF((D8&gt;0)," ",F8)," ")</f>
        <v>25000</v>
      </c>
      <c r="I8" s="341" t="n">
        <f aca="false">IF((F8&lt;&gt;0),IF((D8&gt;0)," ",(I$1-A8))," ")</f>
        <v>-9</v>
      </c>
      <c r="BZ8" s="336" t="s">
        <v>265</v>
      </c>
    </row>
    <row r="9" customFormat="false" ht="12.75" hidden="false" customHeight="false" outlineLevel="0" collapsed="false">
      <c r="A9" s="357" t="n">
        <v>46281</v>
      </c>
      <c r="B9" s="336" t="s">
        <v>381</v>
      </c>
      <c r="C9" s="337" t="s">
        <v>470</v>
      </c>
      <c r="F9" s="336" t="n">
        <v>1200</v>
      </c>
      <c r="H9" s="340" t="n">
        <f aca="false">IF((F9&lt;&gt;0),IF((D9&gt;0)," ",F9)," ")</f>
        <v>1200</v>
      </c>
      <c r="I9" s="341" t="n">
        <f aca="false">IF((F9&lt;&gt;0),IF((D9&gt;0)," ",(I$1-A9))," ")</f>
        <v>-10</v>
      </c>
      <c r="BZ9" s="336" t="s">
        <v>383</v>
      </c>
    </row>
    <row r="10" customFormat="false" ht="12.75" hidden="false" customHeight="false" outlineLevel="0" collapsed="false">
      <c r="A10" s="357" t="n">
        <v>46283</v>
      </c>
      <c r="B10" s="336" t="s">
        <v>270</v>
      </c>
      <c r="C10" s="337" t="s">
        <v>471</v>
      </c>
      <c r="F10" s="336" t="n">
        <v>2400</v>
      </c>
      <c r="H10" s="340" t="n">
        <f aca="false">IF((F10&lt;&gt;0),IF((D10&gt;0)," ",F10)," ")</f>
        <v>2400</v>
      </c>
      <c r="I10" s="341" t="n">
        <f aca="false">IF((F10&lt;&gt;0),IF((D10&gt;0)," ",(I$1-A10))," ")</f>
        <v>-12</v>
      </c>
      <c r="BZ10" s="336" t="s">
        <v>265</v>
      </c>
    </row>
    <row r="11" customFormat="false" ht="12.75" hidden="false" customHeight="false" outlineLevel="0" collapsed="false">
      <c r="A11" s="357" t="n">
        <v>46285</v>
      </c>
      <c r="B11" s="336" t="s">
        <v>472</v>
      </c>
      <c r="C11" s="337" t="s">
        <v>473</v>
      </c>
      <c r="F11" s="336" t="n">
        <v>960</v>
      </c>
      <c r="H11" s="340" t="n">
        <f aca="false">IF((F11&lt;&gt;0),IF((D11&gt;0)," ",F11)," ")</f>
        <v>960</v>
      </c>
      <c r="I11" s="341" t="n">
        <f aca="false">IF((F11&lt;&gt;0),IF((D11&gt;0)," ",(I$1-A11))," ")</f>
        <v>-14</v>
      </c>
      <c r="BZ11" s="336" t="s">
        <v>383</v>
      </c>
    </row>
    <row r="12" customFormat="false" ht="12.75" hidden="false" customHeight="false" outlineLevel="0" collapsed="false">
      <c r="A12" s="357" t="n">
        <v>46287</v>
      </c>
      <c r="B12" s="336" t="s">
        <v>414</v>
      </c>
      <c r="C12" s="337" t="s">
        <v>474</v>
      </c>
      <c r="F12" s="336" t="n">
        <v>1440</v>
      </c>
      <c r="H12" s="340" t="n">
        <f aca="false">IF((F12&lt;&gt;0),IF((D12&gt;0)," ",F12)," ")</f>
        <v>1440</v>
      </c>
      <c r="I12" s="341" t="n">
        <f aca="false">IF((F12&lt;&gt;0),IF((D12&gt;0)," ",(I$1-A12))," ")</f>
        <v>-16</v>
      </c>
      <c r="BZ12" s="336" t="s">
        <v>265</v>
      </c>
    </row>
    <row r="13" customFormat="false" ht="12.75" hidden="false" customHeight="false" outlineLevel="0" collapsed="false">
      <c r="A13" s="357" t="n">
        <v>46290</v>
      </c>
      <c r="B13" s="336" t="s">
        <v>475</v>
      </c>
      <c r="C13" s="337" t="s">
        <v>476</v>
      </c>
      <c r="F13" s="336" t="n">
        <v>600</v>
      </c>
      <c r="H13" s="340" t="n">
        <f aca="false">IF((F13&lt;&gt;0),IF((D13&gt;0)," ",F13)," ")</f>
        <v>600</v>
      </c>
      <c r="I13" s="341" t="n">
        <f aca="false">IF((F13&lt;&gt;0),IF((D13&gt;0)," ",(I$1-A13))," ")</f>
        <v>-19</v>
      </c>
      <c r="BZ13" s="336" t="s">
        <v>276</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278</v>
      </c>
      <c r="C1" s="346" t="n">
        <f aca="false">PurchasesAug!C1+PurchasesSep!F1+SalesSep!$E$1</f>
        <v>695</v>
      </c>
      <c r="D1" s="371" t="s">
        <v>245</v>
      </c>
      <c r="E1" s="373" t="str">
        <f aca="false">IF((G1-SUM(J1:W1)&lt;&gt;0),(G1-SUM(J1:W1))," ")</f>
        <v> </v>
      </c>
      <c r="F1" s="346" t="n">
        <f aca="false">SUM(F5:F300)</f>
        <v>160</v>
      </c>
      <c r="G1" s="345" t="n">
        <f aca="false">SUM(G4:G300)</f>
        <v>10675</v>
      </c>
      <c r="H1" s="374" t="n">
        <f aca="false">SUM(H5:H300)</f>
        <v>10603</v>
      </c>
      <c r="I1" s="375" t="n">
        <f aca="true">TODAY()</f>
        <v>46271</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IF((C1&lt;Admin!$F$22),((C1-PurchasesAug!C1)*Admin!$G$21),(C1*Admin!$G$21-(C1-Admin!$F$21)*(Admin!$G$21-Admin!$G$22)-PurchasesAug!A1))</f>
        <v>72</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46266</v>
      </c>
      <c r="B5" s="365" t="s">
        <v>320</v>
      </c>
      <c r="E5" s="367" t="s">
        <v>321</v>
      </c>
      <c r="G5" s="368" t="n">
        <v>1200</v>
      </c>
      <c r="H5" s="340" t="n">
        <f aca="false">IF((G5&lt;&gt;0),IF((D5&gt;0)," ",G5)," ")</f>
        <v>1200</v>
      </c>
      <c r="I5" s="369" t="n">
        <f aca="false">IF((G5&lt;&gt;0),IF((D5&gt;0)," ",(I$1-A5))," ")</f>
        <v>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46266</v>
      </c>
      <c r="B6" s="365" t="s">
        <v>323</v>
      </c>
      <c r="E6" s="367" t="s">
        <v>324</v>
      </c>
      <c r="G6" s="368" t="n">
        <v>30</v>
      </c>
      <c r="H6" s="340" t="n">
        <f aca="false">IF((G6&lt;&gt;0),IF((D6&gt;0)," ",G6)," ")</f>
        <v>30</v>
      </c>
      <c r="I6" s="369" t="n">
        <f aca="false">IF((G6&lt;&gt;0),IF((D6&gt;0)," ",(I$1-A6))," ")</f>
        <v>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46266</v>
      </c>
      <c r="B7" s="365" t="s">
        <v>326</v>
      </c>
      <c r="E7" s="367" t="s">
        <v>324</v>
      </c>
      <c r="G7" s="368" t="n">
        <v>15</v>
      </c>
      <c r="H7" s="340" t="n">
        <f aca="false">IF((G7&lt;&gt;0),IF((D7&gt;0)," ",G7)," ")</f>
        <v>15</v>
      </c>
      <c r="I7" s="369" t="n">
        <f aca="false">IF((G7&lt;&gt;0),IF((D7&gt;0)," ",(I$1-A7))," ")</f>
        <v>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46266</v>
      </c>
      <c r="B8" s="365" t="s">
        <v>327</v>
      </c>
      <c r="E8" s="367" t="s">
        <v>328</v>
      </c>
      <c r="G8" s="368" t="n">
        <v>45</v>
      </c>
      <c r="H8" s="340" t="n">
        <f aca="false">IF((G8&lt;&gt;0),IF((D8&gt;0)," ",G8)," ")</f>
        <v>45</v>
      </c>
      <c r="I8" s="369" t="n">
        <f aca="false">IF((G8&lt;&gt;0),IF((D8&gt;0)," ",(I$1-A8))," ")</f>
        <v>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46266</v>
      </c>
      <c r="B9" s="365" t="s">
        <v>332</v>
      </c>
      <c r="E9" s="367" t="s">
        <v>328</v>
      </c>
      <c r="G9" s="368" t="n">
        <v>24</v>
      </c>
      <c r="H9" s="340" t="n">
        <f aca="false">IF((G9&lt;&gt;0),IF((D9&gt;0)," ",G9)," ")</f>
        <v>24</v>
      </c>
      <c r="I9" s="369" t="n">
        <f aca="false">IF((G9&lt;&gt;0),IF((D9&gt;0)," ",(I$1-A9))," ")</f>
        <v>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46266</v>
      </c>
      <c r="B10" s="365" t="s">
        <v>333</v>
      </c>
      <c r="E10" s="367" t="s">
        <v>324</v>
      </c>
      <c r="G10" s="368" t="n">
        <v>18</v>
      </c>
      <c r="H10" s="340" t="n">
        <f aca="false">IF((G10&lt;&gt;0),IF((D10&gt;0)," ",G10)," ")</f>
        <v>18</v>
      </c>
      <c r="I10" s="369" t="n">
        <f aca="false">IF((G10&lt;&gt;0),IF((D10&gt;0)," ",(I$1-A10))," ")</f>
        <v>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46268</v>
      </c>
      <c r="B11" s="365" t="s">
        <v>334</v>
      </c>
      <c r="E11" s="367" t="s">
        <v>328</v>
      </c>
      <c r="G11" s="368" t="n">
        <v>180</v>
      </c>
      <c r="H11" s="340" t="n">
        <f aca="false">IF((G11&lt;&gt;0),IF((D11&gt;0)," ",G11)," ")</f>
        <v>180</v>
      </c>
      <c r="I11" s="369" t="n">
        <f aca="false">IF((G11&lt;&gt;0),IF((D11&gt;0)," ",(I$1-A11))," ")</f>
        <v>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46268</v>
      </c>
      <c r="B12" s="365" t="s">
        <v>335</v>
      </c>
      <c r="E12" s="367" t="s">
        <v>328</v>
      </c>
      <c r="G12" s="368" t="n">
        <v>22</v>
      </c>
      <c r="H12" s="340" t="n">
        <f aca="false">IF((G12&lt;&gt;0),IF((D12&gt;0)," ",G12)," ")</f>
        <v>22</v>
      </c>
      <c r="I12" s="369" t="n">
        <f aca="false">IF((G12&lt;&gt;0),IF((D12&gt;0)," ",(I$1-A12))," ")</f>
        <v>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46270</v>
      </c>
      <c r="B13" s="365" t="s">
        <v>337</v>
      </c>
      <c r="E13" s="367" t="s">
        <v>328</v>
      </c>
      <c r="G13" s="368" t="n">
        <v>24</v>
      </c>
      <c r="H13" s="340" t="n">
        <f aca="false">IF((G13&lt;&gt;0),IF((D13&gt;0)," ",G13)," ")</f>
        <v>24</v>
      </c>
      <c r="I13" s="369" t="n">
        <f aca="false">IF((G13&lt;&gt;0),IF((D13&gt;0)," ",(I$1-A13))," ")</f>
        <v>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46270</v>
      </c>
      <c r="B14" s="365" t="s">
        <v>338</v>
      </c>
      <c r="E14" s="367" t="s">
        <v>303</v>
      </c>
      <c r="G14" s="368" t="n">
        <v>180</v>
      </c>
      <c r="H14" s="340" t="n">
        <f aca="false">IF((G14&lt;&gt;0),IF((D14&gt;0)," ",G14)," ")</f>
        <v>180</v>
      </c>
      <c r="I14" s="369" t="n">
        <f aca="false">IF((G14&lt;&gt;0),IF((D14&gt;0)," ",(I$1-A14))," ")</f>
        <v>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46273</v>
      </c>
      <c r="B15" s="365" t="s">
        <v>341</v>
      </c>
      <c r="E15" s="367" t="s">
        <v>342</v>
      </c>
      <c r="G15" s="368" t="n">
        <v>48</v>
      </c>
      <c r="H15" s="340" t="n">
        <f aca="false">IF((G15&lt;&gt;0),IF((D15&gt;0)," ",G15)," ")</f>
        <v>48</v>
      </c>
      <c r="I15" s="369" t="n">
        <f aca="false">IF((G15&lt;&gt;0),IF((D15&gt;0)," ",(I$1-A15))," ")</f>
        <v>-2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343</v>
      </c>
    </row>
    <row r="16" customFormat="false" ht="12.75" hidden="false" customHeight="false" outlineLevel="0" collapsed="false">
      <c r="A16" s="357" t="n">
        <v>46273</v>
      </c>
      <c r="B16" s="365" t="s">
        <v>389</v>
      </c>
      <c r="E16" s="367" t="s">
        <v>328</v>
      </c>
      <c r="G16" s="368" t="n">
        <v>360</v>
      </c>
      <c r="H16" s="340" t="n">
        <f aca="false">IF((G16&lt;&gt;0),IF((D16&gt;0)," ",G16)," ")</f>
        <v>360</v>
      </c>
      <c r="I16" s="369" t="n">
        <f aca="false">IF((G16&lt;&gt;0),IF((D16&gt;0)," ",(I$1-A16))," ")</f>
        <v>-2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390</v>
      </c>
    </row>
    <row r="17" customFormat="false" ht="12.75" hidden="false" customHeight="false" outlineLevel="0" collapsed="false">
      <c r="A17" s="357" t="n">
        <v>46275</v>
      </c>
      <c r="B17" s="365" t="s">
        <v>344</v>
      </c>
      <c r="E17" s="367" t="s">
        <v>328</v>
      </c>
      <c r="G17" s="368" t="n">
        <v>36</v>
      </c>
      <c r="H17" s="340" t="n">
        <f aca="false">IF((G17&lt;&gt;0),IF((D17&gt;0)," ",G17)," ")</f>
        <v>36</v>
      </c>
      <c r="I17" s="369" t="n">
        <f aca="false">IF((G17&lt;&gt;0),IF((D17&gt;0)," ",(I$1-A17))," ")</f>
        <v>-4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336</v>
      </c>
    </row>
    <row r="18" customFormat="false" ht="12.75" hidden="false" customHeight="false" outlineLevel="0" collapsed="false">
      <c r="A18" s="357" t="n">
        <v>46275</v>
      </c>
      <c r="B18" s="365" t="s">
        <v>355</v>
      </c>
      <c r="E18" s="367" t="s">
        <v>328</v>
      </c>
      <c r="G18" s="368" t="n">
        <v>96</v>
      </c>
      <c r="H18" s="340" t="n">
        <f aca="false">IF((G18&lt;&gt;0),IF((D18&gt;0)," ",G18)," ")</f>
        <v>96</v>
      </c>
      <c r="I18" s="369" t="n">
        <f aca="false">IF((G18&lt;&gt;0),IF((D18&gt;0)," ",(I$1-A18))," ")</f>
        <v>-4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400</v>
      </c>
    </row>
    <row r="19" customFormat="false" ht="12.75" hidden="false" customHeight="false" outlineLevel="0" collapsed="false">
      <c r="A19" s="357" t="n">
        <v>46277</v>
      </c>
      <c r="B19" s="365" t="s">
        <v>350</v>
      </c>
      <c r="E19" s="367" t="s">
        <v>303</v>
      </c>
      <c r="G19" s="368" t="n">
        <v>18</v>
      </c>
      <c r="H19" s="340" t="n">
        <f aca="false">IF((G19&lt;&gt;0),IF((D19&gt;0)," ",G19)," ")</f>
        <v>18</v>
      </c>
      <c r="I19" s="369" t="n">
        <f aca="false">IF((G19&lt;&gt;0),IF((D19&gt;0)," ",(I$1-A19))," ")</f>
        <v>-6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339</v>
      </c>
    </row>
    <row r="20" customFormat="false" ht="12.75" hidden="false" customHeight="false" outlineLevel="0" collapsed="false">
      <c r="A20" s="357" t="n">
        <v>46279</v>
      </c>
      <c r="B20" s="365" t="s">
        <v>352</v>
      </c>
      <c r="E20" s="367" t="s">
        <v>342</v>
      </c>
      <c r="G20" s="368" t="n">
        <v>24</v>
      </c>
      <c r="H20" s="340" t="n">
        <f aca="false">IF((G20&lt;&gt;0),IF((D20&gt;0)," ",G20)," ")</f>
        <v>24</v>
      </c>
      <c r="I20" s="369" t="n">
        <f aca="false">IF((G20&lt;&gt;0),IF((D20&gt;0)," ",(I$1-A20))," ")</f>
        <v>-8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343</v>
      </c>
    </row>
    <row r="21" customFormat="false" ht="12.75" hidden="false" customHeight="false" outlineLevel="0" collapsed="false">
      <c r="A21" s="357" t="n">
        <v>46279</v>
      </c>
      <c r="B21" s="365" t="s">
        <v>353</v>
      </c>
      <c r="D21" s="365"/>
      <c r="E21" s="367" t="s">
        <v>342</v>
      </c>
      <c r="G21" s="368" t="n">
        <v>12</v>
      </c>
      <c r="H21" s="340" t="n">
        <f aca="false">IF((G21&lt;&gt;0),IF((D21&gt;0)," ",G21)," ")</f>
        <v>12</v>
      </c>
      <c r="I21" s="369" t="n">
        <f aca="false">IF((G21&lt;&gt;0),IF((D21&gt;0)," ",(I$1-A21))," ")</f>
        <v>-8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343</v>
      </c>
    </row>
    <row r="22" customFormat="false" ht="12.75" hidden="false" customHeight="false" outlineLevel="0" collapsed="false">
      <c r="A22" s="357" t="n">
        <v>46280</v>
      </c>
      <c r="B22" s="365" t="s">
        <v>354</v>
      </c>
      <c r="D22" s="395"/>
      <c r="E22" s="367" t="s">
        <v>303</v>
      </c>
      <c r="G22" s="368" t="n">
        <v>150</v>
      </c>
      <c r="H22" s="340" t="n">
        <f aca="false">IF((G22&lt;&gt;0),IF((D22&gt;0)," ",G22)," ")</f>
        <v>150</v>
      </c>
      <c r="I22" s="369" t="n">
        <f aca="false">IF((G22&lt;&gt;0),IF((D22&gt;0)," ",(I$1-A22))," ")</f>
        <v>-9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339</v>
      </c>
    </row>
    <row r="23" customFormat="false" ht="12.75" hidden="false" customHeight="false" outlineLevel="0" collapsed="false">
      <c r="A23" s="357" t="n">
        <v>46280</v>
      </c>
      <c r="B23" s="365" t="s">
        <v>355</v>
      </c>
      <c r="E23" s="367" t="s">
        <v>324</v>
      </c>
      <c r="G23" s="368" t="n">
        <v>12</v>
      </c>
      <c r="H23" s="340" t="n">
        <f aca="false">IF((G23&lt;&gt;0),IF((D23&gt;0)," ",G23)," ")</f>
        <v>12</v>
      </c>
      <c r="I23" s="369" t="n">
        <f aca="false">IF((G23&lt;&gt;0),IF((D23&gt;0)," ",(I$1-A23))," ")</f>
        <v>-9</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325</v>
      </c>
    </row>
    <row r="24" customFormat="false" ht="12.75" hidden="false" customHeight="false" outlineLevel="0" collapsed="false">
      <c r="A24" s="357" t="n">
        <v>46280</v>
      </c>
      <c r="B24" s="365" t="s">
        <v>477</v>
      </c>
      <c r="E24" s="367" t="s">
        <v>366</v>
      </c>
      <c r="G24" s="368" t="n">
        <v>960</v>
      </c>
      <c r="H24" s="340" t="n">
        <f aca="false">IF((G24&lt;&gt;0),IF((D24&gt;0)," ",G24)," ")</f>
        <v>960</v>
      </c>
      <c r="I24" s="369" t="n">
        <f aca="false">IF((G24&lt;&gt;0),IF((D24&gt;0)," ",(I$1-A24))," ")</f>
        <v>-9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367</v>
      </c>
    </row>
    <row r="25" customFormat="false" ht="12.75" hidden="false" customHeight="false" outlineLevel="0" collapsed="false">
      <c r="A25" s="357" t="n">
        <v>46281</v>
      </c>
      <c r="B25" s="365" t="s">
        <v>398</v>
      </c>
      <c r="E25" s="367" t="s">
        <v>324</v>
      </c>
      <c r="G25" s="368" t="n">
        <v>12</v>
      </c>
      <c r="H25" s="340" t="n">
        <f aca="false">IF((G25&lt;&gt;0),IF((D25&gt;0)," ",G25)," ")</f>
        <v>12</v>
      </c>
      <c r="I25" s="369" t="n">
        <f aca="false">IF((G25&lt;&gt;0),IF((D25&gt;0)," ",(I$1-A25))," ")</f>
        <v>-10</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325</v>
      </c>
    </row>
    <row r="26" customFormat="false" ht="12.75" hidden="false" customHeight="false" outlineLevel="0" collapsed="false">
      <c r="A26" s="357" t="n">
        <v>46283</v>
      </c>
      <c r="B26" s="365" t="s">
        <v>422</v>
      </c>
      <c r="E26" s="367" t="s">
        <v>348</v>
      </c>
      <c r="G26" s="368" t="n">
        <v>240</v>
      </c>
      <c r="H26" s="340" t="n">
        <f aca="false">IF((G26&lt;&gt;0),IF((D26&gt;0)," ",G26)," ")</f>
        <v>240</v>
      </c>
      <c r="I26" s="369" t="n">
        <f aca="false">IF((G26&lt;&gt;0),IF((D26&gt;0)," ",(I$1-A26))," ")</f>
        <v>-12</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349</v>
      </c>
    </row>
    <row r="27" customFormat="false" ht="12.75" hidden="false" customHeight="false" outlineLevel="0" collapsed="false">
      <c r="A27" s="357" t="n">
        <v>46283</v>
      </c>
      <c r="B27" s="365" t="s">
        <v>356</v>
      </c>
      <c r="E27" s="367" t="s">
        <v>303</v>
      </c>
      <c r="G27" s="368" t="n">
        <v>96</v>
      </c>
      <c r="H27" s="340" t="n">
        <f aca="false">IF((G27&lt;&gt;0),IF((D27&gt;0)," ",G27)," ")</f>
        <v>96</v>
      </c>
      <c r="I27" s="369" t="n">
        <f aca="false">IF((G27&lt;&gt;0),IF((D27&gt;0)," ",(I$1-A27))," ")</f>
        <v>-12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339</v>
      </c>
    </row>
    <row r="28" customFormat="false" ht="12.75" hidden="false" customHeight="false" outlineLevel="0" collapsed="false">
      <c r="A28" s="357" t="n">
        <v>46285</v>
      </c>
      <c r="B28" s="365" t="s">
        <v>357</v>
      </c>
      <c r="E28" s="367" t="s">
        <v>324</v>
      </c>
      <c r="G28" s="368" t="n">
        <v>60</v>
      </c>
      <c r="H28" s="340" t="n">
        <f aca="false">IF((G28&lt;&gt;0),IF((D28&gt;0)," ",G28)," ")</f>
        <v>60</v>
      </c>
      <c r="I28" s="369" t="n">
        <f aca="false">IF((G28&lt;&gt;0),IF((D28&gt;0)," ",(I$1-A28))," ")</f>
        <v>-14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46286</v>
      </c>
      <c r="B29" s="365" t="s">
        <v>361</v>
      </c>
      <c r="E29" s="367" t="s">
        <v>342</v>
      </c>
      <c r="G29" s="368" t="n">
        <v>8</v>
      </c>
      <c r="H29" s="340" t="n">
        <f aca="false">IF((G29&lt;&gt;0),IF((D29&gt;0)," ",G29)," ")</f>
        <v>8</v>
      </c>
      <c r="I29" s="369" t="n">
        <f aca="false">IF((G29&lt;&gt;0),IF((D29&gt;0)," ",(I$1-A29))," ")</f>
        <v>-15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343</v>
      </c>
    </row>
    <row r="30" customFormat="false" ht="12.75" hidden="false" customHeight="false" outlineLevel="0" collapsed="false">
      <c r="A30" s="357" t="n">
        <v>46287</v>
      </c>
      <c r="B30" s="365" t="s">
        <v>362</v>
      </c>
      <c r="E30" s="367" t="s">
        <v>328</v>
      </c>
      <c r="G30" s="368" t="n">
        <v>18</v>
      </c>
      <c r="H30" s="340" t="n">
        <f aca="false">IF((G30&lt;&gt;0),IF((D30&gt;0)," ",G30)," ")</f>
        <v>18</v>
      </c>
      <c r="I30" s="369" t="n">
        <f aca="false">IF((G30&lt;&gt;0),IF((D30&gt;0)," ",(I$1-A30))," ")</f>
        <v>-16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336</v>
      </c>
    </row>
    <row r="31" customFormat="false" ht="12.75" hidden="false" customHeight="false" outlineLevel="0" collapsed="false">
      <c r="A31" s="357" t="n">
        <v>46287</v>
      </c>
      <c r="B31" s="365" t="s">
        <v>402</v>
      </c>
      <c r="E31" s="367" t="s">
        <v>303</v>
      </c>
      <c r="G31" s="368" t="n">
        <v>72</v>
      </c>
      <c r="H31" s="340" t="n">
        <f aca="false">IF((G31&lt;&gt;0),IF((D31&gt;0)," ",G31)," ")</f>
        <v>72</v>
      </c>
      <c r="I31" s="369" t="n">
        <f aca="false">IF((G31&lt;&gt;0),IF((D31&gt;0)," ",(I$1-A31))," ")</f>
        <v>-16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339</v>
      </c>
    </row>
    <row r="32" customFormat="false" ht="12.75" hidden="false" customHeight="false" outlineLevel="0" collapsed="false">
      <c r="A32" s="357" t="n">
        <v>46290</v>
      </c>
      <c r="B32" s="365" t="s">
        <v>423</v>
      </c>
      <c r="E32" s="367" t="s">
        <v>321</v>
      </c>
      <c r="G32" s="368" t="n">
        <v>300</v>
      </c>
      <c r="H32" s="340" t="n">
        <f aca="false">IF((G32&lt;&gt;0),IF((D32&gt;0)," ",G32)," ")</f>
        <v>300</v>
      </c>
      <c r="I32" s="369" t="n">
        <f aca="false">IF((G32&lt;&gt;0),IF((D32&gt;0)," ",(I$1-A32))," ")</f>
        <v>-19</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424</v>
      </c>
    </row>
    <row r="33" customFormat="false" ht="12.75" hidden="false" customHeight="false" outlineLevel="0" collapsed="false">
      <c r="A33" s="357" t="n">
        <v>46290</v>
      </c>
      <c r="B33" s="365" t="s">
        <v>363</v>
      </c>
      <c r="E33" s="367" t="s">
        <v>328</v>
      </c>
      <c r="G33" s="368" t="n">
        <v>15</v>
      </c>
      <c r="H33" s="340" t="n">
        <f aca="false">IF((G33&lt;&gt;0),IF((D33&gt;0)," ",G33)," ")</f>
        <v>15</v>
      </c>
      <c r="I33" s="369" t="n">
        <f aca="false">IF((G33&lt;&gt;0),IF((D33&gt;0)," ",(I$1-A33))," ")</f>
        <v>-19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336</v>
      </c>
    </row>
    <row r="34" customFormat="false" ht="12.75" hidden="false" customHeight="false" outlineLevel="0" collapsed="false">
      <c r="A34" s="357" t="n">
        <v>46290</v>
      </c>
      <c r="B34" s="365" t="s">
        <v>364</v>
      </c>
      <c r="E34" s="367" t="s">
        <v>303</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46293</v>
      </c>
      <c r="B35" s="365" t="s">
        <v>354</v>
      </c>
      <c r="E35" s="367" t="s">
        <v>303</v>
      </c>
      <c r="G35" s="368" t="n">
        <v>120</v>
      </c>
      <c r="H35" s="340" t="n">
        <f aca="false">IF((G35&lt;&gt;0),IF((D35&gt;0)," ",G35)," ")</f>
        <v>120</v>
      </c>
      <c r="I35" s="369" t="n">
        <f aca="false">IF((G35&lt;&gt;0),IF((D35&gt;0)," ",(I$1-A35))," ")</f>
        <v>-22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339</v>
      </c>
    </row>
    <row r="36" customFormat="false" ht="12.75" hidden="false" customHeight="false" outlineLevel="0" collapsed="false">
      <c r="A36" s="357" t="n">
        <v>46295</v>
      </c>
      <c r="B36" s="365" t="s">
        <v>365</v>
      </c>
      <c r="E36" s="367" t="s">
        <v>366</v>
      </c>
      <c r="G36" s="368" t="n">
        <v>300</v>
      </c>
      <c r="H36" s="340" t="n">
        <f aca="false">IF((G36&lt;&gt;0),IF((D36&gt;0)," ",G36)," ")</f>
        <v>300</v>
      </c>
      <c r="I36" s="369" t="n">
        <f aca="false">IF((G36&lt;&gt;0),IF((D36&gt;0)," ",(I$1-A36))," ")</f>
        <v>-24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367</v>
      </c>
    </row>
    <row r="37" customFormat="false" ht="12.75" hidden="false" customHeight="false" outlineLevel="0" collapsed="false">
      <c r="A37" s="357" t="n">
        <v>46295</v>
      </c>
      <c r="B37" s="365" t="s">
        <v>425</v>
      </c>
      <c r="C37" s="365" t="s">
        <v>478</v>
      </c>
      <c r="E37" s="367" t="s">
        <v>427</v>
      </c>
      <c r="G37" s="368" t="n">
        <v>208</v>
      </c>
      <c r="H37" s="340" t="n">
        <f aca="false">IF((G37&lt;&gt;0),IF((D37&gt;0)," ",G37)," ")</f>
        <v>208</v>
      </c>
      <c r="I37" s="369" t="n">
        <f aca="false">IF((G37&lt;&gt;0),IF((D37&gt;0)," ",(I$1-A37))," ")</f>
        <v>-24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428</v>
      </c>
    </row>
    <row r="38" customFormat="false" ht="12.75" hidden="false" customHeight="false" outlineLevel="0" collapsed="false">
      <c r="A38" s="357" t="n">
        <v>46295</v>
      </c>
      <c r="B38" s="365" t="s">
        <v>368</v>
      </c>
      <c r="C38" s="365" t="s">
        <v>479</v>
      </c>
      <c r="E38" s="367" t="s">
        <v>370</v>
      </c>
      <c r="G38" s="368" t="n">
        <v>3500</v>
      </c>
      <c r="H38" s="340" t="n">
        <f aca="false">IF((G38&lt;&gt;0),IF((D38&gt;0)," ",G38)," ")</f>
        <v>3500</v>
      </c>
      <c r="I38" s="369" t="n">
        <f aca="false">IF((G38&lt;&gt;0),IF((D38&gt;0)," ",(I$1-A38))," ")</f>
        <v>-24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t="n">
        <v>46295</v>
      </c>
      <c r="B39" s="365" t="s">
        <v>372</v>
      </c>
      <c r="C39" s="365" t="s">
        <v>480</v>
      </c>
      <c r="E39" s="367" t="s">
        <v>370</v>
      </c>
      <c r="G39" s="368" t="n">
        <v>2200</v>
      </c>
      <c r="H39" s="340" t="n">
        <f aca="false">IF((G39&lt;&gt;0),IF((D39&gt;0)," ",G39)," ")</f>
        <v>2200</v>
      </c>
      <c r="I39" s="369" t="n">
        <f aca="false">IF((G39&lt;&gt;0),IF((D39&gt;0)," ",(I$1-A39))," ")</f>
        <v>-24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35560</v>
      </c>
      <c r="G1" s="345" t="n">
        <f aca="false">SUM(G4:G300)</f>
        <v>0</v>
      </c>
      <c r="H1" s="347" t="n">
        <f aca="false">SUM(H4:H300)</f>
        <v>35560</v>
      </c>
      <c r="I1" s="348" t="n">
        <f aca="true">TODAY()</f>
        <v>46271</v>
      </c>
      <c r="J1" s="345" t="n">
        <f aca="false">SUM(J4:J300)</f>
        <v>0</v>
      </c>
      <c r="K1" s="349" t="n">
        <f aca="false">J1+SalesSep!K1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46296</v>
      </c>
      <c r="B4" s="336" t="s">
        <v>256</v>
      </c>
      <c r="C4" s="337" t="s">
        <v>481</v>
      </c>
      <c r="F4" s="336" t="n">
        <v>1200</v>
      </c>
      <c r="H4" s="340" t="n">
        <f aca="false">IF((F4&lt;&gt;0),IF((D4&gt;0)," ",F4)," ")</f>
        <v>1200</v>
      </c>
      <c r="I4" s="341" t="n">
        <f aca="false">IF((F4&lt;&gt;0),IF((D4&gt;0)," ",(I$1-A4))," ")</f>
        <v>-25</v>
      </c>
      <c r="BZ4" s="336" t="s">
        <v>258</v>
      </c>
    </row>
    <row r="5" customFormat="false" ht="12.75" hidden="false" customHeight="false" outlineLevel="0" collapsed="false">
      <c r="A5" s="357" t="n">
        <v>46298</v>
      </c>
      <c r="B5" s="336" t="s">
        <v>259</v>
      </c>
      <c r="C5" s="337" t="s">
        <v>482</v>
      </c>
      <c r="F5" s="336" t="n">
        <v>360</v>
      </c>
      <c r="H5" s="340" t="n">
        <f aca="false">IF((F5&lt;&gt;0),IF((D5&gt;0)," ",F5)," ")</f>
        <v>360</v>
      </c>
      <c r="I5" s="341" t="n">
        <f aca="false">IF((F5&lt;&gt;0),IF((D5&gt;0)," ",(I$1-A5))," ")</f>
        <v>-27</v>
      </c>
      <c r="BZ5" s="336" t="s">
        <v>258</v>
      </c>
    </row>
    <row r="6" customFormat="false" ht="12.75" hidden="false" customHeight="false" outlineLevel="0" collapsed="false">
      <c r="A6" s="357" t="n">
        <v>46300</v>
      </c>
      <c r="B6" s="336" t="s">
        <v>261</v>
      </c>
      <c r="C6" s="337" t="s">
        <v>483</v>
      </c>
      <c r="F6" s="336" t="n">
        <v>600</v>
      </c>
      <c r="H6" s="340" t="n">
        <f aca="false">IF((F6&lt;&gt;0),IF((D6&gt;0)," ",F6)," ")</f>
        <v>600</v>
      </c>
      <c r="I6" s="341" t="n">
        <f aca="false">IF((F6&lt;&gt;0),IF((D6&gt;0)," ",(I$1-A6))," ")</f>
        <v>-29</v>
      </c>
      <c r="BZ6" s="336" t="s">
        <v>258</v>
      </c>
    </row>
    <row r="7" customFormat="false" ht="12.75" hidden="false" customHeight="false" outlineLevel="0" collapsed="false">
      <c r="A7" s="357" t="n">
        <v>46303</v>
      </c>
      <c r="B7" s="336" t="s">
        <v>263</v>
      </c>
      <c r="C7" s="337" t="s">
        <v>484</v>
      </c>
      <c r="F7" s="336" t="n">
        <v>480</v>
      </c>
      <c r="H7" s="340" t="n">
        <f aca="false">IF((F7&lt;&gt;0),IF((D7&gt;0)," ",F7)," ")</f>
        <v>480</v>
      </c>
      <c r="I7" s="341" t="n">
        <f aca="false">IF((F7&lt;&gt;0),IF((D7&gt;0)," ",(I$1-A7))," ")</f>
        <v>-32</v>
      </c>
      <c r="BZ7" s="336" t="s">
        <v>265</v>
      </c>
    </row>
    <row r="8" customFormat="false" ht="12.75" hidden="false" customHeight="false" outlineLevel="0" collapsed="false">
      <c r="A8" s="357" t="n">
        <v>46305</v>
      </c>
      <c r="B8" s="336" t="s">
        <v>266</v>
      </c>
      <c r="C8" s="337" t="s">
        <v>485</v>
      </c>
      <c r="F8" s="336" t="n">
        <v>720</v>
      </c>
      <c r="H8" s="340" t="n">
        <f aca="false">IF((F8&lt;&gt;0),IF((D8&gt;0)," ",F8)," ")</f>
        <v>720</v>
      </c>
      <c r="I8" s="341" t="n">
        <f aca="false">IF((F8&lt;&gt;0),IF((D8&gt;0)," ",(I$1-A8))," ")</f>
        <v>-34</v>
      </c>
      <c r="BZ8" s="336" t="s">
        <v>265</v>
      </c>
    </row>
    <row r="9" customFormat="false" ht="12.75" hidden="false" customHeight="false" outlineLevel="0" collapsed="false">
      <c r="A9" s="357" t="n">
        <v>46309</v>
      </c>
      <c r="B9" s="336" t="s">
        <v>436</v>
      </c>
      <c r="C9" s="337" t="s">
        <v>486</v>
      </c>
      <c r="F9" s="336" t="n">
        <v>2160</v>
      </c>
      <c r="H9" s="340" t="n">
        <f aca="false">IF((F9&lt;&gt;0),IF((D9&gt;0)," ",F9)," ")</f>
        <v>2160</v>
      </c>
      <c r="I9" s="341" t="n">
        <f aca="false">IF((F9&lt;&gt;0),IF((D9&gt;0)," ",(I$1-A9))," ")</f>
        <v>-38</v>
      </c>
      <c r="BZ9" s="336" t="s">
        <v>265</v>
      </c>
    </row>
    <row r="10" customFormat="false" ht="12.75" hidden="false" customHeight="false" outlineLevel="0" collapsed="false">
      <c r="A10" s="357" t="n">
        <v>46310</v>
      </c>
      <c r="B10" s="336" t="s">
        <v>268</v>
      </c>
      <c r="C10" s="337" t="s">
        <v>487</v>
      </c>
      <c r="F10" s="336" t="n">
        <v>25000</v>
      </c>
      <c r="H10" s="340" t="n">
        <f aca="false">IF((F10&lt;&gt;0),IF((D10&gt;0)," ",F10)," ")</f>
        <v>25000</v>
      </c>
      <c r="I10" s="341" t="n">
        <f aca="false">IF((F10&lt;&gt;0),IF((D10&gt;0)," ",(I$1-A10))," ")</f>
        <v>-39</v>
      </c>
      <c r="BZ10" s="336" t="s">
        <v>265</v>
      </c>
    </row>
    <row r="11" customFormat="false" ht="12.75" hidden="false" customHeight="false" outlineLevel="0" collapsed="false">
      <c r="A11" s="357" t="n">
        <v>46313</v>
      </c>
      <c r="B11" s="336" t="s">
        <v>270</v>
      </c>
      <c r="C11" s="337" t="s">
        <v>488</v>
      </c>
      <c r="F11" s="336" t="n">
        <v>2400</v>
      </c>
      <c r="H11" s="340" t="n">
        <f aca="false">IF((F11&lt;&gt;0),IF((D11&gt;0)," ",F11)," ")</f>
        <v>2400</v>
      </c>
      <c r="I11" s="341" t="n">
        <f aca="false">IF((F11&lt;&gt;0),IF((D11&gt;0)," ",(I$1-A11))," ")</f>
        <v>-42</v>
      </c>
      <c r="BZ11" s="336" t="s">
        <v>265</v>
      </c>
    </row>
    <row r="12" customFormat="false" ht="12.75" hidden="false" customHeight="false" outlineLevel="0" collapsed="false">
      <c r="A12" s="357" t="n">
        <v>46315</v>
      </c>
      <c r="B12" s="336" t="s">
        <v>272</v>
      </c>
      <c r="C12" s="337" t="s">
        <v>489</v>
      </c>
      <c r="F12" s="336" t="n">
        <v>1800</v>
      </c>
      <c r="H12" s="340" t="n">
        <f aca="false">IF((F12&lt;&gt;0),IF((D12&gt;0)," ",F12)," ")</f>
        <v>1800</v>
      </c>
      <c r="I12" s="341" t="n">
        <f aca="false">IF((F12&lt;&gt;0),IF((D12&gt;0)," ",(I$1-A12))," ")</f>
        <v>-44</v>
      </c>
      <c r="BZ12" s="336" t="s">
        <v>265</v>
      </c>
    </row>
    <row r="13" customFormat="false" ht="12.75" hidden="false" customHeight="false" outlineLevel="0" collapsed="false">
      <c r="A13" s="357" t="n">
        <v>46323</v>
      </c>
      <c r="B13" s="336" t="s">
        <v>274</v>
      </c>
      <c r="C13" s="337" t="s">
        <v>490</v>
      </c>
      <c r="F13" s="336" t="n">
        <v>840</v>
      </c>
      <c r="H13" s="340" t="n">
        <f aca="false">IF((F13&lt;&gt;0),IF((D13&gt;0)," ",F13)," ")</f>
        <v>840</v>
      </c>
      <c r="I13" s="341" t="n">
        <f aca="false">IF((F13&lt;&gt;0),IF((D13&gt;0)," ",(I$1-A13))," ")</f>
        <v>-52</v>
      </c>
      <c r="BZ13" s="336" t="s">
        <v>276</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278</v>
      </c>
      <c r="C1" s="346" t="n">
        <f aca="false">PurchasesSep!C1+PurchasesOct!F1+SalesOct!$E$1</f>
        <v>790</v>
      </c>
      <c r="D1" s="371" t="s">
        <v>245</v>
      </c>
      <c r="E1" s="373" t="str">
        <f aca="false">IF((G1-SUM(J1:W1)&lt;&gt;0),(G1-SUM(J1:W1))," ")</f>
        <v> </v>
      </c>
      <c r="F1" s="346" t="n">
        <f aca="false">SUM(F5:F300)</f>
        <v>95</v>
      </c>
      <c r="G1" s="345" t="n">
        <f aca="false">SUM(G4:G300)</f>
        <v>48705.75</v>
      </c>
      <c r="H1" s="374" t="n">
        <f aca="false">SUM(H5:H300)</f>
        <v>48663</v>
      </c>
      <c r="I1" s="375" t="n">
        <f aca="true">TODAY()</f>
        <v>46271</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IF((C1&lt;Admin!$F$22),((C1-PurchasesSep!C1)*Admin!$G$21),(C1*Admin!$G$21-(C1-Admin!$F$21)*(Admin!$G$21-Admin!$G$22)-PurchasesSep!A1))</f>
        <v>42.75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46296</v>
      </c>
      <c r="B5" s="365" t="s">
        <v>320</v>
      </c>
      <c r="E5" s="367" t="s">
        <v>321</v>
      </c>
      <c r="G5" s="368" t="n">
        <v>1200</v>
      </c>
      <c r="H5" s="340" t="n">
        <f aca="false">IF((G5&lt;&gt;0),IF((D5&gt;0)," ",G5)," ")</f>
        <v>1200</v>
      </c>
      <c r="I5" s="369" t="n">
        <f aca="false">IF((G5&lt;&gt;0),IF((D5&gt;0)," ",(I$1-A5))," ")</f>
        <v>-25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46296</v>
      </c>
      <c r="B6" s="365" t="s">
        <v>323</v>
      </c>
      <c r="E6" s="367" t="s">
        <v>324</v>
      </c>
      <c r="G6" s="368" t="n">
        <v>30</v>
      </c>
      <c r="H6" s="340" t="n">
        <f aca="false">IF((G6&lt;&gt;0),IF((D6&gt;0)," ",G6)," ")</f>
        <v>30</v>
      </c>
      <c r="I6" s="369" t="n">
        <f aca="false">IF((G6&lt;&gt;0),IF((D6&gt;0)," ",(I$1-A6))," ")</f>
        <v>-25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46296</v>
      </c>
      <c r="B7" s="365" t="s">
        <v>326</v>
      </c>
      <c r="E7" s="367" t="s">
        <v>324</v>
      </c>
      <c r="G7" s="368" t="n">
        <v>15</v>
      </c>
      <c r="H7" s="340" t="n">
        <f aca="false">IF((G7&lt;&gt;0),IF((D7&gt;0)," ",G7)," ")</f>
        <v>15</v>
      </c>
      <c r="I7" s="369" t="n">
        <f aca="false">IF((G7&lt;&gt;0),IF((D7&gt;0)," ",(I$1-A7))," ")</f>
        <v>-25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46296</v>
      </c>
      <c r="B8" s="365" t="s">
        <v>327</v>
      </c>
      <c r="E8" s="367" t="s">
        <v>328</v>
      </c>
      <c r="G8" s="368" t="n">
        <v>45</v>
      </c>
      <c r="H8" s="340" t="n">
        <f aca="false">IF((G8&lt;&gt;0),IF((D8&gt;0)," ",G8)," ")</f>
        <v>45</v>
      </c>
      <c r="I8" s="369" t="n">
        <f aca="false">IF((G8&lt;&gt;0),IF((D8&gt;0)," ",(I$1-A8))," ")</f>
        <v>-25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46296</v>
      </c>
      <c r="B9" s="365" t="s">
        <v>491</v>
      </c>
      <c r="E9" s="367" t="s">
        <v>328</v>
      </c>
      <c r="G9" s="368" t="n">
        <v>360</v>
      </c>
      <c r="H9" s="340" t="n">
        <f aca="false">IF((G9&lt;&gt;0),IF((D9&gt;0)," ",G9)," ")</f>
        <v>360</v>
      </c>
      <c r="I9" s="369" t="n">
        <f aca="false">IF((G9&lt;&gt;0),IF((D9&gt;0)," ",(I$1-A9))," ")</f>
        <v>-25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331</v>
      </c>
    </row>
    <row r="10" customFormat="false" ht="12.75" hidden="false" customHeight="false" outlineLevel="0" collapsed="false">
      <c r="A10" s="357" t="n">
        <v>46296</v>
      </c>
      <c r="B10" s="365" t="s">
        <v>332</v>
      </c>
      <c r="E10" s="367" t="s">
        <v>328</v>
      </c>
      <c r="G10" s="368" t="n">
        <v>24</v>
      </c>
      <c r="H10" s="340" t="n">
        <f aca="false">IF((G10&lt;&gt;0),IF((D10&gt;0)," ",G10)," ")</f>
        <v>24</v>
      </c>
      <c r="I10" s="369" t="n">
        <f aca="false">IF((G10&lt;&gt;0),IF((D10&gt;0)," ",(I$1-A10))," ")</f>
        <v>-25</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329</v>
      </c>
    </row>
    <row r="11" customFormat="false" ht="12.75" hidden="false" customHeight="false" outlineLevel="0" collapsed="false">
      <c r="A11" s="357" t="n">
        <v>46296</v>
      </c>
      <c r="B11" s="365" t="s">
        <v>333</v>
      </c>
      <c r="E11" s="367" t="s">
        <v>324</v>
      </c>
      <c r="G11" s="368" t="n">
        <v>18</v>
      </c>
      <c r="H11" s="340" t="n">
        <f aca="false">IF((G11&lt;&gt;0),IF((D11&gt;0)," ",G11)," ")</f>
        <v>18</v>
      </c>
      <c r="I11" s="369" t="n">
        <f aca="false">IF((G11&lt;&gt;0),IF((D11&gt;0)," ",(I$1-A11))," ")</f>
        <v>-25</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325</v>
      </c>
    </row>
    <row r="12" customFormat="false" ht="12.75" hidden="false" customHeight="false" outlineLevel="0" collapsed="false">
      <c r="A12" s="357" t="n">
        <v>46298</v>
      </c>
      <c r="B12" s="365" t="s">
        <v>334</v>
      </c>
      <c r="E12" s="367" t="s">
        <v>328</v>
      </c>
      <c r="G12" s="368" t="n">
        <v>180</v>
      </c>
      <c r="H12" s="340" t="n">
        <f aca="false">IF((G12&lt;&gt;0),IF((D12&gt;0)," ",G12)," ")</f>
        <v>180</v>
      </c>
      <c r="I12" s="369" t="n">
        <f aca="false">IF((G12&lt;&gt;0),IF((D12&gt;0)," ",(I$1-A12))," ")</f>
        <v>-27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329</v>
      </c>
    </row>
    <row r="13" customFormat="false" ht="12.75" hidden="false" customHeight="false" outlineLevel="0" collapsed="false">
      <c r="A13" s="357" t="n">
        <v>46298</v>
      </c>
      <c r="B13" s="365" t="s">
        <v>335</v>
      </c>
      <c r="E13" s="367" t="s">
        <v>328</v>
      </c>
      <c r="G13" s="368" t="n">
        <v>22</v>
      </c>
      <c r="H13" s="340" t="n">
        <f aca="false">IF((G13&lt;&gt;0),IF((D13&gt;0)," ",G13)," ")</f>
        <v>22</v>
      </c>
      <c r="I13" s="369" t="n">
        <f aca="false">IF((G13&lt;&gt;0),IF((D13&gt;0)," ",(I$1-A13))," ")</f>
        <v>-27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336</v>
      </c>
    </row>
    <row r="14" customFormat="false" ht="12.75" hidden="false" customHeight="false" outlineLevel="0" collapsed="false">
      <c r="A14" s="357" t="n">
        <v>46300</v>
      </c>
      <c r="B14" s="365" t="s">
        <v>337</v>
      </c>
      <c r="E14" s="367" t="s">
        <v>328</v>
      </c>
      <c r="G14" s="368" t="n">
        <v>24</v>
      </c>
      <c r="H14" s="340" t="n">
        <f aca="false">IF((G14&lt;&gt;0),IF((D14&gt;0)," ",G14)," ")</f>
        <v>24</v>
      </c>
      <c r="I14" s="369" t="n">
        <f aca="false">IF((G14&lt;&gt;0),IF((D14&gt;0)," ",(I$1-A14))," ")</f>
        <v>-29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336</v>
      </c>
    </row>
    <row r="15" customFormat="false" ht="12.75" hidden="false" customHeight="false" outlineLevel="0" collapsed="false">
      <c r="A15" s="357" t="n">
        <v>46300</v>
      </c>
      <c r="B15" s="365" t="s">
        <v>338</v>
      </c>
      <c r="E15" s="367" t="s">
        <v>303</v>
      </c>
      <c r="G15" s="368" t="n">
        <v>180</v>
      </c>
      <c r="H15" s="340" t="n">
        <f aca="false">IF((G15&lt;&gt;0),IF((D15&gt;0)," ",G15)," ")</f>
        <v>180</v>
      </c>
      <c r="I15" s="369" t="n">
        <f aca="false">IF((G15&lt;&gt;0),IF((D15&gt;0)," ",(I$1-A15))," ")</f>
        <v>-29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339</v>
      </c>
    </row>
    <row r="16" customFormat="false" ht="12.75" hidden="false" customHeight="false" outlineLevel="0" collapsed="false">
      <c r="A16" s="357" t="n">
        <v>46300</v>
      </c>
      <c r="B16" s="365" t="s">
        <v>340</v>
      </c>
      <c r="E16" s="367" t="s">
        <v>328</v>
      </c>
      <c r="G16" s="368" t="n">
        <v>36</v>
      </c>
      <c r="H16" s="340" t="n">
        <f aca="false">IF((G16&lt;&gt;0),IF((D16&gt;0)," ",G16)," ")</f>
        <v>36</v>
      </c>
      <c r="I16" s="369" t="n">
        <f aca="false">IF((G16&lt;&gt;0),IF((D16&gt;0)," ",(I$1-A16))," ")</f>
        <v>-29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329</v>
      </c>
    </row>
    <row r="17" customFormat="false" ht="12.75" hidden="false" customHeight="false" outlineLevel="0" collapsed="false">
      <c r="A17" s="357" t="n">
        <v>46303</v>
      </c>
      <c r="B17" s="365" t="s">
        <v>341</v>
      </c>
      <c r="E17" s="367" t="s">
        <v>342</v>
      </c>
      <c r="G17" s="368" t="n">
        <v>48</v>
      </c>
      <c r="H17" s="340" t="n">
        <f aca="false">IF((G17&lt;&gt;0),IF((D17&gt;0)," ",G17)," ")</f>
        <v>48</v>
      </c>
      <c r="I17" s="369" t="n">
        <f aca="false">IF((G17&lt;&gt;0),IF((D17&gt;0)," ",(I$1-A17))," ")</f>
        <v>-32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343</v>
      </c>
    </row>
    <row r="18" customFormat="false" ht="12.75" hidden="false" customHeight="false" outlineLevel="0" collapsed="false">
      <c r="A18" s="357" t="n">
        <v>46305</v>
      </c>
      <c r="B18" s="365" t="s">
        <v>344</v>
      </c>
      <c r="E18" s="367" t="s">
        <v>328</v>
      </c>
      <c r="G18" s="368" t="n">
        <v>36</v>
      </c>
      <c r="H18" s="340" t="n">
        <f aca="false">IF((G18&lt;&gt;0),IF((D18&gt;0)," ",G18)," ")</f>
        <v>36</v>
      </c>
      <c r="I18" s="369" t="n">
        <f aca="false">IF((G18&lt;&gt;0),IF((D18&gt;0)," ",(I$1-A18))," ")</f>
        <v>-34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46305</v>
      </c>
      <c r="B19" s="365" t="s">
        <v>345</v>
      </c>
      <c r="E19" s="367" t="s">
        <v>328</v>
      </c>
      <c r="G19" s="368" t="n">
        <v>180</v>
      </c>
      <c r="H19" s="340" t="n">
        <f aca="false">IF((G19&lt;&gt;0),IF((D19&gt;0)," ",G19)," ")</f>
        <v>180</v>
      </c>
      <c r="I19" s="369" t="n">
        <f aca="false">IF((G19&lt;&gt;0),IF((D19&gt;0)," ",(I$1-A19))," ")</f>
        <v>-34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346</v>
      </c>
    </row>
    <row r="20" customFormat="false" ht="12.75" hidden="false" customHeight="false" outlineLevel="0" collapsed="false">
      <c r="A20" s="357" t="n">
        <v>46305</v>
      </c>
      <c r="B20" s="365" t="s">
        <v>347</v>
      </c>
      <c r="E20" s="367" t="s">
        <v>348</v>
      </c>
      <c r="G20" s="368" t="n">
        <v>480</v>
      </c>
      <c r="H20" s="340" t="n">
        <f aca="false">IF((G20&lt;&gt;0),IF((D20&gt;0)," ",G20)," ")</f>
        <v>480</v>
      </c>
      <c r="I20" s="369" t="n">
        <f aca="false">IF((G20&lt;&gt;0),IF((D20&gt;0)," ",(I$1-A20))," ")</f>
        <v>-34</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349</v>
      </c>
    </row>
    <row r="21" customFormat="false" ht="12.75" hidden="false" customHeight="false" outlineLevel="0" collapsed="false">
      <c r="A21" s="357" t="n">
        <v>46305</v>
      </c>
      <c r="B21" s="365" t="s">
        <v>391</v>
      </c>
      <c r="D21" s="365"/>
      <c r="E21" s="367" t="s">
        <v>392</v>
      </c>
      <c r="G21" s="368" t="n">
        <v>1800</v>
      </c>
      <c r="H21" s="340" t="n">
        <f aca="false">IF((G21&lt;&gt;0),IF((D21&gt;0)," ",G21)," ")</f>
        <v>1800</v>
      </c>
      <c r="I21" s="369" t="n">
        <f aca="false">IF((G21&lt;&gt;0),IF((D21&gt;0)," ",(I$1-A21))," ")</f>
        <v>-34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393</v>
      </c>
    </row>
    <row r="22" customFormat="false" ht="12.75" hidden="false" customHeight="false" outlineLevel="0" collapsed="false">
      <c r="A22" s="357" t="n">
        <v>46307</v>
      </c>
      <c r="B22" s="365" t="s">
        <v>350</v>
      </c>
      <c r="D22" s="395"/>
      <c r="E22" s="367" t="s">
        <v>303</v>
      </c>
      <c r="G22" s="368" t="n">
        <v>18</v>
      </c>
      <c r="H22" s="340" t="n">
        <f aca="false">IF((G22&lt;&gt;0),IF((D22&gt;0)," ",G22)," ")</f>
        <v>18</v>
      </c>
      <c r="I22" s="369" t="n">
        <f aca="false">IF((G22&lt;&gt;0),IF((D22&gt;0)," ",(I$1-A22))," ")</f>
        <v>-36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339</v>
      </c>
    </row>
    <row r="23" customFormat="false" ht="12.75" hidden="false" customHeight="false" outlineLevel="0" collapsed="false">
      <c r="A23" s="357" t="n">
        <v>46309</v>
      </c>
      <c r="B23" s="365" t="s">
        <v>351</v>
      </c>
      <c r="E23" s="367" t="s">
        <v>328</v>
      </c>
      <c r="G23" s="368" t="n">
        <v>36</v>
      </c>
      <c r="H23" s="340" t="n">
        <f aca="false">IF((G23&lt;&gt;0),IF((D23&gt;0)," ",G23)," ")</f>
        <v>36</v>
      </c>
      <c r="I23" s="369" t="n">
        <f aca="false">IF((G23&lt;&gt;0),IF((D23&gt;0)," ",(I$1-A23))," ")</f>
        <v>-38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336</v>
      </c>
    </row>
    <row r="24" customFormat="false" ht="12.75" hidden="false" customHeight="false" outlineLevel="0" collapsed="false">
      <c r="A24" s="357" t="n">
        <v>46309</v>
      </c>
      <c r="B24" s="365" t="s">
        <v>352</v>
      </c>
      <c r="E24" s="367" t="s">
        <v>342</v>
      </c>
      <c r="G24" s="368" t="n">
        <v>24</v>
      </c>
      <c r="H24" s="340" t="n">
        <f aca="false">IF((G24&lt;&gt;0),IF((D24&gt;0)," ",G24)," ")</f>
        <v>24</v>
      </c>
      <c r="I24" s="369" t="n">
        <f aca="false">IF((G24&lt;&gt;0),IF((D24&gt;0)," ",(I$1-A24))," ")</f>
        <v>-38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343</v>
      </c>
    </row>
    <row r="25" customFormat="false" ht="12.75" hidden="false" customHeight="false" outlineLevel="0" collapsed="false">
      <c r="A25" s="357" t="n">
        <v>46309</v>
      </c>
      <c r="B25" s="365" t="s">
        <v>353</v>
      </c>
      <c r="E25" s="367" t="s">
        <v>342</v>
      </c>
      <c r="G25" s="368" t="n">
        <v>12</v>
      </c>
      <c r="H25" s="340" t="n">
        <f aca="false">IF((G25&lt;&gt;0),IF((D25&gt;0)," ",G25)," ")</f>
        <v>12</v>
      </c>
      <c r="I25" s="369" t="n">
        <f aca="false">IF((G25&lt;&gt;0),IF((D25&gt;0)," ",(I$1-A25))," ")</f>
        <v>-38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343</v>
      </c>
    </row>
    <row r="26" customFormat="false" ht="12.75" hidden="false" customHeight="false" outlineLevel="0" collapsed="false">
      <c r="A26" s="357" t="n">
        <v>46310</v>
      </c>
      <c r="B26" s="365" t="s">
        <v>354</v>
      </c>
      <c r="E26" s="367" t="s">
        <v>303</v>
      </c>
      <c r="G26" s="368" t="n">
        <v>150</v>
      </c>
      <c r="H26" s="340" t="n">
        <f aca="false">IF((G26&lt;&gt;0),IF((D26&gt;0)," ",G26)," ")</f>
        <v>150</v>
      </c>
      <c r="I26" s="369" t="n">
        <f aca="false">IF((G26&lt;&gt;0),IF((D26&gt;0)," ",(I$1-A26))," ")</f>
        <v>-39</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339</v>
      </c>
    </row>
    <row r="27" customFormat="false" ht="12.75" hidden="false" customHeight="false" outlineLevel="0" collapsed="false">
      <c r="A27" s="357" t="n">
        <v>46310</v>
      </c>
      <c r="B27" s="365" t="s">
        <v>355</v>
      </c>
      <c r="E27" s="367" t="s">
        <v>324</v>
      </c>
      <c r="G27" s="368" t="n">
        <v>12</v>
      </c>
      <c r="H27" s="340" t="n">
        <f aca="false">IF((G27&lt;&gt;0),IF((D27&gt;0)," ",G27)," ")</f>
        <v>12</v>
      </c>
      <c r="I27" s="369" t="n">
        <f aca="false">IF((G27&lt;&gt;0),IF((D27&gt;0)," ",(I$1-A27))," ")</f>
        <v>-39</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325</v>
      </c>
    </row>
    <row r="28" customFormat="false" ht="12.75" hidden="false" customHeight="false" outlineLevel="0" collapsed="false">
      <c r="A28" s="357" t="n">
        <v>46310</v>
      </c>
      <c r="B28" s="365" t="s">
        <v>492</v>
      </c>
      <c r="E28" s="367" t="s">
        <v>392</v>
      </c>
      <c r="G28" s="368" t="n">
        <v>1200</v>
      </c>
      <c r="H28" s="340" t="n">
        <f aca="false">IF((G28&lt;&gt;0),IF((D28&gt;0)," ",G28)," ")</f>
        <v>1200</v>
      </c>
      <c r="I28" s="369" t="n">
        <f aca="false">IF((G28&lt;&gt;0),IF((D28&gt;0)," ",(I$1-A28))," ")</f>
        <v>-39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393</v>
      </c>
    </row>
    <row r="29" customFormat="false" ht="12.75" hidden="false" customHeight="false" outlineLevel="0" collapsed="false">
      <c r="A29" s="357" t="n">
        <v>46313</v>
      </c>
      <c r="B29" s="365" t="s">
        <v>421</v>
      </c>
      <c r="E29" s="367" t="s">
        <v>342</v>
      </c>
      <c r="G29" s="368" t="n">
        <v>120</v>
      </c>
      <c r="H29" s="340" t="n">
        <f aca="false">IF((G29&lt;&gt;0),IF((D29&gt;0)," ",G29)," ")</f>
        <v>120</v>
      </c>
      <c r="I29" s="369" t="n">
        <f aca="false">IF((G29&lt;&gt;0),IF((D29&gt;0)," ",(I$1-A29))," ")</f>
        <v>-42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343</v>
      </c>
    </row>
    <row r="30" customFormat="false" ht="12.75" hidden="false" customHeight="false" outlineLevel="0" collapsed="false">
      <c r="A30" s="357" t="n">
        <v>46313</v>
      </c>
      <c r="B30" s="365" t="s">
        <v>356</v>
      </c>
      <c r="E30" s="367" t="s">
        <v>303</v>
      </c>
      <c r="G30" s="368" t="n">
        <v>96</v>
      </c>
      <c r="H30" s="340" t="n">
        <f aca="false">IF((G30&lt;&gt;0),IF((D30&gt;0)," ",G30)," ")</f>
        <v>96</v>
      </c>
      <c r="I30" s="369" t="n">
        <f aca="false">IF((G30&lt;&gt;0),IF((D30&gt;0)," ",(I$1-A30))," ")</f>
        <v>-42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339</v>
      </c>
    </row>
    <row r="31" customFormat="false" ht="12.75" hidden="false" customHeight="false" outlineLevel="0" collapsed="false">
      <c r="A31" s="357" t="n">
        <v>46315</v>
      </c>
      <c r="B31" s="365" t="s">
        <v>357</v>
      </c>
      <c r="E31" s="367" t="s">
        <v>324</v>
      </c>
      <c r="G31" s="368" t="n">
        <v>60</v>
      </c>
      <c r="H31" s="340" t="n">
        <f aca="false">IF((G31&lt;&gt;0),IF((D31&gt;0)," ",G31)," ")</f>
        <v>60</v>
      </c>
      <c r="I31" s="369" t="n">
        <f aca="false">IF((G31&lt;&gt;0),IF((D31&gt;0)," ",(I$1-A31))," ")</f>
        <v>-44</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325</v>
      </c>
    </row>
    <row r="32" customFormat="false" ht="12.75" hidden="false" customHeight="false" outlineLevel="0" collapsed="false">
      <c r="A32" s="357" t="n">
        <v>46315</v>
      </c>
      <c r="B32" s="365" t="s">
        <v>358</v>
      </c>
      <c r="E32" s="367" t="s">
        <v>359</v>
      </c>
      <c r="G32" s="368" t="n">
        <v>96</v>
      </c>
      <c r="H32" s="340" t="n">
        <f aca="false">IF((G32&lt;&gt;0),IF((D32&gt;0)," ",G32)," ")</f>
        <v>96</v>
      </c>
      <c r="I32" s="369" t="n">
        <f aca="false">IF((G32&lt;&gt;0),IF((D32&gt;0)," ",(I$1-A32))," ")</f>
        <v>-44</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360</v>
      </c>
    </row>
    <row r="33" customFormat="false" ht="12.75" hidden="false" customHeight="false" outlineLevel="0" collapsed="false">
      <c r="A33" s="357" t="n">
        <v>46316</v>
      </c>
      <c r="B33" s="365" t="s">
        <v>361</v>
      </c>
      <c r="E33" s="367" t="s">
        <v>342</v>
      </c>
      <c r="G33" s="368" t="n">
        <v>8</v>
      </c>
      <c r="H33" s="340" t="n">
        <f aca="false">IF((G33&lt;&gt;0),IF((D33&gt;0)," ",G33)," ")</f>
        <v>8</v>
      </c>
      <c r="I33" s="369" t="n">
        <f aca="false">IF((G33&lt;&gt;0),IF((D33&gt;0)," ",(I$1-A33))," ")</f>
        <v>-45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343</v>
      </c>
    </row>
    <row r="34" customFormat="false" ht="12.75" hidden="false" customHeight="false" outlineLevel="0" collapsed="false">
      <c r="A34" s="357" t="n">
        <v>46317</v>
      </c>
      <c r="B34" s="365" t="s">
        <v>362</v>
      </c>
      <c r="E34" s="367" t="s">
        <v>328</v>
      </c>
      <c r="G34" s="368" t="n">
        <v>18</v>
      </c>
      <c r="H34" s="340" t="n">
        <f aca="false">IF((G34&lt;&gt;0),IF((D34&gt;0)," ",G34)," ")</f>
        <v>18</v>
      </c>
      <c r="I34" s="369" t="n">
        <f aca="false">IF((G34&lt;&gt;0),IF((D34&gt;0)," ",(I$1-A34))," ")</f>
        <v>-46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336</v>
      </c>
    </row>
    <row r="35" customFormat="false" ht="12.75" hidden="false" customHeight="false" outlineLevel="0" collapsed="false">
      <c r="A35" s="357" t="n">
        <v>46320</v>
      </c>
      <c r="B35" s="365" t="s">
        <v>363</v>
      </c>
      <c r="E35" s="367" t="s">
        <v>328</v>
      </c>
      <c r="G35" s="368" t="n">
        <v>15</v>
      </c>
      <c r="H35" s="340" t="n">
        <f aca="false">IF((G35&lt;&gt;0),IF((D35&gt;0)," ",G35)," ")</f>
        <v>15</v>
      </c>
      <c r="I35" s="369" t="n">
        <f aca="false">IF((G35&lt;&gt;0),IF((D35&gt;0)," ",(I$1-A35))," ")</f>
        <v>-49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336</v>
      </c>
    </row>
    <row r="36" customFormat="false" ht="12.75" hidden="false" customHeight="false" outlineLevel="0" collapsed="false">
      <c r="A36" s="357" t="n">
        <v>46320</v>
      </c>
      <c r="B36" s="365" t="s">
        <v>364</v>
      </c>
      <c r="E36" s="367" t="s">
        <v>303</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339</v>
      </c>
    </row>
    <row r="37" customFormat="false" ht="12.75" hidden="false" customHeight="false" outlineLevel="0" collapsed="false">
      <c r="A37" s="357" t="n">
        <v>46320</v>
      </c>
      <c r="B37" s="365" t="s">
        <v>493</v>
      </c>
      <c r="C37" s="365" t="s">
        <v>227</v>
      </c>
      <c r="E37" s="367" t="s">
        <v>396</v>
      </c>
      <c r="G37" s="368" t="n">
        <v>36000</v>
      </c>
      <c r="H37" s="340" t="n">
        <f aca="false">IF((G37&lt;&gt;0),IF((D37&gt;0)," ",G37)," ")</f>
        <v>36000</v>
      </c>
      <c r="I37" s="369" t="n">
        <f aca="false">IF((G37&lt;&gt;0),IF((D37&gt;0)," ",(I$1-A37))," ")</f>
        <v>-49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397</v>
      </c>
    </row>
    <row r="38" customFormat="false" ht="12.75" hidden="false" customHeight="false" outlineLevel="0" collapsed="false">
      <c r="A38" s="357" t="n">
        <v>46323</v>
      </c>
      <c r="B38" s="365" t="s">
        <v>354</v>
      </c>
      <c r="E38" s="367" t="s">
        <v>303</v>
      </c>
      <c r="G38" s="368" t="n">
        <v>120</v>
      </c>
      <c r="H38" s="340" t="n">
        <f aca="false">IF((G38&lt;&gt;0),IF((D38&gt;0)," ",G38)," ")</f>
        <v>120</v>
      </c>
      <c r="I38" s="369" t="n">
        <f aca="false">IF((G38&lt;&gt;0),IF((D38&gt;0)," ",(I$1-A38))," ")</f>
        <v>-52</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339</v>
      </c>
    </row>
    <row r="39" customFormat="false" ht="12.75" hidden="false" customHeight="false" outlineLevel="0" collapsed="false">
      <c r="A39" s="357" t="n">
        <v>46326</v>
      </c>
      <c r="B39" s="365" t="s">
        <v>365</v>
      </c>
      <c r="E39" s="367" t="s">
        <v>366</v>
      </c>
      <c r="G39" s="368" t="n">
        <v>300</v>
      </c>
      <c r="H39" s="340" t="n">
        <f aca="false">IF((G39&lt;&gt;0),IF((D39&gt;0)," ",G39)," ")</f>
        <v>300</v>
      </c>
      <c r="I39" s="369" t="n">
        <f aca="false">IF((G39&lt;&gt;0),IF((D39&gt;0)," ",(I$1-A39))," ")</f>
        <v>-55</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367</v>
      </c>
    </row>
    <row r="40" customFormat="false" ht="12.75" hidden="false" customHeight="false" outlineLevel="0" collapsed="false">
      <c r="A40" s="357" t="n">
        <v>46326</v>
      </c>
      <c r="B40" s="365" t="s">
        <v>368</v>
      </c>
      <c r="C40" s="365" t="s">
        <v>494</v>
      </c>
      <c r="E40" s="367" t="s">
        <v>370</v>
      </c>
      <c r="G40" s="368" t="n">
        <v>3500</v>
      </c>
      <c r="H40" s="340" t="n">
        <f aca="false">IF((G40&lt;&gt;0),IF((D40&gt;0)," ",G40)," ")</f>
        <v>3500</v>
      </c>
      <c r="I40" s="369" t="n">
        <f aca="false">IF((G40&lt;&gt;0),IF((D40&gt;0)," ",(I$1-A40))," ")</f>
        <v>-55</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371</v>
      </c>
    </row>
    <row r="41" customFormat="false" ht="12.75" hidden="false" customHeight="false" outlineLevel="0" collapsed="false">
      <c r="A41" s="357" t="n">
        <v>46326</v>
      </c>
      <c r="B41" s="365" t="s">
        <v>372</v>
      </c>
      <c r="C41" s="365" t="s">
        <v>495</v>
      </c>
      <c r="E41" s="367" t="s">
        <v>370</v>
      </c>
      <c r="G41" s="368" t="n">
        <v>2200</v>
      </c>
      <c r="H41" s="340" t="n">
        <f aca="false">IF((G41&lt;&gt;0),IF((D41&gt;0)," ",G41)," ")</f>
        <v>2200</v>
      </c>
      <c r="I41" s="369" t="n">
        <f aca="false">IF((G41&lt;&gt;0),IF((D41&gt;0)," ",(I$1-A41))," ")</f>
        <v>-55</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371</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35320</v>
      </c>
      <c r="G1" s="345" t="n">
        <f aca="false">SUM(G4:G300)</f>
        <v>0</v>
      </c>
      <c r="H1" s="347" t="n">
        <f aca="false">SUM(H4:H300)</f>
        <v>35320</v>
      </c>
      <c r="I1" s="348" t="n">
        <f aca="true">TODAY()</f>
        <v>46271</v>
      </c>
      <c r="J1" s="345" t="n">
        <f aca="false">SUM(J4:J300)</f>
        <v>0</v>
      </c>
      <c r="K1" s="349" t="n">
        <f aca="false">J1+SalesOct!K1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46329</v>
      </c>
      <c r="B4" s="336" t="s">
        <v>259</v>
      </c>
      <c r="C4" s="337" t="s">
        <v>496</v>
      </c>
      <c r="F4" s="336" t="n">
        <v>360</v>
      </c>
      <c r="H4" s="340" t="n">
        <f aca="false">IF((F4&lt;&gt;0),IF((D4&gt;0)," ",F4)," ")</f>
        <v>360</v>
      </c>
      <c r="I4" s="341" t="n">
        <f aca="false">IF((F4&lt;&gt;0),IF((D4&gt;0)," ",(I$1-A4))," ")</f>
        <v>-58</v>
      </c>
      <c r="BZ4" s="336" t="s">
        <v>258</v>
      </c>
    </row>
    <row r="5" customFormat="false" ht="12.75" hidden="false" customHeight="false" outlineLevel="0" collapsed="false">
      <c r="A5" s="357" t="n">
        <v>46331</v>
      </c>
      <c r="B5" s="336" t="s">
        <v>261</v>
      </c>
      <c r="C5" s="337" t="s">
        <v>497</v>
      </c>
      <c r="F5" s="336" t="n">
        <v>600</v>
      </c>
      <c r="H5" s="340" t="n">
        <f aca="false">IF((F5&lt;&gt;0),IF((D5&gt;0)," ",F5)," ")</f>
        <v>600</v>
      </c>
      <c r="I5" s="341" t="n">
        <f aca="false">IF((F5&lt;&gt;0),IF((D5&gt;0)," ",(I$1-A5))," ")</f>
        <v>-60</v>
      </c>
      <c r="BZ5" s="336" t="s">
        <v>258</v>
      </c>
    </row>
    <row r="6" customFormat="false" ht="12.75" hidden="false" customHeight="false" outlineLevel="0" collapsed="false">
      <c r="A6" s="357" t="n">
        <v>46334</v>
      </c>
      <c r="B6" s="336" t="s">
        <v>263</v>
      </c>
      <c r="C6" s="337" t="s">
        <v>498</v>
      </c>
      <c r="F6" s="336" t="n">
        <v>480</v>
      </c>
      <c r="H6" s="340" t="n">
        <f aca="false">IF((F6&lt;&gt;0),IF((D6&gt;0)," ",F6)," ")</f>
        <v>480</v>
      </c>
      <c r="I6" s="341" t="n">
        <f aca="false">IF((F6&lt;&gt;0),IF((D6&gt;0)," ",(I$1-A6))," ")</f>
        <v>-63</v>
      </c>
      <c r="BZ6" s="336" t="s">
        <v>265</v>
      </c>
    </row>
    <row r="7" customFormat="false" ht="12.75" hidden="false" customHeight="false" outlineLevel="0" collapsed="false">
      <c r="A7" s="357" t="n">
        <v>46336</v>
      </c>
      <c r="B7" s="336" t="s">
        <v>266</v>
      </c>
      <c r="C7" s="337" t="s">
        <v>499</v>
      </c>
      <c r="F7" s="336" t="n">
        <v>720</v>
      </c>
      <c r="H7" s="340" t="n">
        <f aca="false">IF((F7&lt;&gt;0),IF((D7&gt;0)," ",F7)," ")</f>
        <v>720</v>
      </c>
      <c r="I7" s="341" t="n">
        <f aca="false">IF((F7&lt;&gt;0),IF((D7&gt;0)," ",(I$1-A7))," ")</f>
        <v>-65</v>
      </c>
      <c r="BZ7" s="336" t="s">
        <v>265</v>
      </c>
    </row>
    <row r="8" customFormat="false" ht="12.75" hidden="false" customHeight="false" outlineLevel="0" collapsed="false">
      <c r="A8" s="357" t="n">
        <v>46338</v>
      </c>
      <c r="B8" s="336" t="s">
        <v>378</v>
      </c>
      <c r="C8" s="337" t="s">
        <v>500</v>
      </c>
      <c r="F8" s="336" t="n">
        <v>960</v>
      </c>
      <c r="H8" s="340" t="n">
        <f aca="false">IF((F8&lt;&gt;0),IF((D8&gt;0)," ",F8)," ")</f>
        <v>960</v>
      </c>
      <c r="I8" s="341" t="n">
        <f aca="false">IF((F8&lt;&gt;0),IF((D8&gt;0)," ",(I$1-A8))," ")</f>
        <v>-67</v>
      </c>
      <c r="BZ8" s="336" t="s">
        <v>265</v>
      </c>
    </row>
    <row r="9" customFormat="false" ht="12.75" hidden="false" customHeight="false" outlineLevel="0" collapsed="false">
      <c r="A9" s="357" t="n">
        <v>46341</v>
      </c>
      <c r="B9" s="336" t="s">
        <v>268</v>
      </c>
      <c r="C9" s="337" t="s">
        <v>501</v>
      </c>
      <c r="F9" s="336" t="n">
        <v>25000</v>
      </c>
      <c r="H9" s="340" t="n">
        <f aca="false">IF((F9&lt;&gt;0),IF((D9&gt;0)," ",F9)," ")</f>
        <v>25000</v>
      </c>
      <c r="I9" s="341" t="n">
        <f aca="false">IF((F9&lt;&gt;0),IF((D9&gt;0)," ",(I$1-A9))," ")</f>
        <v>-70</v>
      </c>
      <c r="BZ9" s="336" t="s">
        <v>265</v>
      </c>
    </row>
    <row r="10" customFormat="false" ht="12.75" hidden="false" customHeight="false" outlineLevel="0" collapsed="false">
      <c r="A10" s="357" t="n">
        <v>46344</v>
      </c>
      <c r="B10" s="336" t="s">
        <v>270</v>
      </c>
      <c r="C10" s="337" t="s">
        <v>502</v>
      </c>
      <c r="F10" s="336" t="n">
        <v>2400</v>
      </c>
      <c r="H10" s="340" t="n">
        <f aca="false">IF((F10&lt;&gt;0),IF((D10&gt;0)," ",F10)," ")</f>
        <v>2400</v>
      </c>
      <c r="I10" s="341" t="n">
        <f aca="false">IF((F10&lt;&gt;0),IF((D10&gt;0)," ",(I$1-A10))," ")</f>
        <v>-73</v>
      </c>
      <c r="BZ10" s="336" t="s">
        <v>265</v>
      </c>
    </row>
    <row r="11" customFormat="false" ht="12.75" hidden="false" customHeight="false" outlineLevel="0" collapsed="false">
      <c r="A11" s="357" t="n">
        <v>46346</v>
      </c>
      <c r="B11" s="336" t="s">
        <v>503</v>
      </c>
      <c r="C11" s="337" t="s">
        <v>504</v>
      </c>
      <c r="F11" s="336" t="n">
        <v>3600</v>
      </c>
      <c r="H11" s="340" t="n">
        <f aca="false">IF((F11&lt;&gt;0),IF((D11&gt;0)," ",F11)," ")</f>
        <v>3600</v>
      </c>
      <c r="I11" s="341" t="n">
        <f aca="false">IF((F11&lt;&gt;0),IF((D11&gt;0)," ",(I$1-A11))," ")</f>
        <v>-75</v>
      </c>
      <c r="BZ11" s="336" t="s">
        <v>383</v>
      </c>
    </row>
    <row r="12" customFormat="false" ht="12.75" hidden="false" customHeight="false" outlineLevel="0" collapsed="false">
      <c r="A12" s="357" t="n">
        <v>46351</v>
      </c>
      <c r="B12" s="336" t="s">
        <v>385</v>
      </c>
      <c r="C12" s="337" t="s">
        <v>505</v>
      </c>
      <c r="F12" s="336" t="n">
        <v>1200</v>
      </c>
      <c r="H12" s="340" t="n">
        <f aca="false">IF((F12&lt;&gt;0),IF((D12&gt;0)," ",F12)," ")</f>
        <v>1200</v>
      </c>
      <c r="I12" s="341" t="n">
        <f aca="false">IF((F12&lt;&gt;0),IF((D12&gt;0)," ",(I$1-A12))," ")</f>
        <v>-80</v>
      </c>
      <c r="BZ12" s="336" t="s">
        <v>265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278</v>
      </c>
      <c r="C1" s="346" t="n">
        <f aca="false">PurchasesOct!C1+PurchasesNov!F1+SalesNov!$E$1</f>
        <v>970</v>
      </c>
      <c r="D1" s="371" t="s">
        <v>245</v>
      </c>
      <c r="E1" s="373" t="str">
        <f aca="false">IF((G1-SUM(J1:W1)&lt;&gt;0),(G1-SUM(J1:W1))," ")</f>
        <v> </v>
      </c>
      <c r="F1" s="346" t="n">
        <f aca="false">SUM(F5:F300)</f>
        <v>180</v>
      </c>
      <c r="G1" s="345" t="n">
        <f aca="false">SUM(G4:G300)</f>
        <v>12618</v>
      </c>
      <c r="H1" s="374" t="n">
        <f aca="false">SUM(H5:H300)</f>
        <v>12537</v>
      </c>
      <c r="I1" s="375" t="n">
        <f aca="true">TODAY()</f>
        <v>46271</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IF((C1&lt;Admin!$F$22),((C1-PurchasesOct!C1)*Admin!$G$21),(C1*Admin!$G$21-(C1-Admin!$F$21)*(Admin!$G$21-Admin!$G$22)-PurchasesOct!A1))</f>
        <v>81</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46327</v>
      </c>
      <c r="B5" s="365" t="s">
        <v>320</v>
      </c>
      <c r="E5" s="367" t="s">
        <v>321</v>
      </c>
      <c r="G5" s="368" t="n">
        <v>1200</v>
      </c>
      <c r="H5" s="340" t="n">
        <f aca="false">IF((G5&lt;&gt;0),IF((D5&gt;0)," ",G5)," ")</f>
        <v>1200</v>
      </c>
      <c r="I5" s="369" t="n">
        <f aca="false">IF((G5&lt;&gt;0),IF((D5&gt;0)," ",(I$1-A5))," ")</f>
        <v>-56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46327</v>
      </c>
      <c r="B6" s="365" t="s">
        <v>323</v>
      </c>
      <c r="E6" s="367" t="s">
        <v>324</v>
      </c>
      <c r="G6" s="368" t="n">
        <v>30</v>
      </c>
      <c r="H6" s="340" t="n">
        <f aca="false">IF((G6&lt;&gt;0),IF((D6&gt;0)," ",G6)," ")</f>
        <v>30</v>
      </c>
      <c r="I6" s="369" t="n">
        <f aca="false">IF((G6&lt;&gt;0),IF((D6&gt;0)," ",(I$1-A6))," ")</f>
        <v>-56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46327</v>
      </c>
      <c r="B7" s="365" t="s">
        <v>326</v>
      </c>
      <c r="E7" s="367" t="s">
        <v>324</v>
      </c>
      <c r="G7" s="368" t="n">
        <v>15</v>
      </c>
      <c r="H7" s="340" t="n">
        <f aca="false">IF((G7&lt;&gt;0),IF((D7&gt;0)," ",G7)," ")</f>
        <v>15</v>
      </c>
      <c r="I7" s="369" t="n">
        <f aca="false">IF((G7&lt;&gt;0),IF((D7&gt;0)," ",(I$1-A7))," ")</f>
        <v>-56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46327</v>
      </c>
      <c r="B8" s="365" t="s">
        <v>327</v>
      </c>
      <c r="E8" s="367" t="s">
        <v>328</v>
      </c>
      <c r="G8" s="368" t="n">
        <v>45</v>
      </c>
      <c r="H8" s="340" t="n">
        <f aca="false">IF((G8&lt;&gt;0),IF((D8&gt;0)," ",G8)," ")</f>
        <v>45</v>
      </c>
      <c r="I8" s="369" t="n">
        <f aca="false">IF((G8&lt;&gt;0),IF((D8&gt;0)," ",(I$1-A8))," ")</f>
        <v>-56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46327</v>
      </c>
      <c r="B9" s="365" t="s">
        <v>332</v>
      </c>
      <c r="E9" s="367" t="s">
        <v>328</v>
      </c>
      <c r="G9" s="368" t="n">
        <v>24</v>
      </c>
      <c r="H9" s="340" t="n">
        <f aca="false">IF((G9&lt;&gt;0),IF((D9&gt;0)," ",G9)," ")</f>
        <v>24</v>
      </c>
      <c r="I9" s="369" t="n">
        <f aca="false">IF((G9&lt;&gt;0),IF((D9&gt;0)," ",(I$1-A9))," ")</f>
        <v>-56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46327</v>
      </c>
      <c r="B10" s="365" t="s">
        <v>333</v>
      </c>
      <c r="E10" s="367" t="s">
        <v>324</v>
      </c>
      <c r="G10" s="368" t="n">
        <v>18</v>
      </c>
      <c r="H10" s="340" t="n">
        <f aca="false">IF((G10&lt;&gt;0),IF((D10&gt;0)," ",G10)," ")</f>
        <v>18</v>
      </c>
      <c r="I10" s="369" t="n">
        <f aca="false">IF((G10&lt;&gt;0),IF((D10&gt;0)," ",(I$1-A10))," ")</f>
        <v>-56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46329</v>
      </c>
      <c r="B11" s="365" t="s">
        <v>334</v>
      </c>
      <c r="E11" s="367" t="s">
        <v>328</v>
      </c>
      <c r="G11" s="368" t="n">
        <v>180</v>
      </c>
      <c r="H11" s="340" t="n">
        <f aca="false">IF((G11&lt;&gt;0),IF((D11&gt;0)," ",G11)," ")</f>
        <v>180</v>
      </c>
      <c r="I11" s="369" t="n">
        <f aca="false">IF((G11&lt;&gt;0),IF((D11&gt;0)," ",(I$1-A11))," ")</f>
        <v>-58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46329</v>
      </c>
      <c r="B12" s="365" t="s">
        <v>335</v>
      </c>
      <c r="E12" s="367" t="s">
        <v>328</v>
      </c>
      <c r="G12" s="368" t="n">
        <v>22</v>
      </c>
      <c r="H12" s="340" t="n">
        <f aca="false">IF((G12&lt;&gt;0),IF((D12&gt;0)," ",G12)," ")</f>
        <v>22</v>
      </c>
      <c r="I12" s="369" t="n">
        <f aca="false">IF((G12&lt;&gt;0),IF((D12&gt;0)," ",(I$1-A12))," ")</f>
        <v>-58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46331</v>
      </c>
      <c r="B13" s="365" t="s">
        <v>337</v>
      </c>
      <c r="E13" s="367" t="s">
        <v>328</v>
      </c>
      <c r="G13" s="368" t="n">
        <v>24</v>
      </c>
      <c r="H13" s="340" t="n">
        <f aca="false">IF((G13&lt;&gt;0),IF((D13&gt;0)," ",G13)," ")</f>
        <v>24</v>
      </c>
      <c r="I13" s="369" t="n">
        <f aca="false">IF((G13&lt;&gt;0),IF((D13&gt;0)," ",(I$1-A13))," ")</f>
        <v>-60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46331</v>
      </c>
      <c r="B14" s="365" t="s">
        <v>338</v>
      </c>
      <c r="E14" s="367" t="s">
        <v>303</v>
      </c>
      <c r="G14" s="368" t="n">
        <v>180</v>
      </c>
      <c r="H14" s="340" t="n">
        <f aca="false">IF((G14&lt;&gt;0),IF((D14&gt;0)," ",G14)," ")</f>
        <v>180</v>
      </c>
      <c r="I14" s="369" t="n">
        <f aca="false">IF((G14&lt;&gt;0),IF((D14&gt;0)," ",(I$1-A14))," ")</f>
        <v>-60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46332</v>
      </c>
      <c r="B15" s="365" t="s">
        <v>388</v>
      </c>
      <c r="E15" s="367" t="s">
        <v>342</v>
      </c>
      <c r="G15" s="368" t="n">
        <v>72</v>
      </c>
      <c r="H15" s="340" t="n">
        <f aca="false">IF((G15&lt;&gt;0),IF((D15&gt;0)," ",G15)," ")</f>
        <v>72</v>
      </c>
      <c r="I15" s="369" t="n">
        <f aca="false">IF((G15&lt;&gt;0),IF((D15&gt;0)," ",(I$1-A15))," ")</f>
        <v>-61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343</v>
      </c>
    </row>
    <row r="16" customFormat="false" ht="12.75" hidden="false" customHeight="false" outlineLevel="0" collapsed="false">
      <c r="A16" s="357" t="n">
        <v>46334</v>
      </c>
      <c r="B16" s="365" t="s">
        <v>341</v>
      </c>
      <c r="E16" s="367" t="s">
        <v>342</v>
      </c>
      <c r="G16" s="368" t="n">
        <v>48</v>
      </c>
      <c r="H16" s="340" t="n">
        <f aca="false">IF((G16&lt;&gt;0),IF((D16&gt;0)," ",G16)," ")</f>
        <v>48</v>
      </c>
      <c r="I16" s="369" t="n">
        <f aca="false">IF((G16&lt;&gt;0),IF((D16&gt;0)," ",(I$1-A16))," ")</f>
        <v>-63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46336</v>
      </c>
      <c r="B17" s="365" t="s">
        <v>344</v>
      </c>
      <c r="E17" s="367" t="s">
        <v>328</v>
      </c>
      <c r="G17" s="368" t="n">
        <v>36</v>
      </c>
      <c r="H17" s="340" t="n">
        <f aca="false">IF((G17&lt;&gt;0),IF((D17&gt;0)," ",G17)," ")</f>
        <v>36</v>
      </c>
      <c r="I17" s="369" t="n">
        <f aca="false">IF((G17&lt;&gt;0),IF((D17&gt;0)," ",(I$1-A17))," ")</f>
        <v>-65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336</v>
      </c>
    </row>
    <row r="18" customFormat="false" ht="12.75" hidden="false" customHeight="false" outlineLevel="0" collapsed="false">
      <c r="A18" s="357" t="n">
        <v>46338</v>
      </c>
      <c r="B18" s="365" t="s">
        <v>350</v>
      </c>
      <c r="E18" s="367" t="s">
        <v>303</v>
      </c>
      <c r="G18" s="368" t="n">
        <v>18</v>
      </c>
      <c r="H18" s="340" t="n">
        <f aca="false">IF((G18&lt;&gt;0),IF((D18&gt;0)," ",G18)," ")</f>
        <v>18</v>
      </c>
      <c r="I18" s="369" t="n">
        <f aca="false">IF((G18&lt;&gt;0),IF((D18&gt;0)," ",(I$1-A18))," ")</f>
        <v>-67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339</v>
      </c>
    </row>
    <row r="19" customFormat="false" ht="12.75" hidden="false" customHeight="false" outlineLevel="0" collapsed="false">
      <c r="A19" s="357" t="n">
        <v>46340</v>
      </c>
      <c r="B19" s="365" t="s">
        <v>352</v>
      </c>
      <c r="E19" s="367" t="s">
        <v>342</v>
      </c>
      <c r="G19" s="368" t="n">
        <v>24</v>
      </c>
      <c r="H19" s="340" t="n">
        <f aca="false">IF((G19&lt;&gt;0),IF((D19&gt;0)," ",G19)," ")</f>
        <v>24</v>
      </c>
      <c r="I19" s="369" t="n">
        <f aca="false">IF((G19&lt;&gt;0),IF((D19&gt;0)," ",(I$1-A19))," ")</f>
        <v>-69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343</v>
      </c>
    </row>
    <row r="20" customFormat="false" ht="12.75" hidden="false" customHeight="false" outlineLevel="0" collapsed="false">
      <c r="A20" s="357" t="n">
        <v>46340</v>
      </c>
      <c r="B20" s="365" t="s">
        <v>353</v>
      </c>
      <c r="E20" s="367" t="s">
        <v>342</v>
      </c>
      <c r="G20" s="368" t="n">
        <v>12</v>
      </c>
      <c r="H20" s="340" t="n">
        <f aca="false">IF((G20&lt;&gt;0),IF((D20&gt;0)," ",G20)," ")</f>
        <v>12</v>
      </c>
      <c r="I20" s="369" t="n">
        <f aca="false">IF((G20&lt;&gt;0),IF((D20&gt;0)," ",(I$1-A20))," ")</f>
        <v>-69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343</v>
      </c>
    </row>
    <row r="21" customFormat="false" ht="12.75" hidden="false" customHeight="false" outlineLevel="0" collapsed="false">
      <c r="A21" s="357" t="n">
        <v>46341</v>
      </c>
      <c r="B21" s="365" t="s">
        <v>354</v>
      </c>
      <c r="D21" s="365"/>
      <c r="E21" s="367" t="s">
        <v>303</v>
      </c>
      <c r="G21" s="368" t="n">
        <v>150</v>
      </c>
      <c r="H21" s="340" t="n">
        <f aca="false">IF((G21&lt;&gt;0),IF((D21&gt;0)," ",G21)," ")</f>
        <v>150</v>
      </c>
      <c r="I21" s="369" t="n">
        <f aca="false">IF((G21&lt;&gt;0),IF((D21&gt;0)," ",(I$1-A21))," ")</f>
        <v>-70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339</v>
      </c>
    </row>
    <row r="22" customFormat="false" ht="12.75" hidden="false" customHeight="false" outlineLevel="0" collapsed="false">
      <c r="A22" s="357" t="n">
        <v>46341</v>
      </c>
      <c r="B22" s="365" t="s">
        <v>355</v>
      </c>
      <c r="D22" s="395"/>
      <c r="E22" s="367" t="s">
        <v>324</v>
      </c>
      <c r="G22" s="368" t="n">
        <v>12</v>
      </c>
      <c r="H22" s="340" t="n">
        <f aca="false">IF((G22&lt;&gt;0),IF((D22&gt;0)," ",G22)," ")</f>
        <v>12</v>
      </c>
      <c r="I22" s="369" t="n">
        <f aca="false">IF((G22&lt;&gt;0),IF((D22&gt;0)," ",(I$1-A22))," ")</f>
        <v>-70</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325</v>
      </c>
    </row>
    <row r="23" customFormat="false" ht="12.75" hidden="false" customHeight="false" outlineLevel="0" collapsed="false">
      <c r="A23" s="357" t="n">
        <v>46341</v>
      </c>
      <c r="B23" s="365" t="s">
        <v>394</v>
      </c>
      <c r="E23" s="367" t="s">
        <v>348</v>
      </c>
      <c r="G23" s="368" t="n">
        <v>540</v>
      </c>
      <c r="H23" s="340" t="n">
        <f aca="false">IF((G23&lt;&gt;0),IF((D23&gt;0)," ",G23)," ")</f>
        <v>540</v>
      </c>
      <c r="I23" s="369" t="n">
        <f aca="false">IF((G23&lt;&gt;0),IF((D23&gt;0)," ",(I$1-A23))," ")</f>
        <v>-70</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349</v>
      </c>
    </row>
    <row r="24" customFormat="false" ht="12.75" hidden="false" customHeight="false" outlineLevel="0" collapsed="false">
      <c r="A24" s="357" t="n">
        <v>46341</v>
      </c>
      <c r="B24" s="365" t="s">
        <v>417</v>
      </c>
      <c r="C24" s="365" t="s">
        <v>506</v>
      </c>
      <c r="E24" s="367" t="s">
        <v>419</v>
      </c>
      <c r="G24" s="368" t="n">
        <v>3000</v>
      </c>
      <c r="H24" s="340" t="n">
        <f aca="false">IF((G24&lt;&gt;0),IF((D24&gt;0)," ",G24)," ")</f>
        <v>3000</v>
      </c>
      <c r="I24" s="369" t="n">
        <f aca="false">IF((G24&lt;&gt;0),IF((D24&gt;0)," ",(I$1-A24))," ")</f>
        <v>-70</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420</v>
      </c>
    </row>
    <row r="25" customFormat="false" ht="12.75" hidden="false" customHeight="false" outlineLevel="0" collapsed="false">
      <c r="A25" s="357" t="n">
        <v>46342</v>
      </c>
      <c r="B25" s="365" t="s">
        <v>398</v>
      </c>
      <c r="E25" s="367" t="s">
        <v>324</v>
      </c>
      <c r="G25" s="368" t="n">
        <v>30</v>
      </c>
      <c r="H25" s="340" t="n">
        <f aca="false">IF((G25&lt;&gt;0),IF((D25&gt;0)," ",G25)," ")</f>
        <v>30</v>
      </c>
      <c r="I25" s="369" t="n">
        <f aca="false">IF((G25&lt;&gt;0),IF((D25&gt;0)," ",(I$1-A25))," ")</f>
        <v>-71</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325</v>
      </c>
    </row>
    <row r="26" customFormat="false" ht="12.75" hidden="false" customHeight="false" outlineLevel="0" collapsed="false">
      <c r="A26" s="357" t="n">
        <v>46344</v>
      </c>
      <c r="B26" s="365" t="s">
        <v>356</v>
      </c>
      <c r="E26" s="367" t="s">
        <v>303</v>
      </c>
      <c r="G26" s="368" t="n">
        <v>96</v>
      </c>
      <c r="H26" s="340" t="n">
        <f aca="false">IF((G26&lt;&gt;0),IF((D26&gt;0)," ",G26)," ")</f>
        <v>96</v>
      </c>
      <c r="I26" s="369" t="n">
        <f aca="false">IF((G26&lt;&gt;0),IF((D26&gt;0)," ",(I$1-A26))," ")</f>
        <v>-73</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339</v>
      </c>
    </row>
    <row r="27" customFormat="false" ht="12.75" hidden="false" customHeight="false" outlineLevel="0" collapsed="false">
      <c r="A27" s="357" t="n">
        <v>46346</v>
      </c>
      <c r="B27" s="365" t="s">
        <v>357</v>
      </c>
      <c r="E27" s="367" t="s">
        <v>324</v>
      </c>
      <c r="G27" s="368" t="n">
        <v>60</v>
      </c>
      <c r="H27" s="340" t="n">
        <f aca="false">IF((G27&lt;&gt;0),IF((D27&gt;0)," ",G27)," ")</f>
        <v>60</v>
      </c>
      <c r="I27" s="369" t="n">
        <f aca="false">IF((G27&lt;&gt;0),IF((D27&gt;0)," ",(I$1-A27))," ")</f>
        <v>-75</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325</v>
      </c>
    </row>
    <row r="28" customFormat="false" ht="12.75" hidden="false" customHeight="false" outlineLevel="0" collapsed="false">
      <c r="A28" s="357" t="n">
        <v>46346</v>
      </c>
      <c r="B28" s="365" t="s">
        <v>399</v>
      </c>
      <c r="E28" s="367" t="s">
        <v>328</v>
      </c>
      <c r="G28" s="368" t="n">
        <v>240</v>
      </c>
      <c r="H28" s="340" t="n">
        <f aca="false">IF((G28&lt;&gt;0),IF((D28&gt;0)," ",G28)," ")</f>
        <v>240</v>
      </c>
      <c r="I28" s="369" t="n">
        <f aca="false">IF((G28&lt;&gt;0),IF((D28&gt;0)," ",(I$1-A28))," ")</f>
        <v>-75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400</v>
      </c>
    </row>
    <row r="29" customFormat="false" ht="12.75" hidden="false" customHeight="false" outlineLevel="0" collapsed="false">
      <c r="A29" s="357" t="n">
        <v>46346</v>
      </c>
      <c r="B29" s="365" t="s">
        <v>401</v>
      </c>
      <c r="E29" s="367" t="s">
        <v>348</v>
      </c>
      <c r="G29" s="368" t="n">
        <v>300</v>
      </c>
      <c r="H29" s="340" t="n">
        <f aca="false">IF((G29&lt;&gt;0),IF((D29&gt;0)," ",G29)," ")</f>
        <v>300</v>
      </c>
      <c r="I29" s="369" t="n">
        <f aca="false">IF((G29&lt;&gt;0),IF((D29&gt;0)," ",(I$1-A29))," ")</f>
        <v>-75</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349</v>
      </c>
    </row>
    <row r="30" customFormat="false" ht="12.75" hidden="false" customHeight="false" outlineLevel="0" collapsed="false">
      <c r="A30" s="357" t="n">
        <v>46347</v>
      </c>
      <c r="B30" s="365" t="s">
        <v>361</v>
      </c>
      <c r="E30" s="367" t="s">
        <v>342</v>
      </c>
      <c r="G30" s="368" t="n">
        <v>8</v>
      </c>
      <c r="H30" s="340" t="n">
        <f aca="false">IF((G30&lt;&gt;0),IF((D30&gt;0)," ",G30)," ")</f>
        <v>8</v>
      </c>
      <c r="I30" s="369" t="n">
        <f aca="false">IF((G30&lt;&gt;0),IF((D30&gt;0)," ",(I$1-A30))," ")</f>
        <v>-76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343</v>
      </c>
    </row>
    <row r="31" customFormat="false" ht="12.75" hidden="false" customHeight="false" outlineLevel="0" collapsed="false">
      <c r="A31" s="357" t="n">
        <v>46348</v>
      </c>
      <c r="B31" s="365" t="s">
        <v>362</v>
      </c>
      <c r="E31" s="367" t="s">
        <v>328</v>
      </c>
      <c r="G31" s="368" t="n">
        <v>18</v>
      </c>
      <c r="H31" s="340" t="n">
        <f aca="false">IF((G31&lt;&gt;0),IF((D31&gt;0)," ",G31)," ")</f>
        <v>18</v>
      </c>
      <c r="I31" s="369" t="n">
        <f aca="false">IF((G31&lt;&gt;0),IF((D31&gt;0)," ",(I$1-A31))," ")</f>
        <v>-77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336</v>
      </c>
    </row>
    <row r="32" customFormat="false" ht="12.75" hidden="false" customHeight="false" outlineLevel="0" collapsed="false">
      <c r="A32" s="357" t="n">
        <v>46351</v>
      </c>
      <c r="B32" s="365" t="s">
        <v>363</v>
      </c>
      <c r="E32" s="367" t="s">
        <v>328</v>
      </c>
      <c r="G32" s="368" t="n">
        <v>15</v>
      </c>
      <c r="H32" s="340" t="n">
        <f aca="false">IF((G32&lt;&gt;0),IF((D32&gt;0)," ",G32)," ")</f>
        <v>15</v>
      </c>
      <c r="I32" s="369" t="n">
        <f aca="false">IF((G32&lt;&gt;0),IF((D32&gt;0)," ",(I$1-A32))," ")</f>
        <v>-80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336</v>
      </c>
    </row>
    <row r="33" customFormat="false" ht="12.75" hidden="false" customHeight="false" outlineLevel="0" collapsed="false">
      <c r="A33" s="357" t="n">
        <v>46351</v>
      </c>
      <c r="B33" s="365" t="s">
        <v>364</v>
      </c>
      <c r="E33" s="367" t="s">
        <v>303</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339</v>
      </c>
    </row>
    <row r="34" customFormat="false" ht="12.75" hidden="false" customHeight="false" outlineLevel="0" collapsed="false">
      <c r="A34" s="357" t="n">
        <v>46354</v>
      </c>
      <c r="B34" s="365" t="s">
        <v>354</v>
      </c>
      <c r="E34" s="367" t="s">
        <v>303</v>
      </c>
      <c r="G34" s="368" t="n">
        <v>120</v>
      </c>
      <c r="H34" s="340" t="n">
        <f aca="false">IF((G34&lt;&gt;0),IF((D34&gt;0)," ",G34)," ")</f>
        <v>120</v>
      </c>
      <c r="I34" s="369" t="n">
        <f aca="false">IF((G34&lt;&gt;0),IF((D34&gt;0)," ",(I$1-A34))," ")</f>
        <v>-83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46356</v>
      </c>
      <c r="B35" s="365" t="s">
        <v>365</v>
      </c>
      <c r="E35" s="367" t="s">
        <v>366</v>
      </c>
      <c r="G35" s="368" t="n">
        <v>300</v>
      </c>
      <c r="H35" s="340" t="n">
        <f aca="false">IF((G35&lt;&gt;0),IF((D35&gt;0)," ",G35)," ")</f>
        <v>300</v>
      </c>
      <c r="I35" s="369" t="n">
        <f aca="false">IF((G35&lt;&gt;0),IF((D35&gt;0)," ",(I$1-A35))," ")</f>
        <v>-85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367</v>
      </c>
    </row>
    <row r="36" customFormat="false" ht="12.75" hidden="false" customHeight="false" outlineLevel="0" collapsed="false">
      <c r="A36" s="357" t="n">
        <v>46356</v>
      </c>
      <c r="B36" s="365" t="s">
        <v>368</v>
      </c>
      <c r="C36" s="365" t="s">
        <v>507</v>
      </c>
      <c r="E36" s="367" t="s">
        <v>370</v>
      </c>
      <c r="G36" s="368" t="n">
        <v>3500</v>
      </c>
      <c r="H36" s="340" t="n">
        <f aca="false">IF((G36&lt;&gt;0),IF((D36&gt;0)," ",G36)," ")</f>
        <v>3500</v>
      </c>
      <c r="I36" s="369" t="n">
        <f aca="false">IF((G36&lt;&gt;0),IF((D36&gt;0)," ",(I$1-A36))," ")</f>
        <v>-85</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371</v>
      </c>
    </row>
    <row r="37" customFormat="false" ht="12.75" hidden="false" customHeight="false" outlineLevel="0" collapsed="false">
      <c r="A37" s="357" t="n">
        <v>46356</v>
      </c>
      <c r="B37" s="365" t="s">
        <v>372</v>
      </c>
      <c r="C37" s="365" t="s">
        <v>508</v>
      </c>
      <c r="E37" s="367" t="s">
        <v>370</v>
      </c>
      <c r="G37" s="368" t="n">
        <v>2200</v>
      </c>
      <c r="H37" s="340" t="n">
        <f aca="false">IF((G37&lt;&gt;0),IF((D37&gt;0)," ",G37)," ")</f>
        <v>2200</v>
      </c>
      <c r="I37" s="369" t="n">
        <f aca="false">IF((G37&lt;&gt;0),IF((D37&gt;0)," ",(I$1-A37))," ")</f>
        <v>-85</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371</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32800</v>
      </c>
      <c r="G1" s="345" t="n">
        <f aca="false">SUM(G4:G300)</f>
        <v>0</v>
      </c>
      <c r="H1" s="347" t="n">
        <f aca="false">SUM(H4:H300)</f>
        <v>32800</v>
      </c>
      <c r="I1" s="348" t="n">
        <f aca="true">TODAY()</f>
        <v>46271</v>
      </c>
      <c r="J1" s="345" t="n">
        <f aca="false">SUM(J4:J300)</f>
        <v>0</v>
      </c>
      <c r="K1" s="349" t="n">
        <f aca="false">J1+SalesNov!K1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46359</v>
      </c>
      <c r="B4" s="336" t="s">
        <v>259</v>
      </c>
      <c r="C4" s="337" t="s">
        <v>509</v>
      </c>
      <c r="F4" s="336" t="n">
        <v>360</v>
      </c>
      <c r="H4" s="340" t="n">
        <f aca="false">IF((F4&lt;&gt;0),IF((D4&gt;0)," ",F4)," ")</f>
        <v>360</v>
      </c>
      <c r="I4" s="341" t="n">
        <f aca="false">IF((F4&lt;&gt;0),IF((D4&gt;0)," ",(I$1-A4))," ")</f>
        <v>-88</v>
      </c>
      <c r="BZ4" s="336" t="s">
        <v>258</v>
      </c>
    </row>
    <row r="5" customFormat="false" ht="12.75" hidden="false" customHeight="false" outlineLevel="0" collapsed="false">
      <c r="A5" s="357" t="n">
        <v>46361</v>
      </c>
      <c r="B5" s="336" t="s">
        <v>261</v>
      </c>
      <c r="C5" s="337" t="s">
        <v>510</v>
      </c>
      <c r="F5" s="336" t="n">
        <v>600</v>
      </c>
      <c r="H5" s="340" t="n">
        <f aca="false">IF((F5&lt;&gt;0),IF((D5&gt;0)," ",F5)," ")</f>
        <v>600</v>
      </c>
      <c r="I5" s="341" t="n">
        <f aca="false">IF((F5&lt;&gt;0),IF((D5&gt;0)," ",(I$1-A5))," ")</f>
        <v>-90</v>
      </c>
      <c r="BZ5" s="336" t="s">
        <v>258</v>
      </c>
    </row>
    <row r="6" customFormat="false" ht="12.75" hidden="false" customHeight="false" outlineLevel="0" collapsed="false">
      <c r="A6" s="357" t="n">
        <v>46364</v>
      </c>
      <c r="B6" s="336" t="s">
        <v>263</v>
      </c>
      <c r="C6" s="337" t="s">
        <v>511</v>
      </c>
      <c r="F6" s="336" t="n">
        <v>480</v>
      </c>
      <c r="H6" s="340" t="n">
        <f aca="false">IF((F6&lt;&gt;0),IF((D6&gt;0)," ",F6)," ")</f>
        <v>480</v>
      </c>
      <c r="I6" s="341" t="n">
        <f aca="false">IF((F6&lt;&gt;0),IF((D6&gt;0)," ",(I$1-A6))," ")</f>
        <v>-93</v>
      </c>
      <c r="BZ6" s="336" t="s">
        <v>265</v>
      </c>
    </row>
    <row r="7" customFormat="false" ht="12.75" hidden="false" customHeight="false" outlineLevel="0" collapsed="false">
      <c r="A7" s="357" t="n">
        <v>46366</v>
      </c>
      <c r="B7" s="336" t="s">
        <v>266</v>
      </c>
      <c r="C7" s="337" t="s">
        <v>512</v>
      </c>
      <c r="F7" s="336" t="n">
        <v>720</v>
      </c>
      <c r="H7" s="340" t="n">
        <f aca="false">IF((F7&lt;&gt;0),IF((D7&gt;0)," ",F7)," ")</f>
        <v>720</v>
      </c>
      <c r="I7" s="341" t="n">
        <f aca="false">IF((F7&lt;&gt;0),IF((D7&gt;0)," ",(I$1-A7))," ")</f>
        <v>-95</v>
      </c>
      <c r="BZ7" s="336" t="s">
        <v>265</v>
      </c>
    </row>
    <row r="8" customFormat="false" ht="12.75" hidden="false" customHeight="false" outlineLevel="0" collapsed="false">
      <c r="A8" s="357" t="n">
        <v>46371</v>
      </c>
      <c r="B8" s="336" t="s">
        <v>268</v>
      </c>
      <c r="C8" s="337" t="s">
        <v>513</v>
      </c>
      <c r="F8" s="336" t="n">
        <v>25000</v>
      </c>
      <c r="H8" s="340" t="n">
        <f aca="false">IF((F8&lt;&gt;0),IF((D8&gt;0)," ",F8)," ")</f>
        <v>25000</v>
      </c>
      <c r="I8" s="341" t="n">
        <f aca="false">IF((F8&lt;&gt;0),IF((D8&gt;0)," ",(I$1-A8))," ")</f>
        <v>-100</v>
      </c>
      <c r="BZ8" s="336" t="s">
        <v>265</v>
      </c>
    </row>
    <row r="9" customFormat="false" ht="12.75" hidden="false" customHeight="false" outlineLevel="0" collapsed="false">
      <c r="A9" s="357" t="n">
        <v>46374</v>
      </c>
      <c r="B9" s="336" t="s">
        <v>270</v>
      </c>
      <c r="C9" s="337" t="s">
        <v>514</v>
      </c>
      <c r="F9" s="336" t="n">
        <v>2400</v>
      </c>
      <c r="H9" s="340" t="n">
        <f aca="false">IF((F9&lt;&gt;0),IF((D9&gt;0)," ",F9)," ")</f>
        <v>2400</v>
      </c>
      <c r="I9" s="341" t="n">
        <f aca="false">IF((F9&lt;&gt;0),IF((D9&gt;0)," ",(I$1-A9))," ")</f>
        <v>-103</v>
      </c>
      <c r="BZ9" s="336" t="s">
        <v>265</v>
      </c>
    </row>
    <row r="10" customFormat="false" ht="12.75" hidden="false" customHeight="false" outlineLevel="0" collapsed="false">
      <c r="A10" s="357" t="n">
        <v>46376</v>
      </c>
      <c r="B10" s="336" t="s">
        <v>272</v>
      </c>
      <c r="C10" s="337" t="s">
        <v>515</v>
      </c>
      <c r="F10" s="336" t="n">
        <v>1800</v>
      </c>
      <c r="H10" s="340" t="n">
        <f aca="false">IF((F10&lt;&gt;0),IF((D10&gt;0)," ",F10)," ")</f>
        <v>1800</v>
      </c>
      <c r="I10" s="341" t="n">
        <f aca="false">IF((F10&lt;&gt;0),IF((D10&gt;0)," ",(I$1-A10))," ")</f>
        <v>-105</v>
      </c>
      <c r="BZ10" s="336" t="s">
        <v>265</v>
      </c>
    </row>
    <row r="11" customFormat="false" ht="12.75" hidden="false" customHeight="false" outlineLevel="0" collapsed="false">
      <c r="A11" s="357" t="n">
        <v>46378</v>
      </c>
      <c r="B11" s="336" t="s">
        <v>414</v>
      </c>
      <c r="C11" s="337" t="s">
        <v>516</v>
      </c>
      <c r="F11" s="336" t="n">
        <v>1440</v>
      </c>
      <c r="H11" s="340" t="n">
        <f aca="false">IF((F11&lt;&gt;0),IF((D11&gt;0)," ",F11)," ")</f>
        <v>1440</v>
      </c>
      <c r="I11" s="341" t="n">
        <f aca="false">IF((F11&lt;&gt;0),IF((D11&gt;0)," ",(I$1-A11))," ")</f>
        <v>-107</v>
      </c>
      <c r="BZ11" s="336" t="s">
        <v>265</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278</v>
      </c>
      <c r="C1" s="346" t="n">
        <f aca="false">PurchasesNov!C1+PurchasesDec!F1+SalesDec!$E$1</f>
        <v>1080</v>
      </c>
      <c r="D1" s="371" t="s">
        <v>245</v>
      </c>
      <c r="E1" s="373" t="str">
        <f aca="false">IF((G1-SUM(J1:W1)&lt;&gt;0),(G1-SUM(J1:W1))," ")</f>
        <v> </v>
      </c>
      <c r="F1" s="346" t="n">
        <f aca="false">SUM(F5:F300)</f>
        <v>110</v>
      </c>
      <c r="G1" s="345" t="n">
        <f aca="false">SUM(G4:G300)</f>
        <v>15151.5</v>
      </c>
      <c r="H1" s="374" t="n">
        <f aca="false">SUM(H5:H300)</f>
        <v>15102</v>
      </c>
      <c r="I1" s="375" t="n">
        <f aca="true">TODAY()</f>
        <v>46271</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IF((C1&lt;Admin!$F$22),((C1-PurchasesNov!C1)*Admin!$G$21),(C1*Admin!$G$21-(C1-Admin!$F$21)*(Admin!$G$21-Admin!$G$22)-PurchasesNov!A1))</f>
        <v>49.5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46357</v>
      </c>
      <c r="B5" s="365" t="s">
        <v>320</v>
      </c>
      <c r="E5" s="367" t="s">
        <v>321</v>
      </c>
      <c r="G5" s="368" t="n">
        <v>1200</v>
      </c>
      <c r="H5" s="340" t="n">
        <f aca="false">IF((G5&lt;&gt;0),IF((D5&gt;0)," ",G5)," ")</f>
        <v>1200</v>
      </c>
      <c r="I5" s="369" t="n">
        <f aca="false">IF((G5&lt;&gt;0),IF((D5&gt;0)," ",(I$1-A5))," ")</f>
        <v>-86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46357</v>
      </c>
      <c r="B6" s="365" t="s">
        <v>323</v>
      </c>
      <c r="E6" s="367" t="s">
        <v>324</v>
      </c>
      <c r="G6" s="368" t="n">
        <v>30</v>
      </c>
      <c r="H6" s="340" t="n">
        <f aca="false">IF((G6&lt;&gt;0),IF((D6&gt;0)," ",G6)," ")</f>
        <v>30</v>
      </c>
      <c r="I6" s="369" t="n">
        <f aca="false">IF((G6&lt;&gt;0),IF((D6&gt;0)," ",(I$1-A6))," ")</f>
        <v>-86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46357</v>
      </c>
      <c r="B7" s="365" t="s">
        <v>326</v>
      </c>
      <c r="E7" s="367" t="s">
        <v>324</v>
      </c>
      <c r="G7" s="368" t="n">
        <v>15</v>
      </c>
      <c r="H7" s="340" t="n">
        <f aca="false">IF((G7&lt;&gt;0),IF((D7&gt;0)," ",G7)," ")</f>
        <v>15</v>
      </c>
      <c r="I7" s="369" t="n">
        <f aca="false">IF((G7&lt;&gt;0),IF((D7&gt;0)," ",(I$1-A7))," ")</f>
        <v>-86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46357</v>
      </c>
      <c r="B8" s="365" t="s">
        <v>327</v>
      </c>
      <c r="E8" s="367" t="s">
        <v>328</v>
      </c>
      <c r="G8" s="368" t="n">
        <v>45</v>
      </c>
      <c r="H8" s="340" t="n">
        <f aca="false">IF((G8&lt;&gt;0),IF((D8&gt;0)," ",G8)," ")</f>
        <v>45</v>
      </c>
      <c r="I8" s="369" t="n">
        <f aca="false">IF((G8&lt;&gt;0),IF((D8&gt;0)," ",(I$1-A8))," ")</f>
        <v>-86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46357</v>
      </c>
      <c r="B9" s="365" t="s">
        <v>332</v>
      </c>
      <c r="E9" s="367" t="s">
        <v>328</v>
      </c>
      <c r="G9" s="368" t="n">
        <v>24</v>
      </c>
      <c r="H9" s="340" t="n">
        <f aca="false">IF((G9&lt;&gt;0),IF((D9&gt;0)," ",G9)," ")</f>
        <v>24</v>
      </c>
      <c r="I9" s="369" t="n">
        <f aca="false">IF((G9&lt;&gt;0),IF((D9&gt;0)," ",(I$1-A9))," ")</f>
        <v>-86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46357</v>
      </c>
      <c r="B10" s="365" t="s">
        <v>333</v>
      </c>
      <c r="E10" s="367" t="s">
        <v>324</v>
      </c>
      <c r="G10" s="368" t="n">
        <v>18</v>
      </c>
      <c r="H10" s="340" t="n">
        <f aca="false">IF((G10&lt;&gt;0),IF((D10&gt;0)," ",G10)," ")</f>
        <v>18</v>
      </c>
      <c r="I10" s="369" t="n">
        <f aca="false">IF((G10&lt;&gt;0),IF((D10&gt;0)," ",(I$1-A10))," ")</f>
        <v>-86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46359</v>
      </c>
      <c r="B11" s="365" t="s">
        <v>334</v>
      </c>
      <c r="E11" s="367" t="s">
        <v>328</v>
      </c>
      <c r="G11" s="368" t="n">
        <v>180</v>
      </c>
      <c r="H11" s="340" t="n">
        <f aca="false">IF((G11&lt;&gt;0),IF((D11&gt;0)," ",G11)," ")</f>
        <v>180</v>
      </c>
      <c r="I11" s="369" t="n">
        <f aca="false">IF((G11&lt;&gt;0),IF((D11&gt;0)," ",(I$1-A11))," ")</f>
        <v>-88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46359</v>
      </c>
      <c r="B12" s="365" t="s">
        <v>335</v>
      </c>
      <c r="E12" s="367" t="s">
        <v>328</v>
      </c>
      <c r="G12" s="368" t="n">
        <v>22</v>
      </c>
      <c r="H12" s="340" t="n">
        <f aca="false">IF((G12&lt;&gt;0),IF((D12&gt;0)," ",G12)," ")</f>
        <v>22</v>
      </c>
      <c r="I12" s="369" t="n">
        <f aca="false">IF((G12&lt;&gt;0),IF((D12&gt;0)," ",(I$1-A12))," ")</f>
        <v>-88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46361</v>
      </c>
      <c r="B13" s="365" t="s">
        <v>337</v>
      </c>
      <c r="E13" s="367" t="s">
        <v>328</v>
      </c>
      <c r="G13" s="368" t="n">
        <v>24</v>
      </c>
      <c r="H13" s="340" t="n">
        <f aca="false">IF((G13&lt;&gt;0),IF((D13&gt;0)," ",G13)," ")</f>
        <v>24</v>
      </c>
      <c r="I13" s="369" t="n">
        <f aca="false">IF((G13&lt;&gt;0),IF((D13&gt;0)," ",(I$1-A13))," ")</f>
        <v>-90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46361</v>
      </c>
      <c r="B14" s="365" t="s">
        <v>338</v>
      </c>
      <c r="E14" s="367" t="s">
        <v>303</v>
      </c>
      <c r="G14" s="368" t="n">
        <v>180</v>
      </c>
      <c r="H14" s="340" t="n">
        <f aca="false">IF((G14&lt;&gt;0),IF((D14&gt;0)," ",G14)," ")</f>
        <v>180</v>
      </c>
      <c r="I14" s="369" t="n">
        <f aca="false">IF((G14&lt;&gt;0),IF((D14&gt;0)," ",(I$1-A14))," ")</f>
        <v>-90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46361</v>
      </c>
      <c r="B15" s="365" t="s">
        <v>340</v>
      </c>
      <c r="E15" s="367" t="s">
        <v>328</v>
      </c>
      <c r="G15" s="368" t="n">
        <v>36</v>
      </c>
      <c r="H15" s="340" t="n">
        <f aca="false">IF((G15&lt;&gt;0),IF((D15&gt;0)," ",G15)," ")</f>
        <v>36</v>
      </c>
      <c r="I15" s="369" t="n">
        <f aca="false">IF((G15&lt;&gt;0),IF((D15&gt;0)," ",(I$1-A15))," ")</f>
        <v>-90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329</v>
      </c>
    </row>
    <row r="16" customFormat="false" ht="12.75" hidden="false" customHeight="false" outlineLevel="0" collapsed="false">
      <c r="A16" s="357" t="n">
        <v>46364</v>
      </c>
      <c r="B16" s="365" t="s">
        <v>341</v>
      </c>
      <c r="E16" s="367" t="s">
        <v>342</v>
      </c>
      <c r="G16" s="368" t="n">
        <v>48</v>
      </c>
      <c r="H16" s="340" t="n">
        <f aca="false">IF((G16&lt;&gt;0),IF((D16&gt;0)," ",G16)," ")</f>
        <v>48</v>
      </c>
      <c r="I16" s="369" t="n">
        <f aca="false">IF((G16&lt;&gt;0),IF((D16&gt;0)," ",(I$1-A16))," ")</f>
        <v>-93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46366</v>
      </c>
      <c r="B17" s="365" t="s">
        <v>344</v>
      </c>
      <c r="E17" s="367" t="s">
        <v>328</v>
      </c>
      <c r="G17" s="368" t="n">
        <v>36</v>
      </c>
      <c r="H17" s="340" t="n">
        <f aca="false">IF((G17&lt;&gt;0),IF((D17&gt;0)," ",G17)," ")</f>
        <v>36</v>
      </c>
      <c r="I17" s="369" t="n">
        <f aca="false">IF((G17&lt;&gt;0),IF((D17&gt;0)," ",(I$1-A17))," ")</f>
        <v>-95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336</v>
      </c>
    </row>
    <row r="18" customFormat="false" ht="12.75" hidden="false" customHeight="false" outlineLevel="0" collapsed="false">
      <c r="A18" s="357" t="n">
        <v>46366</v>
      </c>
      <c r="B18" s="365" t="s">
        <v>416</v>
      </c>
      <c r="E18" s="367" t="s">
        <v>324</v>
      </c>
      <c r="G18" s="368" t="n">
        <v>120</v>
      </c>
      <c r="H18" s="340" t="n">
        <f aca="false">IF((G18&lt;&gt;0),IF((D18&gt;0)," ",G18)," ")</f>
        <v>120</v>
      </c>
      <c r="I18" s="369" t="n">
        <f aca="false">IF((G18&lt;&gt;0),IF((D18&gt;0)," ",(I$1-A18))," ")</f>
        <v>-95</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325</v>
      </c>
    </row>
    <row r="19" customFormat="false" ht="12.75" hidden="false" customHeight="false" outlineLevel="0" collapsed="false">
      <c r="A19" s="357" t="n">
        <v>46368</v>
      </c>
      <c r="B19" s="365" t="s">
        <v>350</v>
      </c>
      <c r="E19" s="367" t="s">
        <v>303</v>
      </c>
      <c r="G19" s="368" t="n">
        <v>18</v>
      </c>
      <c r="H19" s="340" t="n">
        <f aca="false">IF((G19&lt;&gt;0),IF((D19&gt;0)," ",G19)," ")</f>
        <v>18</v>
      </c>
      <c r="I19" s="369" t="n">
        <f aca="false">IF((G19&lt;&gt;0),IF((D19&gt;0)," ",(I$1-A19))," ")</f>
        <v>-97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339</v>
      </c>
    </row>
    <row r="20" customFormat="false" ht="12.75" hidden="false" customHeight="false" outlineLevel="0" collapsed="false">
      <c r="A20" s="357" t="n">
        <v>46370</v>
      </c>
      <c r="B20" s="365" t="s">
        <v>351</v>
      </c>
      <c r="E20" s="367" t="s">
        <v>328</v>
      </c>
      <c r="G20" s="368" t="n">
        <v>24</v>
      </c>
      <c r="H20" s="340" t="n">
        <f aca="false">IF((G20&lt;&gt;0),IF((D20&gt;0)," ",G20)," ")</f>
        <v>24</v>
      </c>
      <c r="I20" s="369" t="n">
        <f aca="false">IF((G20&lt;&gt;0),IF((D20&gt;0)," ",(I$1-A20))," ")</f>
        <v>-99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336</v>
      </c>
    </row>
    <row r="21" customFormat="false" ht="12.75" hidden="false" customHeight="false" outlineLevel="0" collapsed="false">
      <c r="A21" s="357" t="n">
        <v>46370</v>
      </c>
      <c r="B21" s="365" t="s">
        <v>352</v>
      </c>
      <c r="D21" s="365"/>
      <c r="E21" s="367" t="s">
        <v>342</v>
      </c>
      <c r="G21" s="368" t="n">
        <v>24</v>
      </c>
      <c r="H21" s="340" t="n">
        <f aca="false">IF((G21&lt;&gt;0),IF((D21&gt;0)," ",G21)," ")</f>
        <v>24</v>
      </c>
      <c r="I21" s="369" t="n">
        <f aca="false">IF((G21&lt;&gt;0),IF((D21&gt;0)," ",(I$1-A21))," ")</f>
        <v>-99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343</v>
      </c>
    </row>
    <row r="22" customFormat="false" ht="12.75" hidden="false" customHeight="false" outlineLevel="0" collapsed="false">
      <c r="A22" s="357" t="n">
        <v>46370</v>
      </c>
      <c r="B22" s="365" t="s">
        <v>353</v>
      </c>
      <c r="D22" s="395"/>
      <c r="E22" s="367" t="s">
        <v>342</v>
      </c>
      <c r="G22" s="368" t="n">
        <v>12</v>
      </c>
      <c r="H22" s="340" t="n">
        <f aca="false">IF((G22&lt;&gt;0),IF((D22&gt;0)," ",G22)," ")</f>
        <v>12</v>
      </c>
      <c r="I22" s="369" t="n">
        <f aca="false">IF((G22&lt;&gt;0),IF((D22&gt;0)," ",(I$1-A22))," ")</f>
        <v>-99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46371</v>
      </c>
      <c r="B23" s="365" t="s">
        <v>354</v>
      </c>
      <c r="E23" s="367" t="s">
        <v>303</v>
      </c>
      <c r="G23" s="368" t="n">
        <v>150</v>
      </c>
      <c r="H23" s="340" t="n">
        <f aca="false">IF((G23&lt;&gt;0),IF((D23&gt;0)," ",G23)," ")</f>
        <v>150</v>
      </c>
      <c r="I23" s="369" t="n">
        <f aca="false">IF((G23&lt;&gt;0),IF((D23&gt;0)," ",(I$1-A23))," ")</f>
        <v>-100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339</v>
      </c>
    </row>
    <row r="24" customFormat="false" ht="12.75" hidden="false" customHeight="false" outlineLevel="0" collapsed="false">
      <c r="A24" s="357" t="n">
        <v>46371</v>
      </c>
      <c r="B24" s="365" t="s">
        <v>355</v>
      </c>
      <c r="E24" s="367" t="s">
        <v>324</v>
      </c>
      <c r="G24" s="368" t="n">
        <v>12</v>
      </c>
      <c r="H24" s="340" t="n">
        <f aca="false">IF((G24&lt;&gt;0),IF((D24&gt;0)," ",G24)," ")</f>
        <v>12</v>
      </c>
      <c r="I24" s="369" t="n">
        <f aca="false">IF((G24&lt;&gt;0),IF((D24&gt;0)," ",(I$1-A24))," ")</f>
        <v>-100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325</v>
      </c>
    </row>
    <row r="25" customFormat="false" ht="12.75" hidden="false" customHeight="false" outlineLevel="0" collapsed="false">
      <c r="A25" s="357" t="n">
        <v>46371</v>
      </c>
      <c r="B25" s="365" t="s">
        <v>517</v>
      </c>
      <c r="E25" s="367" t="s">
        <v>518</v>
      </c>
      <c r="G25" s="368" t="n">
        <v>500</v>
      </c>
      <c r="H25" s="340" t="n">
        <f aca="false">IF((G25&lt;&gt;0),IF((D25&gt;0)," ",G25)," ")</f>
        <v>500</v>
      </c>
      <c r="I25" s="369" t="n">
        <f aca="false">IF((G25&lt;&gt;0),IF((D25&gt;0)," ",(I$1-A25))," ")</f>
        <v>-100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519</v>
      </c>
    </row>
    <row r="26" customFormat="false" ht="12.75" hidden="false" customHeight="false" outlineLevel="0" collapsed="false">
      <c r="A26" s="357" t="n">
        <v>46374</v>
      </c>
      <c r="B26" s="365" t="s">
        <v>422</v>
      </c>
      <c r="E26" s="367" t="s">
        <v>348</v>
      </c>
      <c r="G26" s="368" t="n">
        <v>480</v>
      </c>
      <c r="H26" s="340" t="n">
        <f aca="false">IF((G26&lt;&gt;0),IF((D26&gt;0)," ",G26)," ")</f>
        <v>480</v>
      </c>
      <c r="I26" s="369" t="n">
        <f aca="false">IF((G26&lt;&gt;0),IF((D26&gt;0)," ",(I$1-A26))," ")</f>
        <v>-103</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349</v>
      </c>
    </row>
    <row r="27" customFormat="false" ht="12.75" hidden="false" customHeight="false" outlineLevel="0" collapsed="false">
      <c r="A27" s="357" t="n">
        <v>46374</v>
      </c>
      <c r="B27" s="365" t="s">
        <v>356</v>
      </c>
      <c r="E27" s="367" t="s">
        <v>303</v>
      </c>
      <c r="G27" s="368" t="n">
        <v>96</v>
      </c>
      <c r="H27" s="340" t="n">
        <f aca="false">IF((G27&lt;&gt;0),IF((D27&gt;0)," ",G27)," ")</f>
        <v>96</v>
      </c>
      <c r="I27" s="369" t="n">
        <f aca="false">IF((G27&lt;&gt;0),IF((D27&gt;0)," ",(I$1-A27))," ")</f>
        <v>-103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339</v>
      </c>
    </row>
    <row r="28" customFormat="false" ht="12.75" hidden="false" customHeight="false" outlineLevel="0" collapsed="false">
      <c r="A28" s="357" t="n">
        <v>46376</v>
      </c>
      <c r="B28" s="365" t="s">
        <v>357</v>
      </c>
      <c r="E28" s="367" t="s">
        <v>324</v>
      </c>
      <c r="G28" s="368" t="n">
        <v>60</v>
      </c>
      <c r="H28" s="340" t="n">
        <f aca="false">IF((G28&lt;&gt;0),IF((D28&gt;0)," ",G28)," ")</f>
        <v>60</v>
      </c>
      <c r="I28" s="369" t="n">
        <f aca="false">IF((G28&lt;&gt;0),IF((D28&gt;0)," ",(I$1-A28))," ")</f>
        <v>-105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46377</v>
      </c>
      <c r="B29" s="365" t="s">
        <v>361</v>
      </c>
      <c r="E29" s="367" t="s">
        <v>342</v>
      </c>
      <c r="G29" s="368" t="n">
        <v>8</v>
      </c>
      <c r="H29" s="340" t="n">
        <f aca="false">IF((G29&lt;&gt;0),IF((D29&gt;0)," ",G29)," ")</f>
        <v>8</v>
      </c>
      <c r="I29" s="369" t="n">
        <f aca="false">IF((G29&lt;&gt;0),IF((D29&gt;0)," ",(I$1-A29))," ")</f>
        <v>-106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343</v>
      </c>
    </row>
    <row r="30" customFormat="false" ht="12.75" hidden="false" customHeight="false" outlineLevel="0" collapsed="false">
      <c r="A30" s="357" t="n">
        <v>46378</v>
      </c>
      <c r="B30" s="365" t="s">
        <v>362</v>
      </c>
      <c r="E30" s="367" t="s">
        <v>328</v>
      </c>
      <c r="G30" s="368" t="n">
        <v>18</v>
      </c>
      <c r="H30" s="340" t="n">
        <f aca="false">IF((G30&lt;&gt;0),IF((D30&gt;0)," ",G30)," ")</f>
        <v>18</v>
      </c>
      <c r="I30" s="369" t="n">
        <f aca="false">IF((G30&lt;&gt;0),IF((D30&gt;0)," ",(I$1-A30))," ")</f>
        <v>-107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336</v>
      </c>
    </row>
    <row r="31" customFormat="false" ht="12.75" hidden="false" customHeight="false" outlineLevel="0" collapsed="false">
      <c r="A31" s="357" t="n">
        <v>46381</v>
      </c>
      <c r="B31" s="365" t="s">
        <v>423</v>
      </c>
      <c r="E31" s="367" t="s">
        <v>321</v>
      </c>
      <c r="G31" s="368" t="n">
        <v>420</v>
      </c>
      <c r="H31" s="340" t="n">
        <f aca="false">IF((G31&lt;&gt;0),IF((D31&gt;0)," ",G31)," ")</f>
        <v>420</v>
      </c>
      <c r="I31" s="369" t="n">
        <f aca="false">IF((G31&lt;&gt;0),IF((D31&gt;0)," ",(I$1-A31))," ")</f>
        <v>-110</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424</v>
      </c>
    </row>
    <row r="32" customFormat="false" ht="12.75" hidden="false" customHeight="false" outlineLevel="0" collapsed="false">
      <c r="A32" s="357" t="n">
        <v>46381</v>
      </c>
      <c r="B32" s="365" t="s">
        <v>363</v>
      </c>
      <c r="E32" s="367" t="s">
        <v>328</v>
      </c>
      <c r="G32" s="368" t="n">
        <v>15</v>
      </c>
      <c r="H32" s="340" t="n">
        <f aca="false">IF((G32&lt;&gt;0),IF((D32&gt;0)," ",G32)," ")</f>
        <v>15</v>
      </c>
      <c r="I32" s="369" t="n">
        <f aca="false">IF((G32&lt;&gt;0),IF((D32&gt;0)," ",(I$1-A32))," ")</f>
        <v>-110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336</v>
      </c>
    </row>
    <row r="33" customFormat="false" ht="12.75" hidden="false" customHeight="false" outlineLevel="0" collapsed="false">
      <c r="A33" s="357" t="n">
        <v>46381</v>
      </c>
      <c r="B33" s="365" t="s">
        <v>364</v>
      </c>
      <c r="E33" s="367" t="s">
        <v>303</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339</v>
      </c>
    </row>
    <row r="34" customFormat="false" ht="12.75" hidden="false" customHeight="false" outlineLevel="0" collapsed="false">
      <c r="A34" s="357" t="n">
        <v>46384</v>
      </c>
      <c r="B34" s="365" t="s">
        <v>354</v>
      </c>
      <c r="E34" s="367" t="s">
        <v>303</v>
      </c>
      <c r="G34" s="368" t="n">
        <v>120</v>
      </c>
      <c r="H34" s="340" t="n">
        <f aca="false">IF((G34&lt;&gt;0),IF((D34&gt;0)," ",G34)," ")</f>
        <v>120</v>
      </c>
      <c r="I34" s="369" t="n">
        <f aca="false">IF((G34&lt;&gt;0),IF((D34&gt;0)," ",(I$1-A34))," ")</f>
        <v>-113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339</v>
      </c>
    </row>
    <row r="35" customFormat="false" ht="12.75" hidden="false" customHeight="false" outlineLevel="0" collapsed="false">
      <c r="A35" s="357" t="n">
        <v>46387</v>
      </c>
      <c r="B35" s="365" t="s">
        <v>365</v>
      </c>
      <c r="E35" s="367" t="s">
        <v>366</v>
      </c>
      <c r="G35" s="368" t="n">
        <v>300</v>
      </c>
      <c r="H35" s="340" t="n">
        <f aca="false">IF((G35&lt;&gt;0),IF((D35&gt;0)," ",G35)," ")</f>
        <v>300</v>
      </c>
      <c r="I35" s="369" t="n">
        <f aca="false">IF((G35&lt;&gt;0),IF((D35&gt;0)," ",(I$1-A35))," ")</f>
        <v>-116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367</v>
      </c>
    </row>
    <row r="36" customFormat="false" ht="12.75" hidden="false" customHeight="false" outlineLevel="0" collapsed="false">
      <c r="A36" s="357" t="n">
        <v>46387</v>
      </c>
      <c r="B36" s="365" t="s">
        <v>520</v>
      </c>
      <c r="E36" s="367" t="s">
        <v>328</v>
      </c>
      <c r="G36" s="368" t="n">
        <v>5000</v>
      </c>
      <c r="H36" s="340" t="n">
        <f aca="false">IF((G36&lt;&gt;0),IF((D36&gt;0)," ",G36)," ")</f>
        <v>5000</v>
      </c>
      <c r="I36" s="369" t="n">
        <f aca="false">IF((G36&lt;&gt;0),IF((D36&gt;0)," ",(I$1-A36))," ")</f>
        <v>-116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521</v>
      </c>
    </row>
    <row r="37" customFormat="false" ht="12.75" hidden="false" customHeight="false" outlineLevel="0" collapsed="false">
      <c r="A37" s="357" t="n">
        <v>46387</v>
      </c>
      <c r="B37" s="365" t="s">
        <v>425</v>
      </c>
      <c r="C37" s="365" t="s">
        <v>522</v>
      </c>
      <c r="E37" s="367" t="s">
        <v>427</v>
      </c>
      <c r="G37" s="368" t="n">
        <v>167</v>
      </c>
      <c r="H37" s="340" t="n">
        <f aca="false">IF((G37&lt;&gt;0),IF((D37&gt;0)," ",G37)," ")</f>
        <v>167</v>
      </c>
      <c r="I37" s="369" t="n">
        <f aca="false">IF((G37&lt;&gt;0),IF((D37&gt;0)," ",(I$1-A37))," ")</f>
        <v>-116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428</v>
      </c>
    </row>
    <row r="38" customFormat="false" ht="12.75" hidden="false" customHeight="false" outlineLevel="0" collapsed="false">
      <c r="A38" s="357" t="n">
        <v>46387</v>
      </c>
      <c r="B38" s="365" t="s">
        <v>368</v>
      </c>
      <c r="C38" s="365" t="s">
        <v>523</v>
      </c>
      <c r="E38" s="367" t="s">
        <v>370</v>
      </c>
      <c r="G38" s="368" t="n">
        <v>3500</v>
      </c>
      <c r="H38" s="340" t="n">
        <f aca="false">IF((G38&lt;&gt;0),IF((D38&gt;0)," ",G38)," ")</f>
        <v>3500</v>
      </c>
      <c r="I38" s="369" t="n">
        <f aca="false">IF((G38&lt;&gt;0),IF((D38&gt;0)," ",(I$1-A38))," ")</f>
        <v>-116</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t="n">
        <v>46387</v>
      </c>
      <c r="B39" s="365" t="s">
        <v>372</v>
      </c>
      <c r="C39" s="365" t="s">
        <v>524</v>
      </c>
      <c r="E39" s="367" t="s">
        <v>370</v>
      </c>
      <c r="G39" s="368" t="n">
        <v>2200</v>
      </c>
      <c r="H39" s="340" t="n">
        <f aca="false">IF((G39&lt;&gt;0),IF((D39&gt;0)," ",G39)," ")</f>
        <v>2200</v>
      </c>
      <c r="I39" s="369" t="n">
        <f aca="false">IF((G39&lt;&gt;0),IF((D39&gt;0)," ",(I$1-A39))," ")</f>
        <v>-116</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35440</v>
      </c>
      <c r="G1" s="345" t="n">
        <f aca="false">SUM(G4:G300)</f>
        <v>0</v>
      </c>
      <c r="H1" s="347" t="n">
        <f aca="false">SUM(H4:H300)</f>
        <v>35440</v>
      </c>
      <c r="I1" s="348" t="n">
        <f aca="true">TODAY()</f>
        <v>46271</v>
      </c>
      <c r="J1" s="345" t="n">
        <f aca="false">SUM(J4:J300)</f>
        <v>0</v>
      </c>
      <c r="K1" s="349" t="n">
        <f aca="false">J1+SalesDec!K1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46388</v>
      </c>
      <c r="B4" s="336" t="s">
        <v>256</v>
      </c>
      <c r="C4" s="337" t="s">
        <v>525</v>
      </c>
      <c r="F4" s="336" t="n">
        <v>1200</v>
      </c>
      <c r="H4" s="340" t="n">
        <f aca="false">IF((F4&lt;&gt;0),IF((D4&gt;0)," ",F4)," ")</f>
        <v>1200</v>
      </c>
      <c r="I4" s="341" t="n">
        <f aca="false">IF((F4&lt;&gt;0),IF((D4&gt;0)," ",(I$1-A4))," ")</f>
        <v>-117</v>
      </c>
      <c r="BZ4" s="336" t="s">
        <v>258</v>
      </c>
    </row>
    <row r="5" customFormat="false" ht="12.75" hidden="false" customHeight="false" outlineLevel="0" collapsed="false">
      <c r="A5" s="357" t="n">
        <v>46390</v>
      </c>
      <c r="B5" s="336" t="s">
        <v>259</v>
      </c>
      <c r="C5" s="337" t="s">
        <v>526</v>
      </c>
      <c r="F5" s="336" t="n">
        <v>360</v>
      </c>
      <c r="H5" s="340" t="n">
        <f aca="false">IF((F5&lt;&gt;0),IF((D5&gt;0)," ",F5)," ")</f>
        <v>360</v>
      </c>
      <c r="I5" s="341" t="n">
        <f aca="false">IF((F5&lt;&gt;0),IF((D5&gt;0)," ",(I$1-A5))," ")</f>
        <v>-119</v>
      </c>
      <c r="BZ5" s="336" t="s">
        <v>258</v>
      </c>
    </row>
    <row r="6" customFormat="false" ht="12.75" hidden="false" customHeight="false" outlineLevel="0" collapsed="false">
      <c r="A6" s="357" t="n">
        <v>46392</v>
      </c>
      <c r="B6" s="336" t="s">
        <v>261</v>
      </c>
      <c r="C6" s="337" t="s">
        <v>527</v>
      </c>
      <c r="F6" s="336" t="n">
        <v>600</v>
      </c>
      <c r="H6" s="340" t="n">
        <f aca="false">IF((F6&lt;&gt;0),IF((D6&gt;0)," ",F6)," ")</f>
        <v>600</v>
      </c>
      <c r="I6" s="341" t="n">
        <f aca="false">IF((F6&lt;&gt;0),IF((D6&gt;0)," ",(I$1-A6))," ")</f>
        <v>-121</v>
      </c>
      <c r="BZ6" s="336" t="s">
        <v>258</v>
      </c>
    </row>
    <row r="7" customFormat="false" ht="12.75" hidden="false" customHeight="false" outlineLevel="0" collapsed="false">
      <c r="A7" s="357" t="n">
        <v>46395</v>
      </c>
      <c r="B7" s="336" t="s">
        <v>263</v>
      </c>
      <c r="C7" s="337" t="s">
        <v>528</v>
      </c>
      <c r="F7" s="336" t="n">
        <v>480</v>
      </c>
      <c r="H7" s="340" t="n">
        <f aca="false">IF((F7&lt;&gt;0),IF((D7&gt;0)," ",F7)," ")</f>
        <v>480</v>
      </c>
      <c r="I7" s="341" t="n">
        <f aca="false">IF((F7&lt;&gt;0),IF((D7&gt;0)," ",(I$1-A7))," ")</f>
        <v>-124</v>
      </c>
      <c r="BZ7" s="336" t="s">
        <v>265</v>
      </c>
    </row>
    <row r="8" customFormat="false" ht="12.75" hidden="false" customHeight="false" outlineLevel="0" collapsed="false">
      <c r="A8" s="357" t="n">
        <v>46397</v>
      </c>
      <c r="B8" s="336" t="s">
        <v>266</v>
      </c>
      <c r="C8" s="337" t="s">
        <v>529</v>
      </c>
      <c r="F8" s="336" t="n">
        <v>720</v>
      </c>
      <c r="H8" s="340" t="n">
        <f aca="false">IF((F8&lt;&gt;0),IF((D8&gt;0)," ",F8)," ")</f>
        <v>720</v>
      </c>
      <c r="I8" s="341" t="n">
        <f aca="false">IF((F8&lt;&gt;0),IF((D8&gt;0)," ",(I$1-A8))," ")</f>
        <v>-126</v>
      </c>
      <c r="BZ8" s="336" t="s">
        <v>265</v>
      </c>
    </row>
    <row r="9" customFormat="false" ht="12.75" hidden="false" customHeight="false" outlineLevel="0" collapsed="false">
      <c r="A9" s="357" t="n">
        <v>46401</v>
      </c>
      <c r="B9" s="336" t="s">
        <v>436</v>
      </c>
      <c r="C9" s="337" t="s">
        <v>530</v>
      </c>
      <c r="F9" s="336" t="n">
        <v>2160</v>
      </c>
      <c r="H9" s="340" t="n">
        <f aca="false">IF((F9&lt;&gt;0),IF((D9&gt;0)," ",F9)," ")</f>
        <v>2160</v>
      </c>
      <c r="I9" s="341" t="n">
        <f aca="false">IF((F9&lt;&gt;0),IF((D9&gt;0)," ",(I$1-A9))," ")</f>
        <v>-130</v>
      </c>
      <c r="BZ9" s="336" t="s">
        <v>265</v>
      </c>
    </row>
    <row r="10" customFormat="false" ht="12.75" hidden="false" customHeight="false" outlineLevel="0" collapsed="false">
      <c r="A10" s="357" t="n">
        <v>46402</v>
      </c>
      <c r="B10" s="336" t="s">
        <v>268</v>
      </c>
      <c r="C10" s="337" t="s">
        <v>531</v>
      </c>
      <c r="F10" s="336" t="n">
        <v>25000</v>
      </c>
      <c r="H10" s="340" t="n">
        <f aca="false">IF((F10&lt;&gt;0),IF((D10&gt;0)," ",F10)," ")</f>
        <v>25000</v>
      </c>
      <c r="I10" s="341" t="n">
        <f aca="false">IF((F10&lt;&gt;0),IF((D10&gt;0)," ",(I$1-A10))," ")</f>
        <v>-131</v>
      </c>
      <c r="BZ10" s="336" t="s">
        <v>265</v>
      </c>
    </row>
    <row r="11" customFormat="false" ht="12.75" hidden="false" customHeight="false" outlineLevel="0" collapsed="false">
      <c r="A11" s="357" t="n">
        <v>46403</v>
      </c>
      <c r="B11" s="336" t="s">
        <v>381</v>
      </c>
      <c r="C11" s="337" t="s">
        <v>532</v>
      </c>
      <c r="F11" s="336" t="n">
        <v>1200</v>
      </c>
      <c r="H11" s="340" t="n">
        <f aca="false">IF((F11&lt;&gt;0),IF((D11&gt;0)," ",F11)," ")</f>
        <v>1200</v>
      </c>
      <c r="I11" s="341" t="n">
        <f aca="false">IF((F11&lt;&gt;0),IF((D11&gt;0)," ",(I$1-A11))," ")</f>
        <v>-132</v>
      </c>
      <c r="BZ11" s="336" t="s">
        <v>383</v>
      </c>
    </row>
    <row r="12" customFormat="false" ht="12.75" hidden="false" customHeight="false" outlineLevel="0" collapsed="false">
      <c r="A12" s="357" t="n">
        <v>46405</v>
      </c>
      <c r="B12" s="336" t="s">
        <v>270</v>
      </c>
      <c r="C12" s="337" t="s">
        <v>533</v>
      </c>
      <c r="F12" s="336" t="n">
        <v>2400</v>
      </c>
      <c r="H12" s="340" t="n">
        <f aca="false">IF((F12&lt;&gt;0),IF((D12&gt;0)," ",F12)," ")</f>
        <v>2400</v>
      </c>
      <c r="I12" s="341" t="n">
        <f aca="false">IF((F12&lt;&gt;0),IF((D12&gt;0)," ",(I$1-A12))," ")</f>
        <v>-134</v>
      </c>
      <c r="BZ12" s="336" t="s">
        <v>265</v>
      </c>
    </row>
    <row r="13" customFormat="false" ht="12.75" hidden="false" customHeight="false" outlineLevel="0" collapsed="false">
      <c r="A13" s="357" t="n">
        <v>46412</v>
      </c>
      <c r="B13" s="336" t="s">
        <v>534</v>
      </c>
      <c r="C13" s="337" t="s">
        <v>535</v>
      </c>
      <c r="F13" s="336" t="n">
        <v>480</v>
      </c>
      <c r="H13" s="340" t="n">
        <f aca="false">IF((F13&lt;&gt;0),IF((D13&gt;0)," ",F13)," ")</f>
        <v>480</v>
      </c>
      <c r="I13" s="341" t="n">
        <f aca="false">IF((F13&lt;&gt;0),IF((D13&gt;0)," ",(I$1-A13))," ")</f>
        <v>-141</v>
      </c>
      <c r="BZ13" s="336" t="s">
        <v>276</v>
      </c>
    </row>
    <row r="14" customFormat="false" ht="12.75" hidden="false" customHeight="false" outlineLevel="0" collapsed="false">
      <c r="A14" s="357" t="n">
        <v>46415</v>
      </c>
      <c r="B14" s="336" t="s">
        <v>274</v>
      </c>
      <c r="C14" s="337" t="s">
        <v>536</v>
      </c>
      <c r="F14" s="336" t="n">
        <v>840</v>
      </c>
      <c r="H14" s="340" t="n">
        <f aca="false">IF((F14&lt;&gt;0),IF((D14&gt;0)," ",F14)," ")</f>
        <v>840</v>
      </c>
      <c r="I14" s="341" t="n">
        <f aca="false">IF((F14&lt;&gt;0),IF((D14&gt;0)," ",(I$1-A14))," ")</f>
        <v>-144</v>
      </c>
      <c r="BZ14" s="336" t="s">
        <v>276</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278</v>
      </c>
      <c r="C1" s="346" t="n">
        <f aca="false">PurchasesDec!C1+PurchasesJan!F1+SalesJan!$E$1</f>
        <v>1165</v>
      </c>
      <c r="D1" s="371" t="s">
        <v>245</v>
      </c>
      <c r="E1" s="373" t="str">
        <f aca="false">IF((G1-SUM(J1:W1)&lt;&gt;0),(G1-SUM(J1:W1))," ")</f>
        <v> </v>
      </c>
      <c r="F1" s="346" t="n">
        <f aca="false">SUM(F5:F300)</f>
        <v>85</v>
      </c>
      <c r="G1" s="345" t="n">
        <f aca="false">SUM(G4:G300)</f>
        <v>10211.25</v>
      </c>
      <c r="H1" s="374" t="n">
        <f aca="false">SUM(H5:H300)</f>
        <v>10173</v>
      </c>
      <c r="I1" s="375" t="n">
        <f aca="true">TODAY()</f>
        <v>46271</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IF((C1&lt;Admin!$F$22),((C1-PurchasesDec!C1)*Admin!$G$21),(C1*Admin!$G$21-(C1-Admin!$F$21)*(Admin!$G$21-Admin!$G$22)-PurchasesDec!A1))</f>
        <v>38.25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46388</v>
      </c>
      <c r="B5" s="365" t="s">
        <v>320</v>
      </c>
      <c r="E5" s="367" t="s">
        <v>321</v>
      </c>
      <c r="G5" s="368" t="n">
        <v>1200</v>
      </c>
      <c r="H5" s="340" t="n">
        <f aca="false">IF((G5&lt;&gt;0),IF((D5&gt;0)," ",G5)," ")</f>
        <v>1200</v>
      </c>
      <c r="I5" s="369" t="n">
        <f aca="false">IF((G5&lt;&gt;0),IF((D5&gt;0)," ",(I$1-A5))," ")</f>
        <v>-117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46388</v>
      </c>
      <c r="B6" s="365" t="s">
        <v>323</v>
      </c>
      <c r="E6" s="367" t="s">
        <v>324</v>
      </c>
      <c r="G6" s="368" t="n">
        <v>30</v>
      </c>
      <c r="H6" s="340" t="n">
        <f aca="false">IF((G6&lt;&gt;0),IF((D6&gt;0)," ",G6)," ")</f>
        <v>30</v>
      </c>
      <c r="I6" s="369" t="n">
        <f aca="false">IF((G6&lt;&gt;0),IF((D6&gt;0)," ",(I$1-A6))," ")</f>
        <v>-117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46388</v>
      </c>
      <c r="B7" s="365" t="s">
        <v>326</v>
      </c>
      <c r="E7" s="367" t="s">
        <v>324</v>
      </c>
      <c r="G7" s="368" t="n">
        <v>15</v>
      </c>
      <c r="H7" s="340" t="n">
        <f aca="false">IF((G7&lt;&gt;0),IF((D7&gt;0)," ",G7)," ")</f>
        <v>15</v>
      </c>
      <c r="I7" s="369" t="n">
        <f aca="false">IF((G7&lt;&gt;0),IF((D7&gt;0)," ",(I$1-A7))," ")</f>
        <v>-117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46388</v>
      </c>
      <c r="B8" s="365" t="s">
        <v>327</v>
      </c>
      <c r="E8" s="367" t="s">
        <v>328</v>
      </c>
      <c r="G8" s="368" t="n">
        <v>45</v>
      </c>
      <c r="H8" s="340" t="n">
        <f aca="false">IF((G8&lt;&gt;0),IF((D8&gt;0)," ",G8)," ")</f>
        <v>45</v>
      </c>
      <c r="I8" s="369" t="n">
        <f aca="false">IF((G8&lt;&gt;0),IF((D8&gt;0)," ",(I$1-A8))," ")</f>
        <v>-117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46388</v>
      </c>
      <c r="B9" s="365" t="s">
        <v>332</v>
      </c>
      <c r="E9" s="367" t="s">
        <v>328</v>
      </c>
      <c r="G9" s="368" t="n">
        <v>24</v>
      </c>
      <c r="H9" s="340" t="n">
        <f aca="false">IF((G9&lt;&gt;0),IF((D9&gt;0)," ",G9)," ")</f>
        <v>24</v>
      </c>
      <c r="I9" s="369" t="n">
        <f aca="false">IF((G9&lt;&gt;0),IF((D9&gt;0)," ",(I$1-A9))," ")</f>
        <v>-117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46388</v>
      </c>
      <c r="B10" s="365" t="s">
        <v>333</v>
      </c>
      <c r="E10" s="367" t="s">
        <v>324</v>
      </c>
      <c r="G10" s="368" t="n">
        <v>18</v>
      </c>
      <c r="H10" s="340" t="n">
        <f aca="false">IF((G10&lt;&gt;0),IF((D10&gt;0)," ",G10)," ")</f>
        <v>18</v>
      </c>
      <c r="I10" s="369" t="n">
        <f aca="false">IF((G10&lt;&gt;0),IF((D10&gt;0)," ",(I$1-A10))," ")</f>
        <v>-117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46390</v>
      </c>
      <c r="B11" s="365" t="s">
        <v>334</v>
      </c>
      <c r="E11" s="367" t="s">
        <v>328</v>
      </c>
      <c r="G11" s="368" t="n">
        <v>180</v>
      </c>
      <c r="H11" s="340" t="n">
        <f aca="false">IF((G11&lt;&gt;0),IF((D11&gt;0)," ",G11)," ")</f>
        <v>180</v>
      </c>
      <c r="I11" s="369" t="n">
        <f aca="false">IF((G11&lt;&gt;0),IF((D11&gt;0)," ",(I$1-A11))," ")</f>
        <v>-119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46390</v>
      </c>
      <c r="B12" s="365" t="s">
        <v>335</v>
      </c>
      <c r="E12" s="367" t="s">
        <v>328</v>
      </c>
      <c r="G12" s="368" t="n">
        <v>22</v>
      </c>
      <c r="H12" s="340" t="n">
        <f aca="false">IF((G12&lt;&gt;0),IF((D12&gt;0)," ",G12)," ")</f>
        <v>22</v>
      </c>
      <c r="I12" s="369" t="n">
        <f aca="false">IF((G12&lt;&gt;0),IF((D12&gt;0)," ",(I$1-A12))," ")</f>
        <v>-119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46392</v>
      </c>
      <c r="B13" s="365" t="s">
        <v>337</v>
      </c>
      <c r="E13" s="367" t="s">
        <v>328</v>
      </c>
      <c r="G13" s="368" t="n">
        <v>24</v>
      </c>
      <c r="H13" s="340" t="n">
        <f aca="false">IF((G13&lt;&gt;0),IF((D13&gt;0)," ",G13)," ")</f>
        <v>24</v>
      </c>
      <c r="I13" s="369" t="n">
        <f aca="false">IF((G13&lt;&gt;0),IF((D13&gt;0)," ",(I$1-A13))," ")</f>
        <v>-121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46392</v>
      </c>
      <c r="B14" s="365" t="s">
        <v>443</v>
      </c>
      <c r="E14" s="367" t="s">
        <v>392</v>
      </c>
      <c r="G14" s="368" t="n">
        <v>480</v>
      </c>
      <c r="H14" s="340" t="n">
        <f aca="false">IF((G14&lt;&gt;0),IF((D14&gt;0)," ",G14)," ")</f>
        <v>480</v>
      </c>
      <c r="I14" s="369" t="n">
        <f aca="false">IF((G14&lt;&gt;0),IF((D14&gt;0)," ",(I$1-A14))," ")</f>
        <v>-121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393</v>
      </c>
    </row>
    <row r="15" customFormat="false" ht="12.75" hidden="false" customHeight="false" outlineLevel="0" collapsed="false">
      <c r="A15" s="357" t="n">
        <v>46392</v>
      </c>
      <c r="B15" s="365" t="s">
        <v>338</v>
      </c>
      <c r="E15" s="367" t="s">
        <v>303</v>
      </c>
      <c r="G15" s="368" t="n">
        <v>180</v>
      </c>
      <c r="H15" s="340" t="n">
        <f aca="false">IF((G15&lt;&gt;0),IF((D15&gt;0)," ",G15)," ")</f>
        <v>180</v>
      </c>
      <c r="I15" s="369" t="n">
        <f aca="false">IF((G15&lt;&gt;0),IF((D15&gt;0)," ",(I$1-A15))," ")</f>
        <v>-121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339</v>
      </c>
    </row>
    <row r="16" customFormat="false" ht="12.75" hidden="false" customHeight="false" outlineLevel="0" collapsed="false">
      <c r="A16" s="357" t="n">
        <v>46395</v>
      </c>
      <c r="B16" s="365" t="s">
        <v>341</v>
      </c>
      <c r="E16" s="367" t="s">
        <v>342</v>
      </c>
      <c r="G16" s="368" t="n">
        <v>48</v>
      </c>
      <c r="H16" s="340" t="n">
        <f aca="false">IF((G16&lt;&gt;0),IF((D16&gt;0)," ",G16)," ")</f>
        <v>48</v>
      </c>
      <c r="I16" s="369" t="n">
        <f aca="false">IF((G16&lt;&gt;0),IF((D16&gt;0)," ",(I$1-A16))," ")</f>
        <v>-124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46395</v>
      </c>
      <c r="B17" s="365" t="s">
        <v>389</v>
      </c>
      <c r="E17" s="367" t="s">
        <v>328</v>
      </c>
      <c r="G17" s="368" t="n">
        <v>180</v>
      </c>
      <c r="H17" s="340" t="n">
        <f aca="false">IF((G17&lt;&gt;0),IF((D17&gt;0)," ",G17)," ")</f>
        <v>180</v>
      </c>
      <c r="I17" s="369" t="n">
        <f aca="false">IF((G17&lt;&gt;0),IF((D17&gt;0)," ",(I$1-A17))," ")</f>
        <v>-124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390</v>
      </c>
    </row>
    <row r="18" customFormat="false" ht="12.75" hidden="false" customHeight="false" outlineLevel="0" collapsed="false">
      <c r="A18" s="357" t="n">
        <v>46397</v>
      </c>
      <c r="B18" s="365" t="s">
        <v>344</v>
      </c>
      <c r="E18" s="367" t="s">
        <v>328</v>
      </c>
      <c r="G18" s="368" t="n">
        <v>36</v>
      </c>
      <c r="H18" s="340" t="n">
        <f aca="false">IF((G18&lt;&gt;0),IF((D18&gt;0)," ",G18)," ")</f>
        <v>36</v>
      </c>
      <c r="I18" s="369" t="n">
        <f aca="false">IF((G18&lt;&gt;0),IF((D18&gt;0)," ",(I$1-A18))," ")</f>
        <v>-126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46397</v>
      </c>
      <c r="B19" s="365" t="s">
        <v>345</v>
      </c>
      <c r="E19" s="367" t="s">
        <v>328</v>
      </c>
      <c r="G19" s="368" t="n">
        <v>180</v>
      </c>
      <c r="H19" s="340" t="n">
        <f aca="false">IF((G19&lt;&gt;0),IF((D19&gt;0)," ",G19)," ")</f>
        <v>180</v>
      </c>
      <c r="I19" s="369" t="n">
        <f aca="false">IF((G19&lt;&gt;0),IF((D19&gt;0)," ",(I$1-A19))," ")</f>
        <v>-126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346</v>
      </c>
    </row>
    <row r="20" customFormat="false" ht="12.75" hidden="false" customHeight="false" outlineLevel="0" collapsed="false">
      <c r="A20" s="357" t="n">
        <v>46397</v>
      </c>
      <c r="B20" s="365" t="s">
        <v>347</v>
      </c>
      <c r="E20" s="367" t="s">
        <v>348</v>
      </c>
      <c r="G20" s="368" t="n">
        <v>600</v>
      </c>
      <c r="H20" s="340" t="n">
        <f aca="false">IF((G20&lt;&gt;0),IF((D20&gt;0)," ",G20)," ")</f>
        <v>600</v>
      </c>
      <c r="I20" s="369" t="n">
        <f aca="false">IF((G20&lt;&gt;0),IF((D20&gt;0)," ",(I$1-A20))," ")</f>
        <v>-126</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349</v>
      </c>
    </row>
    <row r="21" customFormat="false" ht="12.75" hidden="false" customHeight="false" outlineLevel="0" collapsed="false">
      <c r="A21" s="357" t="n">
        <v>46399</v>
      </c>
      <c r="B21" s="365" t="s">
        <v>350</v>
      </c>
      <c r="D21" s="365"/>
      <c r="E21" s="367" t="s">
        <v>303</v>
      </c>
      <c r="G21" s="368" t="n">
        <v>18</v>
      </c>
      <c r="H21" s="340" t="n">
        <f aca="false">IF((G21&lt;&gt;0),IF((D21&gt;0)," ",G21)," ")</f>
        <v>18</v>
      </c>
      <c r="I21" s="369" t="n">
        <f aca="false">IF((G21&lt;&gt;0),IF((D21&gt;0)," ",(I$1-A21))," ")</f>
        <v>-128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339</v>
      </c>
    </row>
    <row r="22" customFormat="false" ht="12.75" hidden="false" customHeight="false" outlineLevel="0" collapsed="false">
      <c r="A22" s="357" t="n">
        <v>46401</v>
      </c>
      <c r="B22" s="365" t="s">
        <v>352</v>
      </c>
      <c r="D22" s="395"/>
      <c r="E22" s="367" t="s">
        <v>342</v>
      </c>
      <c r="G22" s="368" t="n">
        <v>24</v>
      </c>
      <c r="H22" s="340" t="n">
        <f aca="false">IF((G22&lt;&gt;0),IF((D22&gt;0)," ",G22)," ")</f>
        <v>24</v>
      </c>
      <c r="I22" s="369" t="n">
        <f aca="false">IF((G22&lt;&gt;0),IF((D22&gt;0)," ",(I$1-A22))," ")</f>
        <v>-130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46401</v>
      </c>
      <c r="B23" s="365" t="s">
        <v>353</v>
      </c>
      <c r="E23" s="367" t="s">
        <v>342</v>
      </c>
      <c r="G23" s="368" t="n">
        <v>12</v>
      </c>
      <c r="H23" s="340" t="n">
        <f aca="false">IF((G23&lt;&gt;0),IF((D23&gt;0)," ",G23)," ")</f>
        <v>12</v>
      </c>
      <c r="I23" s="369" t="n">
        <f aca="false">IF((G23&lt;&gt;0),IF((D23&gt;0)," ",(I$1-A23))," ")</f>
        <v>-130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343</v>
      </c>
    </row>
    <row r="24" customFormat="false" ht="12.75" hidden="false" customHeight="false" outlineLevel="0" collapsed="false">
      <c r="A24" s="357" t="n">
        <v>46402</v>
      </c>
      <c r="B24" s="365" t="s">
        <v>354</v>
      </c>
      <c r="E24" s="367" t="s">
        <v>303</v>
      </c>
      <c r="G24" s="368" t="n">
        <v>150</v>
      </c>
      <c r="H24" s="340" t="n">
        <f aca="false">IF((G24&lt;&gt;0),IF((D24&gt;0)," ",G24)," ")</f>
        <v>150</v>
      </c>
      <c r="I24" s="369" t="n">
        <f aca="false">IF((G24&lt;&gt;0),IF((D24&gt;0)," ",(I$1-A24))," ")</f>
        <v>-131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339</v>
      </c>
    </row>
    <row r="25" customFormat="false" ht="12.75" hidden="false" customHeight="false" outlineLevel="0" collapsed="false">
      <c r="A25" s="357" t="n">
        <v>46402</v>
      </c>
      <c r="B25" s="365" t="s">
        <v>355</v>
      </c>
      <c r="E25" s="367" t="s">
        <v>324</v>
      </c>
      <c r="G25" s="368" t="n">
        <v>12</v>
      </c>
      <c r="H25" s="340" t="n">
        <f aca="false">IF((G25&lt;&gt;0),IF((D25&gt;0)," ",G25)," ")</f>
        <v>12</v>
      </c>
      <c r="I25" s="369" t="n">
        <f aca="false">IF((G25&lt;&gt;0),IF((D25&gt;0)," ",(I$1-A25))," ")</f>
        <v>-131</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325</v>
      </c>
    </row>
    <row r="26" customFormat="false" ht="12.75" hidden="false" customHeight="false" outlineLevel="0" collapsed="false">
      <c r="A26" s="357" t="n">
        <v>46403</v>
      </c>
      <c r="B26" s="365" t="s">
        <v>398</v>
      </c>
      <c r="E26" s="367" t="s">
        <v>324</v>
      </c>
      <c r="G26" s="368" t="n">
        <v>18</v>
      </c>
      <c r="H26" s="340" t="n">
        <f aca="false">IF((G26&lt;&gt;0),IF((D26&gt;0)," ",G26)," ")</f>
        <v>18</v>
      </c>
      <c r="I26" s="369" t="n">
        <f aca="false">IF((G26&lt;&gt;0),IF((D26&gt;0)," ",(I$1-A26))," ")</f>
        <v>-132</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325</v>
      </c>
    </row>
    <row r="27" customFormat="false" ht="12.75" hidden="false" customHeight="false" outlineLevel="0" collapsed="false">
      <c r="A27" s="357" t="n">
        <v>46405</v>
      </c>
      <c r="B27" s="365" t="s">
        <v>356</v>
      </c>
      <c r="E27" s="367" t="s">
        <v>303</v>
      </c>
      <c r="G27" s="368" t="n">
        <v>96</v>
      </c>
      <c r="H27" s="340" t="n">
        <f aca="false">IF((G27&lt;&gt;0),IF((D27&gt;0)," ",G27)," ")</f>
        <v>96</v>
      </c>
      <c r="I27" s="369" t="n">
        <f aca="false">IF((G27&lt;&gt;0),IF((D27&gt;0)," ",(I$1-A27))," ")</f>
        <v>-134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339</v>
      </c>
    </row>
    <row r="28" customFormat="false" ht="12.75" hidden="false" customHeight="false" outlineLevel="0" collapsed="false">
      <c r="A28" s="357" t="n">
        <v>46407</v>
      </c>
      <c r="B28" s="365" t="s">
        <v>357</v>
      </c>
      <c r="E28" s="367" t="s">
        <v>324</v>
      </c>
      <c r="G28" s="368" t="n">
        <v>60</v>
      </c>
      <c r="H28" s="340" t="n">
        <f aca="false">IF((G28&lt;&gt;0),IF((D28&gt;0)," ",G28)," ")</f>
        <v>60</v>
      </c>
      <c r="I28" s="369" t="n">
        <f aca="false">IF((G28&lt;&gt;0),IF((D28&gt;0)," ",(I$1-A28))," ")</f>
        <v>-136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325</v>
      </c>
    </row>
    <row r="29" customFormat="false" ht="12.75" hidden="false" customHeight="false" outlineLevel="0" collapsed="false">
      <c r="A29" s="357" t="n">
        <v>46407</v>
      </c>
      <c r="B29" s="365" t="s">
        <v>446</v>
      </c>
      <c r="E29" s="367" t="s">
        <v>328</v>
      </c>
      <c r="G29" s="368" t="n">
        <v>180</v>
      </c>
      <c r="H29" s="340" t="n">
        <f aca="false">IF((G29&lt;&gt;0),IF((D29&gt;0)," ",G29)," ")</f>
        <v>180</v>
      </c>
      <c r="I29" s="369" t="n">
        <f aca="false">IF((G29&lt;&gt;0),IF((D29&gt;0)," ",(I$1-A29))," ")</f>
        <v>-136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400</v>
      </c>
    </row>
    <row r="30" customFormat="false" ht="12.75" hidden="false" customHeight="false" outlineLevel="0" collapsed="false">
      <c r="A30" s="357" t="n">
        <v>46407</v>
      </c>
      <c r="B30" s="365" t="s">
        <v>358</v>
      </c>
      <c r="E30" s="367" t="s">
        <v>359</v>
      </c>
      <c r="G30" s="368" t="n">
        <v>144</v>
      </c>
      <c r="H30" s="340" t="n">
        <f aca="false">IF((G30&lt;&gt;0),IF((D30&gt;0)," ",G30)," ")</f>
        <v>144</v>
      </c>
      <c r="I30" s="369" t="n">
        <f aca="false">IF((G30&lt;&gt;0),IF((D30&gt;0)," ",(I$1-A30))," ")</f>
        <v>-136</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360</v>
      </c>
    </row>
    <row r="31" customFormat="false" ht="12.75" hidden="false" customHeight="false" outlineLevel="0" collapsed="false">
      <c r="A31" s="357" t="n">
        <v>46408</v>
      </c>
      <c r="B31" s="365" t="s">
        <v>361</v>
      </c>
      <c r="E31" s="367" t="s">
        <v>342</v>
      </c>
      <c r="G31" s="368" t="n">
        <v>8</v>
      </c>
      <c r="H31" s="340" t="n">
        <f aca="false">IF((G31&lt;&gt;0),IF((D31&gt;0)," ",G31)," ")</f>
        <v>8</v>
      </c>
      <c r="I31" s="369" t="n">
        <f aca="false">IF((G31&lt;&gt;0),IF((D31&gt;0)," ",(I$1-A31))," ")</f>
        <v>-137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343</v>
      </c>
    </row>
    <row r="32" customFormat="false" ht="12.75" hidden="false" customHeight="false" outlineLevel="0" collapsed="false">
      <c r="A32" s="357" t="n">
        <v>46409</v>
      </c>
      <c r="B32" s="365" t="s">
        <v>362</v>
      </c>
      <c r="E32" s="367" t="s">
        <v>328</v>
      </c>
      <c r="G32" s="368" t="n">
        <v>18</v>
      </c>
      <c r="H32" s="340" t="n">
        <f aca="false">IF((G32&lt;&gt;0),IF((D32&gt;0)," ",G32)," ")</f>
        <v>18</v>
      </c>
      <c r="I32" s="369" t="n">
        <f aca="false">IF((G32&lt;&gt;0),IF((D32&gt;0)," ",(I$1-A32))," ")</f>
        <v>-138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336</v>
      </c>
    </row>
    <row r="33" customFormat="false" ht="12.75" hidden="false" customHeight="false" outlineLevel="0" collapsed="false">
      <c r="A33" s="357" t="n">
        <v>46409</v>
      </c>
      <c r="B33" s="365" t="s">
        <v>402</v>
      </c>
      <c r="E33" s="367" t="s">
        <v>303</v>
      </c>
      <c r="G33" s="368" t="n">
        <v>36</v>
      </c>
      <c r="H33" s="340" t="n">
        <f aca="false">IF((G33&lt;&gt;0),IF((D33&gt;0)," ",G33)," ")</f>
        <v>36</v>
      </c>
      <c r="I33" s="369" t="n">
        <f aca="false">IF((G33&lt;&gt;0),IF((D33&gt;0)," ",(I$1-A33))," ")</f>
        <v>-138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339</v>
      </c>
    </row>
    <row r="34" customFormat="false" ht="12.75" hidden="false" customHeight="false" outlineLevel="0" collapsed="false">
      <c r="A34" s="357" t="n">
        <v>46412</v>
      </c>
      <c r="B34" s="365" t="s">
        <v>363</v>
      </c>
      <c r="E34" s="367" t="s">
        <v>328</v>
      </c>
      <c r="G34" s="368" t="n">
        <v>15</v>
      </c>
      <c r="H34" s="340" t="n">
        <f aca="false">IF((G34&lt;&gt;0),IF((D34&gt;0)," ",G34)," ")</f>
        <v>15</v>
      </c>
      <c r="I34" s="369" t="n">
        <f aca="false">IF((G34&lt;&gt;0),IF((D34&gt;0)," ",(I$1-A34))," ")</f>
        <v>-141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336</v>
      </c>
    </row>
    <row r="35" customFormat="false" ht="12.75" hidden="false" customHeight="false" outlineLevel="0" collapsed="false">
      <c r="A35" s="357" t="n">
        <v>46412</v>
      </c>
      <c r="B35" s="365" t="s">
        <v>364</v>
      </c>
      <c r="E35" s="367" t="s">
        <v>303</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339</v>
      </c>
    </row>
    <row r="36" customFormat="false" ht="12.75" hidden="false" customHeight="false" outlineLevel="0" collapsed="false">
      <c r="A36" s="357" t="n">
        <v>46415</v>
      </c>
      <c r="B36" s="365" t="s">
        <v>354</v>
      </c>
      <c r="E36" s="367" t="s">
        <v>303</v>
      </c>
      <c r="G36" s="368" t="n">
        <v>120</v>
      </c>
      <c r="H36" s="340" t="n">
        <f aca="false">IF((G36&lt;&gt;0),IF((D36&gt;0)," ",G36)," ")</f>
        <v>120</v>
      </c>
      <c r="I36" s="369" t="n">
        <f aca="false">IF((G36&lt;&gt;0),IF((D36&gt;0)," ",(I$1-A36))," ")</f>
        <v>-144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339</v>
      </c>
    </row>
    <row r="37" customFormat="false" ht="12.75" hidden="false" customHeight="false" outlineLevel="0" collapsed="false">
      <c r="A37" s="357" t="n">
        <v>46418</v>
      </c>
      <c r="B37" s="365" t="s">
        <v>365</v>
      </c>
      <c r="E37" s="367" t="s">
        <v>366</v>
      </c>
      <c r="G37" s="368" t="n">
        <v>300</v>
      </c>
      <c r="H37" s="340" t="n">
        <f aca="false">IF((G37&lt;&gt;0),IF((D37&gt;0)," ",G37)," ")</f>
        <v>300</v>
      </c>
      <c r="I37" s="369" t="n">
        <f aca="false">IF((G37&lt;&gt;0),IF((D37&gt;0)," ",(I$1-A37))," ")</f>
        <v>-147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367</v>
      </c>
    </row>
    <row r="38" customFormat="false" ht="12.75" hidden="false" customHeight="false" outlineLevel="0" collapsed="false">
      <c r="A38" s="357" t="n">
        <v>46418</v>
      </c>
      <c r="B38" s="365" t="s">
        <v>368</v>
      </c>
      <c r="C38" s="365" t="s">
        <v>537</v>
      </c>
      <c r="E38" s="367" t="s">
        <v>370</v>
      </c>
      <c r="G38" s="368" t="n">
        <v>3500</v>
      </c>
      <c r="H38" s="340" t="n">
        <f aca="false">IF((G38&lt;&gt;0),IF((D38&gt;0)," ",G38)," ")</f>
        <v>3500</v>
      </c>
      <c r="I38" s="369" t="n">
        <f aca="false">IF((G38&lt;&gt;0),IF((D38&gt;0)," ",(I$1-A38))," ")</f>
        <v>-147</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t="n">
        <v>46418</v>
      </c>
      <c r="B39" s="365" t="s">
        <v>372</v>
      </c>
      <c r="C39" s="365" t="s">
        <v>538</v>
      </c>
      <c r="E39" s="367" t="s">
        <v>370</v>
      </c>
      <c r="G39" s="368" t="n">
        <v>2200</v>
      </c>
      <c r="H39" s="340" t="n">
        <f aca="false">IF((G39&lt;&gt;0),IF((D39&gt;0)," ",G39)," ")</f>
        <v>2200</v>
      </c>
      <c r="I39" s="369" t="n">
        <f aca="false">IF((G39&lt;&gt;0),IF((D39&gt;0)," ",(I$1-A39))," ")</f>
        <v>-147</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34360</v>
      </c>
      <c r="G1" s="345" t="n">
        <f aca="false">SUM(G4:G300)</f>
        <v>0</v>
      </c>
      <c r="H1" s="347" t="n">
        <f aca="false">SUM(H4:H300)</f>
        <v>34360</v>
      </c>
      <c r="I1" s="348" t="n">
        <f aca="true">TODAY()</f>
        <v>46271</v>
      </c>
      <c r="J1" s="345" t="n">
        <f aca="false">SUM(J4:J300)</f>
        <v>0</v>
      </c>
      <c r="K1" s="349" t="n">
        <f aca="false">J1+SalesJan!K1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46421</v>
      </c>
      <c r="B4" s="336" t="s">
        <v>259</v>
      </c>
      <c r="C4" s="337" t="s">
        <v>539</v>
      </c>
      <c r="F4" s="336" t="n">
        <v>360</v>
      </c>
      <c r="H4" s="340" t="n">
        <f aca="false">IF((F4&lt;&gt;0),IF((D4&gt;0)," ",F4)," ")</f>
        <v>360</v>
      </c>
      <c r="I4" s="341" t="n">
        <f aca="false">IF((F4&lt;&gt;0),IF((D4&gt;0)," ",(I$1-A4))," ")</f>
        <v>-150</v>
      </c>
      <c r="BZ4" s="336" t="s">
        <v>258</v>
      </c>
    </row>
    <row r="5" customFormat="false" ht="12.75" hidden="false" customHeight="false" outlineLevel="0" collapsed="false">
      <c r="A5" s="357" t="n">
        <v>46423</v>
      </c>
      <c r="B5" s="336" t="s">
        <v>261</v>
      </c>
      <c r="C5" s="337" t="s">
        <v>540</v>
      </c>
      <c r="F5" s="336" t="n">
        <v>600</v>
      </c>
      <c r="H5" s="340" t="n">
        <f aca="false">IF((F5&lt;&gt;0),IF((D5&gt;0)," ",F5)," ")</f>
        <v>600</v>
      </c>
      <c r="I5" s="341" t="n">
        <f aca="false">IF((F5&lt;&gt;0),IF((D5&gt;0)," ",(I$1-A5))," ")</f>
        <v>-152</v>
      </c>
      <c r="BZ5" s="336" t="s">
        <v>258</v>
      </c>
    </row>
    <row r="6" customFormat="false" ht="12.75" hidden="false" customHeight="false" outlineLevel="0" collapsed="false">
      <c r="A6" s="357" t="n">
        <v>46426</v>
      </c>
      <c r="B6" s="336" t="s">
        <v>263</v>
      </c>
      <c r="C6" s="337" t="s">
        <v>541</v>
      </c>
      <c r="F6" s="336" t="n">
        <v>480</v>
      </c>
      <c r="H6" s="340" t="n">
        <f aca="false">IF((F6&lt;&gt;0),IF((D6&gt;0)," ",F6)," ")</f>
        <v>480</v>
      </c>
      <c r="I6" s="341" t="n">
        <f aca="false">IF((F6&lt;&gt;0),IF((D6&gt;0)," ",(I$1-A6))," ")</f>
        <v>-155</v>
      </c>
      <c r="BZ6" s="336" t="s">
        <v>265</v>
      </c>
    </row>
    <row r="7" customFormat="false" ht="12.75" hidden="false" customHeight="false" outlineLevel="0" collapsed="false">
      <c r="A7" s="357" t="n">
        <v>46428</v>
      </c>
      <c r="B7" s="336" t="s">
        <v>266</v>
      </c>
      <c r="C7" s="337" t="s">
        <v>542</v>
      </c>
      <c r="F7" s="336" t="n">
        <v>720</v>
      </c>
      <c r="H7" s="340" t="n">
        <f aca="false">IF((F7&lt;&gt;0),IF((D7&gt;0)," ",F7)," ")</f>
        <v>720</v>
      </c>
      <c r="I7" s="341" t="n">
        <f aca="false">IF((F7&lt;&gt;0),IF((D7&gt;0)," ",(I$1-A7))," ")</f>
        <v>-157</v>
      </c>
      <c r="BZ7" s="336" t="s">
        <v>265</v>
      </c>
    </row>
    <row r="8" customFormat="false" ht="12.75" hidden="false" customHeight="false" outlineLevel="0" collapsed="false">
      <c r="A8" s="357" t="n">
        <v>46433</v>
      </c>
      <c r="B8" s="336" t="s">
        <v>268</v>
      </c>
      <c r="C8" s="337" t="s">
        <v>543</v>
      </c>
      <c r="F8" s="336" t="n">
        <v>25000</v>
      </c>
      <c r="H8" s="340" t="n">
        <f aca="false">IF((F8&lt;&gt;0),IF((D8&gt;0)," ",F8)," ")</f>
        <v>25000</v>
      </c>
      <c r="I8" s="341" t="n">
        <f aca="false">IF((F8&lt;&gt;0),IF((D8&gt;0)," ",(I$1-A8))," ")</f>
        <v>-162</v>
      </c>
      <c r="BZ8" s="336" t="s">
        <v>265</v>
      </c>
    </row>
    <row r="9" customFormat="false" ht="12.75" hidden="false" customHeight="false" outlineLevel="0" collapsed="false">
      <c r="A9" s="357" t="n">
        <v>46436</v>
      </c>
      <c r="B9" s="336" t="s">
        <v>270</v>
      </c>
      <c r="C9" s="337" t="s">
        <v>544</v>
      </c>
      <c r="F9" s="336" t="n">
        <v>2400</v>
      </c>
      <c r="H9" s="340" t="n">
        <f aca="false">IF((F9&lt;&gt;0),IF((D9&gt;0)," ",F9)," ")</f>
        <v>2400</v>
      </c>
      <c r="I9" s="341" t="n">
        <f aca="false">IF((F9&lt;&gt;0),IF((D9&gt;0)," ",(I$1-A9))," ")</f>
        <v>-165</v>
      </c>
      <c r="BZ9" s="336" t="s">
        <v>265</v>
      </c>
    </row>
    <row r="10" customFormat="false" ht="12.75" hidden="false" customHeight="false" outlineLevel="0" collapsed="false">
      <c r="A10" s="357" t="n">
        <v>46438</v>
      </c>
      <c r="B10" s="336" t="s">
        <v>272</v>
      </c>
      <c r="C10" s="337" t="s">
        <v>545</v>
      </c>
      <c r="F10" s="336" t="n">
        <v>1800</v>
      </c>
      <c r="H10" s="340" t="n">
        <f aca="false">IF((F10&lt;&gt;0),IF((D10&gt;0)," ",F10)," ")</f>
        <v>1800</v>
      </c>
      <c r="I10" s="341" t="n">
        <f aca="false">IF((F10&lt;&gt;0),IF((D10&gt;0)," ",(I$1-A10))," ")</f>
        <v>-167</v>
      </c>
      <c r="BZ10" s="336" t="s">
        <v>265</v>
      </c>
    </row>
    <row r="11" customFormat="false" ht="12.75" hidden="false" customHeight="false" outlineLevel="0" collapsed="false">
      <c r="A11" s="357" t="n">
        <v>46438</v>
      </c>
      <c r="B11" s="336" t="s">
        <v>546</v>
      </c>
      <c r="C11" s="337" t="s">
        <v>547</v>
      </c>
      <c r="F11" s="336" t="n">
        <v>1800</v>
      </c>
      <c r="H11" s="340" t="n">
        <f aca="false">IF((F11&lt;&gt;0),IF((D11&gt;0)," ",F11)," ")</f>
        <v>1800</v>
      </c>
      <c r="I11" s="341" t="n">
        <f aca="false">IF((F11&lt;&gt;0),IF((D11&gt;0)," ",(I$1-A11))," ")</f>
        <v>-167</v>
      </c>
      <c r="BZ11" s="336" t="s">
        <v>383</v>
      </c>
    </row>
    <row r="12" customFormat="false" ht="12.75" hidden="false" customHeight="false" outlineLevel="0" collapsed="false">
      <c r="A12" s="357" t="n">
        <v>46443</v>
      </c>
      <c r="B12" s="336" t="s">
        <v>385</v>
      </c>
      <c r="C12" s="337" t="s">
        <v>548</v>
      </c>
      <c r="F12" s="336" t="n">
        <v>1200</v>
      </c>
      <c r="H12" s="340" t="n">
        <f aca="false">IF((F12&lt;&gt;0),IF((D12&gt;0)," ",F12)," ")</f>
        <v>1200</v>
      </c>
      <c r="I12" s="341" t="n">
        <f aca="false">IF((F12&lt;&gt;0),IF((D12&gt;0)," ",(I$1-A12))," ")</f>
        <v>-172</v>
      </c>
      <c r="BZ12" s="336" t="s">
        <v>265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278</v>
      </c>
      <c r="C1" s="346" t="n">
        <f aca="false">PurchasesJan!C1+PurchasesFeb!F1+SalesFeb!$E$1</f>
        <v>1235</v>
      </c>
      <c r="D1" s="371" t="s">
        <v>245</v>
      </c>
      <c r="E1" s="373" t="str">
        <f aca="false">IF((G1-SUM(J1:W1)&lt;&gt;0),(G1-SUM(J1:W1))," ")</f>
        <v> </v>
      </c>
      <c r="F1" s="346" t="n">
        <f aca="false">SUM(F5:F300)</f>
        <v>70</v>
      </c>
      <c r="G1" s="345" t="n">
        <f aca="false">SUM(G4:G300)</f>
        <v>10096.5</v>
      </c>
      <c r="H1" s="374" t="n">
        <f aca="false">SUM(H5:H300)</f>
        <v>10065</v>
      </c>
      <c r="I1" s="375" t="n">
        <f aca="true">TODAY()</f>
        <v>46271</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IF((C1&lt;Admin!$F$22),((C1-PurchasesJan!C1)*Admin!$G$21),(C1*Admin!$G$21-(C1-Admin!$F$21)*(Admin!$G$21-Admin!$G$22)-PurchasesJan!A1))</f>
        <v>31.5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46419</v>
      </c>
      <c r="B5" s="365" t="s">
        <v>320</v>
      </c>
      <c r="E5" s="367" t="s">
        <v>321</v>
      </c>
      <c r="G5" s="368" t="n">
        <v>1200</v>
      </c>
      <c r="H5" s="340" t="n">
        <f aca="false">IF((G5&lt;&gt;0),IF((D5&gt;0)," ",G5)," ")</f>
        <v>1200</v>
      </c>
      <c r="I5" s="369" t="n">
        <f aca="false">IF((G5&lt;&gt;0),IF((D5&gt;0)," ",(I$1-A5))," ")</f>
        <v>-148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46419</v>
      </c>
      <c r="B6" s="365" t="s">
        <v>323</v>
      </c>
      <c r="E6" s="367" t="s">
        <v>324</v>
      </c>
      <c r="G6" s="368" t="n">
        <v>30</v>
      </c>
      <c r="H6" s="340" t="n">
        <f aca="false">IF((G6&lt;&gt;0),IF((D6&gt;0)," ",G6)," ")</f>
        <v>30</v>
      </c>
      <c r="I6" s="369" t="n">
        <f aca="false">IF((G6&lt;&gt;0),IF((D6&gt;0)," ",(I$1-A6))," ")</f>
        <v>-148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46419</v>
      </c>
      <c r="B7" s="365" t="s">
        <v>326</v>
      </c>
      <c r="E7" s="367" t="s">
        <v>324</v>
      </c>
      <c r="G7" s="368" t="n">
        <v>15</v>
      </c>
      <c r="H7" s="340" t="n">
        <f aca="false">IF((G7&lt;&gt;0),IF((D7&gt;0)," ",G7)," ")</f>
        <v>15</v>
      </c>
      <c r="I7" s="369" t="n">
        <f aca="false">IF((G7&lt;&gt;0),IF((D7&gt;0)," ",(I$1-A7))," ")</f>
        <v>-148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46419</v>
      </c>
      <c r="B8" s="365" t="s">
        <v>327</v>
      </c>
      <c r="E8" s="367" t="s">
        <v>328</v>
      </c>
      <c r="G8" s="368" t="n">
        <v>45</v>
      </c>
      <c r="H8" s="340" t="n">
        <f aca="false">IF((G8&lt;&gt;0),IF((D8&gt;0)," ",G8)," ")</f>
        <v>45</v>
      </c>
      <c r="I8" s="369" t="n">
        <f aca="false">IF((G8&lt;&gt;0),IF((D8&gt;0)," ",(I$1-A8))," ")</f>
        <v>-148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46419</v>
      </c>
      <c r="B9" s="365" t="s">
        <v>332</v>
      </c>
      <c r="E9" s="367" t="s">
        <v>328</v>
      </c>
      <c r="G9" s="368" t="n">
        <v>24</v>
      </c>
      <c r="H9" s="340" t="n">
        <f aca="false">IF((G9&lt;&gt;0),IF((D9&gt;0)," ",G9)," ")</f>
        <v>24</v>
      </c>
      <c r="I9" s="369" t="n">
        <f aca="false">IF((G9&lt;&gt;0),IF((D9&gt;0)," ",(I$1-A9))," ")</f>
        <v>-148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46419</v>
      </c>
      <c r="B10" s="365" t="s">
        <v>333</v>
      </c>
      <c r="E10" s="367" t="s">
        <v>324</v>
      </c>
      <c r="G10" s="368" t="n">
        <v>18</v>
      </c>
      <c r="H10" s="340" t="n">
        <f aca="false">IF((G10&lt;&gt;0),IF((D10&gt;0)," ",G10)," ")</f>
        <v>18</v>
      </c>
      <c r="I10" s="369" t="n">
        <f aca="false">IF((G10&lt;&gt;0),IF((D10&gt;0)," ",(I$1-A10))," ")</f>
        <v>-148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46421</v>
      </c>
      <c r="B11" s="365" t="s">
        <v>334</v>
      </c>
      <c r="E11" s="367" t="s">
        <v>328</v>
      </c>
      <c r="G11" s="368" t="n">
        <v>180</v>
      </c>
      <c r="H11" s="340" t="n">
        <f aca="false">IF((G11&lt;&gt;0),IF((D11&gt;0)," ",G11)," ")</f>
        <v>180</v>
      </c>
      <c r="I11" s="369" t="n">
        <f aca="false">IF((G11&lt;&gt;0),IF((D11&gt;0)," ",(I$1-A11))," ")</f>
        <v>-150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46421</v>
      </c>
      <c r="B12" s="365" t="s">
        <v>335</v>
      </c>
      <c r="E12" s="367" t="s">
        <v>328</v>
      </c>
      <c r="G12" s="368" t="n">
        <v>22</v>
      </c>
      <c r="H12" s="340" t="n">
        <f aca="false">IF((G12&lt;&gt;0),IF((D12&gt;0)," ",G12)," ")</f>
        <v>22</v>
      </c>
      <c r="I12" s="369" t="n">
        <f aca="false">IF((G12&lt;&gt;0),IF((D12&gt;0)," ",(I$1-A12))," ")</f>
        <v>-150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46423</v>
      </c>
      <c r="B13" s="365" t="s">
        <v>337</v>
      </c>
      <c r="E13" s="367" t="s">
        <v>328</v>
      </c>
      <c r="G13" s="368" t="n">
        <v>24</v>
      </c>
      <c r="H13" s="340" t="n">
        <f aca="false">IF((G13&lt;&gt;0),IF((D13&gt;0)," ",G13)," ")</f>
        <v>24</v>
      </c>
      <c r="I13" s="369" t="n">
        <f aca="false">IF((G13&lt;&gt;0),IF((D13&gt;0)," ",(I$1-A13))," ")</f>
        <v>-152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46423</v>
      </c>
      <c r="B14" s="365" t="s">
        <v>338</v>
      </c>
      <c r="E14" s="367" t="s">
        <v>303</v>
      </c>
      <c r="G14" s="368" t="n">
        <v>180</v>
      </c>
      <c r="H14" s="340" t="n">
        <f aca="false">IF((G14&lt;&gt;0),IF((D14&gt;0)," ",G14)," ")</f>
        <v>180</v>
      </c>
      <c r="I14" s="369" t="n">
        <f aca="false">IF((G14&lt;&gt;0),IF((D14&gt;0)," ",(I$1-A14))," ")</f>
        <v>-152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46423</v>
      </c>
      <c r="B15" s="365" t="s">
        <v>340</v>
      </c>
      <c r="E15" s="367" t="s">
        <v>328</v>
      </c>
      <c r="G15" s="368" t="n">
        <v>36</v>
      </c>
      <c r="H15" s="340" t="n">
        <f aca="false">IF((G15&lt;&gt;0),IF((D15&gt;0)," ",G15)," ")</f>
        <v>36</v>
      </c>
      <c r="I15" s="369" t="n">
        <f aca="false">IF((G15&lt;&gt;0),IF((D15&gt;0)," ",(I$1-A15))," ")</f>
        <v>-152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329</v>
      </c>
    </row>
    <row r="16" customFormat="false" ht="12.75" hidden="false" customHeight="false" outlineLevel="0" collapsed="false">
      <c r="A16" s="357" t="n">
        <v>46424</v>
      </c>
      <c r="B16" s="365" t="s">
        <v>388</v>
      </c>
      <c r="E16" s="367" t="s">
        <v>342</v>
      </c>
      <c r="G16" s="368" t="n">
        <v>36</v>
      </c>
      <c r="H16" s="340" t="n">
        <f aca="false">IF((G16&lt;&gt;0),IF((D16&gt;0)," ",G16)," ")</f>
        <v>36</v>
      </c>
      <c r="I16" s="369" t="n">
        <f aca="false">IF((G16&lt;&gt;0),IF((D16&gt;0)," ",(I$1-A16))," ")</f>
        <v>-153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343</v>
      </c>
    </row>
    <row r="17" customFormat="false" ht="12.75" hidden="false" customHeight="false" outlineLevel="0" collapsed="false">
      <c r="A17" s="357" t="n">
        <v>46426</v>
      </c>
      <c r="B17" s="365" t="s">
        <v>341</v>
      </c>
      <c r="E17" s="367" t="s">
        <v>342</v>
      </c>
      <c r="G17" s="368" t="n">
        <v>48</v>
      </c>
      <c r="H17" s="340" t="n">
        <f aca="false">IF((G17&lt;&gt;0),IF((D17&gt;0)," ",G17)," ")</f>
        <v>48</v>
      </c>
      <c r="I17" s="369" t="n">
        <f aca="false">IF((G17&lt;&gt;0),IF((D17&gt;0)," ",(I$1-A17))," ")</f>
        <v>-155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343</v>
      </c>
    </row>
    <row r="18" customFormat="false" ht="12.75" hidden="false" customHeight="false" outlineLevel="0" collapsed="false">
      <c r="A18" s="357" t="n">
        <v>46428</v>
      </c>
      <c r="B18" s="365" t="s">
        <v>344</v>
      </c>
      <c r="E18" s="367" t="s">
        <v>328</v>
      </c>
      <c r="G18" s="368" t="n">
        <v>36</v>
      </c>
      <c r="H18" s="340" t="n">
        <f aca="false">IF((G18&lt;&gt;0),IF((D18&gt;0)," ",G18)," ")</f>
        <v>36</v>
      </c>
      <c r="I18" s="369" t="n">
        <f aca="false">IF((G18&lt;&gt;0),IF((D18&gt;0)," ",(I$1-A18))," ")</f>
        <v>-157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336</v>
      </c>
    </row>
    <row r="19" customFormat="false" ht="12.75" hidden="false" customHeight="false" outlineLevel="0" collapsed="false">
      <c r="A19" s="357" t="n">
        <v>46430</v>
      </c>
      <c r="B19" s="365" t="s">
        <v>350</v>
      </c>
      <c r="E19" s="367" t="s">
        <v>303</v>
      </c>
      <c r="G19" s="368" t="n">
        <v>18</v>
      </c>
      <c r="H19" s="340" t="n">
        <f aca="false">IF((G19&lt;&gt;0),IF((D19&gt;0)," ",G19)," ")</f>
        <v>18</v>
      </c>
      <c r="I19" s="369" t="n">
        <f aca="false">IF((G19&lt;&gt;0),IF((D19&gt;0)," ",(I$1-A19))," ")</f>
        <v>-159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339</v>
      </c>
    </row>
    <row r="20" customFormat="false" ht="12.75" hidden="false" customHeight="false" outlineLevel="0" collapsed="false">
      <c r="A20" s="357" t="n">
        <v>46430</v>
      </c>
      <c r="B20" s="365" t="s">
        <v>444</v>
      </c>
      <c r="E20" s="367" t="s">
        <v>328</v>
      </c>
      <c r="G20" s="368" t="n">
        <v>360</v>
      </c>
      <c r="H20" s="340" t="n">
        <f aca="false">IF((G20&lt;&gt;0),IF((D20&gt;0)," ",G20)," ")</f>
        <v>360</v>
      </c>
      <c r="I20" s="369" t="n">
        <f aca="false">IF((G20&lt;&gt;0),IF((D20&gt;0)," ",(I$1-A20))," ")</f>
        <v>-159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390</v>
      </c>
    </row>
    <row r="21" customFormat="false" ht="12.75" hidden="false" customHeight="false" outlineLevel="0" collapsed="false">
      <c r="A21" s="357" t="n">
        <v>46432</v>
      </c>
      <c r="B21" s="365" t="s">
        <v>351</v>
      </c>
      <c r="D21" s="365"/>
      <c r="E21" s="367" t="s">
        <v>328</v>
      </c>
      <c r="G21" s="368" t="n">
        <v>18</v>
      </c>
      <c r="H21" s="340" t="n">
        <f aca="false">IF((G21&lt;&gt;0),IF((D21&gt;0)," ",G21)," ")</f>
        <v>18</v>
      </c>
      <c r="I21" s="369" t="n">
        <f aca="false">IF((G21&lt;&gt;0),IF((D21&gt;0)," ",(I$1-A21))," ")</f>
        <v>-161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336</v>
      </c>
    </row>
    <row r="22" customFormat="false" ht="12.75" hidden="false" customHeight="false" outlineLevel="0" collapsed="false">
      <c r="A22" s="357" t="n">
        <v>46432</v>
      </c>
      <c r="B22" s="365" t="s">
        <v>352</v>
      </c>
      <c r="D22" s="395"/>
      <c r="E22" s="367" t="s">
        <v>342</v>
      </c>
      <c r="G22" s="368" t="n">
        <v>24</v>
      </c>
      <c r="H22" s="340" t="n">
        <f aca="false">IF((G22&lt;&gt;0),IF((D22&gt;0)," ",G22)," ")</f>
        <v>24</v>
      </c>
      <c r="I22" s="369" t="n">
        <f aca="false">IF((G22&lt;&gt;0),IF((D22&gt;0)," ",(I$1-A22))," ")</f>
        <v>-161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343</v>
      </c>
    </row>
    <row r="23" customFormat="false" ht="12.75" hidden="false" customHeight="false" outlineLevel="0" collapsed="false">
      <c r="A23" s="357" t="n">
        <v>46432</v>
      </c>
      <c r="B23" s="365" t="s">
        <v>353</v>
      </c>
      <c r="E23" s="367" t="s">
        <v>342</v>
      </c>
      <c r="G23" s="368" t="n">
        <v>12</v>
      </c>
      <c r="H23" s="340" t="n">
        <f aca="false">IF((G23&lt;&gt;0),IF((D23&gt;0)," ",G23)," ")</f>
        <v>12</v>
      </c>
      <c r="I23" s="369" t="n">
        <f aca="false">IF((G23&lt;&gt;0),IF((D23&gt;0)," ",(I$1-A23))," ")</f>
        <v>-161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343</v>
      </c>
    </row>
    <row r="24" customFormat="false" ht="12.75" hidden="false" customHeight="false" outlineLevel="0" collapsed="false">
      <c r="A24" s="357" t="n">
        <v>46433</v>
      </c>
      <c r="B24" s="365" t="s">
        <v>354</v>
      </c>
      <c r="E24" s="367" t="s">
        <v>303</v>
      </c>
      <c r="G24" s="368" t="n">
        <v>150</v>
      </c>
      <c r="H24" s="340" t="n">
        <f aca="false">IF((G24&lt;&gt;0),IF((D24&gt;0)," ",G24)," ")</f>
        <v>150</v>
      </c>
      <c r="I24" s="369" t="n">
        <f aca="false">IF((G24&lt;&gt;0),IF((D24&gt;0)," ",(I$1-A24))," ")</f>
        <v>-162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339</v>
      </c>
    </row>
    <row r="25" customFormat="false" ht="12.75" hidden="false" customHeight="false" outlineLevel="0" collapsed="false">
      <c r="A25" s="357" t="n">
        <v>46433</v>
      </c>
      <c r="B25" s="365" t="s">
        <v>355</v>
      </c>
      <c r="E25" s="367" t="s">
        <v>324</v>
      </c>
      <c r="G25" s="368" t="n">
        <v>12</v>
      </c>
      <c r="H25" s="340" t="n">
        <f aca="false">IF((G25&lt;&gt;0),IF((D25&gt;0)," ",G25)," ")</f>
        <v>12</v>
      </c>
      <c r="I25" s="369" t="n">
        <f aca="false">IF((G25&lt;&gt;0),IF((D25&gt;0)," ",(I$1-A25))," ")</f>
        <v>-162</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325</v>
      </c>
    </row>
    <row r="26" customFormat="false" ht="12.75" hidden="false" customHeight="false" outlineLevel="0" collapsed="false">
      <c r="A26" s="357" t="n">
        <v>46433</v>
      </c>
      <c r="B26" s="365" t="s">
        <v>394</v>
      </c>
      <c r="E26" s="367" t="s">
        <v>348</v>
      </c>
      <c r="G26" s="368" t="n">
        <v>420</v>
      </c>
      <c r="H26" s="340" t="n">
        <f aca="false">IF((G26&lt;&gt;0),IF((D26&gt;0)," ",G26)," ")</f>
        <v>420</v>
      </c>
      <c r="I26" s="369" t="n">
        <f aca="false">IF((G26&lt;&gt;0),IF((D26&gt;0)," ",(I$1-A26))," ")</f>
        <v>-162</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349</v>
      </c>
    </row>
    <row r="27" customFormat="false" ht="12.75" hidden="false" customHeight="false" outlineLevel="0" collapsed="false">
      <c r="A27" s="357" t="n">
        <v>46436</v>
      </c>
      <c r="B27" s="365" t="s">
        <v>461</v>
      </c>
      <c r="E27" s="367" t="s">
        <v>359</v>
      </c>
      <c r="G27" s="368" t="n">
        <v>360</v>
      </c>
      <c r="H27" s="340" t="n">
        <f aca="false">IF((G27&lt;&gt;0),IF((D27&gt;0)," ",G27)," ")</f>
        <v>360</v>
      </c>
      <c r="I27" s="369" t="n">
        <f aca="false">IF((G27&lt;&gt;0),IF((D27&gt;0)," ",(I$1-A27))," ")</f>
        <v>-165</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360</v>
      </c>
    </row>
    <row r="28" customFormat="false" ht="12.75" hidden="false" customHeight="false" outlineLevel="0" collapsed="false">
      <c r="A28" s="357" t="n">
        <v>46436</v>
      </c>
      <c r="B28" s="365" t="s">
        <v>421</v>
      </c>
      <c r="E28" s="367" t="s">
        <v>342</v>
      </c>
      <c r="G28" s="368" t="n">
        <v>240</v>
      </c>
      <c r="H28" s="340" t="n">
        <f aca="false">IF((G28&lt;&gt;0),IF((D28&gt;0)," ",G28)," ")</f>
        <v>240</v>
      </c>
      <c r="I28" s="369" t="n">
        <f aca="false">IF((G28&lt;&gt;0),IF((D28&gt;0)," ",(I$1-A28))," ")</f>
        <v>-165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343</v>
      </c>
    </row>
    <row r="29" customFormat="false" ht="12.75" hidden="false" customHeight="false" outlineLevel="0" collapsed="false">
      <c r="A29" s="357" t="n">
        <v>46436</v>
      </c>
      <c r="B29" s="365" t="s">
        <v>356</v>
      </c>
      <c r="E29" s="367" t="s">
        <v>303</v>
      </c>
      <c r="G29" s="368" t="n">
        <v>96</v>
      </c>
      <c r="H29" s="340" t="n">
        <f aca="false">IF((G29&lt;&gt;0),IF((D29&gt;0)," ",G29)," ")</f>
        <v>96</v>
      </c>
      <c r="I29" s="369" t="n">
        <f aca="false">IF((G29&lt;&gt;0),IF((D29&gt;0)," ",(I$1-A29))," ")</f>
        <v>-165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339</v>
      </c>
    </row>
    <row r="30" customFormat="false" ht="12.75" hidden="false" customHeight="false" outlineLevel="0" collapsed="false">
      <c r="A30" s="357" t="n">
        <v>46438</v>
      </c>
      <c r="B30" s="365" t="s">
        <v>357</v>
      </c>
      <c r="E30" s="367" t="s">
        <v>324</v>
      </c>
      <c r="G30" s="368" t="n">
        <v>60</v>
      </c>
      <c r="H30" s="340" t="n">
        <f aca="false">IF((G30&lt;&gt;0),IF((D30&gt;0)," ",G30)," ")</f>
        <v>60</v>
      </c>
      <c r="I30" s="369" t="n">
        <f aca="false">IF((G30&lt;&gt;0),IF((D30&gt;0)," ",(I$1-A30))," ")</f>
        <v>-167</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325</v>
      </c>
    </row>
    <row r="31" customFormat="false" ht="12.75" hidden="false" customHeight="false" outlineLevel="0" collapsed="false">
      <c r="A31" s="357" t="n">
        <v>46438</v>
      </c>
      <c r="B31" s="365" t="s">
        <v>401</v>
      </c>
      <c r="E31" s="367" t="s">
        <v>348</v>
      </c>
      <c r="G31" s="368" t="n">
        <v>240</v>
      </c>
      <c r="H31" s="340" t="n">
        <f aca="false">IF((G31&lt;&gt;0),IF((D31&gt;0)," ",G31)," ")</f>
        <v>240</v>
      </c>
      <c r="I31" s="369" t="n">
        <f aca="false">IF((G31&lt;&gt;0),IF((D31&gt;0)," ",(I$1-A31))," ")</f>
        <v>-167</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349</v>
      </c>
    </row>
    <row r="32" customFormat="false" ht="12.75" hidden="false" customHeight="false" outlineLevel="0" collapsed="false">
      <c r="A32" s="357" t="n">
        <v>46439</v>
      </c>
      <c r="B32" s="365" t="s">
        <v>361</v>
      </c>
      <c r="E32" s="367" t="s">
        <v>342</v>
      </c>
      <c r="G32" s="368" t="n">
        <v>8</v>
      </c>
      <c r="H32" s="340" t="n">
        <f aca="false">IF((G32&lt;&gt;0),IF((D32&gt;0)," ",G32)," ")</f>
        <v>8</v>
      </c>
      <c r="I32" s="369" t="n">
        <f aca="false">IF((G32&lt;&gt;0),IF((D32&gt;0)," ",(I$1-A32))," ")</f>
        <v>-168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343</v>
      </c>
    </row>
    <row r="33" customFormat="false" ht="12.75" hidden="false" customHeight="false" outlineLevel="0" collapsed="false">
      <c r="A33" s="357" t="n">
        <v>46440</v>
      </c>
      <c r="B33" s="365" t="s">
        <v>362</v>
      </c>
      <c r="E33" s="367" t="s">
        <v>328</v>
      </c>
      <c r="G33" s="368" t="n">
        <v>18</v>
      </c>
      <c r="H33" s="340" t="n">
        <f aca="false">IF((G33&lt;&gt;0),IF((D33&gt;0)," ",G33)," ")</f>
        <v>18</v>
      </c>
      <c r="I33" s="369" t="n">
        <f aca="false">IF((G33&lt;&gt;0),IF((D33&gt;0)," ",(I$1-A33))," ")</f>
        <v>-169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336</v>
      </c>
    </row>
    <row r="34" customFormat="false" ht="12.75" hidden="false" customHeight="false" outlineLevel="0" collapsed="false">
      <c r="A34" s="357" t="n">
        <v>46443</v>
      </c>
      <c r="B34" s="365" t="s">
        <v>363</v>
      </c>
      <c r="E34" s="367" t="s">
        <v>328</v>
      </c>
      <c r="G34" s="368" t="n">
        <v>15</v>
      </c>
      <c r="H34" s="340" t="n">
        <f aca="false">IF((G34&lt;&gt;0),IF((D34&gt;0)," ",G34)," ")</f>
        <v>15</v>
      </c>
      <c r="I34" s="369" t="n">
        <f aca="false">IF((G34&lt;&gt;0),IF((D34&gt;0)," ",(I$1-A34))," ")</f>
        <v>-172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336</v>
      </c>
    </row>
    <row r="35" customFormat="false" ht="12.75" hidden="false" customHeight="false" outlineLevel="0" collapsed="false">
      <c r="A35" s="357" t="n">
        <v>46443</v>
      </c>
      <c r="B35" s="365" t="s">
        <v>364</v>
      </c>
      <c r="E35" s="367" t="s">
        <v>303</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339</v>
      </c>
    </row>
    <row r="36" customFormat="false" ht="12.75" hidden="false" customHeight="false" outlineLevel="0" collapsed="false">
      <c r="A36" s="357" t="n">
        <v>46446</v>
      </c>
      <c r="B36" s="365" t="s">
        <v>365</v>
      </c>
      <c r="E36" s="367" t="s">
        <v>366</v>
      </c>
      <c r="G36" s="368" t="n">
        <v>300</v>
      </c>
      <c r="H36" s="340" t="n">
        <f aca="false">IF((G36&lt;&gt;0),IF((D36&gt;0)," ",G36)," ")</f>
        <v>300</v>
      </c>
      <c r="I36" s="369" t="n">
        <f aca="false">IF((G36&lt;&gt;0),IF((D36&gt;0)," ",(I$1-A36))," ")</f>
        <v>-175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367</v>
      </c>
    </row>
    <row r="37" customFormat="false" ht="12.75" hidden="false" customHeight="false" outlineLevel="0" collapsed="false">
      <c r="A37" s="357" t="n">
        <v>46446</v>
      </c>
      <c r="B37" s="365" t="s">
        <v>354</v>
      </c>
      <c r="E37" s="367" t="s">
        <v>303</v>
      </c>
      <c r="G37" s="368" t="n">
        <v>120</v>
      </c>
      <c r="H37" s="340" t="n">
        <f aca="false">IF((G37&lt;&gt;0),IF((D37&gt;0)," ",G37)," ")</f>
        <v>120</v>
      </c>
      <c r="I37" s="369" t="n">
        <f aca="false">IF((G37&lt;&gt;0),IF((D37&gt;0)," ",(I$1-A37))," ")</f>
        <v>-175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339</v>
      </c>
    </row>
    <row r="38" customFormat="false" ht="12.75" hidden="false" customHeight="false" outlineLevel="0" collapsed="false">
      <c r="A38" s="357" t="n">
        <v>46446</v>
      </c>
      <c r="B38" s="365" t="s">
        <v>368</v>
      </c>
      <c r="C38" s="365" t="s">
        <v>549</v>
      </c>
      <c r="E38" s="367" t="s">
        <v>370</v>
      </c>
      <c r="G38" s="368" t="n">
        <v>3500</v>
      </c>
      <c r="H38" s="340" t="n">
        <f aca="false">IF((G38&lt;&gt;0),IF((D38&gt;0)," ",G38)," ")</f>
        <v>3500</v>
      </c>
      <c r="I38" s="369" t="n">
        <f aca="false">IF((G38&lt;&gt;0),IF((D38&gt;0)," ",(I$1-A38))," ")</f>
        <v>-175</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371</v>
      </c>
    </row>
    <row r="39" customFormat="false" ht="12.75" hidden="false" customHeight="false" outlineLevel="0" collapsed="false">
      <c r="A39" s="357" t="n">
        <v>46446</v>
      </c>
      <c r="B39" s="365" t="s">
        <v>372</v>
      </c>
      <c r="C39" s="365" t="s">
        <v>550</v>
      </c>
      <c r="E39" s="367" t="s">
        <v>370</v>
      </c>
      <c r="G39" s="368" t="n">
        <v>2200</v>
      </c>
      <c r="H39" s="340" t="n">
        <f aca="false">IF((G39&lt;&gt;0),IF((D39&gt;0)," ",G39)," ")</f>
        <v>2200</v>
      </c>
      <c r="I39" s="369" t="n">
        <f aca="false">IF((G39&lt;&gt;0),IF((D39&gt;0)," ",(I$1-A39))," ")</f>
        <v>-175</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371</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31360</v>
      </c>
      <c r="G1" s="345" t="n">
        <f aca="false">SUM(G4:G300)</f>
        <v>0</v>
      </c>
      <c r="H1" s="347" t="n">
        <f aca="false">SUM(H4:H300)</f>
        <v>31360</v>
      </c>
      <c r="I1" s="348" t="n">
        <f aca="true">TODAY()</f>
        <v>46271</v>
      </c>
      <c r="J1" s="345" t="n">
        <f aca="false">SUM(J4:J300)</f>
        <v>0</v>
      </c>
      <c r="K1" s="349" t="n">
        <f aca="false">J1+SalesFeb!K1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46449</v>
      </c>
      <c r="B4" s="336" t="s">
        <v>259</v>
      </c>
      <c r="C4" s="337" t="s">
        <v>551</v>
      </c>
      <c r="F4" s="336" t="n">
        <v>360</v>
      </c>
      <c r="H4" s="340" t="n">
        <f aca="false">IF((F4&lt;&gt;0),IF((D4&gt;0)," ",F4)," ")</f>
        <v>360</v>
      </c>
      <c r="I4" s="341" t="n">
        <f aca="false">IF((F4&lt;&gt;0),IF((D4&gt;0)," ",(I$1-A4))," ")</f>
        <v>-178</v>
      </c>
      <c r="BZ4" s="336" t="s">
        <v>258</v>
      </c>
    </row>
    <row r="5" customFormat="false" ht="12.75" hidden="false" customHeight="false" outlineLevel="0" collapsed="false">
      <c r="A5" s="357" t="n">
        <v>46451</v>
      </c>
      <c r="B5" s="336" t="s">
        <v>261</v>
      </c>
      <c r="C5" s="337" t="s">
        <v>552</v>
      </c>
      <c r="F5" s="336" t="n">
        <v>600</v>
      </c>
      <c r="H5" s="340" t="n">
        <f aca="false">IF((F5&lt;&gt;0),IF((D5&gt;0)," ",F5)," ")</f>
        <v>600</v>
      </c>
      <c r="I5" s="341" t="n">
        <f aca="false">IF((F5&lt;&gt;0),IF((D5&gt;0)," ",(I$1-A5))," ")</f>
        <v>-180</v>
      </c>
      <c r="BZ5" s="336" t="s">
        <v>258</v>
      </c>
    </row>
    <row r="6" customFormat="false" ht="12.75" hidden="false" customHeight="false" outlineLevel="0" collapsed="false">
      <c r="A6" s="357" t="n">
        <v>46454</v>
      </c>
      <c r="B6" s="336" t="s">
        <v>263</v>
      </c>
      <c r="C6" s="337" t="s">
        <v>553</v>
      </c>
      <c r="F6" s="336" t="n">
        <v>480</v>
      </c>
      <c r="H6" s="340" t="n">
        <f aca="false">IF((F6&lt;&gt;0),IF((D6&gt;0)," ",F6)," ")</f>
        <v>480</v>
      </c>
      <c r="I6" s="341" t="n">
        <f aca="false">IF((F6&lt;&gt;0),IF((D6&gt;0)," ",(I$1-A6))," ")</f>
        <v>-183</v>
      </c>
      <c r="BZ6" s="336" t="s">
        <v>265</v>
      </c>
    </row>
    <row r="7" customFormat="false" ht="12.75" hidden="false" customHeight="false" outlineLevel="0" collapsed="false">
      <c r="A7" s="357" t="n">
        <v>46456</v>
      </c>
      <c r="B7" s="336" t="s">
        <v>266</v>
      </c>
      <c r="C7" s="337" t="s">
        <v>554</v>
      </c>
      <c r="F7" s="336" t="n">
        <v>720</v>
      </c>
      <c r="H7" s="340" t="n">
        <f aca="false">IF((F7&lt;&gt;0),IF((D7&gt;0)," ",F7)," ")</f>
        <v>720</v>
      </c>
      <c r="I7" s="341" t="n">
        <f aca="false">IF((F7&lt;&gt;0),IF((D7&gt;0)," ",(I$1-A7))," ")</f>
        <v>-185</v>
      </c>
      <c r="BZ7" s="336" t="s">
        <v>265</v>
      </c>
    </row>
    <row r="8" customFormat="false" ht="12.75" hidden="false" customHeight="false" outlineLevel="0" collapsed="false">
      <c r="A8" s="357" t="n">
        <v>46461</v>
      </c>
      <c r="B8" s="336" t="s">
        <v>268</v>
      </c>
      <c r="C8" s="337" t="s">
        <v>555</v>
      </c>
      <c r="F8" s="336" t="n">
        <v>25000</v>
      </c>
      <c r="H8" s="340" t="n">
        <f aca="false">IF((F8&lt;&gt;0),IF((D8&gt;0)," ",F8)," ")</f>
        <v>25000</v>
      </c>
      <c r="I8" s="341" t="n">
        <f aca="false">IF((F8&lt;&gt;0),IF((D8&gt;0)," ",(I$1-A8))," ")</f>
        <v>-190</v>
      </c>
      <c r="BZ8" s="336" t="s">
        <v>265</v>
      </c>
    </row>
    <row r="9" customFormat="false" ht="12.75" hidden="false" customHeight="false" outlineLevel="0" collapsed="false">
      <c r="A9" s="357" t="n">
        <v>46464</v>
      </c>
      <c r="B9" s="336" t="s">
        <v>270</v>
      </c>
      <c r="C9" s="337" t="s">
        <v>556</v>
      </c>
      <c r="F9" s="336" t="n">
        <v>2400</v>
      </c>
      <c r="H9" s="340" t="n">
        <f aca="false">IF((F9&lt;&gt;0),IF((D9&gt;0)," ",F9)," ")</f>
        <v>2400</v>
      </c>
      <c r="I9" s="341" t="n">
        <f aca="false">IF((F9&lt;&gt;0),IF((D9&gt;0)," ",(I$1-A9))," ")</f>
        <v>-193</v>
      </c>
      <c r="BZ9" s="336" t="s">
        <v>265</v>
      </c>
    </row>
    <row r="10" customFormat="false" ht="12.75" hidden="false" customHeight="false" outlineLevel="0" collapsed="false">
      <c r="A10" s="357" t="n">
        <v>46468</v>
      </c>
      <c r="B10" s="336" t="s">
        <v>414</v>
      </c>
      <c r="C10" s="337" t="s">
        <v>557</v>
      </c>
      <c r="F10" s="336" t="n">
        <v>1440</v>
      </c>
      <c r="H10" s="340" t="n">
        <f aca="false">IF((F10&lt;&gt;0),IF((D10&gt;0)," ",F10)," ")</f>
        <v>1440</v>
      </c>
      <c r="I10" s="341" t="n">
        <f aca="false">IF((F10&lt;&gt;0),IF((D10&gt;0)," ",(I$1-A10))," ")</f>
        <v>-197</v>
      </c>
      <c r="BZ10" s="336" t="s">
        <v>265</v>
      </c>
    </row>
    <row r="11" customFormat="false" ht="12.75" hidden="false" customHeight="false" outlineLevel="0" collapsed="false">
      <c r="A11" s="357" t="n">
        <v>46477</v>
      </c>
      <c r="B11" s="336" t="s">
        <v>558</v>
      </c>
      <c r="C11" s="337" t="s">
        <v>559</v>
      </c>
      <c r="F11" s="336" t="n">
        <v>360</v>
      </c>
      <c r="H11" s="340" t="n">
        <f aca="false">IF((F11&lt;&gt;0),IF((D11&gt;0)," ",F11)," ")</f>
        <v>360</v>
      </c>
      <c r="I11" s="341" t="n">
        <f aca="false">IF((F11&lt;&gt;0),IF((D11&gt;0)," ",(I$1-A11))," ")</f>
        <v>-206</v>
      </c>
      <c r="BZ11" s="336" t="s">
        <v>560</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277</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278</v>
      </c>
      <c r="C1" s="346" t="n">
        <f aca="false">PurchasesFeb!C1+PurchasesMar!F1+SalesMar!$E$1</f>
        <v>1365</v>
      </c>
      <c r="D1" s="371" t="s">
        <v>245</v>
      </c>
      <c r="E1" s="373" t="str">
        <f aca="false">IF((G1-SUM(J1:W1)&lt;&gt;0),(G1-SUM(J1:W1))," ")</f>
        <v> </v>
      </c>
      <c r="F1" s="346" t="n">
        <f aca="false">SUM(F5:F300)</f>
        <v>130</v>
      </c>
      <c r="G1" s="345" t="n">
        <f aca="false">SUM(G4:G300)</f>
        <v>9426.5</v>
      </c>
      <c r="H1" s="374" t="n">
        <f aca="false">SUM(H5:H300)</f>
        <v>9368</v>
      </c>
      <c r="I1" s="375" t="n">
        <f aca="true">TODAY()</f>
        <v>46271</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279</v>
      </c>
      <c r="B2" s="380" t="str">
        <f aca="false">IF((G1-SUM(J1:W1)&lt;&gt;0),"COMPLETE EXPENSE ANALYSIS by inserting expense letter in col E","Supplier")</f>
        <v>Supplier</v>
      </c>
      <c r="C2" s="381" t="s">
        <v>280</v>
      </c>
      <c r="D2" s="381" t="s">
        <v>281</v>
      </c>
      <c r="E2" s="381" t="s">
        <v>282</v>
      </c>
      <c r="F2" s="381" t="s">
        <v>387</v>
      </c>
      <c r="G2" s="382" t="s">
        <v>284</v>
      </c>
      <c r="H2" s="383" t="s">
        <v>285</v>
      </c>
      <c r="I2" s="384" t="s">
        <v>286</v>
      </c>
      <c r="J2" s="382" t="s">
        <v>287</v>
      </c>
      <c r="K2" s="382" t="s">
        <v>288</v>
      </c>
      <c r="L2" s="382" t="s">
        <v>289</v>
      </c>
      <c r="M2" s="382" t="s">
        <v>290</v>
      </c>
      <c r="N2" s="382" t="s">
        <v>291</v>
      </c>
      <c r="O2" s="382" t="s">
        <v>292</v>
      </c>
      <c r="P2" s="382" t="s">
        <v>293</v>
      </c>
      <c r="Q2" s="382" t="s">
        <v>294</v>
      </c>
      <c r="R2" s="382" t="s">
        <v>295</v>
      </c>
      <c r="S2" s="382" t="s">
        <v>296</v>
      </c>
      <c r="T2" s="382" t="s">
        <v>297</v>
      </c>
      <c r="U2" s="382" t="s">
        <v>298</v>
      </c>
      <c r="V2" s="382" t="s">
        <v>299</v>
      </c>
      <c r="W2" s="383" t="s">
        <v>300</v>
      </c>
      <c r="X2" s="385" t="str">
        <f aca="false">IF(X1&gt;('Fixed Assets'!$E$110),"FIXED ASSETS requires updating with new additions","Fixed Assets Description  (Vehicles: make, model, date reg. and reg. mark)")</f>
        <v>Fixed Assets Description  (Vehicles: make, model, date reg. and reg. mark)</v>
      </c>
      <c r="Y2" s="382" t="s">
        <v>301</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302</v>
      </c>
      <c r="Z3" s="382"/>
    </row>
    <row r="4" s="367" customFormat="true" ht="12.75" hidden="false" customHeight="false" outlineLevel="0" collapsed="false">
      <c r="A4" s="379"/>
      <c r="B4" s="379"/>
      <c r="C4" s="379"/>
      <c r="D4" s="379"/>
      <c r="E4" s="389" t="s">
        <v>303</v>
      </c>
      <c r="F4" s="381"/>
      <c r="G4" s="403" t="n">
        <f aca="false">IF((C1&lt;Admin!$F$22),((C1-PurchasesFeb!C1)*Admin!$G$21),(C1*Admin!$G$21-(C1-Admin!$F$21)*(Admin!$G$21-Admin!$G$22)-PurchasesFeb!A1))</f>
        <v>58.5</v>
      </c>
      <c r="H4" s="383"/>
      <c r="I4" s="383"/>
      <c r="J4" s="391" t="s">
        <v>304</v>
      </c>
      <c r="K4" s="392" t="s">
        <v>305</v>
      </c>
      <c r="L4" s="392" t="s">
        <v>306</v>
      </c>
      <c r="M4" s="392" t="s">
        <v>307</v>
      </c>
      <c r="N4" s="392" t="s">
        <v>308</v>
      </c>
      <c r="O4" s="392" t="s">
        <v>309</v>
      </c>
      <c r="P4" s="393" t="s">
        <v>310</v>
      </c>
      <c r="Q4" s="392" t="s">
        <v>311</v>
      </c>
      <c r="R4" s="392" t="s">
        <v>312</v>
      </c>
      <c r="S4" s="392" t="s">
        <v>313</v>
      </c>
      <c r="T4" s="392" t="s">
        <v>314</v>
      </c>
      <c r="U4" s="392" t="s">
        <v>315</v>
      </c>
      <c r="V4" s="392" t="s">
        <v>316</v>
      </c>
      <c r="W4" s="394" t="s">
        <v>317</v>
      </c>
      <c r="X4" s="385"/>
      <c r="Y4" s="382" t="s">
        <v>318</v>
      </c>
      <c r="Z4" s="382" t="s">
        <v>319</v>
      </c>
    </row>
    <row r="5" customFormat="false" ht="12.75" hidden="false" customHeight="false" outlineLevel="0" collapsed="false">
      <c r="A5" s="357" t="n">
        <v>46447</v>
      </c>
      <c r="B5" s="365" t="s">
        <v>320</v>
      </c>
      <c r="E5" s="367" t="s">
        <v>321</v>
      </c>
      <c r="G5" s="368" t="n">
        <v>1200</v>
      </c>
      <c r="H5" s="340" t="n">
        <f aca="false">IF((G5&lt;&gt;0),IF((D5&gt;0)," ",G5)," ")</f>
        <v>1200</v>
      </c>
      <c r="I5" s="369" t="n">
        <f aca="false">IF((G5&lt;&gt;0),IF((D5&gt;0)," ",(I$1-A5))," ")</f>
        <v>-176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322</v>
      </c>
    </row>
    <row r="6" customFormat="false" ht="12.75" hidden="false" customHeight="false" outlineLevel="0" collapsed="false">
      <c r="A6" s="357" t="n">
        <v>46447</v>
      </c>
      <c r="B6" s="365" t="s">
        <v>323</v>
      </c>
      <c r="E6" s="367" t="s">
        <v>324</v>
      </c>
      <c r="G6" s="368" t="n">
        <v>30</v>
      </c>
      <c r="H6" s="340" t="n">
        <f aca="false">IF((G6&lt;&gt;0),IF((D6&gt;0)," ",G6)," ")</f>
        <v>30</v>
      </c>
      <c r="I6" s="369" t="n">
        <f aca="false">IF((G6&lt;&gt;0),IF((D6&gt;0)," ",(I$1-A6))," ")</f>
        <v>-176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325</v>
      </c>
    </row>
    <row r="7" customFormat="false" ht="12.75" hidden="false" customHeight="false" outlineLevel="0" collapsed="false">
      <c r="A7" s="357" t="n">
        <v>46447</v>
      </c>
      <c r="B7" s="365" t="s">
        <v>326</v>
      </c>
      <c r="E7" s="367" t="s">
        <v>324</v>
      </c>
      <c r="G7" s="368" t="n">
        <v>15</v>
      </c>
      <c r="H7" s="340" t="n">
        <f aca="false">IF((G7&lt;&gt;0),IF((D7&gt;0)," ",G7)," ")</f>
        <v>15</v>
      </c>
      <c r="I7" s="369" t="n">
        <f aca="false">IF((G7&lt;&gt;0),IF((D7&gt;0)," ",(I$1-A7))," ")</f>
        <v>-176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325</v>
      </c>
    </row>
    <row r="8" customFormat="false" ht="12.75" hidden="false" customHeight="false" outlineLevel="0" collapsed="false">
      <c r="A8" s="357" t="n">
        <v>46447</v>
      </c>
      <c r="B8" s="365" t="s">
        <v>327</v>
      </c>
      <c r="E8" s="367" t="s">
        <v>328</v>
      </c>
      <c r="G8" s="368" t="n">
        <v>45</v>
      </c>
      <c r="H8" s="340" t="n">
        <f aca="false">IF((G8&lt;&gt;0),IF((D8&gt;0)," ",G8)," ")</f>
        <v>45</v>
      </c>
      <c r="I8" s="369" t="n">
        <f aca="false">IF((G8&lt;&gt;0),IF((D8&gt;0)," ",(I$1-A8))," ")</f>
        <v>-176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329</v>
      </c>
    </row>
    <row r="9" customFormat="false" ht="12.75" hidden="false" customHeight="false" outlineLevel="0" collapsed="false">
      <c r="A9" s="357" t="n">
        <v>46447</v>
      </c>
      <c r="B9" s="365" t="s">
        <v>332</v>
      </c>
      <c r="E9" s="367" t="s">
        <v>328</v>
      </c>
      <c r="G9" s="368" t="n">
        <v>24</v>
      </c>
      <c r="H9" s="340" t="n">
        <f aca="false">IF((G9&lt;&gt;0),IF((D9&gt;0)," ",G9)," ")</f>
        <v>24</v>
      </c>
      <c r="I9" s="369" t="n">
        <f aca="false">IF((G9&lt;&gt;0),IF((D9&gt;0)," ",(I$1-A9))," ")</f>
        <v>-176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329</v>
      </c>
    </row>
    <row r="10" customFormat="false" ht="12.75" hidden="false" customHeight="false" outlineLevel="0" collapsed="false">
      <c r="A10" s="357" t="n">
        <v>46447</v>
      </c>
      <c r="B10" s="365" t="s">
        <v>333</v>
      </c>
      <c r="E10" s="367" t="s">
        <v>324</v>
      </c>
      <c r="G10" s="368" t="n">
        <v>18</v>
      </c>
      <c r="H10" s="340" t="n">
        <f aca="false">IF((G10&lt;&gt;0),IF((D10&gt;0)," ",G10)," ")</f>
        <v>18</v>
      </c>
      <c r="I10" s="369" t="n">
        <f aca="false">IF((G10&lt;&gt;0),IF((D10&gt;0)," ",(I$1-A10))," ")</f>
        <v>-176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325</v>
      </c>
    </row>
    <row r="11" customFormat="false" ht="12.75" hidden="false" customHeight="false" outlineLevel="0" collapsed="false">
      <c r="A11" s="357" t="n">
        <v>46449</v>
      </c>
      <c r="B11" s="365" t="s">
        <v>334</v>
      </c>
      <c r="E11" s="367" t="s">
        <v>328</v>
      </c>
      <c r="G11" s="368" t="n">
        <v>180</v>
      </c>
      <c r="H11" s="340" t="n">
        <f aca="false">IF((G11&lt;&gt;0),IF((D11&gt;0)," ",G11)," ")</f>
        <v>180</v>
      </c>
      <c r="I11" s="369" t="n">
        <f aca="false">IF((G11&lt;&gt;0),IF((D11&gt;0)," ",(I$1-A11))," ")</f>
        <v>-178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329</v>
      </c>
    </row>
    <row r="12" customFormat="false" ht="12.75" hidden="false" customHeight="false" outlineLevel="0" collapsed="false">
      <c r="A12" s="357" t="n">
        <v>46449</v>
      </c>
      <c r="B12" s="365" t="s">
        <v>335</v>
      </c>
      <c r="E12" s="367" t="s">
        <v>328</v>
      </c>
      <c r="G12" s="368" t="n">
        <v>22</v>
      </c>
      <c r="H12" s="340" t="n">
        <f aca="false">IF((G12&lt;&gt;0),IF((D12&gt;0)," ",G12)," ")</f>
        <v>22</v>
      </c>
      <c r="I12" s="369" t="n">
        <f aca="false">IF((G12&lt;&gt;0),IF((D12&gt;0)," ",(I$1-A12))," ")</f>
        <v>-178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336</v>
      </c>
    </row>
    <row r="13" customFormat="false" ht="12.75" hidden="false" customHeight="false" outlineLevel="0" collapsed="false">
      <c r="A13" s="357" t="n">
        <v>46451</v>
      </c>
      <c r="B13" s="365" t="s">
        <v>337</v>
      </c>
      <c r="E13" s="367" t="s">
        <v>328</v>
      </c>
      <c r="G13" s="368" t="n">
        <v>24</v>
      </c>
      <c r="H13" s="340" t="n">
        <f aca="false">IF((G13&lt;&gt;0),IF((D13&gt;0)," ",G13)," ")</f>
        <v>24</v>
      </c>
      <c r="I13" s="369" t="n">
        <f aca="false">IF((G13&lt;&gt;0),IF((D13&gt;0)," ",(I$1-A13))," ")</f>
        <v>-180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336</v>
      </c>
    </row>
    <row r="14" customFormat="false" ht="12.75" hidden="false" customHeight="false" outlineLevel="0" collapsed="false">
      <c r="A14" s="357" t="n">
        <v>46451</v>
      </c>
      <c r="B14" s="365" t="s">
        <v>338</v>
      </c>
      <c r="E14" s="367" t="s">
        <v>303</v>
      </c>
      <c r="G14" s="368" t="n">
        <v>180</v>
      </c>
      <c r="H14" s="340" t="n">
        <f aca="false">IF((G14&lt;&gt;0),IF((D14&gt;0)," ",G14)," ")</f>
        <v>180</v>
      </c>
      <c r="I14" s="369" t="n">
        <f aca="false">IF((G14&lt;&gt;0),IF((D14&gt;0)," ",(I$1-A14))," ")</f>
        <v>-180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339</v>
      </c>
    </row>
    <row r="15" customFormat="false" ht="12.75" hidden="false" customHeight="false" outlineLevel="0" collapsed="false">
      <c r="A15" s="357" t="n">
        <v>46454</v>
      </c>
      <c r="B15" s="365" t="s">
        <v>341</v>
      </c>
      <c r="E15" s="367" t="s">
        <v>342</v>
      </c>
      <c r="G15" s="368" t="n">
        <v>48</v>
      </c>
      <c r="H15" s="340" t="n">
        <f aca="false">IF((G15&lt;&gt;0),IF((D15&gt;0)," ",G15)," ")</f>
        <v>48</v>
      </c>
      <c r="I15" s="369" t="n">
        <f aca="false">IF((G15&lt;&gt;0),IF((D15&gt;0)," ",(I$1-A15))," ")</f>
        <v>-183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343</v>
      </c>
    </row>
    <row r="16" customFormat="false" ht="12.75" hidden="false" customHeight="false" outlineLevel="0" collapsed="false">
      <c r="A16" s="357" t="n">
        <v>46456</v>
      </c>
      <c r="B16" s="365" t="s">
        <v>344</v>
      </c>
      <c r="E16" s="367" t="s">
        <v>328</v>
      </c>
      <c r="G16" s="368" t="n">
        <v>36</v>
      </c>
      <c r="H16" s="340" t="n">
        <f aca="false">IF((G16&lt;&gt;0),IF((D16&gt;0)," ",G16)," ")</f>
        <v>36</v>
      </c>
      <c r="I16" s="369" t="n">
        <f aca="false">IF((G16&lt;&gt;0),IF((D16&gt;0)," ",(I$1-A16))," ")</f>
        <v>-185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336</v>
      </c>
    </row>
    <row r="17" customFormat="false" ht="12.75" hidden="false" customHeight="false" outlineLevel="0" collapsed="false">
      <c r="A17" s="357" t="n">
        <v>46456</v>
      </c>
      <c r="B17" s="365" t="s">
        <v>355</v>
      </c>
      <c r="E17" s="367" t="s">
        <v>328</v>
      </c>
      <c r="G17" s="368" t="n">
        <v>144</v>
      </c>
      <c r="H17" s="340" t="n">
        <f aca="false">IF((G17&lt;&gt;0),IF((D17&gt;0)," ",G17)," ")</f>
        <v>144</v>
      </c>
      <c r="I17" s="369" t="n">
        <f aca="false">IF((G17&lt;&gt;0),IF((D17&gt;0)," ",(I$1-A17))," ")</f>
        <v>-185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400</v>
      </c>
    </row>
    <row r="18" customFormat="false" ht="12.75" hidden="false" customHeight="false" outlineLevel="0" collapsed="false">
      <c r="A18" s="357" t="n">
        <v>46458</v>
      </c>
      <c r="B18" s="365" t="s">
        <v>350</v>
      </c>
      <c r="E18" s="367" t="s">
        <v>303</v>
      </c>
      <c r="G18" s="368" t="n">
        <v>18</v>
      </c>
      <c r="H18" s="340" t="n">
        <f aca="false">IF((G18&lt;&gt;0),IF((D18&gt;0)," ",G18)," ")</f>
        <v>18</v>
      </c>
      <c r="I18" s="369" t="n">
        <f aca="false">IF((G18&lt;&gt;0),IF((D18&gt;0)," ",(I$1-A18))," ")</f>
        <v>-187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339</v>
      </c>
    </row>
    <row r="19" customFormat="false" ht="12.75" hidden="false" customHeight="false" outlineLevel="0" collapsed="false">
      <c r="A19" s="357" t="n">
        <v>46460</v>
      </c>
      <c r="B19" s="365" t="s">
        <v>352</v>
      </c>
      <c r="E19" s="367" t="s">
        <v>342</v>
      </c>
      <c r="G19" s="368" t="n">
        <v>24</v>
      </c>
      <c r="H19" s="340" t="n">
        <f aca="false">IF((G19&lt;&gt;0),IF((D19&gt;0)," ",G19)," ")</f>
        <v>24</v>
      </c>
      <c r="I19" s="369" t="n">
        <f aca="false">IF((G19&lt;&gt;0),IF((D19&gt;0)," ",(I$1-A19))," ")</f>
        <v>-189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343</v>
      </c>
    </row>
    <row r="20" customFormat="false" ht="12.75" hidden="false" customHeight="false" outlineLevel="0" collapsed="false">
      <c r="A20" s="357" t="n">
        <v>46460</v>
      </c>
      <c r="B20" s="365" t="s">
        <v>353</v>
      </c>
      <c r="E20" s="367" t="s">
        <v>342</v>
      </c>
      <c r="G20" s="368" t="n">
        <v>12</v>
      </c>
      <c r="H20" s="340" t="n">
        <f aca="false">IF((G20&lt;&gt;0),IF((D20&gt;0)," ",G20)," ")</f>
        <v>12</v>
      </c>
      <c r="I20" s="369" t="n">
        <f aca="false">IF((G20&lt;&gt;0),IF((D20&gt;0)," ",(I$1-A20))," ")</f>
        <v>-189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343</v>
      </c>
    </row>
    <row r="21" customFormat="false" ht="12.75" hidden="false" customHeight="false" outlineLevel="0" collapsed="false">
      <c r="A21" s="357" t="n">
        <v>46461</v>
      </c>
      <c r="B21" s="365" t="s">
        <v>354</v>
      </c>
      <c r="D21" s="365"/>
      <c r="E21" s="367" t="s">
        <v>303</v>
      </c>
      <c r="G21" s="368" t="n">
        <v>150</v>
      </c>
      <c r="H21" s="340" t="n">
        <f aca="false">IF((G21&lt;&gt;0),IF((D21&gt;0)," ",G21)," ")</f>
        <v>150</v>
      </c>
      <c r="I21" s="369" t="n">
        <f aca="false">IF((G21&lt;&gt;0),IF((D21&gt;0)," ",(I$1-A21))," ")</f>
        <v>-190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339</v>
      </c>
    </row>
    <row r="22" customFormat="false" ht="12.75" hidden="false" customHeight="false" outlineLevel="0" collapsed="false">
      <c r="A22" s="357" t="n">
        <v>46461</v>
      </c>
      <c r="B22" s="365" t="s">
        <v>355</v>
      </c>
      <c r="D22" s="395"/>
      <c r="E22" s="367" t="s">
        <v>324</v>
      </c>
      <c r="G22" s="368" t="n">
        <v>12</v>
      </c>
      <c r="H22" s="340" t="n">
        <f aca="false">IF((G22&lt;&gt;0),IF((D22&gt;0)," ",G22)," ")</f>
        <v>12</v>
      </c>
      <c r="I22" s="369" t="n">
        <f aca="false">IF((G22&lt;&gt;0),IF((D22&gt;0)," ",(I$1-A22))," ")</f>
        <v>-190</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325</v>
      </c>
    </row>
    <row r="23" customFormat="false" ht="12.75" hidden="false" customHeight="false" outlineLevel="0" collapsed="false">
      <c r="A23" s="357" t="n">
        <v>46462</v>
      </c>
      <c r="B23" s="365" t="s">
        <v>398</v>
      </c>
      <c r="E23" s="367" t="s">
        <v>324</v>
      </c>
      <c r="G23" s="368" t="n">
        <v>24</v>
      </c>
      <c r="H23" s="340" t="n">
        <f aca="false">IF((G23&lt;&gt;0),IF((D23&gt;0)," ",G23)," ")</f>
        <v>24</v>
      </c>
      <c r="I23" s="369" t="n">
        <f aca="false">IF((G23&lt;&gt;0),IF((D23&gt;0)," ",(I$1-A23))," ")</f>
        <v>-191</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325</v>
      </c>
    </row>
    <row r="24" customFormat="false" ht="12.75" hidden="false" customHeight="false" outlineLevel="0" collapsed="false">
      <c r="A24" s="357" t="n">
        <v>46464</v>
      </c>
      <c r="B24" s="365" t="s">
        <v>422</v>
      </c>
      <c r="E24" s="367" t="s">
        <v>348</v>
      </c>
      <c r="G24" s="368" t="n">
        <v>300</v>
      </c>
      <c r="H24" s="340" t="n">
        <f aca="false">IF((G24&lt;&gt;0),IF((D24&gt;0)," ",G24)," ")</f>
        <v>300</v>
      </c>
      <c r="I24" s="369" t="n">
        <f aca="false">IF((G24&lt;&gt;0),IF((D24&gt;0)," ",(I$1-A24))," ")</f>
        <v>-193</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349</v>
      </c>
    </row>
    <row r="25" customFormat="false" ht="12.75" hidden="false" customHeight="false" outlineLevel="0" collapsed="false">
      <c r="A25" s="357" t="n">
        <v>46464</v>
      </c>
      <c r="B25" s="365" t="s">
        <v>356</v>
      </c>
      <c r="E25" s="367" t="s">
        <v>303</v>
      </c>
      <c r="G25" s="368" t="n">
        <v>96</v>
      </c>
      <c r="H25" s="340" t="n">
        <f aca="false">IF((G25&lt;&gt;0),IF((D25&gt;0)," ",G25)," ")</f>
        <v>96</v>
      </c>
      <c r="I25" s="369" t="n">
        <f aca="false">IF((G25&lt;&gt;0),IF((D25&gt;0)," ",(I$1-A25))," ")</f>
        <v>-193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339</v>
      </c>
    </row>
    <row r="26" customFormat="false" ht="12.75" hidden="false" customHeight="false" outlineLevel="0" collapsed="false">
      <c r="A26" s="357" t="n">
        <v>46466</v>
      </c>
      <c r="B26" s="365" t="s">
        <v>357</v>
      </c>
      <c r="E26" s="367" t="s">
        <v>324</v>
      </c>
      <c r="G26" s="368" t="n">
        <v>60</v>
      </c>
      <c r="H26" s="340" t="n">
        <f aca="false">IF((G26&lt;&gt;0),IF((D26&gt;0)," ",G26)," ")</f>
        <v>60</v>
      </c>
      <c r="I26" s="369" t="n">
        <f aca="false">IF((G26&lt;&gt;0),IF((D26&gt;0)," ",(I$1-A26))," ")</f>
        <v>-195</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325</v>
      </c>
    </row>
    <row r="27" customFormat="false" ht="12.75" hidden="false" customHeight="false" outlineLevel="0" collapsed="false">
      <c r="A27" s="357" t="n">
        <v>46467</v>
      </c>
      <c r="B27" s="365" t="s">
        <v>361</v>
      </c>
      <c r="E27" s="367" t="s">
        <v>342</v>
      </c>
      <c r="G27" s="368" t="n">
        <v>8</v>
      </c>
      <c r="H27" s="340" t="n">
        <f aca="false">IF((G27&lt;&gt;0),IF((D27&gt;0)," ",G27)," ")</f>
        <v>8</v>
      </c>
      <c r="I27" s="369" t="n">
        <f aca="false">IF((G27&lt;&gt;0),IF((D27&gt;0)," ",(I$1-A27))," ")</f>
        <v>-196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343</v>
      </c>
    </row>
    <row r="28" customFormat="false" ht="12.75" hidden="false" customHeight="false" outlineLevel="0" collapsed="false">
      <c r="A28" s="357" t="n">
        <v>46468</v>
      </c>
      <c r="B28" s="365" t="s">
        <v>362</v>
      </c>
      <c r="E28" s="367" t="s">
        <v>328</v>
      </c>
      <c r="G28" s="368" t="n">
        <v>18</v>
      </c>
      <c r="H28" s="340" t="n">
        <f aca="false">IF((G28&lt;&gt;0),IF((D28&gt;0)," ",G28)," ")</f>
        <v>18</v>
      </c>
      <c r="I28" s="369" t="n">
        <f aca="false">IF((G28&lt;&gt;0),IF((D28&gt;0)," ",(I$1-A28))," ")</f>
        <v>-197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336</v>
      </c>
    </row>
    <row r="29" customFormat="false" ht="12.75" hidden="false" customHeight="false" outlineLevel="0" collapsed="false">
      <c r="A29" s="357" t="n">
        <v>46468</v>
      </c>
      <c r="B29" s="365" t="s">
        <v>402</v>
      </c>
      <c r="E29" s="367" t="s">
        <v>303</v>
      </c>
      <c r="G29" s="368" t="n">
        <v>60</v>
      </c>
      <c r="H29" s="340" t="n">
        <f aca="false">IF((G29&lt;&gt;0),IF((D29&gt;0)," ",G29)," ")</f>
        <v>60</v>
      </c>
      <c r="I29" s="369" t="n">
        <f aca="false">IF((G29&lt;&gt;0),IF((D29&gt;0)," ",(I$1-A29))," ")</f>
        <v>-197</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339</v>
      </c>
    </row>
    <row r="30" customFormat="false" ht="12.75" hidden="false" customHeight="false" outlineLevel="0" collapsed="false">
      <c r="A30" s="357" t="n">
        <v>46471</v>
      </c>
      <c r="B30" s="365" t="s">
        <v>423</v>
      </c>
      <c r="E30" s="367" t="s">
        <v>321</v>
      </c>
      <c r="G30" s="368" t="n">
        <v>360</v>
      </c>
      <c r="H30" s="340" t="n">
        <f aca="false">IF((G30&lt;&gt;0),IF((D30&gt;0)," ",G30)," ")</f>
        <v>360</v>
      </c>
      <c r="I30" s="369" t="n">
        <f aca="false">IF((G30&lt;&gt;0),IF((D30&gt;0)," ",(I$1-A30))," ")</f>
        <v>-200</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424</v>
      </c>
    </row>
    <row r="31" customFormat="false" ht="12.75" hidden="false" customHeight="false" outlineLevel="0" collapsed="false">
      <c r="A31" s="357" t="n">
        <v>46471</v>
      </c>
      <c r="B31" s="365" t="s">
        <v>363</v>
      </c>
      <c r="E31" s="367" t="s">
        <v>328</v>
      </c>
      <c r="G31" s="368" t="n">
        <v>15</v>
      </c>
      <c r="H31" s="340" t="n">
        <f aca="false">IF((G31&lt;&gt;0),IF((D31&gt;0)," ",G31)," ")</f>
        <v>15</v>
      </c>
      <c r="I31" s="369" t="n">
        <f aca="false">IF((G31&lt;&gt;0),IF((D31&gt;0)," ",(I$1-A31))," ")</f>
        <v>-200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336</v>
      </c>
    </row>
    <row r="32" customFormat="false" ht="12.75" hidden="false" customHeight="false" outlineLevel="0" collapsed="false">
      <c r="A32" s="357" t="n">
        <v>46471</v>
      </c>
      <c r="B32" s="365" t="s">
        <v>364</v>
      </c>
      <c r="E32" s="367" t="s">
        <v>303</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339</v>
      </c>
    </row>
    <row r="33" customFormat="false" ht="12.75" hidden="false" customHeight="false" outlineLevel="0" collapsed="false">
      <c r="A33" s="357" t="n">
        <v>46474</v>
      </c>
      <c r="B33" s="365" t="s">
        <v>354</v>
      </c>
      <c r="E33" s="367" t="s">
        <v>303</v>
      </c>
      <c r="G33" s="368" t="n">
        <v>120</v>
      </c>
      <c r="H33" s="340" t="n">
        <f aca="false">IF((G33&lt;&gt;0),IF((D33&gt;0)," ",G33)," ")</f>
        <v>120</v>
      </c>
      <c r="I33" s="369" t="n">
        <f aca="false">IF((G33&lt;&gt;0),IF((D33&gt;0)," ",(I$1-A33))," ")</f>
        <v>-203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339</v>
      </c>
    </row>
    <row r="34" customFormat="false" ht="12.75" hidden="false" customHeight="false" outlineLevel="0" collapsed="false">
      <c r="A34" s="357" t="n">
        <v>46477</v>
      </c>
      <c r="B34" s="365" t="s">
        <v>365</v>
      </c>
      <c r="E34" s="367" t="s">
        <v>366</v>
      </c>
      <c r="G34" s="368" t="n">
        <v>300</v>
      </c>
      <c r="H34" s="340" t="n">
        <f aca="false">IF((G34&lt;&gt;0),IF((D34&gt;0)," ",G34)," ")</f>
        <v>300</v>
      </c>
      <c r="I34" s="369" t="n">
        <f aca="false">IF((G34&lt;&gt;0),IF((D34&gt;0)," ",(I$1-A34))," ")</f>
        <v>-206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367</v>
      </c>
    </row>
    <row r="35" customFormat="false" ht="12.75" hidden="false" customHeight="false" outlineLevel="0" collapsed="false">
      <c r="A35" s="357" t="n">
        <v>46477</v>
      </c>
      <c r="B35" s="365" t="s">
        <v>425</v>
      </c>
      <c r="C35" s="365" t="s">
        <v>561</v>
      </c>
      <c r="E35" s="367" t="s">
        <v>427</v>
      </c>
      <c r="G35" s="368" t="n">
        <v>125</v>
      </c>
      <c r="H35" s="340" t="n">
        <f aca="false">IF((G35&lt;&gt;0),IF((D35&gt;0)," ",G35)," ")</f>
        <v>125</v>
      </c>
      <c r="I35" s="369" t="n">
        <f aca="false">IF((G35&lt;&gt;0),IF((D35&gt;0)," ",(I$1-A35))," ")</f>
        <v>-206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428</v>
      </c>
    </row>
    <row r="36" customFormat="false" ht="12.75" hidden="false" customHeight="false" outlineLevel="0" collapsed="false">
      <c r="A36" s="357" t="n">
        <v>46477</v>
      </c>
      <c r="B36" s="365" t="s">
        <v>368</v>
      </c>
      <c r="C36" s="365" t="s">
        <v>562</v>
      </c>
      <c r="E36" s="367" t="s">
        <v>370</v>
      </c>
      <c r="G36" s="368" t="n">
        <v>3500</v>
      </c>
      <c r="H36" s="340" t="n">
        <f aca="false">IF((G36&lt;&gt;0),IF((D36&gt;0)," ",G36)," ")</f>
        <v>3500</v>
      </c>
      <c r="I36" s="369" t="n">
        <f aca="false">IF((G36&lt;&gt;0),IF((D36&gt;0)," ",(I$1-A36))," ")</f>
        <v>-206</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371</v>
      </c>
    </row>
    <row r="37" customFormat="false" ht="12.75" hidden="false" customHeight="false" outlineLevel="0" collapsed="false">
      <c r="A37" s="357" t="n">
        <v>46477</v>
      </c>
      <c r="B37" s="365" t="s">
        <v>372</v>
      </c>
      <c r="C37" s="365" t="s">
        <v>563</v>
      </c>
      <c r="E37" s="367" t="s">
        <v>370</v>
      </c>
      <c r="G37" s="368" t="n">
        <v>2200</v>
      </c>
      <c r="H37" s="340" t="n">
        <f aca="false">IF((G37&lt;&gt;0),IF((D37&gt;0)," ",G37)," ")</f>
        <v>2200</v>
      </c>
      <c r="I37" s="369" t="n">
        <f aca="false">IF((G37&lt;&gt;0),IF((D37&gt;0)," ",(I$1-A37))," ")</f>
        <v>-206</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371</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564</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565</v>
      </c>
      <c r="E2" s="411"/>
      <c r="F2" s="411"/>
      <c r="G2" s="412" t="str">
        <f aca="false">B23</f>
        <v>2026-27</v>
      </c>
      <c r="H2" s="68"/>
      <c r="I2" s="68"/>
      <c r="J2" s="413" t="s">
        <v>566</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567</v>
      </c>
      <c r="J4" s="418"/>
      <c r="K4" s="418"/>
      <c r="L4" s="418"/>
      <c r="M4" s="418"/>
      <c r="N4" s="420" t="n">
        <v>12570</v>
      </c>
      <c r="O4" s="415" t="s">
        <v>30</v>
      </c>
    </row>
    <row r="5" customFormat="false" ht="12" hidden="false" customHeight="true" outlineLevel="0" collapsed="false">
      <c r="A5" s="68"/>
      <c r="B5" s="410" t="n">
        <v>46142</v>
      </c>
      <c r="C5" s="68"/>
      <c r="D5" s="418" t="s">
        <v>568</v>
      </c>
      <c r="E5" s="418"/>
      <c r="F5" s="418"/>
      <c r="G5" s="419" t="n">
        <v>0.14</v>
      </c>
      <c r="H5" s="68"/>
      <c r="I5" s="418" t="s">
        <v>569</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570</v>
      </c>
      <c r="J6" s="68"/>
      <c r="K6" s="68"/>
      <c r="L6" s="68"/>
      <c r="M6" s="68"/>
      <c r="N6" s="419" t="n">
        <v>0</v>
      </c>
      <c r="O6" s="415" t="s">
        <v>571</v>
      </c>
    </row>
    <row r="7" customFormat="false" ht="12" hidden="false" customHeight="true" outlineLevel="0" collapsed="false">
      <c r="A7" s="68"/>
      <c r="B7" s="410" t="n">
        <v>46203</v>
      </c>
      <c r="C7" s="68"/>
      <c r="D7" s="418" t="s">
        <v>572</v>
      </c>
      <c r="E7" s="418"/>
      <c r="F7" s="418"/>
      <c r="G7" s="415"/>
      <c r="H7" s="68"/>
      <c r="I7" s="418" t="s">
        <v>573</v>
      </c>
      <c r="J7" s="418"/>
      <c r="K7" s="418"/>
      <c r="L7" s="418"/>
      <c r="M7" s="418"/>
      <c r="N7" s="419" t="n">
        <v>0.2</v>
      </c>
      <c r="O7" s="415" t="s">
        <v>571</v>
      </c>
    </row>
    <row r="8" customFormat="false" ht="12" hidden="false" customHeight="true" outlineLevel="0" collapsed="false">
      <c r="A8" s="68"/>
      <c r="B8" s="410" t="n">
        <v>46234</v>
      </c>
      <c r="C8" s="68"/>
      <c r="D8" s="68"/>
      <c r="E8" s="421"/>
      <c r="F8" s="68"/>
      <c r="G8" s="421"/>
      <c r="H8" s="68"/>
      <c r="I8" s="418" t="s">
        <v>574</v>
      </c>
      <c r="J8" s="418"/>
      <c r="K8" s="418"/>
      <c r="L8" s="418"/>
      <c r="M8" s="418"/>
      <c r="N8" s="419" t="n">
        <v>0.4</v>
      </c>
      <c r="O8" s="415" t="s">
        <v>571</v>
      </c>
    </row>
    <row r="9" customFormat="false" ht="12" hidden="false" customHeight="true" outlineLevel="0" collapsed="false">
      <c r="A9" s="68"/>
      <c r="B9" s="410" t="n">
        <v>46265</v>
      </c>
      <c r="C9" s="68"/>
      <c r="D9" s="68"/>
      <c r="E9" s="415"/>
      <c r="F9" s="68"/>
      <c r="G9" s="415"/>
      <c r="H9" s="68"/>
      <c r="I9" s="418" t="s">
        <v>575</v>
      </c>
      <c r="J9" s="418"/>
      <c r="K9" s="418"/>
      <c r="L9" s="418"/>
      <c r="M9" s="418"/>
      <c r="N9" s="419" t="n">
        <v>0.45</v>
      </c>
      <c r="O9" s="415" t="s">
        <v>571</v>
      </c>
    </row>
    <row r="10" customFormat="false" ht="12" hidden="false" customHeight="true" outlineLevel="0" collapsed="false">
      <c r="A10" s="68"/>
      <c r="B10" s="410" t="n">
        <v>46295</v>
      </c>
      <c r="C10" s="68"/>
      <c r="D10" s="68"/>
      <c r="E10" s="415"/>
      <c r="F10" s="68"/>
      <c r="G10" s="415"/>
      <c r="H10" s="68"/>
      <c r="I10" s="418" t="s">
        <v>576</v>
      </c>
      <c r="J10" s="418"/>
      <c r="K10" s="418"/>
      <c r="L10" s="422" t="s">
        <v>577</v>
      </c>
      <c r="M10" s="422" t="s">
        <v>578</v>
      </c>
      <c r="N10" s="423" t="s">
        <v>579</v>
      </c>
      <c r="O10" s="415"/>
    </row>
    <row r="11" customFormat="false" ht="12" hidden="false" customHeight="true" outlineLevel="0" collapsed="false">
      <c r="A11" s="68"/>
      <c r="B11" s="410" t="n">
        <v>46326</v>
      </c>
      <c r="C11" s="68"/>
      <c r="D11" s="411" t="s">
        <v>580</v>
      </c>
      <c r="E11" s="411"/>
      <c r="F11" s="411"/>
      <c r="G11" s="415" t="s">
        <v>571</v>
      </c>
      <c r="H11" s="68"/>
      <c r="I11" s="68" t="s">
        <v>581</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582</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208</v>
      </c>
      <c r="E13" s="418"/>
      <c r="F13" s="418"/>
      <c r="G13" s="419" t="n">
        <v>0</v>
      </c>
      <c r="H13" s="68"/>
      <c r="I13" s="68" t="s">
        <v>583</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210</v>
      </c>
      <c r="E14" s="418"/>
      <c r="F14" s="418"/>
      <c r="G14" s="419" t="n">
        <v>0.1</v>
      </c>
      <c r="H14" s="68"/>
      <c r="I14" s="68" t="s">
        <v>584</v>
      </c>
      <c r="J14" s="68"/>
      <c r="K14" s="424" t="n">
        <v>0.45</v>
      </c>
      <c r="L14" s="415" t="n">
        <v>125141</v>
      </c>
      <c r="M14" s="68"/>
      <c r="N14" s="421" t="n">
        <v>125140</v>
      </c>
      <c r="O14" s="68"/>
    </row>
    <row r="15" customFormat="false" ht="12" hidden="false" customHeight="true" outlineLevel="0" collapsed="false">
      <c r="A15" s="68"/>
      <c r="B15" s="410" t="n">
        <v>46446</v>
      </c>
      <c r="C15" s="68"/>
      <c r="D15" s="418" t="s">
        <v>212</v>
      </c>
      <c r="E15" s="418"/>
      <c r="F15" s="418"/>
      <c r="G15" s="419" t="n">
        <v>0.2</v>
      </c>
      <c r="H15" s="68"/>
      <c r="I15" s="411" t="s">
        <v>585</v>
      </c>
      <c r="J15" s="411"/>
      <c r="K15" s="411"/>
      <c r="L15" s="414" t="str">
        <f aca="false">G2</f>
        <v>2026-27</v>
      </c>
      <c r="M15" s="68"/>
      <c r="N15" s="68"/>
      <c r="O15" s="68"/>
    </row>
    <row r="16" customFormat="false" ht="12" hidden="false" customHeight="true" outlineLevel="0" collapsed="false">
      <c r="A16" s="68"/>
      <c r="B16" s="410" t="n">
        <v>46477</v>
      </c>
      <c r="C16" s="68"/>
      <c r="D16" s="418" t="s">
        <v>586</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587</v>
      </c>
      <c r="E17" s="418"/>
      <c r="F17" s="418"/>
      <c r="G17" s="419" t="n">
        <v>0.25</v>
      </c>
      <c r="H17" s="68"/>
      <c r="I17" s="418" t="s">
        <v>588</v>
      </c>
      <c r="J17" s="418"/>
      <c r="K17" s="418"/>
      <c r="L17" s="425" t="n">
        <v>3.65</v>
      </c>
      <c r="M17" s="68" t="s">
        <v>589</v>
      </c>
      <c r="N17" s="68" t="n">
        <v>7105</v>
      </c>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590</v>
      </c>
      <c r="E19" s="411"/>
      <c r="F19" s="415" t="s">
        <v>591</v>
      </c>
      <c r="G19" s="415" t="s">
        <v>592</v>
      </c>
      <c r="H19" s="68"/>
      <c r="I19" s="426" t="s">
        <v>593</v>
      </c>
      <c r="J19" s="426"/>
      <c r="K19" s="426"/>
      <c r="L19" s="68"/>
      <c r="M19" s="427" t="s">
        <v>594</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595</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596</v>
      </c>
      <c r="E22" s="68"/>
      <c r="F22" s="421" t="n">
        <v>10001</v>
      </c>
      <c r="G22" s="425" t="n">
        <v>0.25</v>
      </c>
      <c r="H22" s="68"/>
      <c r="I22" s="426" t="s">
        <v>597</v>
      </c>
      <c r="J22" s="426"/>
      <c r="K22" s="426"/>
      <c r="L22" s="68"/>
      <c r="M22" s="427" t="s">
        <v>598</v>
      </c>
      <c r="N22" s="68"/>
      <c r="O22" s="68"/>
    </row>
    <row r="23" customFormat="false" ht="12" hidden="false" customHeight="true" outlineLevel="0" collapsed="false">
      <c r="A23" s="68"/>
      <c r="B23" s="417" t="s">
        <v>599</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600</v>
      </c>
      <c r="C24" s="68"/>
      <c r="D24" s="411" t="s">
        <v>601</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602</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