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<sst xmlns="http://schemas.openxmlformats.org/spreadsheetml/2006/main" count="1991" uniqueCount="426">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</sst>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205900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129908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129908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129908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205900</v>
      </c>
      <c r="D4" s="123" t="n">
        <f aca="false">SalesApr!$F$1</f>
        <v>16400</v>
      </c>
      <c r="E4" s="123" t="n">
        <f aca="false">SalesMay!$F$1</f>
        <v>15920</v>
      </c>
      <c r="F4" s="123" t="n">
        <f aca="false">SalesJun!$F$1</f>
        <v>18200</v>
      </c>
      <c r="G4" s="123" t="n">
        <f aca="false">SalesJul!$F$1</f>
        <v>16760</v>
      </c>
      <c r="H4" s="123" t="n">
        <f aca="false">SalesAug!$F$1</f>
        <v>19020</v>
      </c>
      <c r="I4" s="123" t="n">
        <f aca="false">SalesSep!$F$1</f>
        <v>16760</v>
      </c>
      <c r="J4" s="123" t="n">
        <f aca="false">SalesOct!$F$1</f>
        <v>18560</v>
      </c>
      <c r="K4" s="123" t="n">
        <f aca="false">SalesNov!$F$1</f>
        <v>18320</v>
      </c>
      <c r="L4" s="123" t="n">
        <f aca="false">SalesDec!$F$1</f>
        <v>15800</v>
      </c>
      <c r="M4" s="123" t="n">
        <f aca="false">SalesJan!$F$1</f>
        <v>18440</v>
      </c>
      <c r="N4" s="123" t="n">
        <f aca="false">SalesFeb!$F$1</f>
        <v>17360</v>
      </c>
      <c r="O4" s="123" t="n">
        <f aca="false">SalesMar!$F$1</f>
        <v>14360</v>
      </c>
      <c r="P4" s="130"/>
      <c r="R4" s="130"/>
      <c r="S4" s="130" t="s">
        <v>118</v>
      </c>
      <c r="T4" s="141" t="n">
        <f aca="false">SUM(D4:F4)</f>
        <v>50520</v>
      </c>
      <c r="U4" s="141" t="n">
        <f aca="false">SUM(G4:I4)</f>
        <v>52540</v>
      </c>
      <c r="V4" s="141" t="n">
        <f aca="false">SUM(J4:L4)</f>
        <v>52680</v>
      </c>
      <c r="W4" s="141" t="n">
        <f aca="false">SUM(M4:O4)</f>
        <v>50160</v>
      </c>
      <c r="X4" s="142" t="n">
        <f aca="false">SUM(T4:W4)</f>
        <v>205900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187360</v>
      </c>
      <c r="D9" s="152" t="n">
        <f aca="false">D4-D6-D7</f>
        <v>15800</v>
      </c>
      <c r="E9" s="152" t="n">
        <f aca="false">E4-E6-E7</f>
        <v>15200</v>
      </c>
      <c r="F9" s="152" t="n">
        <f aca="false">F4-F6-F7</f>
        <v>12840</v>
      </c>
      <c r="G9" s="152" t="n">
        <f aca="false">G4-G6-G7</f>
        <v>16040</v>
      </c>
      <c r="H9" s="152" t="n">
        <f aca="false">H4-H6-H7</f>
        <v>18480</v>
      </c>
      <c r="I9" s="152" t="n">
        <f aca="false">I4-I6-I7</f>
        <v>16520</v>
      </c>
      <c r="J9" s="152" t="n">
        <f aca="false">J4-J6-J7</f>
        <v>18080</v>
      </c>
      <c r="K9" s="152" t="n">
        <f aca="false">K4-K6-K7</f>
        <v>14480</v>
      </c>
      <c r="L9" s="152" t="n">
        <f aca="false">L4-L6-L7</f>
        <v>15320</v>
      </c>
      <c r="M9" s="152" t="n">
        <f aca="false">M4-M6-M7</f>
        <v>17840</v>
      </c>
      <c r="N9" s="152" t="n">
        <f aca="false">N4-N6-N7</f>
        <v>16700</v>
      </c>
      <c r="O9" s="152" t="n">
        <f aca="false">O4-O6-O7</f>
        <v>10060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129908</v>
      </c>
      <c r="D24" s="158" t="n">
        <f aca="false">D9-D22</f>
        <v>11288.75</v>
      </c>
      <c r="E24" s="158" t="n">
        <f aca="false">E9-E22</f>
        <v>11345</v>
      </c>
      <c r="F24" s="158" t="n">
        <f aca="false">F9-F22</f>
        <v>9143</v>
      </c>
      <c r="G24" s="158" t="n">
        <f aca="false">G9-G22</f>
        <v>8900.75</v>
      </c>
      <c r="H24" s="158" t="n">
        <f aca="false">H9-H22</f>
        <v>14614.75</v>
      </c>
      <c r="I24" s="158" t="n">
        <f aca="false">I9-I22</f>
        <v>11785</v>
      </c>
      <c r="J24" s="158" t="n">
        <f aca="false">J9-J22</f>
        <v>11554.25</v>
      </c>
      <c r="K24" s="158" t="n">
        <f aca="false">K9-K22</f>
        <v>11402</v>
      </c>
      <c r="L24" s="158" t="n">
        <f aca="false">L9-L22</f>
        <v>6348.5</v>
      </c>
      <c r="M24" s="158" t="n">
        <f aca="false">M9-M22</f>
        <v>13928.75</v>
      </c>
      <c r="N24" s="158" t="n">
        <f aca="false">N9-N22</f>
        <v>12963.5</v>
      </c>
      <c r="O24" s="158" t="n">
        <f aca="false">O9-O22</f>
        <v>6633.5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129908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39395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3854.76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86658.24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129908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117338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31854.8</v>
      </c>
      <c r="F9" s="171"/>
      <c r="G9" s="146"/>
    </row>
    <row r="10" customFormat="false" ht="12.75" hidden="false" customHeight="false" outlineLevel="0" collapsed="false">
      <c r="A10" s="130"/>
      <c r="B10" s="183" t="s">
        <v>172</v>
      </c>
      <c r="C10" s="184"/>
      <c r="D10" s="185"/>
      <c r="E10" s="186" t="n">
        <f aca="false">SUM(E8:E9)</f>
        <v>39395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1592.76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43249.76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43249.76</v>
      </c>
      <c r="F25" s="171"/>
      <c r="G25" s="146"/>
    </row>
    <row r="26" customFormat="false" ht="12.75" hidden="false" customHeight="false" outlineLevel="0" collapsed="false">
      <c r="A26" s="130"/>
      <c r="B26" s="176" t="s">
        <v>184</v>
      </c>
      <c r="C26" s="176"/>
      <c r="D26" s="205" t="n">
        <f aca="false">Admin!B21</f>
        <v>46783</v>
      </c>
      <c r="E26" s="178" t="n">
        <f aca="false">E25/2</f>
        <v>21624.88</v>
      </c>
      <c r="F26" s="171"/>
      <c r="G26" s="146"/>
    </row>
    <row r="27" customFormat="false" ht="12.75" hidden="false" customHeight="false" outlineLevel="0" collapsed="false">
      <c r="A27" s="130"/>
      <c r="B27" s="176" t="s">
        <v>184</v>
      </c>
      <c r="C27" s="176"/>
      <c r="D27" s="205" t="n">
        <f aca="false">Admin!B22</f>
        <v>46965</v>
      </c>
      <c r="E27" s="178" t="n">
        <f aca="false">E25/2</f>
        <v>21624.88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16400</v>
      </c>
      <c r="G1" s="343" t="n">
        <f aca="false">SUM(G4:G300)</f>
        <v>0</v>
      </c>
      <c r="H1" s="345" t="n">
        <f aca="false">SUM(H4:H300)</f>
        <v>0</v>
      </c>
      <c r="I1" s="346" t="n">
        <f aca="true">TODAY()</f>
        <v>46116</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368</v>
      </c>
    </row>
    <row r="5" customFormat="false" ht="12.75" hidden="false" customHeight="false" outlineLevel="0" collapsed="false">
      <c r="A5" s="355" t="n">
        <v>45750</v>
      </c>
      <c r="B5" s="334" t="s">
        <v>259</v>
      </c>
      <c r="F5" s="334" t="n">
        <v>360</v>
      </c>
      <c r="I5" s="339" t="n">
        <f aca="false">IF((F5&lt;&gt;0),IF((D5&gt;0)," ",(I$1-A5))," ")</f>
        <v>366</v>
      </c>
    </row>
    <row r="6" customFormat="false" ht="12.75" hidden="false" customHeight="false" outlineLevel="0" collapsed="false">
      <c r="A6" s="355" t="n">
        <v>45752</v>
      </c>
      <c r="B6" s="334" t="s">
        <v>260</v>
      </c>
      <c r="F6" s="334" t="n">
        <v>600</v>
      </c>
      <c r="I6" s="339" t="n">
        <f aca="false">IF((F6&lt;&gt;0),IF((D6&gt;0)," ",(I$1-A6))," ")</f>
        <v>364</v>
      </c>
    </row>
    <row r="7" customFormat="false" ht="12.75" hidden="false" customHeight="false" outlineLevel="0" collapsed="false">
      <c r="A7" s="355" t="n">
        <v>45755</v>
      </c>
      <c r="B7" s="334" t="s">
        <v>261</v>
      </c>
      <c r="F7" s="334" t="n">
        <v>480</v>
      </c>
      <c r="I7" s="339" t="n">
        <f aca="false">IF((F7&lt;&gt;0),IF((D7&gt;0)," ",(I$1-A7))," ")</f>
        <v>361</v>
      </c>
    </row>
    <row r="8" customFormat="false" ht="12.75" hidden="false" customHeight="false" outlineLevel="0" collapsed="false">
      <c r="A8" s="355" t="n">
        <v>45757</v>
      </c>
      <c r="B8" s="334" t="s">
        <v>262</v>
      </c>
      <c r="F8" s="334" t="n">
        <v>720</v>
      </c>
      <c r="I8" s="339" t="n">
        <f aca="false">IF((F8&lt;&gt;0),IF((D8&gt;0)," ",(I$1-A8))," ")</f>
        <v>359</v>
      </c>
    </row>
    <row r="9" customFormat="false" ht="12.75" hidden="false" customHeight="false" outlineLevel="0" collapsed="false">
      <c r="A9" s="355" t="n">
        <v>45762</v>
      </c>
      <c r="B9" s="334" t="s">
        <v>235</v>
      </c>
      <c r="F9" s="334" t="n">
        <v>8000</v>
      </c>
      <c r="I9" s="339" t="n">
        <f aca="false">IF((F9&lt;&gt;0),IF((D9&gt;0)," ",(I$1-A9))," ")</f>
        <v>354</v>
      </c>
    </row>
    <row r="10" customFormat="false" ht="12.75" hidden="false" customHeight="false" outlineLevel="0" collapsed="false">
      <c r="A10" s="355" t="n">
        <v>45765</v>
      </c>
      <c r="B10" s="334" t="s">
        <v>237</v>
      </c>
      <c r="F10" s="334" t="n">
        <v>2400</v>
      </c>
      <c r="I10" s="339" t="n">
        <f aca="false">IF((F10&lt;&gt;0),IF((D10&gt;0)," ",(I$1-A10))," ")</f>
        <v>351</v>
      </c>
    </row>
    <row r="11" customFormat="false" ht="12.75" hidden="false" customHeight="false" outlineLevel="0" collapsed="false">
      <c r="A11" s="355" t="n">
        <v>45767</v>
      </c>
      <c r="B11" s="334" t="s">
        <v>263</v>
      </c>
      <c r="F11" s="334" t="n">
        <v>1800</v>
      </c>
      <c r="I11" s="339" t="n">
        <f aca="false">IF((F11&lt;&gt;0),IF((D11&gt;0)," ",(I$1-A11))," ")</f>
        <v>349</v>
      </c>
    </row>
    <row r="12" customFormat="false" ht="12.75" hidden="false" customHeight="false" outlineLevel="0" collapsed="false">
      <c r="A12" s="355" t="n">
        <v>45775</v>
      </c>
      <c r="B12" s="334" t="s">
        <v>264</v>
      </c>
      <c r="F12" s="334" t="n">
        <v>840</v>
      </c>
      <c r="I12" s="339" t="n">
        <f aca="false">IF((F12&lt;&gt;0),IF((D12&gt;0)," ",(I$1-A12))," ")</f>
        <v>341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46116</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368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368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368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368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368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368</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368</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366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366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364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364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364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361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359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359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359</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357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355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355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355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354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354</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351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349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349</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348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347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344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344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341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339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15920</v>
      </c>
      <c r="G1" s="343" t="n">
        <f aca="false">SUM(G4:G300)</f>
        <v>0</v>
      </c>
      <c r="H1" s="345" t="n">
        <f aca="false">SUM(H4:H300)</f>
        <v>0</v>
      </c>
      <c r="I1" s="346" t="n">
        <f aca="true">TODAY()</f>
        <v>46116</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336</v>
      </c>
    </row>
    <row r="5" customFormat="false" ht="12.75" hidden="false" customHeight="false" outlineLevel="0" collapsed="false">
      <c r="A5" s="355" t="n">
        <v>45782</v>
      </c>
      <c r="B5" s="334" t="s">
        <v>260</v>
      </c>
      <c r="F5" s="334" t="n">
        <v>600</v>
      </c>
      <c r="I5" s="339" t="n">
        <f aca="false">IF((F5&lt;&gt;0),IF((D5&gt;0)," ",(I$1-A5))," ")</f>
        <v>334</v>
      </c>
    </row>
    <row r="6" customFormat="false" ht="12.75" hidden="false" customHeight="false" outlineLevel="0" collapsed="false">
      <c r="A6" s="355" t="n">
        <v>45785</v>
      </c>
      <c r="B6" s="334" t="s">
        <v>261</v>
      </c>
      <c r="F6" s="334" t="n">
        <v>480</v>
      </c>
      <c r="I6" s="339" t="n">
        <f aca="false">IF((F6&lt;&gt;0),IF((D6&gt;0)," ",(I$1-A6))," ")</f>
        <v>331</v>
      </c>
    </row>
    <row r="7" customFormat="false" ht="12.75" hidden="false" customHeight="false" outlineLevel="0" collapsed="false">
      <c r="A7" s="355" t="n">
        <v>45787</v>
      </c>
      <c r="B7" s="334" t="s">
        <v>262</v>
      </c>
      <c r="F7" s="334" t="n">
        <v>720</v>
      </c>
      <c r="I7" s="339" t="n">
        <f aca="false">IF((F7&lt;&gt;0),IF((D7&gt;0)," ",(I$1-A7))," ")</f>
        <v>329</v>
      </c>
    </row>
    <row r="8" customFormat="false" ht="12.75" hidden="false" customHeight="false" outlineLevel="0" collapsed="false">
      <c r="A8" s="355" t="n">
        <v>45789</v>
      </c>
      <c r="B8" s="334" t="s">
        <v>341</v>
      </c>
      <c r="F8" s="334" t="n">
        <v>960</v>
      </c>
      <c r="I8" s="339" t="n">
        <f aca="false">IF((F8&lt;&gt;0),IF((D8&gt;0)," ",(I$1-A8))," ")</f>
        <v>327</v>
      </c>
    </row>
    <row r="9" customFormat="false" ht="12.75" hidden="false" customHeight="false" outlineLevel="0" collapsed="false">
      <c r="A9" s="355" t="n">
        <v>45792</v>
      </c>
      <c r="B9" s="334" t="s">
        <v>235</v>
      </c>
      <c r="F9" s="334" t="n">
        <v>8000</v>
      </c>
      <c r="I9" s="339" t="n">
        <f aca="false">IF((F9&lt;&gt;0),IF((D9&gt;0)," ",(I$1-A9))," ")</f>
        <v>324</v>
      </c>
    </row>
    <row r="10" customFormat="false" ht="12.75" hidden="false" customHeight="false" outlineLevel="0" collapsed="false">
      <c r="A10" s="355" t="n">
        <v>45793</v>
      </c>
      <c r="B10" s="334" t="s">
        <v>342</v>
      </c>
      <c r="F10" s="334" t="n">
        <v>1200</v>
      </c>
      <c r="I10" s="339" t="n">
        <f aca="false">IF((F10&lt;&gt;0),IF((D10&gt;0)," ",(I$1-A10))," ")</f>
        <v>323</v>
      </c>
    </row>
    <row r="11" customFormat="false" ht="12.75" hidden="false" customHeight="false" outlineLevel="0" collapsed="false">
      <c r="A11" s="355" t="n">
        <v>45795</v>
      </c>
      <c r="B11" s="334" t="s">
        <v>237</v>
      </c>
      <c r="F11" s="334" t="n">
        <v>2400</v>
      </c>
      <c r="I11" s="339" t="n">
        <f aca="false">IF((F11&lt;&gt;0),IF((D11&gt;0)," ",(I$1-A11))," ")</f>
        <v>321</v>
      </c>
    </row>
    <row r="12" customFormat="false" ht="12.75" hidden="false" customHeight="false" outlineLevel="0" collapsed="false">
      <c r="A12" s="355" t="n">
        <v>45802</v>
      </c>
      <c r="B12" s="334" t="s">
        <v>343</v>
      </c>
      <c r="F12" s="334" t="n">
        <v>1200</v>
      </c>
      <c r="I12" s="339" t="n">
        <f aca="false">IF((F12&lt;&gt;0),IF((D12&gt;0)," ",(I$1-A12))," ")</f>
        <v>314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46116</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338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338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338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338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338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338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336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336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334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334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333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331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331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329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329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327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325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325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324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324</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324</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324</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323</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321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319</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319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319</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318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317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317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314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314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311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308</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18200</v>
      </c>
      <c r="G1" s="343" t="n">
        <f aca="false">SUM(G4:G300)</f>
        <v>0</v>
      </c>
      <c r="H1" s="345" t="n">
        <f aca="false">SUM(H4:H300)</f>
        <v>0</v>
      </c>
      <c r="I1" s="346" t="n">
        <f aca="true">TODAY()</f>
        <v>46116</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305</v>
      </c>
    </row>
    <row r="5" customFormat="false" ht="12.75" hidden="false" customHeight="false" outlineLevel="0" collapsed="false">
      <c r="A5" s="355" t="n">
        <v>45813</v>
      </c>
      <c r="B5" s="334" t="s">
        <v>260</v>
      </c>
      <c r="F5" s="334" t="n">
        <v>600</v>
      </c>
      <c r="I5" s="339" t="n">
        <f aca="false">IF((F5&lt;&gt;0),IF((D5&gt;0)," ",(I$1-A5))," ")</f>
        <v>303</v>
      </c>
    </row>
    <row r="6" customFormat="false" ht="12.75" hidden="false" customHeight="false" outlineLevel="0" collapsed="false">
      <c r="A6" s="355" t="n">
        <v>45816</v>
      </c>
      <c r="B6" s="334" t="s">
        <v>261</v>
      </c>
      <c r="F6" s="334" t="n">
        <v>480</v>
      </c>
      <c r="I6" s="339" t="n">
        <f aca="false">IF((F6&lt;&gt;0),IF((D6&gt;0)," ",(I$1-A6))," ")</f>
        <v>300</v>
      </c>
    </row>
    <row r="7" customFormat="false" ht="12.75" hidden="false" customHeight="false" outlineLevel="0" collapsed="false">
      <c r="A7" s="355" t="n">
        <v>45818</v>
      </c>
      <c r="B7" s="334" t="s">
        <v>262</v>
      </c>
      <c r="F7" s="334" t="n">
        <v>720</v>
      </c>
      <c r="I7" s="339" t="n">
        <f aca="false">IF((F7&lt;&gt;0),IF((D7&gt;0)," ",(I$1-A7))," ")</f>
        <v>298</v>
      </c>
    </row>
    <row r="8" customFormat="false" ht="12.75" hidden="false" customHeight="false" outlineLevel="0" collapsed="false">
      <c r="A8" s="355" t="n">
        <v>45823</v>
      </c>
      <c r="B8" s="334" t="s">
        <v>235</v>
      </c>
      <c r="F8" s="334" t="n">
        <v>8000</v>
      </c>
      <c r="I8" s="339" t="n">
        <f aca="false">IF((F8&lt;&gt;0),IF((D8&gt;0)," ",(I$1-A8))," ")</f>
        <v>293</v>
      </c>
    </row>
    <row r="9" customFormat="false" ht="12.75" hidden="false" customHeight="false" outlineLevel="0" collapsed="false">
      <c r="A9" s="355" t="n">
        <v>45826</v>
      </c>
      <c r="B9" s="334" t="s">
        <v>237</v>
      </c>
      <c r="F9" s="334" t="n">
        <v>2400</v>
      </c>
      <c r="I9" s="339" t="n">
        <f aca="false">IF((F9&lt;&gt;0),IF((D9&gt;0)," ",(I$1-A9))," ")</f>
        <v>290</v>
      </c>
    </row>
    <row r="10" customFormat="false" ht="12.75" hidden="false" customHeight="false" outlineLevel="0" collapsed="false">
      <c r="A10" s="355" t="n">
        <v>45828</v>
      </c>
      <c r="B10" s="334" t="s">
        <v>263</v>
      </c>
      <c r="F10" s="334" t="n">
        <v>1800</v>
      </c>
      <c r="I10" s="339" t="n">
        <f aca="false">IF((F10&lt;&gt;0),IF((D10&gt;0)," ",(I$1-A10))," ")</f>
        <v>288</v>
      </c>
    </row>
    <row r="11" customFormat="false" ht="12.75" hidden="false" customHeight="false" outlineLevel="0" collapsed="false">
      <c r="A11" s="355" t="n">
        <v>45828</v>
      </c>
      <c r="B11" s="334" t="s">
        <v>238</v>
      </c>
      <c r="F11" s="334" t="n">
        <v>2400</v>
      </c>
      <c r="I11" s="339" t="n">
        <f aca="false">IF((F11&lt;&gt;0),IF((D11&gt;0)," ",(I$1-A11))," ")</f>
        <v>288</v>
      </c>
    </row>
    <row r="12" customFormat="false" ht="12.75" hidden="false" customHeight="false" outlineLevel="0" collapsed="false">
      <c r="A12" s="355" t="n">
        <v>45830</v>
      </c>
      <c r="B12" s="334" t="s">
        <v>356</v>
      </c>
      <c r="F12" s="334" t="n">
        <v>1440</v>
      </c>
      <c r="I12" s="339" t="n">
        <f aca="false">IF((F12&lt;&gt;0),IF((D12&gt;0)," ",(I$1-A12))," ")</f>
        <v>286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46116</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307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307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307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307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307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307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305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305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303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303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303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300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298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298</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296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294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294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294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293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293</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293</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290</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290</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290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288</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287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286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283</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283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283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280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278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278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16760</v>
      </c>
      <c r="G1" s="343" t="n">
        <f aca="false">SUM(G4:G300)</f>
        <v>0</v>
      </c>
      <c r="H1" s="345" t="n">
        <f aca="false">SUM(H4:H300)</f>
        <v>0</v>
      </c>
      <c r="I1" s="346" t="n">
        <f aca="true">TODAY()</f>
        <v>46116</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277</v>
      </c>
    </row>
    <row r="5" customFormat="false" ht="12.75" hidden="false" customHeight="false" outlineLevel="0" collapsed="false">
      <c r="A5" s="355" t="n">
        <v>45841</v>
      </c>
      <c r="B5" s="334" t="s">
        <v>259</v>
      </c>
      <c r="F5" s="334" t="n">
        <v>360</v>
      </c>
      <c r="I5" s="339" t="n">
        <f aca="false">IF((F5&lt;&gt;0),IF((D5&gt;0)," ",(I$1-A5))," ")</f>
        <v>275</v>
      </c>
    </row>
    <row r="6" customFormat="false" ht="12.75" hidden="false" customHeight="false" outlineLevel="0" collapsed="false">
      <c r="A6" s="355" t="n">
        <v>45843</v>
      </c>
      <c r="B6" s="334" t="s">
        <v>260</v>
      </c>
      <c r="F6" s="334" t="n">
        <v>600</v>
      </c>
      <c r="I6" s="339" t="n">
        <f aca="false">IF((F6&lt;&gt;0),IF((D6&gt;0)," ",(I$1-A6))," ")</f>
        <v>273</v>
      </c>
    </row>
    <row r="7" customFormat="false" ht="12.75" hidden="false" customHeight="false" outlineLevel="0" collapsed="false">
      <c r="A7" s="355" t="n">
        <v>45846</v>
      </c>
      <c r="B7" s="334" t="s">
        <v>261</v>
      </c>
      <c r="F7" s="334" t="n">
        <v>480</v>
      </c>
      <c r="I7" s="339" t="n">
        <f aca="false">IF((F7&lt;&gt;0),IF((D7&gt;0)," ",(I$1-A7))," ")</f>
        <v>270</v>
      </c>
    </row>
    <row r="8" customFormat="false" ht="12.75" hidden="false" customHeight="false" outlineLevel="0" collapsed="false">
      <c r="A8" s="355" t="n">
        <v>45848</v>
      </c>
      <c r="B8" s="334" t="s">
        <v>262</v>
      </c>
      <c r="F8" s="334" t="n">
        <v>720</v>
      </c>
      <c r="I8" s="339" t="n">
        <f aca="false">IF((F8&lt;&gt;0),IF((D8&gt;0)," ",(I$1-A8))," ")</f>
        <v>268</v>
      </c>
    </row>
    <row r="9" customFormat="false" ht="12.75" hidden="false" customHeight="false" outlineLevel="0" collapsed="false">
      <c r="A9" s="355" t="n">
        <v>45852</v>
      </c>
      <c r="B9" s="334" t="s">
        <v>365</v>
      </c>
      <c r="F9" s="334" t="n">
        <v>2160</v>
      </c>
      <c r="I9" s="339" t="n">
        <f aca="false">IF((F9&lt;&gt;0),IF((D9&gt;0)," ",(I$1-A9))," ")</f>
        <v>264</v>
      </c>
    </row>
    <row r="10" customFormat="false" ht="12.75" hidden="false" customHeight="false" outlineLevel="0" collapsed="false">
      <c r="A10" s="355" t="n">
        <v>45853</v>
      </c>
      <c r="B10" s="334" t="s">
        <v>235</v>
      </c>
      <c r="F10" s="334" t="n">
        <v>8000</v>
      </c>
      <c r="I10" s="339" t="n">
        <f aca="false">IF((F10&lt;&gt;0),IF((D10&gt;0)," ",(I$1-A10))," ")</f>
        <v>263</v>
      </c>
    </row>
    <row r="11" customFormat="false" ht="12.75" hidden="false" customHeight="false" outlineLevel="0" collapsed="false">
      <c r="A11" s="355" t="n">
        <v>45856</v>
      </c>
      <c r="B11" s="334" t="s">
        <v>237</v>
      </c>
      <c r="F11" s="334" t="n">
        <v>2400</v>
      </c>
      <c r="I11" s="339" t="n">
        <f aca="false">IF((F11&lt;&gt;0),IF((D11&gt;0)," ",(I$1-A11))," ")</f>
        <v>260</v>
      </c>
    </row>
    <row r="12" customFormat="false" ht="12.75" hidden="false" customHeight="false" outlineLevel="0" collapsed="false">
      <c r="A12" s="355" t="n">
        <v>45866</v>
      </c>
      <c r="B12" s="334" t="s">
        <v>264</v>
      </c>
      <c r="F12" s="334" t="n">
        <v>840</v>
      </c>
      <c r="I12" s="339" t="n">
        <f aca="false">IF((F12&lt;&gt;0),IF((D12&gt;0)," ",(I$1-A12))," ")</f>
        <v>250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46116</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277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277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277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277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277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277</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277</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275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275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273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273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273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270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268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268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268</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266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266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264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264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263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263</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263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262</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260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258</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258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258</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257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256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253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253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250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247</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19020</v>
      </c>
      <c r="G1" s="343" t="n">
        <f aca="false">SUM(G4:G300)</f>
        <v>0</v>
      </c>
      <c r="H1" s="345" t="n">
        <f aca="false">SUM(H4:H300)</f>
        <v>0</v>
      </c>
      <c r="I1" s="346" t="n">
        <f aca="true">TODAY()</f>
        <v>46116</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246</v>
      </c>
    </row>
    <row r="5" customFormat="false" ht="12.75" hidden="false" customHeight="false" outlineLevel="0" collapsed="false">
      <c r="A5" s="355" t="n">
        <v>45872</v>
      </c>
      <c r="B5" s="334" t="s">
        <v>259</v>
      </c>
      <c r="F5" s="334" t="n">
        <v>360</v>
      </c>
      <c r="I5" s="339" t="n">
        <f aca="false">IF((F5&lt;&gt;0),IF((D5&gt;0)," ",(I$1-A5))," ")</f>
        <v>244</v>
      </c>
    </row>
    <row r="6" customFormat="false" ht="12.75" hidden="false" customHeight="false" outlineLevel="0" collapsed="false">
      <c r="A6" s="355" t="n">
        <v>45874</v>
      </c>
      <c r="B6" s="334" t="s">
        <v>260</v>
      </c>
      <c r="F6" s="334" t="n">
        <v>600</v>
      </c>
      <c r="I6" s="339" t="n">
        <f aca="false">IF((F6&lt;&gt;0),IF((D6&gt;0)," ",(I$1-A6))," ")</f>
        <v>242</v>
      </c>
    </row>
    <row r="7" customFormat="false" ht="12.75" hidden="false" customHeight="false" outlineLevel="0" collapsed="false">
      <c r="A7" s="355" t="n">
        <v>45877</v>
      </c>
      <c r="B7" s="334" t="s">
        <v>261</v>
      </c>
      <c r="F7" s="334" t="n">
        <v>480</v>
      </c>
      <c r="I7" s="339" t="n">
        <f aca="false">IF((F7&lt;&gt;0),IF((D7&gt;0)," ",(I$1-A7))," ")</f>
        <v>239</v>
      </c>
    </row>
    <row r="8" customFormat="false" ht="12.75" hidden="false" customHeight="false" outlineLevel="0" collapsed="false">
      <c r="A8" s="355" t="n">
        <v>45879</v>
      </c>
      <c r="B8" s="334" t="s">
        <v>262</v>
      </c>
      <c r="F8" s="334" t="n">
        <v>720</v>
      </c>
      <c r="I8" s="339" t="n">
        <f aca="false">IF((F8&lt;&gt;0),IF((D8&gt;0)," ",(I$1-A8))," ")</f>
        <v>237</v>
      </c>
    </row>
    <row r="9" customFormat="false" ht="12.75" hidden="false" customHeight="false" outlineLevel="0" collapsed="false">
      <c r="A9" s="355" t="n">
        <v>45881</v>
      </c>
      <c r="B9" s="334" t="s">
        <v>341</v>
      </c>
      <c r="F9" s="334" t="n">
        <v>960</v>
      </c>
      <c r="I9" s="339" t="n">
        <f aca="false">IF((F9&lt;&gt;0),IF((D9&gt;0)," ",(I$1-A9))," ")</f>
        <v>235</v>
      </c>
    </row>
    <row r="10" customFormat="false" ht="12.75" hidden="false" customHeight="false" outlineLevel="0" collapsed="false">
      <c r="A10" s="355" t="n">
        <v>45884</v>
      </c>
      <c r="B10" s="334" t="s">
        <v>235</v>
      </c>
      <c r="F10" s="334" t="n">
        <v>8000</v>
      </c>
      <c r="I10" s="339" t="n">
        <f aca="false">IF((F10&lt;&gt;0),IF((D10&gt;0)," ",(I$1-A10))," ")</f>
        <v>232</v>
      </c>
    </row>
    <row r="11" customFormat="false" ht="12.75" hidden="false" customHeight="false" outlineLevel="0" collapsed="false">
      <c r="A11" s="355" t="n">
        <v>45887</v>
      </c>
      <c r="B11" s="334" t="s">
        <v>237</v>
      </c>
      <c r="F11" s="334" t="n">
        <v>2400</v>
      </c>
      <c r="I11" s="339" t="n">
        <f aca="false">IF((F11&lt;&gt;0),IF((D11&gt;0)," ",(I$1-A11))," ")</f>
        <v>229</v>
      </c>
    </row>
    <row r="12" customFormat="false" ht="12.75" hidden="false" customHeight="false" outlineLevel="0" collapsed="false">
      <c r="A12" s="355" t="n">
        <v>45889</v>
      </c>
      <c r="B12" s="334" t="s">
        <v>263</v>
      </c>
      <c r="F12" s="334" t="n">
        <v>1800</v>
      </c>
      <c r="I12" s="339" t="n">
        <f aca="false">IF((F12&lt;&gt;0),IF((D12&gt;0)," ",(I$1-A12))," ")</f>
        <v>227</v>
      </c>
    </row>
    <row r="13" customFormat="false" ht="12.75" hidden="false" customHeight="false" outlineLevel="0" collapsed="false">
      <c r="A13" s="355" t="n">
        <v>45894</v>
      </c>
      <c r="B13" s="334" t="s">
        <v>343</v>
      </c>
      <c r="F13" s="334" t="n">
        <v>1200</v>
      </c>
      <c r="I13" s="339" t="n">
        <f aca="false">IF((F13&lt;&gt;0),IF((D13&gt;0)," ",(I$1-A13))," ")</f>
        <v>222</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46116</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246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246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246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246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246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246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244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244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242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242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242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241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239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237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235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233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233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233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232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232</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232</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229</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229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227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227</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227</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226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225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222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222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219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216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16760</v>
      </c>
      <c r="G1" s="343" t="n">
        <f aca="false">SUM(G4:G300)</f>
        <v>0</v>
      </c>
      <c r="H1" s="345" t="n">
        <f aca="false">SUM(H4:H300)</f>
        <v>0</v>
      </c>
      <c r="I1" s="346" t="n">
        <f aca="true">TODAY()</f>
        <v>46116</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213</v>
      </c>
    </row>
    <row r="5" customFormat="false" ht="12.75" hidden="false" customHeight="false" outlineLevel="0" collapsed="false">
      <c r="A5" s="355" t="n">
        <v>45905</v>
      </c>
      <c r="B5" s="334" t="s">
        <v>260</v>
      </c>
      <c r="F5" s="334" t="n">
        <v>600</v>
      </c>
      <c r="I5" s="339" t="n">
        <f aca="false">IF((F5&lt;&gt;0),IF((D5&gt;0)," ",(I$1-A5))," ")</f>
        <v>211</v>
      </c>
    </row>
    <row r="6" customFormat="false" ht="12.75" hidden="false" customHeight="false" outlineLevel="0" collapsed="false">
      <c r="A6" s="355" t="n">
        <v>45908</v>
      </c>
      <c r="B6" s="334" t="s">
        <v>261</v>
      </c>
      <c r="F6" s="334" t="n">
        <v>480</v>
      </c>
      <c r="I6" s="339" t="n">
        <f aca="false">IF((F6&lt;&gt;0),IF((D6&gt;0)," ",(I$1-A6))," ")</f>
        <v>208</v>
      </c>
    </row>
    <row r="7" customFormat="false" ht="12.75" hidden="false" customHeight="false" outlineLevel="0" collapsed="false">
      <c r="A7" s="355" t="n">
        <v>45910</v>
      </c>
      <c r="B7" s="334" t="s">
        <v>262</v>
      </c>
      <c r="F7" s="334" t="n">
        <v>720</v>
      </c>
      <c r="I7" s="339" t="n">
        <f aca="false">IF((F7&lt;&gt;0),IF((D7&gt;0)," ",(I$1-A7))," ")</f>
        <v>206</v>
      </c>
    </row>
    <row r="8" customFormat="false" ht="12.75" hidden="false" customHeight="false" outlineLevel="0" collapsed="false">
      <c r="A8" s="355" t="n">
        <v>45915</v>
      </c>
      <c r="B8" s="334" t="s">
        <v>235</v>
      </c>
      <c r="F8" s="334" t="n">
        <v>8000</v>
      </c>
      <c r="I8" s="339" t="n">
        <f aca="false">IF((F8&lt;&gt;0),IF((D8&gt;0)," ",(I$1-A8))," ")</f>
        <v>201</v>
      </c>
    </row>
    <row r="9" customFormat="false" ht="12.75" hidden="false" customHeight="false" outlineLevel="0" collapsed="false">
      <c r="A9" s="355" t="n">
        <v>45916</v>
      </c>
      <c r="B9" s="334" t="s">
        <v>342</v>
      </c>
      <c r="F9" s="334" t="n">
        <v>1200</v>
      </c>
      <c r="I9" s="339" t="n">
        <f aca="false">IF((F9&lt;&gt;0),IF((D9&gt;0)," ",(I$1-A9))," ")</f>
        <v>200</v>
      </c>
    </row>
    <row r="10" customFormat="false" ht="12.75" hidden="false" customHeight="false" outlineLevel="0" collapsed="false">
      <c r="A10" s="355" t="n">
        <v>45918</v>
      </c>
      <c r="B10" s="334" t="s">
        <v>237</v>
      </c>
      <c r="F10" s="334" t="n">
        <v>2400</v>
      </c>
      <c r="I10" s="339" t="n">
        <f aca="false">IF((F10&lt;&gt;0),IF((D10&gt;0)," ",(I$1-A10))," ")</f>
        <v>198</v>
      </c>
    </row>
    <row r="11" customFormat="false" ht="12.75" hidden="false" customHeight="false" outlineLevel="0" collapsed="false">
      <c r="A11" s="355" t="n">
        <v>45920</v>
      </c>
      <c r="B11" s="334" t="s">
        <v>375</v>
      </c>
      <c r="F11" s="334" t="n">
        <v>960</v>
      </c>
      <c r="I11" s="339" t="n">
        <f aca="false">IF((F11&lt;&gt;0),IF((D11&gt;0)," ",(I$1-A11))," ")</f>
        <v>196</v>
      </c>
    </row>
    <row r="12" customFormat="false" ht="12.75" hidden="false" customHeight="false" outlineLevel="0" collapsed="false">
      <c r="A12" s="355" t="n">
        <v>45922</v>
      </c>
      <c r="B12" s="334" t="s">
        <v>356</v>
      </c>
      <c r="F12" s="334" t="n">
        <v>1440</v>
      </c>
      <c r="I12" s="339" t="n">
        <f aca="false">IF((F12&lt;&gt;0),IF((D12&gt;0)," ",(I$1-A12))," ")</f>
        <v>194</v>
      </c>
    </row>
    <row r="13" customFormat="false" ht="12.75" hidden="false" customHeight="false" outlineLevel="0" collapsed="false">
      <c r="A13" s="355" t="n">
        <v>45925</v>
      </c>
      <c r="B13" s="334" t="s">
        <v>376</v>
      </c>
      <c r="F13" s="334" t="n">
        <v>600</v>
      </c>
      <c r="I13" s="339" t="n">
        <f aca="false">IF((F13&lt;&gt;0),IF((D13&gt;0)," ",(I$1-A13))," ")</f>
        <v>191</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46116</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215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215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215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215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215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215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213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213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211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211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208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208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206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206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204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202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202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201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201</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201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200</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198</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198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196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195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194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194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191</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191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191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188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186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186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18560</v>
      </c>
      <c r="G1" s="343" t="n">
        <f aca="false">SUM(G4:G300)</f>
        <v>0</v>
      </c>
      <c r="H1" s="345" t="n">
        <f aca="false">SUM(H4:H300)</f>
        <v>0</v>
      </c>
      <c r="I1" s="346" t="n">
        <f aca="true">TODAY()</f>
        <v>46116</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185</v>
      </c>
    </row>
    <row r="5" customFormat="false" ht="12.75" hidden="false" customHeight="false" outlineLevel="0" collapsed="false">
      <c r="A5" s="355" t="n">
        <v>45933</v>
      </c>
      <c r="B5" s="334" t="s">
        <v>259</v>
      </c>
      <c r="F5" s="334" t="n">
        <v>360</v>
      </c>
      <c r="I5" s="339" t="n">
        <f aca="false">IF((F5&lt;&gt;0),IF((D5&gt;0)," ",(I$1-A5))," ")</f>
        <v>183</v>
      </c>
    </row>
    <row r="6" customFormat="false" ht="12.75" hidden="false" customHeight="false" outlineLevel="0" collapsed="false">
      <c r="A6" s="355" t="n">
        <v>45935</v>
      </c>
      <c r="B6" s="334" t="s">
        <v>260</v>
      </c>
      <c r="F6" s="334" t="n">
        <v>600</v>
      </c>
      <c r="I6" s="339" t="n">
        <f aca="false">IF((F6&lt;&gt;0),IF((D6&gt;0)," ",(I$1-A6))," ")</f>
        <v>181</v>
      </c>
    </row>
    <row r="7" customFormat="false" ht="12.75" hidden="false" customHeight="false" outlineLevel="0" collapsed="false">
      <c r="A7" s="355" t="n">
        <v>45938</v>
      </c>
      <c r="B7" s="334" t="s">
        <v>261</v>
      </c>
      <c r="F7" s="334" t="n">
        <v>480</v>
      </c>
      <c r="I7" s="339" t="n">
        <f aca="false">IF((F7&lt;&gt;0),IF((D7&gt;0)," ",(I$1-A7))," ")</f>
        <v>178</v>
      </c>
    </row>
    <row r="8" customFormat="false" ht="12.75" hidden="false" customHeight="false" outlineLevel="0" collapsed="false">
      <c r="A8" s="355" t="n">
        <v>45940</v>
      </c>
      <c r="B8" s="334" t="s">
        <v>262</v>
      </c>
      <c r="F8" s="334" t="n">
        <v>720</v>
      </c>
      <c r="I8" s="339" t="n">
        <f aca="false">IF((F8&lt;&gt;0),IF((D8&gt;0)," ",(I$1-A8))," ")</f>
        <v>176</v>
      </c>
    </row>
    <row r="9" customFormat="false" ht="12.75" hidden="false" customHeight="false" outlineLevel="0" collapsed="false">
      <c r="A9" s="355" t="n">
        <v>45944</v>
      </c>
      <c r="B9" s="334" t="s">
        <v>365</v>
      </c>
      <c r="F9" s="334" t="n">
        <v>2160</v>
      </c>
      <c r="I9" s="339" t="n">
        <f aca="false">IF((F9&lt;&gt;0),IF((D9&gt;0)," ",(I$1-A9))," ")</f>
        <v>172</v>
      </c>
    </row>
    <row r="10" customFormat="false" ht="12.75" hidden="false" customHeight="false" outlineLevel="0" collapsed="false">
      <c r="A10" s="355" t="n">
        <v>45945</v>
      </c>
      <c r="B10" s="334" t="s">
        <v>235</v>
      </c>
      <c r="F10" s="334" t="n">
        <v>8000</v>
      </c>
      <c r="I10" s="339" t="n">
        <f aca="false">IF((F10&lt;&gt;0),IF((D10&gt;0)," ",(I$1-A10))," ")</f>
        <v>171</v>
      </c>
    </row>
    <row r="11" customFormat="false" ht="12.75" hidden="false" customHeight="false" outlineLevel="0" collapsed="false">
      <c r="A11" s="355" t="n">
        <v>45948</v>
      </c>
      <c r="B11" s="334" t="s">
        <v>237</v>
      </c>
      <c r="F11" s="334" t="n">
        <v>2400</v>
      </c>
      <c r="I11" s="339" t="n">
        <f aca="false">IF((F11&lt;&gt;0),IF((D11&gt;0)," ",(I$1-A11))," ")</f>
        <v>168</v>
      </c>
    </row>
    <row r="12" customFormat="false" ht="12.75" hidden="false" customHeight="false" outlineLevel="0" collapsed="false">
      <c r="A12" s="355" t="n">
        <v>45950</v>
      </c>
      <c r="B12" s="334" t="s">
        <v>263</v>
      </c>
      <c r="F12" s="334" t="n">
        <v>1800</v>
      </c>
      <c r="I12" s="339" t="n">
        <f aca="false">IF((F12&lt;&gt;0),IF((D12&gt;0)," ",(I$1-A12))," ")</f>
        <v>166</v>
      </c>
    </row>
    <row r="13" customFormat="false" ht="12.75" hidden="false" customHeight="false" outlineLevel="0" collapsed="false">
      <c r="A13" s="355" t="n">
        <v>45958</v>
      </c>
      <c r="B13" s="334" t="s">
        <v>264</v>
      </c>
      <c r="F13" s="334" t="n">
        <v>840</v>
      </c>
      <c r="I13" s="339" t="n">
        <f aca="false">IF((F13&lt;&gt;0),IF((D13&gt;0)," ",(I$1-A13))," ")</f>
        <v>158</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46116</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185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185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185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185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185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185</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185</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183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183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181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181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181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178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176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176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176</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176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174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172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172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172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171</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171</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171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168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168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166</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166</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165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164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161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161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161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158</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155</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18320</v>
      </c>
      <c r="G1" s="343" t="n">
        <f aca="false">SUM(G4:G300)</f>
        <v>0</v>
      </c>
      <c r="H1" s="345" t="n">
        <f aca="false">SUM(H4:H300)</f>
        <v>0</v>
      </c>
      <c r="I1" s="346" t="n">
        <f aca="true">TODAY()</f>
        <v>46116</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152</v>
      </c>
    </row>
    <row r="5" customFormat="false" ht="12.75" hidden="false" customHeight="false" outlineLevel="0" collapsed="false">
      <c r="A5" s="355" t="n">
        <v>45966</v>
      </c>
      <c r="B5" s="334" t="s">
        <v>260</v>
      </c>
      <c r="F5" s="334" t="n">
        <v>600</v>
      </c>
      <c r="I5" s="339" t="n">
        <f aca="false">IF((F5&lt;&gt;0),IF((D5&gt;0)," ",(I$1-A5))," ")</f>
        <v>150</v>
      </c>
    </row>
    <row r="6" customFormat="false" ht="12.75" hidden="false" customHeight="false" outlineLevel="0" collapsed="false">
      <c r="A6" s="355" t="n">
        <v>45969</v>
      </c>
      <c r="B6" s="334" t="s">
        <v>261</v>
      </c>
      <c r="F6" s="334" t="n">
        <v>480</v>
      </c>
      <c r="I6" s="339" t="n">
        <f aca="false">IF((F6&lt;&gt;0),IF((D6&gt;0)," ",(I$1-A6))," ")</f>
        <v>147</v>
      </c>
    </row>
    <row r="7" customFormat="false" ht="12.75" hidden="false" customHeight="false" outlineLevel="0" collapsed="false">
      <c r="A7" s="355" t="n">
        <v>45971</v>
      </c>
      <c r="B7" s="334" t="s">
        <v>262</v>
      </c>
      <c r="F7" s="334" t="n">
        <v>720</v>
      </c>
      <c r="I7" s="339" t="n">
        <f aca="false">IF((F7&lt;&gt;0),IF((D7&gt;0)," ",(I$1-A7))," ")</f>
        <v>145</v>
      </c>
    </row>
    <row r="8" customFormat="false" ht="12.75" hidden="false" customHeight="false" outlineLevel="0" collapsed="false">
      <c r="A8" s="355" t="n">
        <v>45973</v>
      </c>
      <c r="B8" s="334" t="s">
        <v>341</v>
      </c>
      <c r="F8" s="334" t="n">
        <v>960</v>
      </c>
      <c r="I8" s="339" t="n">
        <f aca="false">IF((F8&lt;&gt;0),IF((D8&gt;0)," ",(I$1-A8))," ")</f>
        <v>143</v>
      </c>
    </row>
    <row r="9" customFormat="false" ht="12.75" hidden="false" customHeight="false" outlineLevel="0" collapsed="false">
      <c r="A9" s="355" t="n">
        <v>45976</v>
      </c>
      <c r="B9" s="334" t="s">
        <v>235</v>
      </c>
      <c r="F9" s="334" t="n">
        <v>8000</v>
      </c>
      <c r="I9" s="339" t="n">
        <f aca="false">IF((F9&lt;&gt;0),IF((D9&gt;0)," ",(I$1-A9))," ")</f>
        <v>140</v>
      </c>
    </row>
    <row r="10" customFormat="false" ht="12.75" hidden="false" customHeight="false" outlineLevel="0" collapsed="false">
      <c r="A10" s="355" t="n">
        <v>45979</v>
      </c>
      <c r="B10" s="334" t="s">
        <v>237</v>
      </c>
      <c r="F10" s="334" t="n">
        <v>2400</v>
      </c>
      <c r="I10" s="339" t="n">
        <f aca="false">IF((F10&lt;&gt;0),IF((D10&gt;0)," ",(I$1-A10))," ")</f>
        <v>137</v>
      </c>
    </row>
    <row r="11" customFormat="false" ht="12.75" hidden="false" customHeight="false" outlineLevel="0" collapsed="false">
      <c r="A11" s="355" t="n">
        <v>45981</v>
      </c>
      <c r="B11" s="334" t="s">
        <v>381</v>
      </c>
      <c r="F11" s="334" t="n">
        <v>3600</v>
      </c>
      <c r="I11" s="339" t="n">
        <f aca="false">IF((F11&lt;&gt;0),IF((D11&gt;0)," ",(I$1-A11))," ")</f>
        <v>135</v>
      </c>
    </row>
    <row r="12" customFormat="false" ht="12.75" hidden="false" customHeight="false" outlineLevel="0" collapsed="false">
      <c r="A12" s="355" t="n">
        <v>45986</v>
      </c>
      <c r="B12" s="334" t="s">
        <v>343</v>
      </c>
      <c r="F12" s="334" t="n">
        <v>1200</v>
      </c>
      <c r="I12" s="339" t="n">
        <f aca="false">IF((F12&lt;&gt;0),IF((D12&gt;0)," ",(I$1-A12))," ")</f>
        <v>130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46116</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154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154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154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154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154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154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152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152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150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150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149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147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145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143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141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141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140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140</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140</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140</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139</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137</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135</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135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135</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134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133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130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130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127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125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15800</v>
      </c>
      <c r="G1" s="343" t="n">
        <f aca="false">SUM(G4:G300)</f>
        <v>0</v>
      </c>
      <c r="H1" s="345" t="n">
        <f aca="false">SUM(H4:H300)</f>
        <v>0</v>
      </c>
      <c r="I1" s="346" t="n">
        <f aca="true">TODAY()</f>
        <v>46116</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122</v>
      </c>
    </row>
    <row r="5" customFormat="false" ht="12.75" hidden="false" customHeight="false" outlineLevel="0" collapsed="false">
      <c r="A5" s="355" t="n">
        <v>45996</v>
      </c>
      <c r="B5" s="334" t="s">
        <v>260</v>
      </c>
      <c r="F5" s="334" t="n">
        <v>600</v>
      </c>
      <c r="I5" s="339" t="n">
        <f aca="false">IF((F5&lt;&gt;0),IF((D5&gt;0)," ",(I$1-A5))," ")</f>
        <v>120</v>
      </c>
    </row>
    <row r="6" customFormat="false" ht="12.75" hidden="false" customHeight="false" outlineLevel="0" collapsed="false">
      <c r="A6" s="355" t="n">
        <v>45999</v>
      </c>
      <c r="B6" s="334" t="s">
        <v>261</v>
      </c>
      <c r="F6" s="334" t="n">
        <v>480</v>
      </c>
      <c r="I6" s="339" t="n">
        <f aca="false">IF((F6&lt;&gt;0),IF((D6&gt;0)," ",(I$1-A6))," ")</f>
        <v>117</v>
      </c>
    </row>
    <row r="7" customFormat="false" ht="12.75" hidden="false" customHeight="false" outlineLevel="0" collapsed="false">
      <c r="A7" s="355" t="n">
        <v>46001</v>
      </c>
      <c r="B7" s="334" t="s">
        <v>262</v>
      </c>
      <c r="F7" s="334" t="n">
        <v>720</v>
      </c>
      <c r="I7" s="339" t="n">
        <f aca="false">IF((F7&lt;&gt;0),IF((D7&gt;0)," ",(I$1-A7))," ")</f>
        <v>115</v>
      </c>
    </row>
    <row r="8" customFormat="false" ht="12.75" hidden="false" customHeight="false" outlineLevel="0" collapsed="false">
      <c r="A8" s="355" t="n">
        <v>46006</v>
      </c>
      <c r="B8" s="334" t="s">
        <v>235</v>
      </c>
      <c r="F8" s="334" t="n">
        <v>8000</v>
      </c>
      <c r="I8" s="339" t="n">
        <f aca="false">IF((F8&lt;&gt;0),IF((D8&gt;0)," ",(I$1-A8))," ")</f>
        <v>110</v>
      </c>
    </row>
    <row r="9" customFormat="false" ht="12.75" hidden="false" customHeight="false" outlineLevel="0" collapsed="false">
      <c r="A9" s="355" t="n">
        <v>46009</v>
      </c>
      <c r="B9" s="334" t="s">
        <v>237</v>
      </c>
      <c r="F9" s="334" t="n">
        <v>2400</v>
      </c>
      <c r="I9" s="339" t="n">
        <f aca="false">IF((F9&lt;&gt;0),IF((D9&gt;0)," ",(I$1-A9))," ")</f>
        <v>107</v>
      </c>
    </row>
    <row r="10" customFormat="false" ht="12.75" hidden="false" customHeight="false" outlineLevel="0" collapsed="false">
      <c r="A10" s="355" t="n">
        <v>46011</v>
      </c>
      <c r="B10" s="334" t="s">
        <v>263</v>
      </c>
      <c r="F10" s="334" t="n">
        <v>1800</v>
      </c>
      <c r="I10" s="339" t="n">
        <f aca="false">IF((F10&lt;&gt;0),IF((D10&gt;0)," ",(I$1-A10))," ")</f>
        <v>105</v>
      </c>
    </row>
    <row r="11" customFormat="false" ht="12.75" hidden="false" customHeight="false" outlineLevel="0" collapsed="false">
      <c r="A11" s="355" t="n">
        <v>46013</v>
      </c>
      <c r="B11" s="334" t="s">
        <v>356</v>
      </c>
      <c r="F11" s="334" t="n">
        <v>1440</v>
      </c>
      <c r="I11" s="339" t="n">
        <f aca="false">IF((F11&lt;&gt;0),IF((D11&gt;0)," ",(I$1-A11))," ")</f>
        <v>103</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46116</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124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124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124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124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124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124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122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122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120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120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120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117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115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115</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113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111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111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111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110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110</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110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107</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107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105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104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103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100</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100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100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97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94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94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94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18440</v>
      </c>
      <c r="G1" s="343" t="n">
        <f aca="false">SUM(G4:G300)</f>
        <v>0</v>
      </c>
      <c r="H1" s="345" t="n">
        <f aca="false">SUM(H4:H300)</f>
        <v>0</v>
      </c>
      <c r="I1" s="346" t="n">
        <f aca="true">TODAY()</f>
        <v>46116</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93</v>
      </c>
    </row>
    <row r="5" customFormat="false" ht="12.75" hidden="false" customHeight="false" outlineLevel="0" collapsed="false">
      <c r="A5" s="355" t="n">
        <v>46025</v>
      </c>
      <c r="B5" s="334" t="s">
        <v>259</v>
      </c>
      <c r="F5" s="334" t="n">
        <v>360</v>
      </c>
      <c r="I5" s="339" t="n">
        <f aca="false">IF((F5&lt;&gt;0),IF((D5&gt;0)," ",(I$1-A5))," ")</f>
        <v>91</v>
      </c>
    </row>
    <row r="6" customFormat="false" ht="12.75" hidden="false" customHeight="false" outlineLevel="0" collapsed="false">
      <c r="A6" s="355" t="n">
        <v>46027</v>
      </c>
      <c r="B6" s="334" t="s">
        <v>260</v>
      </c>
      <c r="F6" s="334" t="n">
        <v>600</v>
      </c>
      <c r="I6" s="339" t="n">
        <f aca="false">IF((F6&lt;&gt;0),IF((D6&gt;0)," ",(I$1-A6))," ")</f>
        <v>89</v>
      </c>
    </row>
    <row r="7" customFormat="false" ht="12.75" hidden="false" customHeight="false" outlineLevel="0" collapsed="false">
      <c r="A7" s="355" t="n">
        <v>46030</v>
      </c>
      <c r="B7" s="334" t="s">
        <v>261</v>
      </c>
      <c r="F7" s="334" t="n">
        <v>480</v>
      </c>
      <c r="I7" s="339" t="n">
        <f aca="false">IF((F7&lt;&gt;0),IF((D7&gt;0)," ",(I$1-A7))," ")</f>
        <v>86</v>
      </c>
    </row>
    <row r="8" customFormat="false" ht="12.75" hidden="false" customHeight="false" outlineLevel="0" collapsed="false">
      <c r="A8" s="355" t="n">
        <v>46032</v>
      </c>
      <c r="B8" s="334" t="s">
        <v>262</v>
      </c>
      <c r="F8" s="334" t="n">
        <v>720</v>
      </c>
      <c r="I8" s="339" t="n">
        <f aca="false">IF((F8&lt;&gt;0),IF((D8&gt;0)," ",(I$1-A8))," ")</f>
        <v>84</v>
      </c>
    </row>
    <row r="9" customFormat="false" ht="12.75" hidden="false" customHeight="false" outlineLevel="0" collapsed="false">
      <c r="A9" s="355" t="n">
        <v>46036</v>
      </c>
      <c r="B9" s="334" t="s">
        <v>365</v>
      </c>
      <c r="F9" s="334" t="n">
        <v>2160</v>
      </c>
      <c r="I9" s="339" t="n">
        <f aca="false">IF((F9&lt;&gt;0),IF((D9&gt;0)," ",(I$1-A9))," ")</f>
        <v>80</v>
      </c>
    </row>
    <row r="10" customFormat="false" ht="12.75" hidden="false" customHeight="false" outlineLevel="0" collapsed="false">
      <c r="A10" s="355" t="n">
        <v>46037</v>
      </c>
      <c r="B10" s="334" t="s">
        <v>235</v>
      </c>
      <c r="F10" s="334" t="n">
        <v>8000</v>
      </c>
      <c r="I10" s="339" t="n">
        <f aca="false">IF((F10&lt;&gt;0),IF((D10&gt;0)," ",(I$1-A10))," ")</f>
        <v>79</v>
      </c>
    </row>
    <row r="11" customFormat="false" ht="12.75" hidden="false" customHeight="false" outlineLevel="0" collapsed="false">
      <c r="A11" s="355" t="n">
        <v>46038</v>
      </c>
      <c r="B11" s="334" t="s">
        <v>342</v>
      </c>
      <c r="F11" s="334" t="n">
        <v>1200</v>
      </c>
      <c r="I11" s="339" t="n">
        <f aca="false">IF((F11&lt;&gt;0),IF((D11&gt;0)," ",(I$1-A11))," ")</f>
        <v>78</v>
      </c>
    </row>
    <row r="12" customFormat="false" ht="12.75" hidden="false" customHeight="false" outlineLevel="0" collapsed="false">
      <c r="A12" s="355" t="n">
        <v>46040</v>
      </c>
      <c r="B12" s="334" t="s">
        <v>237</v>
      </c>
      <c r="F12" s="334" t="n">
        <v>2400</v>
      </c>
      <c r="I12" s="339" t="n">
        <f aca="false">IF((F12&lt;&gt;0),IF((D12&gt;0)," ",(I$1-A12))," ")</f>
        <v>76</v>
      </c>
    </row>
    <row r="13" customFormat="false" ht="12.75" hidden="false" customHeight="false" outlineLevel="0" collapsed="false">
      <c r="A13" s="355" t="n">
        <v>46047</v>
      </c>
      <c r="B13" s="334" t="s">
        <v>385</v>
      </c>
      <c r="F13" s="334" t="n">
        <v>480</v>
      </c>
      <c r="I13" s="339" t="n">
        <f aca="false">IF((F13&lt;&gt;0),IF((D13&gt;0)," ",(I$1-A13))," ")</f>
        <v>69</v>
      </c>
    </row>
    <row r="14" customFormat="false" ht="12.75" hidden="false" customHeight="false" outlineLevel="0" collapsed="false">
      <c r="A14" s="355" t="n">
        <v>46050</v>
      </c>
      <c r="B14" s="334" t="s">
        <v>264</v>
      </c>
      <c r="F14" s="334" t="n">
        <v>840</v>
      </c>
      <c r="I14" s="339" t="n">
        <f aca="false">IF((F14&lt;&gt;0),IF((D14&gt;0)," ",(I$1-A14))," ")</f>
        <v>66</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46116</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93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93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93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93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93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93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91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91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89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89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89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86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86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84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84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84</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82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80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80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79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79</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78</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76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74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74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74</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73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72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72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69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69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66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63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17360</v>
      </c>
      <c r="G1" s="343" t="n">
        <f aca="false">SUM(G4:G300)</f>
        <v>0</v>
      </c>
      <c r="H1" s="345" t="n">
        <f aca="false">SUM(H4:H300)</f>
        <v>0</v>
      </c>
      <c r="I1" s="346" t="n">
        <f aca="true">TODAY()</f>
        <v>46116</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60</v>
      </c>
    </row>
    <row r="5" customFormat="false" ht="12.75" hidden="false" customHeight="false" outlineLevel="0" collapsed="false">
      <c r="A5" s="355" t="n">
        <v>46058</v>
      </c>
      <c r="B5" s="334" t="s">
        <v>260</v>
      </c>
      <c r="F5" s="334" t="n">
        <v>600</v>
      </c>
      <c r="I5" s="339" t="n">
        <f aca="false">IF((F5&lt;&gt;0),IF((D5&gt;0)," ",(I$1-A5))," ")</f>
        <v>58</v>
      </c>
    </row>
    <row r="6" customFormat="false" ht="12.75" hidden="false" customHeight="false" outlineLevel="0" collapsed="false">
      <c r="A6" s="355" t="n">
        <v>46061</v>
      </c>
      <c r="B6" s="334" t="s">
        <v>261</v>
      </c>
      <c r="F6" s="334" t="n">
        <v>480</v>
      </c>
      <c r="I6" s="339" t="n">
        <f aca="false">IF((F6&lt;&gt;0),IF((D6&gt;0)," ",(I$1-A6))," ")</f>
        <v>55</v>
      </c>
    </row>
    <row r="7" customFormat="false" ht="12.75" hidden="false" customHeight="false" outlineLevel="0" collapsed="false">
      <c r="A7" s="355" t="n">
        <v>46063</v>
      </c>
      <c r="B7" s="334" t="s">
        <v>262</v>
      </c>
      <c r="F7" s="334" t="n">
        <v>720</v>
      </c>
      <c r="I7" s="339" t="n">
        <f aca="false">IF((F7&lt;&gt;0),IF((D7&gt;0)," ",(I$1-A7))," ")</f>
        <v>53</v>
      </c>
    </row>
    <row r="8" customFormat="false" ht="12.75" hidden="false" customHeight="false" outlineLevel="0" collapsed="false">
      <c r="A8" s="355" t="n">
        <v>46068</v>
      </c>
      <c r="B8" s="334" t="s">
        <v>235</v>
      </c>
      <c r="F8" s="334" t="n">
        <v>8000</v>
      </c>
      <c r="I8" s="339" t="n">
        <f aca="false">IF((F8&lt;&gt;0),IF((D8&gt;0)," ",(I$1-A8))," ")</f>
        <v>48</v>
      </c>
    </row>
    <row r="9" customFormat="false" ht="12.75" hidden="false" customHeight="false" outlineLevel="0" collapsed="false">
      <c r="A9" s="355" t="n">
        <v>46071</v>
      </c>
      <c r="B9" s="334" t="s">
        <v>237</v>
      </c>
      <c r="F9" s="334" t="n">
        <v>2400</v>
      </c>
      <c r="I9" s="339" t="n">
        <f aca="false">IF((F9&lt;&gt;0),IF((D9&gt;0)," ",(I$1-A9))," ")</f>
        <v>45</v>
      </c>
    </row>
    <row r="10" customFormat="false" ht="12.75" hidden="false" customHeight="false" outlineLevel="0" collapsed="false">
      <c r="A10" s="355" t="n">
        <v>46073</v>
      </c>
      <c r="B10" s="334" t="s">
        <v>263</v>
      </c>
      <c r="F10" s="334" t="n">
        <v>1800</v>
      </c>
      <c r="I10" s="339" t="n">
        <f aca="false">IF((F10&lt;&gt;0),IF((D10&gt;0)," ",(I$1-A10))," ")</f>
        <v>43</v>
      </c>
    </row>
    <row r="11" customFormat="false" ht="12.75" hidden="false" customHeight="false" outlineLevel="0" collapsed="false">
      <c r="A11" s="355" t="n">
        <v>46073</v>
      </c>
      <c r="B11" s="334" t="s">
        <v>386</v>
      </c>
      <c r="F11" s="334" t="n">
        <v>1800</v>
      </c>
      <c r="I11" s="339" t="n">
        <f aca="false">IF((F11&lt;&gt;0),IF((D11&gt;0)," ",(I$1-A11))," ")</f>
        <v>43</v>
      </c>
    </row>
    <row r="12" customFormat="false" ht="12.75" hidden="false" customHeight="false" outlineLevel="0" collapsed="false">
      <c r="A12" s="355" t="n">
        <v>46078</v>
      </c>
      <c r="B12" s="334" t="s">
        <v>343</v>
      </c>
      <c r="F12" s="334" t="n">
        <v>1200</v>
      </c>
      <c r="I12" s="339" t="n">
        <f aca="false">IF((F12&lt;&gt;0),IF((D12&gt;0)," ",(I$1-A12))," ")</f>
        <v>38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46116</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62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62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62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62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62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62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60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60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58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58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58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57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55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53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51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51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49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49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49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48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48</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48</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45</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45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45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43</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43</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42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41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38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38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35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35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14360</v>
      </c>
      <c r="G1" s="343" t="n">
        <f aca="false">SUM(G4:G300)</f>
        <v>0</v>
      </c>
      <c r="H1" s="345" t="n">
        <f aca="false">SUM(H4:H300)</f>
        <v>0</v>
      </c>
      <c r="I1" s="346" t="n">
        <f aca="true">TODAY()</f>
        <v>46116</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32</v>
      </c>
    </row>
    <row r="5" customFormat="false" ht="12.75" hidden="false" customHeight="false" outlineLevel="0" collapsed="false">
      <c r="A5" s="355" t="n">
        <v>46086</v>
      </c>
      <c r="B5" s="334" t="s">
        <v>260</v>
      </c>
      <c r="F5" s="334" t="n">
        <v>600</v>
      </c>
      <c r="I5" s="339" t="n">
        <f aca="false">IF((F5&lt;&gt;0),IF((D5&gt;0)," ",(I$1-A5))," ")</f>
        <v>30</v>
      </c>
    </row>
    <row r="6" customFormat="false" ht="12.75" hidden="false" customHeight="false" outlineLevel="0" collapsed="false">
      <c r="A6" s="355" t="n">
        <v>46089</v>
      </c>
      <c r="B6" s="334" t="s">
        <v>261</v>
      </c>
      <c r="F6" s="334" t="n">
        <v>480</v>
      </c>
      <c r="I6" s="339" t="n">
        <f aca="false">IF((F6&lt;&gt;0),IF((D6&gt;0)," ",(I$1-A6))," ")</f>
        <v>27</v>
      </c>
    </row>
    <row r="7" customFormat="false" ht="12.75" hidden="false" customHeight="false" outlineLevel="0" collapsed="false">
      <c r="A7" s="355" t="n">
        <v>46091</v>
      </c>
      <c r="B7" s="334" t="s">
        <v>262</v>
      </c>
      <c r="F7" s="334" t="n">
        <v>720</v>
      </c>
      <c r="I7" s="339" t="n">
        <f aca="false">IF((F7&lt;&gt;0),IF((D7&gt;0)," ",(I$1-A7))," ")</f>
        <v>25</v>
      </c>
    </row>
    <row r="8" customFormat="false" ht="12.75" hidden="false" customHeight="false" outlineLevel="0" collapsed="false">
      <c r="A8" s="355" t="n">
        <v>46096</v>
      </c>
      <c r="B8" s="334" t="s">
        <v>235</v>
      </c>
      <c r="F8" s="334" t="n">
        <v>8000</v>
      </c>
      <c r="I8" s="339" t="n">
        <f aca="false">IF((F8&lt;&gt;0),IF((D8&gt;0)," ",(I$1-A8))," ")</f>
        <v>20</v>
      </c>
    </row>
    <row r="9" customFormat="false" ht="12.75" hidden="false" customHeight="false" outlineLevel="0" collapsed="false">
      <c r="A9" s="355" t="n">
        <v>46099</v>
      </c>
      <c r="B9" s="334" t="s">
        <v>237</v>
      </c>
      <c r="F9" s="334" t="n">
        <v>2400</v>
      </c>
      <c r="I9" s="339" t="n">
        <f aca="false">IF((F9&lt;&gt;0),IF((D9&gt;0)," ",(I$1-A9))," ")</f>
        <v>17</v>
      </c>
    </row>
    <row r="10" customFormat="false" ht="12.75" hidden="false" customHeight="false" outlineLevel="0" collapsed="false">
      <c r="A10" s="355" t="n">
        <v>46103</v>
      </c>
      <c r="B10" s="334" t="s">
        <v>356</v>
      </c>
      <c r="F10" s="334" t="n">
        <v>1440</v>
      </c>
      <c r="I10" s="339" t="n">
        <f aca="false">IF((F10&lt;&gt;0),IF((D10&gt;0)," ",(I$1-A10))," ")</f>
        <v>13</v>
      </c>
    </row>
    <row r="11" customFormat="false" ht="12.75" hidden="false" customHeight="false" outlineLevel="0" collapsed="false">
      <c r="A11" s="355" t="n">
        <v>46112</v>
      </c>
      <c r="B11" s="334" t="s">
        <v>387</v>
      </c>
      <c r="F11" s="334" t="n">
        <v>360</v>
      </c>
      <c r="I11" s="339" t="n">
        <f aca="false">IF((F11&lt;&gt;0),IF((D11&gt;0)," ",(I$1-A11))," ")</f>
        <v>4</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46116</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34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34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34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34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34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34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32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32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30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30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27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25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25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23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21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21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20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20</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19</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17</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17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15</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14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13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13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10</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10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10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