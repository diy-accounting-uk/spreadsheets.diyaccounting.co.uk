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29.xml" ContentType="application/vnd.openxmlformats-officedocument.spreadsheetml.worksheet+xml"/>
  <Override PartName="/xl/worksheets/sheet28.xml" ContentType="application/vnd.openxmlformats-officedocument.spreadsheetml.worksheet+xml"/>
  <Override PartName="/xl/worksheets/sheet27.xml" ContentType="application/vnd.openxmlformats-officedocument.spreadsheetml.worksheet+xml"/>
  <Override PartName="/xl/worksheets/sheet26.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30.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31.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6.xml" ContentType="application/vnd.openxmlformats-officedocument.spreadsheetml.worksheet+xml"/>
  <Override PartName="/xl/worksheets/sheet1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xml" ContentType="application/vnd.openxmlformats-officedocument.spreadsheetml.worksheet+xml"/>
  <Override PartName="/xl/worksheets/sheet18.xml" ContentType="application/vnd.openxmlformats-officedocument.spreadsheetml.worksheet+xml"/>
  <Override PartName="/xl/worksheets/sheet20.xml" ContentType="application/vnd.openxmlformats-officedocument.spreadsheetml.worksheet+xml"/>
  <Override PartName="/xl/worksheets/sheet2.xml" ContentType="application/vnd.openxmlformats-officedocument.spreadsheetml.worksheet+xml"/>
  <Override PartName="/xl/worksheets/sheet19.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0"/>
  </bookViews>
  <sheets>
    <sheet name="Home" sheetId="1" state="visible" r:id="rId3"/>
    <sheet name="Business Details" sheetId="2" state="visible" r:id="rId4"/>
    <sheet name="SE Short" sheetId="3" state="visible" r:id="rId5"/>
    <sheet name="Profit &amp; Loss Acc" sheetId="4" state="visible" r:id="rId6"/>
    <sheet name="VitalTax" sheetId="5" state="visible" r:id="rId7"/>
    <sheet name="Fixed Assets" sheetId="6" state="visible" r:id="rId8"/>
    <sheet name="Draft Tax calculation" sheetId="7" state="visible" r:id="rId9"/>
    <sheet name="Wages Forecast" sheetId="8" state="visible" r:id="rId10"/>
    <sheet name="SalesApr" sheetId="9" state="visible" r:id="rId11"/>
    <sheet name="PurchasesApr" sheetId="10" state="visible" r:id="rId12"/>
    <sheet name="SalesMay" sheetId="11" state="visible" r:id="rId13"/>
    <sheet name="PurchasesMay" sheetId="12" state="visible" r:id="rId14"/>
    <sheet name="SalesJun" sheetId="13" state="visible" r:id="rId15"/>
    <sheet name="PurchasesJun" sheetId="14" state="visible" r:id="rId16"/>
    <sheet name="SalesJul" sheetId="15" state="visible" r:id="rId17"/>
    <sheet name="PurchasesJul" sheetId="16" state="visible" r:id="rId18"/>
    <sheet name="SalesAug" sheetId="17" state="visible" r:id="rId19"/>
    <sheet name="PurchasesAug" sheetId="18" state="visible" r:id="rId20"/>
    <sheet name="SalesSep" sheetId="19" state="visible" r:id="rId21"/>
    <sheet name="PurchasesSep" sheetId="20" state="visible" r:id="rId22"/>
    <sheet name="SalesOct" sheetId="21" state="visible" r:id="rId23"/>
    <sheet name="PurchasesOct" sheetId="22" state="visible" r:id="rId24"/>
    <sheet name="SalesNov" sheetId="23" state="visible" r:id="rId25"/>
    <sheet name="PurchasesNov" sheetId="24" state="visible" r:id="rId26"/>
    <sheet name="SalesDec" sheetId="25" state="visible" r:id="rId27"/>
    <sheet name="PurchasesDec" sheetId="26" state="visible" r:id="rId28"/>
    <sheet name="SalesJan" sheetId="27" state="visible" r:id="rId29"/>
    <sheet name="PurchasesJan" sheetId="28" state="visible" r:id="rId30"/>
    <sheet name="SalesFeb" sheetId="29" state="visible" r:id="rId31"/>
    <sheet name="PurchasesFeb" sheetId="30" state="visible" r:id="rId32"/>
    <sheet name="SalesMar" sheetId="31" state="visible" r:id="rId33"/>
    <sheet name="PurchasesMar" sheetId="32" state="visible" r:id="rId34"/>
    <sheet name="Admin" sheetId="33" state="visible" r:id="rId35"/>
  </sheets>
  <definedNames>
    <definedName function="false" hidden="false" localSheetId="5" name="_xlnm.Print_Titles" vbProcedure="false">'Fixed Assets'!$1:$4</definedName>
    <definedName function="false" hidden="false" localSheetId="3" name="_xlnm.Print_Titles" vbProcedure="false">'Profit &amp; Loss Acc'!$2:$4</definedName>
    <definedName function="false" hidden="false" localSheetId="9" name="_xlnm.Print_Area" vbProcedure="false">PurchasesApr!$A$1:$U$68</definedName>
    <definedName function="false" hidden="false" localSheetId="9" name="_xlnm.Print_Titles" vbProcedure="false">PurchasesApr!$A:$A,PurchasesApr!$1:$4</definedName>
    <definedName function="false" hidden="false" localSheetId="17" name="_xlnm.Print_Area" vbProcedure="false">PurchasesAug!$A$1:$U$68</definedName>
    <definedName function="false" hidden="false" localSheetId="17" name="_xlnm.Print_Titles" vbProcedure="false">PurchasesAug!$A:$A,PurchasesAug!$1:$4</definedName>
    <definedName function="false" hidden="false" localSheetId="25" name="_xlnm.Print_Area" vbProcedure="false">PurchasesDec!$A$1:$U$68</definedName>
    <definedName function="false" hidden="false" localSheetId="25" name="_xlnm.Print_Titles" vbProcedure="false">PurchasesDec!$A:$A,PurchasesDec!$1:$4</definedName>
    <definedName function="false" hidden="false" localSheetId="29" name="_xlnm.Print_Area" vbProcedure="false">PurchasesFeb!$A$1:$U$68</definedName>
    <definedName function="false" hidden="false" localSheetId="29" name="_xlnm.Print_Titles" vbProcedure="false">PurchasesFeb!$A:$A,PurchasesFeb!$1:$4</definedName>
    <definedName function="false" hidden="false" localSheetId="27" name="_xlnm.Print_Area" vbProcedure="false">PurchasesJan!$A$1:$U$68</definedName>
    <definedName function="false" hidden="false" localSheetId="27" name="_xlnm.Print_Titles" vbProcedure="false">PurchasesJan!$A:$A,PurchasesJan!$1:$4</definedName>
    <definedName function="false" hidden="false" localSheetId="15" name="_xlnm.Print_Area" vbProcedure="false">PurchasesJul!$A$1:$U$68</definedName>
    <definedName function="false" hidden="false" localSheetId="15" name="_xlnm.Print_Titles" vbProcedure="false">PurchasesJul!$A:$A,PurchasesJul!$1:$4</definedName>
    <definedName function="false" hidden="false" localSheetId="13" name="_xlnm.Print_Area" vbProcedure="false">PurchasesJun!$A$1:$U$68</definedName>
    <definedName function="false" hidden="false" localSheetId="13" name="_xlnm.Print_Titles" vbProcedure="false">PurchasesJun!$A:$A,PurchasesJun!$1:$4</definedName>
    <definedName function="false" hidden="false" localSheetId="31" name="_xlnm.Print_Area" vbProcedure="false">PurchasesMar!$A$1:$U$68</definedName>
    <definedName function="false" hidden="false" localSheetId="31" name="_xlnm.Print_Titles" vbProcedure="false">PurchasesMar!$A:$A,PurchasesMar!$1:$4</definedName>
    <definedName function="false" hidden="false" localSheetId="11" name="_xlnm.Print_Area" vbProcedure="false">PurchasesMay!$A$1:$U$67</definedName>
    <definedName function="false" hidden="false" localSheetId="11" name="_xlnm.Print_Titles" vbProcedure="false">PurchasesMay!$A:$A,PurchasesMay!$1:$4</definedName>
    <definedName function="false" hidden="false" localSheetId="23" name="_xlnm.Print_Area" vbProcedure="false">PurchasesNov!$A$1:$U$68</definedName>
    <definedName function="false" hidden="false" localSheetId="23" name="_xlnm.Print_Titles" vbProcedure="false">PurchasesNov!$A:$A,PurchasesNov!$1:$4</definedName>
    <definedName function="false" hidden="false" localSheetId="21" name="_xlnm.Print_Area" vbProcedure="false">PurchasesOct!$A$1:$U$68</definedName>
    <definedName function="false" hidden="false" localSheetId="21" name="_xlnm.Print_Titles" vbProcedure="false">PurchasesOct!$A:$A,PurchasesOct!$1:$4</definedName>
    <definedName function="false" hidden="false" localSheetId="19" name="_xlnm.Print_Area" vbProcedure="false">PurchasesSep!$A$1:$U$68</definedName>
    <definedName function="false" hidden="false" localSheetId="19" name="_xlnm.Print_Titles" vbProcedure="false">PurchasesSep!$A:$A,PurchasesSep!$1:$4</definedName>
    <definedName function="false" hidden="false" localSheetId="8" name="_xlnm.Print_Titles" vbProcedure="false">SalesApr!$1:$3</definedName>
    <definedName function="false" hidden="false" localSheetId="16" name="_xlnm.Print_Titles" vbProcedure="false">SalesAug!$1:$3</definedName>
    <definedName function="false" hidden="false" localSheetId="24" name="_xlnm.Print_Titles" vbProcedure="false">SalesDec!$1:$3</definedName>
    <definedName function="false" hidden="false" localSheetId="28" name="_xlnm.Print_Titles" vbProcedure="false">SalesFeb!$1:$3</definedName>
    <definedName function="false" hidden="false" localSheetId="26" name="_xlnm.Print_Titles" vbProcedure="false">SalesJan!$1:$3</definedName>
    <definedName function="false" hidden="false" localSheetId="14" name="_xlnm.Print_Titles" vbProcedure="false">SalesJul!$1:$3</definedName>
    <definedName function="false" hidden="false" localSheetId="12" name="_xlnm.Print_Titles" vbProcedure="false">SalesJun!$1:$3</definedName>
    <definedName function="false" hidden="false" localSheetId="30" name="_xlnm.Print_Titles" vbProcedure="false">SalesMar!$1:$3</definedName>
    <definedName function="false" hidden="false" localSheetId="10" name="_xlnm.Print_Titles" vbProcedure="false">SalesMay!$1:$3</definedName>
    <definedName function="false" hidden="false" localSheetId="22" name="_xlnm.Print_Titles" vbProcedure="false">SalesNov!$1:$3</definedName>
    <definedName function="false" hidden="false" localSheetId="20" name="_xlnm.Print_Titles" vbProcedure="false">SalesOct!$1:$3</definedName>
    <definedName function="false" hidden="false" localSheetId="18" name="_xlnm.Print_Titles" vbProcedure="false">SalesSep!$1:$3</definedName>
    <definedName function="false" hidden="false" localSheetId="4" name="_xlnm.Print_Titles" vbProcedure="false">VitalTax!$2:$4</definedName>
    <definedName function="false" hidden="false" name="Annual_ConsolidatedExpenses" vbProcedure="false">VitalTax!$G$29</definedName>
    <definedName function="false" hidden="false" name="Annual_ExpenseAdminCosts" vbProcedure="false">VitalTax!$G$15</definedName>
    <definedName function="false" hidden="false" name="Annual_ExpenseAdminCostsDisallowable" vbProcedure="false">VitalTax!$G$42</definedName>
    <definedName function="false" hidden="false" name="Annual_ExpenseAdvertisingCosts" vbProcedure="false">VitalTax!$G$18</definedName>
    <definedName function="false" hidden="false" name="Annual_ExpenseAdvertisingCostsDisallowable" vbProcedure="false">VitalTax!$G$43</definedName>
    <definedName function="false" hidden="false" name="Annual_ExpenseBadDebt" vbProcedure="false">VitalTax!$G$20</definedName>
    <definedName function="false" hidden="false" name="Annual_ExpenseBadDebtDisallowable" vbProcedure="false">VitalTax!$G$47</definedName>
    <definedName function="false" hidden="false" name="Annual_ExpenseBusinessEntertainmentCosts" vbProcedure="false">VitalTax!$G$25</definedName>
    <definedName function="false" hidden="false" name="Annual_ExpenseBusinessEntertainmentCostsDisallowable" vbProcedure="false">VitalTax!$G$44</definedName>
    <definedName function="false" hidden="false" name="Annual_ExpenseCisPaymentsToSubcontractors" vbProcedure="false">VitalTax!$G$24</definedName>
    <definedName function="false" hidden="false" name="Annual_ExpenseCisPaymentsToSubcontractorsDisallowable" vbProcedure="false">VitalTax!$G$37</definedName>
    <definedName function="false" hidden="false" name="Annual_ExpenseCostOfGoodsBought" vbProcedure="false">VitalTax!$G$7</definedName>
    <definedName function="false" hidden="false" name="Annual_ExpenseCostOfGoodsBoughtDisallowable" vbProcedure="false">VitalTax!$G$36</definedName>
    <definedName function="false" hidden="false" name="Annual_ExpenseDepreciation" vbProcedure="false">VitalTax!$G$26</definedName>
    <definedName function="false" hidden="false" name="Annual_ExpenseDepreciationDisallowable" vbProcedure="false">VitalTax!$G$49</definedName>
    <definedName function="false" hidden="false" name="Annual_ExpenseFinancialCharges" vbProcedure="false">VitalTax!$G$16</definedName>
    <definedName function="false" hidden="false" name="Annual_ExpenseFinancialChargesDisallowable" vbProcedure="false">VitalTax!$G$46</definedName>
    <definedName function="false" hidden="false" name="Annual_ExpenseInterest" vbProcedure="false">VitalTax!$G$21</definedName>
    <definedName function="false" hidden="false" name="Annual_ExpenseInterestDisallowable" vbProcedure="false">VitalTax!$G$45</definedName>
    <definedName function="false" hidden="false" name="Annual_ExpenseMaintenanceCosts" vbProcedure="false">VitalTax!$G$14</definedName>
    <definedName function="false" hidden="false" name="Annual_ExpenseMaintenanceCostsDisallowable" vbProcedure="false">VitalTax!$G$41</definedName>
    <definedName function="false" hidden="false" name="Annual_ExpenseOther" vbProcedure="false">VitalTax!$G$22</definedName>
    <definedName function="false" hidden="false" name="Annual_ExpenseOtherDisallowable" vbProcedure="false">VitalTax!$G$50</definedName>
    <definedName function="false" hidden="false" name="Annual_ExpensePremisesRunningCosts" vbProcedure="false">VitalTax!$G$13</definedName>
    <definedName function="false" hidden="false" name="Annual_ExpensePremisesRunningCostsDisallowable" vbProcedure="false">VitalTax!$G$40</definedName>
    <definedName function="false" hidden="false" name="Annual_ExpenseProfessionalFees" vbProcedure="false">VitalTax!$G$19</definedName>
    <definedName function="false" hidden="false" name="Annual_ExpenseProfessionalFeesDisallowable" vbProcedure="false">VitalTax!$G$48</definedName>
    <definedName function="false" hidden="false" name="Annual_ExpenseStaffCosts" vbProcedure="false">VitalTax!$G$12</definedName>
    <definedName function="false" hidden="false" name="Annual_ExpenseStaffCostsDisallowable" vbProcedure="false">VitalTax!$G$38</definedName>
    <definedName function="false" hidden="false" name="Annual_ExpenseTravelCosts" vbProcedure="false">VitalTax!$G$17</definedName>
    <definedName function="false" hidden="false" name="Annual_ExpenseTravelCostsDisallowable" vbProcedure="false">VitalTax!$G$39</definedName>
    <definedName function="false" hidden="false" name="Annual_IncomeOther" vbProcedure="false">VitalTax!$G$6</definedName>
    <definedName function="false" hidden="false" name="Annual_IncomeTurnover" vbProcedure="false">VitalTax!$G$5</definedName>
    <definedName function="false" hidden="false" name="Q1_ConsolidatedExpenses" vbProcedure="false">VitalTax!$C$29</definedName>
    <definedName function="false" hidden="false" name="Q1_ExpenseAdminCosts" vbProcedure="false">VitalTax!$C$15</definedName>
    <definedName function="false" hidden="false" name="Q1_ExpenseAdminCostsDisallowable" vbProcedure="false">VitalTax!$C$42</definedName>
    <definedName function="false" hidden="false" name="Q1_ExpenseAdvertisingCosts" vbProcedure="false">VitalTax!$C$18</definedName>
    <definedName function="false" hidden="false" name="Q1_ExpenseAdvertisingCostsDisallowable" vbProcedure="false">VitalTax!$C$43</definedName>
    <definedName function="false" hidden="false" name="Q1_ExpenseBadDebt" vbProcedure="false">VitalTax!$C$20</definedName>
    <definedName function="false" hidden="false" name="Q1_ExpenseBadDebtDisallowable" vbProcedure="false">VitalTax!$C$47</definedName>
    <definedName function="false" hidden="false" name="Q1_ExpenseBusinessEntertainmentCosts" vbProcedure="false">VitalTax!$C$25</definedName>
    <definedName function="false" hidden="false" name="Q1_ExpenseBusinessEntertainmentCostsDisallowable" vbProcedure="false">VitalTax!$C$44</definedName>
    <definedName function="false" hidden="false" name="Q1_ExpenseCisPaymentsToSubcontractors" vbProcedure="false">VitalTax!$C$24</definedName>
    <definedName function="false" hidden="false" name="Q1_ExpenseCisPaymentsToSubcontractorsDisallowable" vbProcedure="false">VitalTax!$C$37</definedName>
    <definedName function="false" hidden="false" name="Q1_ExpenseCostOfGoodsBought" vbProcedure="false">VitalTax!$C$7</definedName>
    <definedName function="false" hidden="false" name="Q1_ExpenseCostOfGoodsBoughtDisallowable" vbProcedure="false">VitalTax!$C$36</definedName>
    <definedName function="false" hidden="false" name="Q1_ExpenseDepreciation" vbProcedure="false">VitalTax!$C$26</definedName>
    <definedName function="false" hidden="false" name="Q1_ExpenseDepreciationDisallowable" vbProcedure="false">VitalTax!$C$49</definedName>
    <definedName function="false" hidden="false" name="Q1_ExpenseFinancialCharges" vbProcedure="false">VitalTax!$C$16</definedName>
    <definedName function="false" hidden="false" name="Q1_ExpenseFinancialChargesDisallowable" vbProcedure="false">VitalTax!$C$46</definedName>
    <definedName function="false" hidden="false" name="Q1_ExpenseInterest" vbProcedure="false">VitalTax!$C$21</definedName>
    <definedName function="false" hidden="false" name="Q1_ExpenseInterestDisallowable" vbProcedure="false">VitalTax!$C$45</definedName>
    <definedName function="false" hidden="false" name="Q1_ExpenseMaintenanceCosts" vbProcedure="false">VitalTax!$C$14</definedName>
    <definedName function="false" hidden="false" name="Q1_ExpenseMaintenanceCostsDisallowable" vbProcedure="false">VitalTax!$C$41</definedName>
    <definedName function="false" hidden="false" name="Q1_ExpenseOther" vbProcedure="false">VitalTax!$C$22</definedName>
    <definedName function="false" hidden="false" name="Q1_ExpenseOtherDisallowable" vbProcedure="false">VitalTax!$C$50</definedName>
    <definedName function="false" hidden="false" name="Q1_ExpensePremisesRunningCosts" vbProcedure="false">VitalTax!$C$13</definedName>
    <definedName function="false" hidden="false" name="Q1_ExpensePremisesRunningCostsDisallowable" vbProcedure="false">VitalTax!$C$40</definedName>
    <definedName function="false" hidden="false" name="Q1_ExpenseProfessionalFees" vbProcedure="false">VitalTax!$C$19</definedName>
    <definedName function="false" hidden="false" name="Q1_ExpenseProfessionalFeesDisallowable" vbProcedure="false">VitalTax!$C$48</definedName>
    <definedName function="false" hidden="false" name="Q1_ExpenseStaffCosts" vbProcedure="false">VitalTax!$C$12</definedName>
    <definedName function="false" hidden="false" name="Q1_ExpenseStaffCostsDisallowable" vbProcedure="false">VitalTax!$C$38</definedName>
    <definedName function="false" hidden="false" name="Q1_ExpenseTravelCosts" vbProcedure="false">VitalTax!$C$17</definedName>
    <definedName function="false" hidden="false" name="Q1_ExpenseTravelCostsDisallowable" vbProcedure="false">VitalTax!$C$39</definedName>
    <definedName function="false" hidden="false" name="Q1_IncomeOther" vbProcedure="false">VitalTax!$C$6</definedName>
    <definedName function="false" hidden="false" name="Q1_IncomeTurnover" vbProcedure="false">VitalTax!$C$5</definedName>
    <definedName function="false" hidden="false" name="Q2_ConsolidatedExpenses" vbProcedure="false">VitalTax!$D$29</definedName>
    <definedName function="false" hidden="false" name="Q2_ExpenseAdminCosts" vbProcedure="false">VitalTax!$D$15</definedName>
    <definedName function="false" hidden="false" name="Q2_ExpenseAdminCostsDisallowable" vbProcedure="false">VitalTax!$D$42</definedName>
    <definedName function="false" hidden="false" name="Q2_ExpenseAdvertisingCosts" vbProcedure="false">VitalTax!$D$18</definedName>
    <definedName function="false" hidden="false" name="Q2_ExpenseAdvertisingCostsDisallowable" vbProcedure="false">VitalTax!$D$43</definedName>
    <definedName function="false" hidden="false" name="Q2_ExpenseBadDebt" vbProcedure="false">VitalTax!$D$20</definedName>
    <definedName function="false" hidden="false" name="Q2_ExpenseBadDebtDisallowable" vbProcedure="false">VitalTax!$D$47</definedName>
    <definedName function="false" hidden="false" name="Q2_ExpenseBusinessEntertainmentCosts" vbProcedure="false">VitalTax!$D$25</definedName>
    <definedName function="false" hidden="false" name="Q2_ExpenseBusinessEntertainmentCostsDisallowable" vbProcedure="false">VitalTax!$D$44</definedName>
    <definedName function="false" hidden="false" name="Q2_ExpenseCisPaymentsToSubcontractors" vbProcedure="false">VitalTax!$D$24</definedName>
    <definedName function="false" hidden="false" name="Q2_ExpenseCisPaymentsToSubcontractorsDisallowable" vbProcedure="false">VitalTax!$D$37</definedName>
    <definedName function="false" hidden="false" name="Q2_ExpenseCostOfGoodsBought" vbProcedure="false">VitalTax!$D$7</definedName>
    <definedName function="false" hidden="false" name="Q2_ExpenseCostOfGoodsBoughtDisallowable" vbProcedure="false">VitalTax!$D$36</definedName>
    <definedName function="false" hidden="false" name="Q2_ExpenseDepreciation" vbProcedure="false">VitalTax!$D$26</definedName>
    <definedName function="false" hidden="false" name="Q2_ExpenseDepreciationDisallowable" vbProcedure="false">VitalTax!$D$49</definedName>
    <definedName function="false" hidden="false" name="Q2_ExpenseFinancialCharges" vbProcedure="false">VitalTax!$D$16</definedName>
    <definedName function="false" hidden="false" name="Q2_ExpenseFinancialChargesDisallowable" vbProcedure="false">VitalTax!$D$46</definedName>
    <definedName function="false" hidden="false" name="Q2_ExpenseInterest" vbProcedure="false">VitalTax!$D$21</definedName>
    <definedName function="false" hidden="false" name="Q2_ExpenseInterestDisallowable" vbProcedure="false">VitalTax!$D$45</definedName>
    <definedName function="false" hidden="false" name="Q2_ExpenseMaintenanceCosts" vbProcedure="false">VitalTax!$D$14</definedName>
    <definedName function="false" hidden="false" name="Q2_ExpenseMaintenanceCostsDisallowable" vbProcedure="false">VitalTax!$D$41</definedName>
    <definedName function="false" hidden="false" name="Q2_ExpenseOther" vbProcedure="false">VitalTax!$D$22</definedName>
    <definedName function="false" hidden="false" name="Q2_ExpenseOtherDisallowable" vbProcedure="false">VitalTax!$D$50</definedName>
    <definedName function="false" hidden="false" name="Q2_ExpensePremisesRunningCosts" vbProcedure="false">VitalTax!$D$13</definedName>
    <definedName function="false" hidden="false" name="Q2_ExpensePremisesRunningCostsDisallowable" vbProcedure="false">VitalTax!$D$40</definedName>
    <definedName function="false" hidden="false" name="Q2_ExpenseProfessionalFees" vbProcedure="false">VitalTax!$D$19</definedName>
    <definedName function="false" hidden="false" name="Q2_ExpenseProfessionalFeesDisallowable" vbProcedure="false">VitalTax!$D$48</definedName>
    <definedName function="false" hidden="false" name="Q2_ExpenseStaffCosts" vbProcedure="false">VitalTax!$D$12</definedName>
    <definedName function="false" hidden="false" name="Q2_ExpenseStaffCostsDisallowable" vbProcedure="false">VitalTax!$D$38</definedName>
    <definedName function="false" hidden="false" name="Q2_ExpenseTravelCosts" vbProcedure="false">VitalTax!$D$17</definedName>
    <definedName function="false" hidden="false" name="Q2_ExpenseTravelCostsDisallowable" vbProcedure="false">VitalTax!$D$39</definedName>
    <definedName function="false" hidden="false" name="Q2_IncomeOther" vbProcedure="false">VitalTax!$D$6</definedName>
    <definedName function="false" hidden="false" name="Q2_IncomeTurnover" vbProcedure="false">VitalTax!$D$5</definedName>
    <definedName function="false" hidden="false" name="Q3_ConsolidatedExpenses" vbProcedure="false">VitalTax!$E$29</definedName>
    <definedName function="false" hidden="false" name="Q3_ExpenseAdminCosts" vbProcedure="false">VitalTax!$E$15</definedName>
    <definedName function="false" hidden="false" name="Q3_ExpenseAdminCostsDisallowable" vbProcedure="false">VitalTax!$E$42</definedName>
    <definedName function="false" hidden="false" name="Q3_ExpenseAdvertisingCosts" vbProcedure="false">VitalTax!$E$18</definedName>
    <definedName function="false" hidden="false" name="Q3_ExpenseAdvertisingCostsDisallowable" vbProcedure="false">VitalTax!$E$43</definedName>
    <definedName function="false" hidden="false" name="Q3_ExpenseBadDebt" vbProcedure="false">VitalTax!$E$20</definedName>
    <definedName function="false" hidden="false" name="Q3_ExpenseBadDebtDisallowable" vbProcedure="false">VitalTax!$E$47</definedName>
    <definedName function="false" hidden="false" name="Q3_ExpenseBusinessEntertainmentCosts" vbProcedure="false">VitalTax!$E$25</definedName>
    <definedName function="false" hidden="false" name="Q3_ExpenseBusinessEntertainmentCostsDisallowable" vbProcedure="false">VitalTax!$E$44</definedName>
    <definedName function="false" hidden="false" name="Q3_ExpenseCisPaymentsToSubcontractors" vbProcedure="false">VitalTax!$E$24</definedName>
    <definedName function="false" hidden="false" name="Q3_ExpenseCisPaymentsToSubcontractorsDisallowable" vbProcedure="false">VitalTax!$E$37</definedName>
    <definedName function="false" hidden="false" name="Q3_ExpenseCostOfGoodsBought" vbProcedure="false">VitalTax!$E$7</definedName>
    <definedName function="false" hidden="false" name="Q3_ExpenseCostOfGoodsBoughtDisallowable" vbProcedure="false">VitalTax!$E$36</definedName>
    <definedName function="false" hidden="false" name="Q3_ExpenseDepreciation" vbProcedure="false">VitalTax!$E$26</definedName>
    <definedName function="false" hidden="false" name="Q3_ExpenseDepreciationDisallowable" vbProcedure="false">VitalTax!$E$49</definedName>
    <definedName function="false" hidden="false" name="Q3_ExpenseFinancialCharges" vbProcedure="false">VitalTax!$E$16</definedName>
    <definedName function="false" hidden="false" name="Q3_ExpenseFinancialChargesDisallowable" vbProcedure="false">VitalTax!$E$46</definedName>
    <definedName function="false" hidden="false" name="Q3_ExpenseInterest" vbProcedure="false">VitalTax!$E$21</definedName>
    <definedName function="false" hidden="false" name="Q3_ExpenseInterestDisallowable" vbProcedure="false">VitalTax!$E$45</definedName>
    <definedName function="false" hidden="false" name="Q3_ExpenseMaintenanceCosts" vbProcedure="false">VitalTax!$E$14</definedName>
    <definedName function="false" hidden="false" name="Q3_ExpenseMaintenanceCostsDisallowable" vbProcedure="false">VitalTax!$E$41</definedName>
    <definedName function="false" hidden="false" name="Q3_ExpenseOther" vbProcedure="false">VitalTax!$E$22</definedName>
    <definedName function="false" hidden="false" name="Q3_ExpenseOtherDisallowable" vbProcedure="false">VitalTax!$E$50</definedName>
    <definedName function="false" hidden="false" name="Q3_ExpensePremisesRunningCosts" vbProcedure="false">VitalTax!$E$13</definedName>
    <definedName function="false" hidden="false" name="Q3_ExpensePremisesRunningCostsDisallowable" vbProcedure="false">VitalTax!$E$40</definedName>
    <definedName function="false" hidden="false" name="Q3_ExpenseProfessionalFees" vbProcedure="false">VitalTax!$E$19</definedName>
    <definedName function="false" hidden="false" name="Q3_ExpenseProfessionalFeesDisallowable" vbProcedure="false">VitalTax!$E$48</definedName>
    <definedName function="false" hidden="false" name="Q3_ExpenseStaffCosts" vbProcedure="false">VitalTax!$E$12</definedName>
    <definedName function="false" hidden="false" name="Q3_ExpenseStaffCostsDisallowable" vbProcedure="false">VitalTax!$E$38</definedName>
    <definedName function="false" hidden="false" name="Q3_ExpenseTravelCosts" vbProcedure="false">VitalTax!$E$17</definedName>
    <definedName function="false" hidden="false" name="Q3_ExpenseTravelCostsDisallowable" vbProcedure="false">VitalTax!$E$39</definedName>
    <definedName function="false" hidden="false" name="Q3_IncomeOther" vbProcedure="false">VitalTax!$E$6</definedName>
    <definedName function="false" hidden="false" name="Q3_IncomeTurnover" vbProcedure="false">VitalTax!$E$5</definedName>
    <definedName function="false" hidden="false" name="Q4_ConsolidatedExpenses" vbProcedure="false">VitalTax!$F$29</definedName>
    <definedName function="false" hidden="false" name="Q4_ExpenseAdminCosts" vbProcedure="false">VitalTax!$F$15</definedName>
    <definedName function="false" hidden="false" name="Q4_ExpenseAdminCostsDisallowable" vbProcedure="false">VitalTax!$F$42</definedName>
    <definedName function="false" hidden="false" name="Q4_ExpenseAdvertisingCosts" vbProcedure="false">VitalTax!$F$18</definedName>
    <definedName function="false" hidden="false" name="Q4_ExpenseAdvertisingCostsDisallowable" vbProcedure="false">VitalTax!$F$43</definedName>
    <definedName function="false" hidden="false" name="Q4_ExpenseBadDebt" vbProcedure="false">VitalTax!$F$20</definedName>
    <definedName function="false" hidden="false" name="Q4_ExpenseBadDebtDisallowable" vbProcedure="false">VitalTax!$F$47</definedName>
    <definedName function="false" hidden="false" name="Q4_ExpenseBusinessEntertainmentCosts" vbProcedure="false">VitalTax!$F$25</definedName>
    <definedName function="false" hidden="false" name="Q4_ExpenseBusinessEntertainmentCostsDisallowable" vbProcedure="false">VitalTax!$F$44</definedName>
    <definedName function="false" hidden="false" name="Q4_ExpenseCisPaymentsToSubcontractors" vbProcedure="false">VitalTax!$F$24</definedName>
    <definedName function="false" hidden="false" name="Q4_ExpenseCisPaymentsToSubcontractorsDisallowable" vbProcedure="false">VitalTax!$F$37</definedName>
    <definedName function="false" hidden="false" name="Q4_ExpenseCostOfGoodsBought" vbProcedure="false">VitalTax!$F$7</definedName>
    <definedName function="false" hidden="false" name="Q4_ExpenseCostOfGoodsBoughtDisallowable" vbProcedure="false">VitalTax!$F$36</definedName>
    <definedName function="false" hidden="false" name="Q4_ExpenseDepreciation" vbProcedure="false">VitalTax!$F$26</definedName>
    <definedName function="false" hidden="false" name="Q4_ExpenseDepreciationDisallowable" vbProcedure="false">VitalTax!$F$49</definedName>
    <definedName function="false" hidden="false" name="Q4_ExpenseFinancialCharges" vbProcedure="false">VitalTax!$F$16</definedName>
    <definedName function="false" hidden="false" name="Q4_ExpenseFinancialChargesDisallowable" vbProcedure="false">VitalTax!$F$46</definedName>
    <definedName function="false" hidden="false" name="Q4_ExpenseInterest" vbProcedure="false">VitalTax!$F$21</definedName>
    <definedName function="false" hidden="false" name="Q4_ExpenseInterestDisallowable" vbProcedure="false">VitalTax!$F$45</definedName>
    <definedName function="false" hidden="false" name="Q4_ExpenseMaintenanceCosts" vbProcedure="false">VitalTax!$F$14</definedName>
    <definedName function="false" hidden="false" name="Q4_ExpenseMaintenanceCostsDisallowable" vbProcedure="false">VitalTax!$F$41</definedName>
    <definedName function="false" hidden="false" name="Q4_ExpenseOther" vbProcedure="false">VitalTax!$F$22</definedName>
    <definedName function="false" hidden="false" name="Q4_ExpenseOtherDisallowable" vbProcedure="false">VitalTax!$F$50</definedName>
    <definedName function="false" hidden="false" name="Q4_ExpensePremisesRunningCosts" vbProcedure="false">VitalTax!$F$13</definedName>
    <definedName function="false" hidden="false" name="Q4_ExpensePremisesRunningCostsDisallowable" vbProcedure="false">VitalTax!$F$40</definedName>
    <definedName function="false" hidden="false" name="Q4_ExpenseProfessionalFees" vbProcedure="false">VitalTax!$F$19</definedName>
    <definedName function="false" hidden="false" name="Q4_ExpenseProfessionalFeesDisallowable" vbProcedure="false">VitalTax!$F$48</definedName>
    <definedName function="false" hidden="false" name="Q4_ExpenseStaffCosts" vbProcedure="false">VitalTax!$F$12</definedName>
    <definedName function="false" hidden="false" name="Q4_ExpenseStaffCostsDisallowable" vbProcedure="false">VitalTax!$F$38</definedName>
    <definedName function="false" hidden="false" name="Q4_ExpenseTravelCosts" vbProcedure="false">VitalTax!$F$17</definedName>
    <definedName function="false" hidden="false" name="Q4_ExpenseTravelCostsDisallowable" vbProcedure="false">VitalTax!$F$39</definedName>
    <definedName function="false" hidden="false" name="Q4_IncomeOther" vbProcedure="false">VitalTax!$F$6</definedName>
    <definedName function="false" hidden="false" name="Q4_IncomeTurnover" vbProcedure="false">VitalTax!$F$5</definedName>
    <definedName function="false" hidden="false" localSheetId="3" name="_xlnm_Print_Titles" vbProcedure="false">'Profit &amp; Loss Acc'!$2:$4</definedName>
    <definedName function="false" hidden="false" localSheetId="4" name="_xlnm_Print_Titles" vbProcedure="false">VitalTax!$2:$4</definedName>
    <definedName function="false" hidden="false" localSheetId="5" name="_xlnm_Print_Titles" vbProcedure="false">'Fixed Assets'!$1:$4</definedName>
    <definedName function="false" hidden="false" localSheetId="8" name="_xlnm_Print_Titles" vbProcedure="false">SalesApr!$1:$3</definedName>
    <definedName function="false" hidden="false" localSheetId="9" name="Excel_BuiltIn_Print_Titles" vbProcedure="false">(PurchasesApr!$A:$A,PurchasesApr!$1:$4)</definedName>
    <definedName function="false" hidden="false" localSheetId="9" name="_xlnm_Print_Area" vbProcedure="false">PurchasesApr!$A$1:$U$68</definedName>
    <definedName function="false" hidden="false" localSheetId="9" name="_xlnm_Print_Titles" vbProcedure="false">(PurchasesApr!$A:$A,PurchasesApr!$1:$4)</definedName>
    <definedName function="false" hidden="false" localSheetId="10" name="_xlnm_Print_Titles" vbProcedure="false">SalesMay!$1:$3</definedName>
    <definedName function="false" hidden="false" localSheetId="11" name="Excel_BuiltIn_Print_Titles" vbProcedure="false">(PurchasesMay!$A:$A,PurchasesMay!$1:$4)</definedName>
    <definedName function="false" hidden="false" localSheetId="11" name="_xlnm_Print_Area" vbProcedure="false">PurchasesMay!$A$1:$U$67</definedName>
    <definedName function="false" hidden="false" localSheetId="11" name="_xlnm_Print_Titles" vbProcedure="false">(PurchasesMay!$A:$A,PurchasesMay!$1:$4)</definedName>
    <definedName function="false" hidden="false" localSheetId="12" name="_xlnm_Print_Titles" vbProcedure="false">SalesJun!$1:$3</definedName>
    <definedName function="false" hidden="false" localSheetId="13" name="Excel_BuiltIn_Print_Titles" vbProcedure="false">(PurchasesJun!$A:$A,PurchasesJun!$1:$4)</definedName>
    <definedName function="false" hidden="false" localSheetId="13" name="_xlnm_Print_Area" vbProcedure="false">PurchasesJun!$A$1:$U$68</definedName>
    <definedName function="false" hidden="false" localSheetId="13" name="_xlnm_Print_Titles" vbProcedure="false">(PurchasesJun!$A:$A,PurchasesJun!$1:$4)</definedName>
    <definedName function="false" hidden="false" localSheetId="14" name="_xlnm_Print_Titles" vbProcedure="false">SalesJul!$1:$3</definedName>
    <definedName function="false" hidden="false" localSheetId="15" name="Excel_BuiltIn_Print_Titles" vbProcedure="false">(PurchasesJul!$A:$A,PurchasesJul!$1:$4)</definedName>
    <definedName function="false" hidden="false" localSheetId="15" name="_xlnm_Print_Area" vbProcedure="false">PurchasesJul!$A$1:$U$68</definedName>
    <definedName function="false" hidden="false" localSheetId="15" name="_xlnm_Print_Titles" vbProcedure="false">(PurchasesJul!$A:$A,PurchasesJul!$1:$4)</definedName>
    <definedName function="false" hidden="false" localSheetId="16" name="_xlnm_Print_Titles" vbProcedure="false">SalesAug!$1:$3</definedName>
    <definedName function="false" hidden="false" localSheetId="17" name="Excel_BuiltIn_Print_Titles" vbProcedure="false">(PurchasesAug!$A:$A,PurchasesAug!$1:$4)</definedName>
    <definedName function="false" hidden="false" localSheetId="17" name="_xlnm_Print_Area" vbProcedure="false">PurchasesAug!$A$1:$U$68</definedName>
    <definedName function="false" hidden="false" localSheetId="17" name="_xlnm_Print_Titles" vbProcedure="false">(PurchasesAug!$A:$A,PurchasesAug!$1:$4)</definedName>
    <definedName function="false" hidden="false" localSheetId="18" name="_xlnm_Print_Titles" vbProcedure="false">SalesSep!$1:$3</definedName>
    <definedName function="false" hidden="false" localSheetId="19" name="Excel_BuiltIn_Print_Titles" vbProcedure="false">(PurchasesSep!$A:$A,PurchasesSep!$1:$4)</definedName>
    <definedName function="false" hidden="false" localSheetId="19" name="_xlnm_Print_Area" vbProcedure="false">PurchasesSep!$A$1:$U$68</definedName>
    <definedName function="false" hidden="false" localSheetId="19" name="_xlnm_Print_Titles" vbProcedure="false">(PurchasesSep!$A:$A,PurchasesSep!$1:$4)</definedName>
    <definedName function="false" hidden="false" localSheetId="20" name="_xlnm_Print_Titles" vbProcedure="false">SalesOct!$1:$3</definedName>
    <definedName function="false" hidden="false" localSheetId="21" name="Excel_BuiltIn_Print_Titles" vbProcedure="false">(PurchasesOct!$A:$A,PurchasesOct!$1:$4)</definedName>
    <definedName function="false" hidden="false" localSheetId="21" name="_xlnm_Print_Area" vbProcedure="false">PurchasesOct!$A$1:$U$68</definedName>
    <definedName function="false" hidden="false" localSheetId="21" name="_xlnm_Print_Titles" vbProcedure="false">(PurchasesOct!$A:$A,PurchasesOct!$1:$4)</definedName>
    <definedName function="false" hidden="false" localSheetId="22" name="_xlnm_Print_Titles" vbProcedure="false">SalesNov!$1:$3</definedName>
    <definedName function="false" hidden="false" localSheetId="23" name="Excel_BuiltIn_Print_Titles" vbProcedure="false">(PurchasesNov!$A:$A,PurchasesNov!$1:$4)</definedName>
    <definedName function="false" hidden="false" localSheetId="23" name="_xlnm_Print_Area" vbProcedure="false">PurchasesNov!$A$1:$U$68</definedName>
    <definedName function="false" hidden="false" localSheetId="23" name="_xlnm_Print_Titles" vbProcedure="false">(PurchasesNov!$A:$A,PurchasesNov!$1:$4)</definedName>
    <definedName function="false" hidden="false" localSheetId="24" name="_xlnm_Print_Titles" vbProcedure="false">SalesDec!$1:$3</definedName>
    <definedName function="false" hidden="false" localSheetId="25" name="Excel_BuiltIn_Print_Titles" vbProcedure="false">(PurchasesDec!$A:$A,PurchasesDec!$1:$4)</definedName>
    <definedName function="false" hidden="false" localSheetId="25" name="_xlnm_Print_Area" vbProcedure="false">PurchasesDec!$A$1:$U$68</definedName>
    <definedName function="false" hidden="false" localSheetId="25" name="_xlnm_Print_Titles" vbProcedure="false">(PurchasesDec!$A:$A,PurchasesDec!$1:$4)</definedName>
    <definedName function="false" hidden="false" localSheetId="26" name="_xlnm_Print_Titles" vbProcedure="false">SalesJan!$1:$3</definedName>
    <definedName function="false" hidden="false" localSheetId="27" name="Excel_BuiltIn_Print_Titles" vbProcedure="false">(PurchasesJan!$A:$A,PurchasesJan!$1:$4)</definedName>
    <definedName function="false" hidden="false" localSheetId="27" name="_xlnm_Print_Area" vbProcedure="false">PurchasesJan!$A$1:$U$68</definedName>
    <definedName function="false" hidden="false" localSheetId="27" name="_xlnm_Print_Titles" vbProcedure="false">(PurchasesJan!$A:$A,PurchasesJan!$1:$4)</definedName>
    <definedName function="false" hidden="false" localSheetId="28" name="_xlnm_Print_Titles" vbProcedure="false">SalesFeb!$1:$3</definedName>
    <definedName function="false" hidden="false" localSheetId="29" name="Excel_BuiltIn_Print_Titles" vbProcedure="false">(PurchasesFeb!$A:$A,PurchasesFeb!$1:$4)</definedName>
    <definedName function="false" hidden="false" localSheetId="29" name="_xlnm_Print_Area" vbProcedure="false">PurchasesFeb!$A$1:$U$68</definedName>
    <definedName function="false" hidden="false" localSheetId="29" name="_xlnm_Print_Titles" vbProcedure="false">(PurchasesFeb!$A:$A,PurchasesFeb!$1:$4)</definedName>
    <definedName function="false" hidden="false" localSheetId="30" name="_xlnm_Print_Titles" vbProcedure="false">SalesMar!$1:$3</definedName>
    <definedName function="false" hidden="false" localSheetId="31" name="Excel_BuiltIn_Print_Titles" vbProcedure="false">(PurchasesMar!$A:$A,PurchasesMar!$1:$4)</definedName>
    <definedName function="false" hidden="false" localSheetId="31" name="_xlnm_Print_Area" vbProcedure="false">PurchasesMar!$A$1:$U$68</definedName>
    <definedName function="false" hidden="false" localSheetId="31" name="_xlnm_Print_Titles" vbProcedure="false">(PurchasesMar!$A:$A,PurchasesMar!$1:$4)</definedName>
  </definedNames>
  <calcPr iterateCount="100" refMode="A1" iterate="false" iterateDelta="0.0001"/>
  <extLst>
    <ext xmlns:loext="http://schemas.libreoffice.org/" uri="{7626C862-2A13-11E5-B345-FEFF819CDC9F}">
      <loext:extCalcPr stringRefSyntax="CalcA1"/>
    </ext>
  </extLst>
</workbook>
</file>

<file path=xl/sharedStrings.xml><?xml version="1.0" encoding="utf-8"?>
<sst xmlns="http://schemas.openxmlformats.org/spreadsheetml/2006/main" count="1096" uniqueCount="332">
  <si>
    <t xml:space="preserve">Taxi Driver Accounts</t>
  </si>
  <si>
    <r>
      <rPr>
        <i val="true"/>
        <sz val="10"/>
        <rFont val="Arial"/>
        <family val="2"/>
        <charset val="1"/>
      </rPr>
      <t xml:space="preserve">Click a link below to navigate to the desired page.
To return to the home page click the Home tab. If you can't see the Home tab, you can scroll to it by clicking the </t>
    </r>
    <r>
      <rPr>
        <b val="true"/>
        <i val="true"/>
        <sz val="10"/>
        <rFont val="Arial"/>
        <family val="2"/>
        <charset val="1"/>
      </rPr>
      <t xml:space="preserve">|&lt;</t>
    </r>
    <r>
      <rPr>
        <i val="true"/>
        <sz val="10"/>
        <rFont val="Arial"/>
        <family val="2"/>
        <charset val="1"/>
      </rPr>
      <t xml:space="preserve"> symbol (bottom left).</t>
    </r>
  </si>
  <si>
    <t xml:space="preserve">Preparation</t>
  </si>
  <si>
    <t xml:space="preserve">Taxi Receipts</t>
  </si>
  <si>
    <t xml:space="preserve">Expenses</t>
  </si>
  <si>
    <t xml:space="preserve">Results</t>
  </si>
  <si>
    <t xml:space="preserve"> </t>
  </si>
  <si>
    <r>
      <rPr>
        <b val="true"/>
        <sz val="9"/>
        <rFont val="Arial"/>
        <family val="2"/>
        <charset val="1"/>
      </rPr>
      <t xml:space="preserve">ENTER YOUR BUSINESS DETAILS </t>
    </r>
    <r>
      <rPr>
        <i val="true"/>
        <sz val="9"/>
        <rFont val="Arial"/>
        <family val="2"/>
        <charset val="1"/>
      </rPr>
      <t xml:space="preserve">- which are then transferred to the Self-employment Tax Return</t>
    </r>
  </si>
  <si>
    <t xml:space="preserve">Your name</t>
  </si>
  <si>
    <t xml:space="preserve">Your unique taxpayer reference (UTR)</t>
  </si>
  <si>
    <t xml:space="preserve">Basic Taxi Driver</t>
  </si>
  <si>
    <t xml:space="preserve">5566778899</t>
  </si>
  <si>
    <t xml:space="preserve">Description of business</t>
  </si>
  <si>
    <t xml:space="preserve">If you are a foster carer or adult placement carer, put 'X'</t>
  </si>
  <si>
    <t xml:space="preserve">Owner-driver private hire and taxi services</t>
  </si>
  <si>
    <r>
      <rPr>
        <sz val="8"/>
        <rFont val="Arial"/>
        <family val="2"/>
        <charset val="1"/>
      </rPr>
      <t xml:space="preserve">in the box - </t>
    </r>
    <r>
      <rPr>
        <i val="true"/>
        <sz val="8"/>
        <rFont val="Arial"/>
        <family val="2"/>
        <charset val="1"/>
      </rPr>
      <t xml:space="preserve">read page SESN 2 of the notes</t>
    </r>
  </si>
  <si>
    <t xml:space="preserve">If your business started sifter </t>
  </si>
  <si>
    <r>
      <rPr>
        <sz val="8"/>
        <rFont val="Arial"/>
        <family val="2"/>
        <charset val="1"/>
      </rPr>
      <t xml:space="preserve">enter the start date </t>
    </r>
    <r>
      <rPr>
        <i val="true"/>
        <sz val="8"/>
        <rFont val="Arial"/>
        <family val="2"/>
        <charset val="1"/>
      </rPr>
      <t xml:space="preserve">DD/MM/YYY</t>
    </r>
  </si>
  <si>
    <t xml:space="preserve">Postcode of your business</t>
  </si>
  <si>
    <t xml:space="preserve">DE1 2GH</t>
  </si>
  <si>
    <t xml:space="preserve">If your business ceased before</t>
  </si>
  <si>
    <t xml:space="preserve">If your business name, description, address or postcode</t>
  </si>
  <si>
    <t xml:space="preserve">enter the final date of trading</t>
  </si>
  <si>
    <t xml:space="preserve">have changed in the last 12 months, put 'X' in the box</t>
  </si>
  <si>
    <t xml:space="preserve">and give details in the 'Any other information' box of</t>
  </si>
  <si>
    <t xml:space="preserve">of your Tax Return</t>
  </si>
  <si>
    <r>
      <rPr>
        <sz val="8"/>
        <rFont val="Arial"/>
        <family val="2"/>
        <charset val="1"/>
      </rPr>
      <t xml:space="preserve">Date your books or accounts are made up to -</t>
    </r>
    <r>
      <rPr>
        <i val="true"/>
        <sz val="8"/>
        <rFont val="Arial"/>
        <family val="2"/>
        <charset val="1"/>
      </rPr>
      <t xml:space="preserve"> read</t>
    </r>
  </si>
  <si>
    <t xml:space="preserve">page SESN 2 of the notes</t>
  </si>
  <si>
    <r>
      <rPr>
        <b val="true"/>
        <sz val="8"/>
        <rFont val="Arial"/>
        <family val="2"/>
        <charset val="1"/>
      </rPr>
      <t xml:space="preserve">ENTER</t>
    </r>
    <r>
      <rPr>
        <sz val="8"/>
        <rFont val="Arial"/>
        <family val="2"/>
        <charset val="1"/>
      </rPr>
      <t xml:space="preserve">: Total losses brought forward from earlier years</t>
    </r>
  </si>
  <si>
    <r>
      <rPr>
        <b val="true"/>
        <sz val="8"/>
        <rFont val="Arial"/>
        <family val="2"/>
        <charset val="1"/>
      </rPr>
      <t xml:space="preserve">ENTER</t>
    </r>
    <r>
      <rPr>
        <sz val="8"/>
        <rFont val="Arial"/>
        <family val="2"/>
        <charset val="1"/>
      </rPr>
      <t xml:space="preserve">: Value of goods and services for your own use</t>
    </r>
  </si>
  <si>
    <t xml:space="preserve"> - read page SESN 7 of the notes</t>
  </si>
  <si>
    <t xml:space="preserve">£</t>
  </si>
  <si>
    <t xml:space="preserve">.</t>
  </si>
  <si>
    <t xml:space="preserve">Loss used this year</t>
  </si>
  <si>
    <t xml:space="preserve">Total loss carried forward to future years</t>
  </si>
  <si>
    <t xml:space="preserve">Calculated no entry required</t>
  </si>
  <si>
    <t xml:space="preserve">HM Revenue                  &amp; Customs</t>
  </si>
  <si>
    <t xml:space="preserve">COPY DETAILS TO HMRC FORM          Submit HMRC ONLINE by               31st January 2022</t>
  </si>
  <si>
    <t xml:space="preserve">Self-employment (short)</t>
  </si>
  <si>
    <t xml:space="preserve">Tax year </t>
  </si>
  <si>
    <t xml:space="preserve">to</t>
  </si>
  <si>
    <t xml:space="preserve">Business details</t>
  </si>
  <si>
    <r>
      <rPr>
        <sz val="8"/>
        <rFont val="Arial"/>
        <family val="2"/>
        <charset val="1"/>
      </rPr>
      <t xml:space="preserve">enter the start date </t>
    </r>
    <r>
      <rPr>
        <i val="true"/>
        <sz val="8"/>
        <rFont val="Arial"/>
        <family val="2"/>
        <charset val="1"/>
      </rPr>
      <t xml:space="preserve">DD/MM/YYYY</t>
    </r>
  </si>
  <si>
    <r>
      <rPr>
        <sz val="8"/>
        <rFont val="Arial"/>
        <family val="2"/>
        <charset val="1"/>
      </rPr>
      <t xml:space="preserve">Your turnover -</t>
    </r>
    <r>
      <rPr>
        <i val="true"/>
        <sz val="8"/>
        <rFont val="Arial"/>
        <family val="2"/>
        <charset val="1"/>
      </rPr>
      <t xml:space="preserve"> the takings, fees, sales or money earned</t>
    </r>
  </si>
  <si>
    <t xml:space="preserve">Any other business income not included in box 9</t>
  </si>
  <si>
    <t xml:space="preserve">by your business</t>
  </si>
  <si>
    <t xml:space="preserve"> - excluding Business Start-up Allowance</t>
  </si>
  <si>
    <t xml:space="preserve">Allowable business expenses</t>
  </si>
  <si>
    <r>
      <rPr>
        <sz val="8"/>
        <rFont val="Arial"/>
        <family val="2"/>
        <charset val="1"/>
      </rPr>
      <t xml:space="preserve">Read pages SESN 3 of the </t>
    </r>
    <r>
      <rPr>
        <i val="true"/>
        <sz val="8"/>
        <rFont val="Arial"/>
        <family val="2"/>
        <charset val="1"/>
      </rPr>
      <t xml:space="preserve">notes</t>
    </r>
    <r>
      <rPr>
        <sz val="8"/>
        <rFont val="Arial"/>
        <family val="2"/>
        <charset val="1"/>
      </rPr>
      <t xml:space="preserve"> to see which expenses are allowed for tax purposes. If your annual turnover was below the VAT threshold shown above</t>
    </r>
  </si>
  <si>
    <t xml:space="preserve">you may just put your total expenses in box 20, rather than filling in the whole section.</t>
  </si>
  <si>
    <t xml:space="preserve">Cost of goods bought for re-sale or goods used</t>
  </si>
  <si>
    <t xml:space="preserve">Accountancy, legal and other professional fees</t>
  </si>
  <si>
    <r>
      <rPr>
        <sz val="8"/>
        <rFont val="Arial"/>
        <family val="2"/>
        <charset val="1"/>
      </rPr>
      <t xml:space="preserve">Car, van and other travel expenses - </t>
    </r>
    <r>
      <rPr>
        <i val="true"/>
        <sz val="8"/>
        <rFont val="Arial"/>
        <family val="2"/>
        <charset val="1"/>
      </rPr>
      <t xml:space="preserve">after private</t>
    </r>
  </si>
  <si>
    <t xml:space="preserve">Interest and bank and credit card etc. financial charges</t>
  </si>
  <si>
    <t xml:space="preserve">use proportion</t>
  </si>
  <si>
    <t xml:space="preserve">Wages, salaries and other staff costs</t>
  </si>
  <si>
    <t xml:space="preserve">Telephone, fax, stationery and other office costs</t>
  </si>
  <si>
    <t xml:space="preserve">Rent, rates, power and insurance costs</t>
  </si>
  <si>
    <r>
      <rPr>
        <sz val="8"/>
        <rFont val="Arial"/>
        <family val="2"/>
        <charset val="1"/>
      </rPr>
      <t xml:space="preserve">Other allowable business expenses - </t>
    </r>
    <r>
      <rPr>
        <i val="true"/>
        <sz val="8"/>
        <rFont val="Arial"/>
        <family val="2"/>
        <charset val="1"/>
      </rPr>
      <t xml:space="preserve">client entertaining</t>
    </r>
  </si>
  <si>
    <t xml:space="preserve">costs are not an allowable expense</t>
  </si>
  <si>
    <t xml:space="preserve">Repairs and renewals of property and equipment</t>
  </si>
  <si>
    <r>
      <rPr>
        <sz val="8"/>
        <rFont val="Arial"/>
        <family val="2"/>
        <charset val="1"/>
      </rPr>
      <t xml:space="preserve">Total allowable expenses - </t>
    </r>
    <r>
      <rPr>
        <i val="true"/>
        <sz val="8"/>
        <rFont val="Arial"/>
        <family val="2"/>
        <charset val="1"/>
      </rPr>
      <t xml:space="preserve">total of boxes 11 to 19</t>
    </r>
  </si>
  <si>
    <t xml:space="preserve">Net profit or loss</t>
  </si>
  <si>
    <r>
      <rPr>
        <sz val="8"/>
        <rFont val="Arial"/>
        <family val="2"/>
        <charset val="1"/>
      </rPr>
      <t xml:space="preserve">Net profit -</t>
    </r>
    <r>
      <rPr>
        <i val="true"/>
        <sz val="8"/>
        <rFont val="Arial"/>
        <family val="2"/>
        <charset val="1"/>
      </rPr>
      <t xml:space="preserve"> if your business income is more then your</t>
    </r>
  </si>
  <si>
    <r>
      <rPr>
        <sz val="8"/>
        <rFont val="Arial"/>
        <family val="2"/>
        <charset val="1"/>
      </rPr>
      <t xml:space="preserve">Or, net loss -</t>
    </r>
    <r>
      <rPr>
        <i val="true"/>
        <sz val="8"/>
        <rFont val="Arial"/>
        <family val="2"/>
        <charset val="1"/>
      </rPr>
      <t xml:space="preserve"> if your expenses exceed your business</t>
    </r>
  </si>
  <si>
    <t xml:space="preserve">expenses (box 9 + box 10 minus box 20)</t>
  </si>
  <si>
    <t xml:space="preserve">income (box 9 + box 10 minus box 20 is negative)</t>
  </si>
  <si>
    <t xml:space="preserve">Tax allowances for vehicles and equipment (capital allowances)</t>
  </si>
  <si>
    <t xml:space="preserve">There are 'capital' tax allowances for vehicles and equipment used in your business (you should not have included the cost of</t>
  </si>
  <si>
    <r>
      <rPr>
        <sz val="8"/>
        <rFont val="Arial"/>
        <family val="2"/>
        <charset val="1"/>
      </rPr>
      <t xml:space="preserve">these in your business expenses)  Read pages SESN 3 to SEFN 6 of the </t>
    </r>
    <r>
      <rPr>
        <i val="true"/>
        <sz val="8"/>
        <rFont val="Arial"/>
        <family val="2"/>
        <charset val="1"/>
      </rPr>
      <t xml:space="preserve">notes</t>
    </r>
    <r>
      <rPr>
        <sz val="8"/>
        <rFont val="Arial"/>
        <family val="2"/>
        <charset val="1"/>
      </rPr>
      <t xml:space="preserve"> and use the example and Working Sheets to work out</t>
    </r>
  </si>
  <si>
    <t xml:space="preserve">your capital allowances.</t>
  </si>
  <si>
    <t xml:space="preserve">Annual Investment Allowance</t>
  </si>
  <si>
    <t xml:space="preserve">Other Capital Allowances</t>
  </si>
  <si>
    <t xml:space="preserve">Allowance of small balance of unrelieved</t>
  </si>
  <si>
    <t xml:space="preserve">Total balancing charges - where you have disposed of</t>
  </si>
  <si>
    <t xml:space="preserve">expenditure</t>
  </si>
  <si>
    <t xml:space="preserve">items for more than their value</t>
  </si>
  <si>
    <t xml:space="preserve">Calculating your taxable profits</t>
  </si>
  <si>
    <r>
      <rPr>
        <sz val="8"/>
        <rFont val="Arial"/>
        <family val="2"/>
        <charset val="1"/>
      </rPr>
      <t xml:space="preserve">Your taxable profit may not be the same as your net profit. Read page SESN 7 of the </t>
    </r>
    <r>
      <rPr>
        <i val="true"/>
        <sz val="8"/>
        <rFont val="Arial"/>
        <family val="2"/>
        <charset val="1"/>
      </rPr>
      <t xml:space="preserve">notes</t>
    </r>
    <r>
      <rPr>
        <sz val="8"/>
        <rFont val="Arial"/>
        <family val="2"/>
        <charset val="1"/>
      </rPr>
      <t xml:space="preserve"> to see if you need to make any</t>
    </r>
  </si>
  <si>
    <t xml:space="preserve">adjustments and fill in the boxes which apply to arrive at your taxable profit for the year.</t>
  </si>
  <si>
    <r>
      <rPr>
        <sz val="8"/>
        <rFont val="Arial"/>
        <family val="2"/>
        <charset val="1"/>
      </rPr>
      <t xml:space="preserve">Goods and services for your own use - </t>
    </r>
    <r>
      <rPr>
        <i val="true"/>
        <sz val="8"/>
        <rFont val="Arial"/>
        <family val="2"/>
        <charset val="1"/>
      </rPr>
      <t xml:space="preserve">read page</t>
    </r>
  </si>
  <si>
    <t xml:space="preserve">Loss brought forward from earlier years set-off against</t>
  </si>
  <si>
    <t xml:space="preserve">SESN 9 of the notes</t>
  </si>
  <si>
    <r>
      <rPr>
        <sz val="8"/>
        <rFont val="Arial"/>
        <family val="2"/>
        <charset val="1"/>
      </rPr>
      <t xml:space="preserve">this year's profits - </t>
    </r>
    <r>
      <rPr>
        <i val="true"/>
        <sz val="8"/>
        <rFont val="Arial"/>
        <family val="2"/>
        <charset val="1"/>
      </rPr>
      <t xml:space="preserve">up to the amount in box 28</t>
    </r>
  </si>
  <si>
    <t xml:space="preserve">Net business profit for tax purposes (if box 21 + box 26 +</t>
  </si>
  <si>
    <t xml:space="preserve">Any other business income not included in boxes 9 or 10</t>
  </si>
  <si>
    <t xml:space="preserve">box 27 minus boxes 22 to 25) is positive)</t>
  </si>
  <si>
    <t xml:space="preserve"> - for example, Business Start-up Allowance</t>
  </si>
  <si>
    <t xml:space="preserve">Total taxable profits or net business loss</t>
  </si>
  <si>
    <t xml:space="preserve">Total taxable profits from this business</t>
  </si>
  <si>
    <t xml:space="preserve">Net business loss for tax purposes (if boxes 22 to 25</t>
  </si>
  <si>
    <t xml:space="preserve">if box 28 + box 30 minus box 29 is positive</t>
  </si>
  <si>
    <t xml:space="preserve">minus (box 21 + box 26 + box 27) is positive)</t>
  </si>
  <si>
    <t xml:space="preserve">Losses, Class 4 NICs and deductions</t>
  </si>
  <si>
    <r>
      <rPr>
        <sz val="8"/>
        <rFont val="Arial"/>
        <family val="2"/>
        <charset val="1"/>
      </rPr>
      <t xml:space="preserve">If you have made a loss for tax purposes (box 32), read page SESN 7 of the </t>
    </r>
    <r>
      <rPr>
        <i val="true"/>
        <sz val="8"/>
        <rFont val="Arial"/>
        <family val="2"/>
        <charset val="1"/>
      </rPr>
      <t xml:space="preserve">notes</t>
    </r>
    <r>
      <rPr>
        <sz val="8"/>
        <rFont val="Arial"/>
        <family val="2"/>
        <charset val="1"/>
      </rPr>
      <t xml:space="preserve"> and fill in boxes 33 to 35 as appropriate.</t>
    </r>
  </si>
  <si>
    <t xml:space="preserve">Loss from this tax year set-off against other income</t>
  </si>
  <si>
    <t xml:space="preserve">for </t>
  </si>
  <si>
    <t xml:space="preserve">choose to pay Class 2 NICs voluntarily, put 'X' in the box</t>
  </si>
  <si>
    <t xml:space="preserve">Loss to be carried back to previous year(s) and set-off</t>
  </si>
  <si>
    <t xml:space="preserve">If you are exempt from paying Class 4 NICs, put 'X' in the</t>
  </si>
  <si>
    <t xml:space="preserve">against income (or capital gains)</t>
  </si>
  <si>
    <r>
      <rPr>
        <sz val="8"/>
        <rFont val="Arial"/>
        <family val="2"/>
        <charset val="1"/>
      </rPr>
      <t xml:space="preserve">box - </t>
    </r>
    <r>
      <rPr>
        <i val="true"/>
        <sz val="8"/>
        <rFont val="Arial"/>
        <family val="2"/>
        <charset val="1"/>
      </rPr>
      <t xml:space="preserve">read page SESN 10 of the notes</t>
    </r>
  </si>
  <si>
    <t xml:space="preserve">Total loss to carry forward after all other set-offs</t>
  </si>
  <si>
    <t xml:space="preserve">Deductions on payment and deduction statements from</t>
  </si>
  <si>
    <t xml:space="preserve"> - including unused losses brought forward</t>
  </si>
  <si>
    <r>
      <rPr>
        <sz val="8"/>
        <rFont val="Arial"/>
        <family val="2"/>
        <charset val="1"/>
      </rPr>
      <t xml:space="preserve">contractors -</t>
    </r>
    <r>
      <rPr>
        <i val="true"/>
        <sz val="8"/>
        <rFont val="Arial"/>
        <family val="2"/>
        <charset val="1"/>
      </rPr>
      <t xml:space="preserve"> construction industry subcontractors only</t>
    </r>
  </si>
  <si>
    <t xml:space="preserve">Profit &amp; Loss account automatically updates with the most tax efficient option</t>
  </si>
  <si>
    <t xml:space="preserve">Enter mileage and vehicle expenses on the sales and expenses sheet and the formula will automatically select the best option</t>
  </si>
  <si>
    <t xml:space="preserve">Profit &amp; Loss Account</t>
  </si>
  <si>
    <t xml:space="preserve">TOTAL</t>
  </si>
  <si>
    <t xml:space="preserve">Sales Turnover</t>
  </si>
  <si>
    <t xml:space="preserve">Fuel &amp; Oil Expenses</t>
  </si>
  <si>
    <t xml:space="preserve">Car Hire/Vehicle Leasing</t>
  </si>
  <si>
    <t xml:space="preserve">Repairs, servicing and parts</t>
  </si>
  <si>
    <t xml:space="preserve">Road tax and insurance</t>
  </si>
  <si>
    <t xml:space="preserve">Capital Allowances</t>
  </si>
  <si>
    <t xml:space="preserve">Mileage Allowance</t>
  </si>
  <si>
    <t xml:space="preserve">Cost of Sales</t>
  </si>
  <si>
    <t xml:space="preserve">Gross Profit</t>
  </si>
  <si>
    <t xml:space="preserve">Employee costs</t>
  </si>
  <si>
    <t xml:space="preserve">Premises costs</t>
  </si>
  <si>
    <t xml:space="preserve">General admin expenses</t>
  </si>
  <si>
    <t xml:space="preserve">Advertising &amp; promotion</t>
  </si>
  <si>
    <t xml:space="preserve">Legal &amp; professional</t>
  </si>
  <si>
    <t xml:space="preserve">Interest</t>
  </si>
  <si>
    <t xml:space="preserve">Other finance charges</t>
  </si>
  <si>
    <t xml:space="preserve">Other expenses</t>
  </si>
  <si>
    <t xml:space="preserve">Total Expenses</t>
  </si>
  <si>
    <t xml:space="preserve">Net Profit/Loss</t>
  </si>
  <si>
    <t xml:space="preserve">Any Other Business Income</t>
  </si>
  <si>
    <t xml:space="preserve">Financial Business Health Check</t>
  </si>
  <si>
    <t xml:space="preserve">Forecast Profit</t>
  </si>
  <si>
    <t xml:space="preserve">Drawings Week 1</t>
  </si>
  <si>
    <t xml:space="preserve">Drawings Week 2</t>
  </si>
  <si>
    <t xml:space="preserve">Drawings Week 3</t>
  </si>
  <si>
    <t xml:space="preserve">Drawings Week 4</t>
  </si>
  <si>
    <t xml:space="preserve">Income Tax &amp; NI Liability</t>
  </si>
  <si>
    <t xml:space="preserve">Financial Health Check</t>
  </si>
  <si>
    <t xml:space="preserve">VitalTax summary</t>
  </si>
  <si>
    <t xml:space="preserve">Q1</t>
  </si>
  <si>
    <t xml:space="preserve">Q2</t>
  </si>
  <si>
    <t xml:space="preserve">Q3</t>
  </si>
  <si>
    <t xml:space="preserve">Q4</t>
  </si>
  <si>
    <t xml:space="preserve">Annual</t>
  </si>
  <si>
    <t xml:space="preserve">Notes</t>
  </si>
  <si>
    <t xml:space="preserve">Turnover</t>
  </si>
  <si>
    <t xml:space="preserve">Other income</t>
  </si>
  <si>
    <t xml:space="preserve">Cost of goods bought</t>
  </si>
  <si>
    <t xml:space="preserve">Allowable expenses</t>
  </si>
  <si>
    <t xml:space="preserve">Staff costs</t>
  </si>
  <si>
    <t xml:space="preserve">Premises running costs</t>
  </si>
  <si>
    <t xml:space="preserve">Maintenance</t>
  </si>
  <si>
    <t xml:space="preserve">Admin</t>
  </si>
  <si>
    <t xml:space="preserve">Financial charges</t>
  </si>
  <si>
    <t xml:space="preserve">Travel</t>
  </si>
  <si>
    <t xml:space="preserve">Advertising</t>
  </si>
  <si>
    <t xml:space="preserve">Professional</t>
  </si>
  <si>
    <t xml:space="preserve">Bad debt</t>
  </si>
  <si>
    <t xml:space="preserve">Not captured in DIY Accounting</t>
  </si>
  <si>
    <t xml:space="preserve">Other</t>
  </si>
  <si>
    <t xml:space="preserve">CIS payment to subcontractors</t>
  </si>
  <si>
    <t xml:space="preserve">Business entertainment</t>
  </si>
  <si>
    <t xml:space="preserve">Depreciation</t>
  </si>
  <si>
    <t xml:space="preserve">Total allowable expenses </t>
  </si>
  <si>
    <t xml:space="preserve">Disallowable expenses</t>
  </si>
  <si>
    <t xml:space="preserve">Travel </t>
  </si>
  <si>
    <t xml:space="preserve">Financial charges </t>
  </si>
  <si>
    <t xml:space="preserve">Bad debt </t>
  </si>
  <si>
    <t xml:space="preserve">Date     Asset Purchased</t>
  </si>
  <si>
    <t xml:space="preserve">TOTAL FIXED ASSETS AT</t>
  </si>
  <si>
    <t xml:space="preserve">Enter % Personal use of vehicles</t>
  </si>
  <si>
    <t xml:space="preserve">Date     Asset or Vehicle    Sold</t>
  </si>
  <si>
    <t xml:space="preserve">Asset Description</t>
  </si>
  <si>
    <t xml:space="preserve">Purchase Reference</t>
  </si>
  <si>
    <t xml:space="preserve">Original Cost</t>
  </si>
  <si>
    <t xml:space="preserve">W Down Net Value</t>
  </si>
  <si>
    <t xml:space="preserve">W Down Allowance</t>
  </si>
  <si>
    <t xml:space="preserve">Sales      Value</t>
  </si>
  <si>
    <t xml:space="preserve">Capital Allowance</t>
  </si>
  <si>
    <t xml:space="preserve">Balancing Charge</t>
  </si>
  <si>
    <t xml:space="preserve">Fixed Assets including Commercial vehicles bought before</t>
  </si>
  <si>
    <t xml:space="preserve">Fixed Assets incl Commercial vehicles bght before</t>
  </si>
  <si>
    <t xml:space="preserve">Vehicles under £12,000 bought before</t>
  </si>
  <si>
    <t xml:space="preserve">Sub total Vehicles under £12000 purchased before</t>
  </si>
  <si>
    <t xml:space="preserve">Vehicles over £12,000 bought before</t>
  </si>
  <si>
    <t xml:space="preserve">Sub total Vehicles over £12000 purchased before</t>
  </si>
  <si>
    <t xml:space="preserve">FIXED ASSETS EXISTING at</t>
  </si>
  <si>
    <t xml:space="preserve">Fixed Assets including Commercial vehicles bought after</t>
  </si>
  <si>
    <t xml:space="preserve">Fixed Assets incl Commercial vehicles bght after</t>
  </si>
  <si>
    <t xml:space="preserve">Vehicles under £12,000 bought after</t>
  </si>
  <si>
    <t xml:space="preserve">Taxi vehicle</t>
  </si>
  <si>
    <t xml:space="preserve">VEH-0601</t>
  </si>
  <si>
    <t xml:space="preserve">Sub total Vehicles under £12000 purchased after</t>
  </si>
  <si>
    <t xml:space="preserve">Vehicles over £12,000 bought after</t>
  </si>
  <si>
    <t xml:space="preserve">Sub total Vehicles over £12000 purchased after</t>
  </si>
  <si>
    <t xml:space="preserve">FIXED ASSET ADDITIONS </t>
  </si>
  <si>
    <t xml:space="preserve">TAXATION CALCULATION </t>
  </si>
  <si>
    <t xml:space="preserve">This section an indication and for your information only</t>
  </si>
  <si>
    <t xml:space="preserve">Profit from Self employment</t>
  </si>
  <si>
    <t xml:space="preserve">Minus Personal Allowance</t>
  </si>
  <si>
    <t xml:space="preserve">Total income on which tax is due</t>
  </si>
  <si>
    <t xml:space="preserve">Income Tax first band</t>
  </si>
  <si>
    <t xml:space="preserve">Income Tax second band</t>
  </si>
  <si>
    <t xml:space="preserve">Income Tax third band</t>
  </si>
  <si>
    <t xml:space="preserve">Income Tax payable</t>
  </si>
  <si>
    <t xml:space="preserve">Amounts Payable by</t>
  </si>
  <si>
    <t xml:space="preserve">Class 4 NI Contribution Lower - Upper profits</t>
  </si>
  <si>
    <t xml:space="preserve">Class 4 NI Contribution Upper profits</t>
  </si>
  <si>
    <t xml:space="preserve">TOTAL Income Tax &amp; NI Liability</t>
  </si>
  <si>
    <t xml:space="preserve">FUTURE TAX LIABILITY (if over £500)</t>
  </si>
  <si>
    <t xml:space="preserve">This section for your information only</t>
  </si>
  <si>
    <t xml:space="preserve">Due Date</t>
  </si>
  <si>
    <t xml:space="preserve">Amount Payable</t>
  </si>
  <si>
    <t xml:space="preserve">Tax &amp; NI Assessment</t>
  </si>
  <si>
    <t xml:space="preserve">Previous Year</t>
  </si>
  <si>
    <t xml:space="preserve">50% Payable</t>
  </si>
  <si>
    <t xml:space="preserve">NOTES:</t>
  </si>
  <si>
    <t xml:space="preserve">Working Tax Credit</t>
  </si>
  <si>
    <t xml:space="preserve">Not taxable and not added to self employment income for tax purposes</t>
  </si>
  <si>
    <t xml:space="preserve">Pension Entitlement</t>
  </si>
  <si>
    <t xml:space="preserve">To receive Full Pension entitlement NI has to be paid 44 years out of 49 years (16 - 65)</t>
  </si>
  <si>
    <t xml:space="preserve">UK residents aged 60 - 65 get 5 years bonus.</t>
  </si>
  <si>
    <t xml:space="preserve">To confirm current NI / Pension entitlement years the helpline number is 0845 3000 168</t>
  </si>
  <si>
    <t xml:space="preserve">ACTUAL                          Profit and Loss Account</t>
  </si>
  <si>
    <t xml:space="preserve">Total Year</t>
  </si>
  <si>
    <t xml:space="preserve">Investment Grants</t>
  </si>
  <si>
    <t xml:space="preserve">General Expenses</t>
  </si>
  <si>
    <t xml:space="preserve">Profit (Loss) before Tax</t>
  </si>
  <si>
    <t xml:space="preserve">FORECAST                   Profit and Loss Account</t>
  </si>
  <si>
    <t xml:space="preserve">FORECAST TAX CALCULATION</t>
  </si>
  <si>
    <t xml:space="preserve">Profit before Tax</t>
  </si>
  <si>
    <t xml:space="preserve">Personal Allowance</t>
  </si>
  <si>
    <t xml:space="preserve">Profit after Allowance</t>
  </si>
  <si>
    <t xml:space="preserve">Tax at standard rate</t>
  </si>
  <si>
    <t xml:space="preserve">Tax at higher rate</t>
  </si>
  <si>
    <t xml:space="preserve">Tax at additional rate</t>
  </si>
  <si>
    <t xml:space="preserve">National Insurance</t>
  </si>
  <si>
    <t xml:space="preserve">TAX &amp; NI LIABILITY</t>
  </si>
  <si>
    <t xml:space="preserve">Sales      Date</t>
  </si>
  <si>
    <t xml:space="preserve">Day</t>
  </si>
  <si>
    <t xml:space="preserve">Total for Month</t>
  </si>
  <si>
    <t xml:space="preserve">Customer Name (rental/other income)</t>
  </si>
  <si>
    <t xml:space="preserve">Sales Mileage</t>
  </si>
  <si>
    <t xml:space="preserve">Gross takings including tips</t>
  </si>
  <si>
    <t xml:space="preserve">Other Income (start up grants)</t>
  </si>
  <si>
    <t xml:space="preserve">Rental due</t>
  </si>
  <si>
    <t xml:space="preserve">Any other income</t>
  </si>
  <si>
    <t xml:space="preserve">Mileage to date</t>
  </si>
  <si>
    <t xml:space="preserve">Mileage expenses to date</t>
  </si>
  <si>
    <t xml:space="preserve">Purchase Reference / Invoice Number</t>
  </si>
  <si>
    <t xml:space="preserve"> Enter Expense Code Letter</t>
  </si>
  <si>
    <t xml:space="preserve">Mileage</t>
  </si>
  <si>
    <t xml:space="preserve">Total Purchase Value incl Vat</t>
  </si>
  <si>
    <t xml:space="preserve">Vehicle expenses to date</t>
  </si>
  <si>
    <t xml:space="preserve">Employee Costs</t>
  </si>
  <si>
    <t xml:space="preserve">Premises Costs</t>
  </si>
  <si>
    <t xml:space="preserve">General Admin Tel Postage Stationery Radio hire</t>
  </si>
  <si>
    <t xml:space="preserve">Advertising &amp;   Promotion</t>
  </si>
  <si>
    <t xml:space="preserve">Legal &amp; Professional incl Council Taxi Licence Costs</t>
  </si>
  <si>
    <t xml:space="preserve">Bank Business Account Interest</t>
  </si>
  <si>
    <t xml:space="preserve">Bank Charges &amp; Other Leasing</t>
  </si>
  <si>
    <t xml:space="preserve">Other Expenses incl valet costs</t>
  </si>
  <si>
    <t xml:space="preserve">Fixed Assets Motor Vehicles</t>
  </si>
  <si>
    <t xml:space="preserve">Purchase Date</t>
  </si>
  <si>
    <t xml:space="preserve">Supplier</t>
  </si>
  <si>
    <t xml:space="preserve">Car Hire &amp; Vehicle Leasing costs</t>
  </si>
  <si>
    <t xml:space="preserve">D</t>
  </si>
  <si>
    <t xml:space="preserve">H</t>
  </si>
  <si>
    <t xml:space="preserve">R</t>
  </si>
  <si>
    <t xml:space="preserve">T</t>
  </si>
  <si>
    <t xml:space="preserve">E</t>
  </si>
  <si>
    <t xml:space="preserve">P</t>
  </si>
  <si>
    <t xml:space="preserve">G</t>
  </si>
  <si>
    <t xml:space="preserve">A</t>
  </si>
  <si>
    <t xml:space="preserve">L</t>
  </si>
  <si>
    <t xml:space="preserve">I</t>
  </si>
  <si>
    <t xml:space="preserve">B</t>
  </si>
  <si>
    <t xml:space="preserve">O</t>
  </si>
  <si>
    <t xml:space="preserve">F</t>
  </si>
  <si>
    <t xml:space="preserve">DVLA</t>
  </si>
  <si>
    <t xml:space="preserve">t</t>
  </si>
  <si>
    <t xml:space="preserve">Council</t>
  </si>
  <si>
    <t xml:space="preserve">l</t>
  </si>
  <si>
    <t xml:space="preserve">Insurance Co</t>
  </si>
  <si>
    <t xml:space="preserve">Shell</t>
  </si>
  <si>
    <t xml:space="preserve">d</t>
  </si>
  <si>
    <t xml:space="preserve">Vodafone</t>
  </si>
  <si>
    <t xml:space="preserve">g</t>
  </si>
  <si>
    <t xml:space="preserve">Advertising &amp; Promotion</t>
  </si>
  <si>
    <t xml:space="preserve">Car Dealer</t>
  </si>
  <si>
    <t xml:space="preserve">f</t>
  </si>
  <si>
    <t xml:space="preserve">Start-up grant</t>
  </si>
  <si>
    <t xml:space="preserve">Accountant</t>
  </si>
  <si>
    <t xml:space="preserve">Dates</t>
  </si>
  <si>
    <t xml:space="preserve">Capital Tax Allowances </t>
  </si>
  <si>
    <t xml:space="preserve">Income Tax Rates</t>
  </si>
  <si>
    <t xml:space="preserve">Personal allowance</t>
  </si>
  <si>
    <t xml:space="preserve">Writing down allowance</t>
  </si>
  <si>
    <t xml:space="preserve">Personal allowance taper threshold</t>
  </si>
  <si>
    <t xml:space="preserve">Basic rate applicable on taxable income up to higher rate</t>
  </si>
  <si>
    <t xml:space="preserve">%</t>
  </si>
  <si>
    <t xml:space="preserve">Allowances restricted on Motor vehicles</t>
  </si>
  <si>
    <t xml:space="preserve">Higher rate applicable on taxable income over higher rate</t>
  </si>
  <si>
    <t xml:space="preserve">Additional rate applicable above the higher rate limit</t>
  </si>
  <si>
    <t xml:space="preserve">Taxable Bands Allowances</t>
  </si>
  <si>
    <t xml:space="preserve">Start Level</t>
  </si>
  <si>
    <t xml:space="preserve"> End Level</t>
  </si>
  <si>
    <t xml:space="preserve"> Tax Band </t>
  </si>
  <si>
    <t xml:space="preserve">Depreciation Rates Applied</t>
  </si>
  <si>
    <t xml:space="preserve">Basic rate</t>
  </si>
  <si>
    <t xml:space="preserve">Higher rate</t>
  </si>
  <si>
    <t xml:space="preserve">Land &amp; Property</t>
  </si>
  <si>
    <t xml:space="preserve">Additional rate</t>
  </si>
  <si>
    <t xml:space="preserve">Plant &amp; Machinery</t>
  </si>
  <si>
    <t xml:space="preserve">National Insurance rates</t>
  </si>
  <si>
    <t xml:space="preserve">Fixtures &amp; Fittings</t>
  </si>
  <si>
    <t xml:space="preserve">Computer Equipment</t>
  </si>
  <si>
    <t xml:space="preserve">NI Class 2 rate</t>
  </si>
  <si>
    <t xml:space="preserve">Above Lower Profits Threshold (LPT)</t>
  </si>
  <si>
    <t xml:space="preserve">Motor Vehicles</t>
  </si>
  <si>
    <t xml:space="preserve">Mileage Allowances</t>
  </si>
  <si>
    <t xml:space="preserve">Miles</t>
  </si>
  <si>
    <t xml:space="preserve">p per mile</t>
  </si>
  <si>
    <t xml:space="preserve">NI Class 4 rate between lower profits and upper profits limit</t>
  </si>
  <si>
    <t xml:space="preserve">NIC class 4 lower limit</t>
  </si>
  <si>
    <t xml:space="preserve">Higher rate allowance up to</t>
  </si>
  <si>
    <t xml:space="preserve">Lower rate allowance over</t>
  </si>
  <si>
    <t xml:space="preserve">NI Class 4 rate above upper profits limit</t>
  </si>
  <si>
    <t xml:space="preserve">NIC class 4 upper limit</t>
  </si>
  <si>
    <t xml:space="preserve">2026-27</t>
  </si>
  <si>
    <t xml:space="preserve">2027-28</t>
  </si>
  <si>
    <t xml:space="preserve">VAT Threshold</t>
  </si>
</sst>
</file>

<file path=xl/styles.xml><?xml version="1.0" encoding="utf-8"?>
<styleSheet xmlns="http://schemas.openxmlformats.org/spreadsheetml/2006/main">
  <numFmts count="18">
    <numFmt numFmtId="164" formatCode="General"/>
    <numFmt numFmtId="165" formatCode="General"/>
    <numFmt numFmtId="166" formatCode="mmm\-yy"/>
    <numFmt numFmtId="167" formatCode="[$-F800]dddd&quot;, &quot;mmmm\ dd&quot;, &quot;yyyy"/>
    <numFmt numFmtId="168" formatCode="dd/mm/yyyy;@"/>
    <numFmt numFmtId="169" formatCode="#,##0"/>
    <numFmt numFmtId="170" formatCode="0"/>
    <numFmt numFmtId="171" formatCode="d\-mmm\-yy"/>
    <numFmt numFmtId="172" formatCode="#,##0_ ;[RED]\-#,##0\ "/>
    <numFmt numFmtId="173" formatCode="#,##0.00_ ;[RED]\-#,##0.00\ "/>
    <numFmt numFmtId="174" formatCode="0.00"/>
    <numFmt numFmtId="175" formatCode="#,##0.00"/>
    <numFmt numFmtId="176" formatCode="0%"/>
    <numFmt numFmtId="177" formatCode="m/d/yyyy"/>
    <numFmt numFmtId="178" formatCode="0.00_ ;[RED]\-0.00\ "/>
    <numFmt numFmtId="179" formatCode="0_ ;[RED]\-0\ "/>
    <numFmt numFmtId="180" formatCode="dddd"/>
    <numFmt numFmtId="181" formatCode="0.00%"/>
  </numFmts>
  <fonts count="41">
    <font>
      <sz val="10"/>
      <name val="Arial"/>
      <family val="0"/>
      <charset val="1"/>
    </font>
    <font>
      <sz val="10"/>
      <name val="Arial"/>
      <family val="0"/>
    </font>
    <font>
      <sz val="10"/>
      <name val="Arial"/>
      <family val="0"/>
    </font>
    <font>
      <sz val="10"/>
      <name val="Arial"/>
      <family val="0"/>
    </font>
    <font>
      <sz val="10"/>
      <name val="Arial"/>
      <family val="2"/>
      <charset val="1"/>
    </font>
    <font>
      <b val="true"/>
      <sz val="10"/>
      <name val="Arial"/>
      <family val="2"/>
      <charset val="1"/>
    </font>
    <font>
      <i val="true"/>
      <sz val="10"/>
      <name val="Arial"/>
      <family val="2"/>
      <charset val="1"/>
    </font>
    <font>
      <b val="true"/>
      <i val="true"/>
      <sz val="10"/>
      <name val="Arial"/>
      <family val="2"/>
      <charset val="1"/>
    </font>
    <font>
      <u val="single"/>
      <sz val="10"/>
      <color rgb="FF0000FF"/>
      <name val="Arial"/>
      <family val="2"/>
      <charset val="1"/>
    </font>
    <font>
      <sz val="9"/>
      <name val="Arial"/>
      <family val="2"/>
      <charset val="1"/>
    </font>
    <font>
      <b val="true"/>
      <sz val="9"/>
      <name val="Arial"/>
      <family val="2"/>
      <charset val="1"/>
    </font>
    <font>
      <i val="true"/>
      <sz val="9"/>
      <name val="Arial"/>
      <family val="2"/>
      <charset val="1"/>
    </font>
    <font>
      <sz val="8"/>
      <name val="Arial"/>
      <family val="2"/>
      <charset val="1"/>
    </font>
    <font>
      <b val="true"/>
      <sz val="11"/>
      <name val="Arial"/>
      <family val="2"/>
      <charset val="1"/>
    </font>
    <font>
      <i val="true"/>
      <sz val="8"/>
      <name val="Arial"/>
      <family val="2"/>
      <charset val="1"/>
    </font>
    <font>
      <sz val="14"/>
      <name val="Arial"/>
      <family val="2"/>
      <charset val="1"/>
    </font>
    <font>
      <b val="true"/>
      <sz val="8"/>
      <name val="Arial"/>
      <family val="2"/>
      <charset val="1"/>
    </font>
    <font>
      <sz val="10"/>
      <color rgb="FF3366FF"/>
      <name val="Arial"/>
      <family val="2"/>
      <charset val="1"/>
    </font>
    <font>
      <b val="true"/>
      <sz val="12"/>
      <name val="Arial"/>
      <family val="2"/>
      <charset val="1"/>
    </font>
    <font>
      <i val="true"/>
      <sz val="8"/>
      <color rgb="FF0000FF"/>
      <name val="Arial"/>
      <family val="2"/>
      <charset val="1"/>
    </font>
    <font>
      <b val="true"/>
      <sz val="14"/>
      <color rgb="FF333399"/>
      <name val="Arial"/>
      <family val="2"/>
      <charset val="1"/>
    </font>
    <font>
      <b val="true"/>
      <sz val="8"/>
      <color rgb="FFFF6600"/>
      <name val="Arial"/>
      <family val="2"/>
      <charset val="1"/>
    </font>
    <font>
      <b val="true"/>
      <sz val="16"/>
      <color rgb="FF333399"/>
      <name val="Arial"/>
      <family val="2"/>
      <charset val="1"/>
    </font>
    <font>
      <b val="true"/>
      <sz val="10"/>
      <color rgb="FF333399"/>
      <name val="Arial"/>
      <family val="2"/>
      <charset val="1"/>
    </font>
    <font>
      <sz val="12"/>
      <name val="Arial"/>
      <family val="2"/>
      <charset val="1"/>
    </font>
    <font>
      <sz val="11"/>
      <color rgb="FF3366FF"/>
      <name val="Arial"/>
      <family val="2"/>
      <charset val="1"/>
    </font>
    <font>
      <sz val="10"/>
      <name val="Times New Roman"/>
      <family val="1"/>
      <charset val="1"/>
    </font>
    <font>
      <sz val="9"/>
      <color rgb="FF000080"/>
      <name val="Times New Roman"/>
      <family val="1"/>
      <charset val="1"/>
    </font>
    <font>
      <sz val="10"/>
      <color rgb="FFFF0000"/>
      <name val="Times New Roman"/>
      <family val="1"/>
      <charset val="1"/>
    </font>
    <font>
      <b val="true"/>
      <sz val="8"/>
      <color rgb="FFFF0000"/>
      <name val="Arial"/>
      <family val="2"/>
      <charset val="1"/>
    </font>
    <font>
      <b val="true"/>
      <sz val="10"/>
      <color rgb="FF000080"/>
      <name val="Times New Roman"/>
      <family val="1"/>
      <charset val="1"/>
    </font>
    <font>
      <b val="true"/>
      <sz val="10"/>
      <color rgb="FFFF0000"/>
      <name val="Times New Roman"/>
      <family val="1"/>
      <charset val="1"/>
    </font>
    <font>
      <b val="true"/>
      <sz val="10"/>
      <name val="Times New Roman"/>
      <family val="1"/>
      <charset val="1"/>
    </font>
    <font>
      <sz val="9"/>
      <name val="Times New Roman"/>
      <family val="1"/>
      <charset val="1"/>
    </font>
    <font>
      <b val="true"/>
      <sz val="9"/>
      <name val="Times New Roman"/>
      <family val="1"/>
      <charset val="1"/>
    </font>
    <font>
      <b val="true"/>
      <i val="true"/>
      <sz val="9"/>
      <name val="Times New Roman"/>
      <family val="1"/>
      <charset val="1"/>
    </font>
    <font>
      <sz val="10"/>
      <color rgb="FF0000FF"/>
      <name val="Times New Roman"/>
      <family val="1"/>
      <charset val="1"/>
    </font>
    <font>
      <b val="true"/>
      <sz val="10"/>
      <color rgb="FF0000FF"/>
      <name val="Times New Roman"/>
      <family val="1"/>
      <charset val="1"/>
    </font>
    <font>
      <b val="true"/>
      <i val="true"/>
      <sz val="10"/>
      <name val="Times New Roman"/>
      <family val="1"/>
      <charset val="1"/>
    </font>
    <font>
      <sz val="9"/>
      <color rgb="FF0000FF"/>
      <name val="Times New Roman"/>
      <family val="1"/>
      <charset val="1"/>
    </font>
    <font>
      <b val="true"/>
      <sz val="9"/>
      <color rgb="FFFF0000"/>
      <name val="Arial"/>
      <family val="2"/>
      <charset val="1"/>
    </font>
  </fonts>
  <fills count="7">
    <fill>
      <patternFill patternType="none"/>
    </fill>
    <fill>
      <patternFill patternType="gray125"/>
    </fill>
    <fill>
      <patternFill patternType="solid">
        <fgColor rgb="FFFFFF99"/>
        <bgColor rgb="FFFFFFCC"/>
      </patternFill>
    </fill>
    <fill>
      <patternFill patternType="solid">
        <fgColor rgb="FFFFFFCC"/>
        <bgColor rgb="FFFFFFFF"/>
      </patternFill>
    </fill>
    <fill>
      <patternFill patternType="solid">
        <fgColor rgb="FFFF9900"/>
        <bgColor rgb="FFFFCC00"/>
      </patternFill>
    </fill>
    <fill>
      <patternFill patternType="solid">
        <fgColor rgb="FFCCFFCC"/>
        <bgColor rgb="FFCCFFFF"/>
      </patternFill>
    </fill>
    <fill>
      <patternFill patternType="solid">
        <fgColor rgb="FFCCFFFF"/>
        <bgColor rgb="FFCCFFFF"/>
      </patternFill>
    </fill>
  </fills>
  <borders count="51">
    <border diagonalUp="false" diagonalDown="false">
      <left/>
      <right/>
      <top/>
      <bottom/>
      <diagonal/>
    </border>
    <border diagonalUp="false" diagonalDown="false">
      <left style="thin">
        <color rgb="FF00CCFF"/>
      </left>
      <right style="thin">
        <color rgb="FF00CCFF"/>
      </right>
      <top style="thin">
        <color rgb="FF00CCFF"/>
      </top>
      <bottom style="thin">
        <color rgb="FF00CCFF"/>
      </bottom>
      <diagonal/>
    </border>
    <border diagonalUp="false" diagonalDown="false">
      <left style="thin">
        <color rgb="FF00CCFF"/>
      </left>
      <right/>
      <top style="thin">
        <color rgb="FF00CCFF"/>
      </top>
      <bottom/>
      <diagonal/>
    </border>
    <border diagonalUp="false" diagonalDown="false">
      <left/>
      <right/>
      <top style="thin">
        <color rgb="FF00CCFF"/>
      </top>
      <bottom/>
      <diagonal/>
    </border>
    <border diagonalUp="false" diagonalDown="false">
      <left/>
      <right style="thin">
        <color rgb="FF00CCFF"/>
      </right>
      <top style="thin">
        <color rgb="FF00CCFF"/>
      </top>
      <bottom/>
      <diagonal/>
    </border>
    <border diagonalUp="false" diagonalDown="false">
      <left style="thin">
        <color rgb="FF00CCFF"/>
      </left>
      <right/>
      <top/>
      <bottom/>
      <diagonal/>
    </border>
    <border diagonalUp="false" diagonalDown="false">
      <left/>
      <right style="thin">
        <color rgb="FF00CCFF"/>
      </right>
      <top/>
      <bottom/>
      <diagonal/>
    </border>
    <border diagonalUp="false" diagonalDown="false">
      <left style="thin">
        <color rgb="FF99CCFF"/>
      </left>
      <right style="thin">
        <color rgb="FF99CCFF"/>
      </right>
      <top style="thin">
        <color rgb="FF99CCFF"/>
      </top>
      <bottom style="thin">
        <color rgb="FF99CCFF"/>
      </bottom>
      <diagonal/>
    </border>
    <border diagonalUp="false" diagonalDown="false">
      <left/>
      <right style="thin">
        <color rgb="FF99CCFF"/>
      </right>
      <top/>
      <bottom/>
      <diagonal/>
    </border>
    <border diagonalUp="false" diagonalDown="false">
      <left style="thin">
        <color rgb="FF99CCFF"/>
      </left>
      <right/>
      <top/>
      <bottom/>
      <diagonal/>
    </border>
    <border diagonalUp="false" diagonalDown="false">
      <left style="thin">
        <color rgb="FF99CCFF"/>
      </left>
      <right/>
      <top/>
      <bottom style="thin">
        <color rgb="FF99CCFF"/>
      </bottom>
      <diagonal/>
    </border>
    <border diagonalUp="false" diagonalDown="false">
      <left/>
      <right/>
      <top/>
      <bottom style="thin">
        <color rgb="FF99CCFF"/>
      </bottom>
      <diagonal/>
    </border>
    <border diagonalUp="false" diagonalDown="false">
      <left/>
      <right style="thin">
        <color rgb="FF99CCFF"/>
      </right>
      <top/>
      <bottom style="thin">
        <color rgb="FF99CCFF"/>
      </bottom>
      <diagonal/>
    </border>
    <border diagonalUp="false" diagonalDown="false">
      <left/>
      <right/>
      <top/>
      <bottom style="thin">
        <color rgb="FF00CCFF"/>
      </bottom>
      <diagonal/>
    </border>
    <border diagonalUp="false" diagonalDown="false">
      <left style="thin">
        <color rgb="FF00CCFF"/>
      </left>
      <right/>
      <top/>
      <bottom style="thin">
        <color rgb="FF00CCFF"/>
      </bottom>
      <diagonal/>
    </border>
    <border diagonalUp="false" diagonalDown="false">
      <left/>
      <right style="thin">
        <color rgb="FF00CCFF"/>
      </right>
      <top/>
      <bottom style="thin">
        <color rgb="FF00CCFF"/>
      </bottom>
      <diagonal/>
    </border>
    <border diagonalUp="false" diagonalDown="false">
      <left/>
      <right/>
      <top style="thin">
        <color rgb="FF00CCFF"/>
      </top>
      <bottom style="thin">
        <color rgb="FF99CCFF"/>
      </bottom>
      <diagonal/>
    </border>
    <border diagonalUp="false" diagonalDown="false">
      <left style="thin">
        <color rgb="FF99CCFF"/>
      </left>
      <right/>
      <top style="thin">
        <color rgb="FF99CCFF"/>
      </top>
      <bottom/>
      <diagonal/>
    </border>
    <border diagonalUp="false" diagonalDown="false">
      <left/>
      <right/>
      <top style="thin">
        <color rgb="FF99CCFF"/>
      </top>
      <bottom/>
      <diagonal/>
    </border>
    <border diagonalUp="false" diagonalDown="false">
      <left/>
      <right style="thin">
        <color rgb="FF99CCFF"/>
      </right>
      <top style="thin">
        <color rgb="FF99CCFF"/>
      </top>
      <bottom/>
      <diagonal/>
    </border>
    <border diagonalUp="false" diagonalDown="false">
      <left/>
      <right/>
      <top style="thin">
        <color rgb="FF99CCFF"/>
      </top>
      <bottom style="thin">
        <color rgb="FF99CCFF"/>
      </bottom>
      <diagonal/>
    </border>
    <border diagonalUp="false" diagonalDown="false">
      <left style="thin"/>
      <right style="thin"/>
      <top style="thin"/>
      <bottom style="thin"/>
      <diagonal/>
    </border>
    <border diagonalUp="false" diagonalDown="false">
      <left/>
      <right/>
      <top style="thin"/>
      <bottom style="thin"/>
      <diagonal/>
    </border>
    <border diagonalUp="false" diagonalDown="false">
      <left style="medium"/>
      <right style="medium"/>
      <top style="medium"/>
      <bottom style="medium"/>
      <diagonal/>
    </border>
    <border diagonalUp="false" diagonalDown="false">
      <left style="thin"/>
      <right style="thin"/>
      <top style="thin"/>
      <bottom/>
      <diagonal/>
    </border>
    <border diagonalUp="false" diagonalDown="false">
      <left style="thin"/>
      <right style="thin"/>
      <top/>
      <bottom style="thin"/>
      <diagonal/>
    </border>
    <border diagonalUp="false" diagonalDown="false">
      <left style="thin"/>
      <right/>
      <top style="thin"/>
      <bottom style="thin"/>
      <diagonal/>
    </border>
    <border diagonalUp="false" diagonalDown="false">
      <left/>
      <right style="thin"/>
      <top style="thin"/>
      <bottom style="thin"/>
      <diagonal/>
    </border>
    <border diagonalUp="false" diagonalDown="false">
      <left style="thin"/>
      <right/>
      <top/>
      <bottom/>
      <diagonal/>
    </border>
    <border diagonalUp="false" diagonalDown="false">
      <left/>
      <right style="thin"/>
      <top/>
      <bottom/>
      <diagonal/>
    </border>
    <border diagonalUp="false" diagonalDown="false">
      <left/>
      <right/>
      <top/>
      <bottom style="thin"/>
      <diagonal/>
    </border>
    <border diagonalUp="false" diagonalDown="false">
      <left style="thin"/>
      <right/>
      <top/>
      <bottom style="thin"/>
      <diagonal/>
    </border>
    <border diagonalUp="false" diagonalDown="false">
      <left/>
      <right style="thin"/>
      <top/>
      <bottom style="thin"/>
      <diagonal/>
    </border>
    <border diagonalUp="false" diagonalDown="false">
      <left style="medium"/>
      <right/>
      <top/>
      <bottom style="medium"/>
      <diagonal/>
    </border>
    <border diagonalUp="false" diagonalDown="false">
      <left/>
      <right/>
      <top/>
      <bottom style="medium"/>
      <diagonal/>
    </border>
    <border diagonalUp="false" diagonalDown="false">
      <left/>
      <right style="medium"/>
      <top/>
      <bottom style="medium"/>
      <diagonal/>
    </border>
    <border diagonalUp="false" diagonalDown="false">
      <left style="medium"/>
      <right/>
      <top style="medium"/>
      <bottom/>
      <diagonal/>
    </border>
    <border diagonalUp="false" diagonalDown="false">
      <left/>
      <right/>
      <top style="medium"/>
      <bottom/>
      <diagonal/>
    </border>
    <border diagonalUp="false" diagonalDown="false">
      <left/>
      <right style="medium"/>
      <top style="medium"/>
      <bottom/>
      <diagonal/>
    </border>
    <border diagonalUp="false" diagonalDown="false">
      <left/>
      <right style="medium"/>
      <top/>
      <bottom/>
      <diagonal/>
    </border>
    <border diagonalUp="false" diagonalDown="false">
      <left style="medium"/>
      <right/>
      <top/>
      <bottom/>
      <diagonal/>
    </border>
    <border diagonalUp="false" diagonalDown="false">
      <left style="medium"/>
      <right/>
      <top style="medium"/>
      <bottom style="medium"/>
      <diagonal/>
    </border>
    <border diagonalUp="false" diagonalDown="false">
      <left/>
      <right style="medium"/>
      <top style="medium"/>
      <bottom style="medium"/>
      <diagonal/>
    </border>
    <border diagonalUp="false" diagonalDown="false">
      <left style="thin"/>
      <right style="thin"/>
      <top style="medium"/>
      <bottom/>
      <diagonal/>
    </border>
    <border diagonalUp="false" diagonalDown="false">
      <left/>
      <right/>
      <top style="thin"/>
      <bottom/>
      <diagonal/>
    </border>
    <border diagonalUp="false" diagonalDown="false">
      <left/>
      <right/>
      <top style="medium"/>
      <bottom style="medium"/>
      <diagonal/>
    </border>
    <border diagonalUp="false" diagonalDown="false">
      <left style="thin"/>
      <right style="thin"/>
      <top/>
      <bottom/>
      <diagonal/>
    </border>
    <border diagonalUp="false" diagonalDown="false">
      <left style="thin"/>
      <right style="thin"/>
      <top/>
      <bottom style="medium"/>
      <diagonal/>
    </border>
    <border diagonalUp="false" diagonalDown="false">
      <left style="thin"/>
      <right style="medium"/>
      <top style="thin"/>
      <bottom style="thin"/>
      <diagonal/>
    </border>
    <border diagonalUp="false" diagonalDown="false">
      <left/>
      <right/>
      <top style="thin"/>
      <bottom style="medium"/>
      <diagonal/>
    </border>
    <border diagonalUp="false" diagonalDown="false">
      <left/>
      <right style="medium"/>
      <top style="thin"/>
      <bottom style="medium"/>
      <diagonal/>
    </border>
  </borders>
  <cellStyleXfs count="23">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8" fillId="0" borderId="0" applyFont="true" applyBorder="false" applyAlignment="true" applyProtection="false">
      <alignment horizontal="general" vertical="bottom" textRotation="0" wrapText="false" indent="0" shrinkToFit="false"/>
    </xf>
    <xf numFmtId="164" fontId="4" fillId="0" borderId="0" applyFont="true" applyBorder="true" applyAlignment="true" applyProtection="true">
      <alignment horizontal="general" vertical="bottom"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cellStyleXfs>
  <cellXfs count="423">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2" borderId="0" xfId="0" applyFont="true" applyBorder="true" applyAlignment="true" applyProtection="false">
      <alignment horizontal="center" vertical="bottom" textRotation="0" wrapText="false" indent="0" shrinkToFit="false"/>
      <protection locked="true" hidden="false"/>
    </xf>
    <xf numFmtId="164" fontId="4"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left" vertical="bottom" textRotation="0" wrapText="false" indent="0" shrinkToFit="false"/>
      <protection locked="true" hidden="false"/>
    </xf>
    <xf numFmtId="164" fontId="6" fillId="2" borderId="0" xfId="0" applyFont="true" applyBorder="true" applyAlignment="true" applyProtection="false">
      <alignment horizontal="left" vertical="bottom" textRotation="0" wrapText="true" indent="0" shrinkToFit="false"/>
      <protection locked="true" hidden="false"/>
    </xf>
    <xf numFmtId="164" fontId="5" fillId="2" borderId="0" xfId="0" applyFont="true" applyBorder="false" applyAlignment="false" applyProtection="false">
      <alignment horizontal="general" vertical="bottom" textRotation="0" wrapText="false" indent="0" shrinkToFit="false"/>
      <protection locked="true" hidden="false"/>
    </xf>
    <xf numFmtId="165" fontId="8" fillId="2" borderId="0" xfId="20" applyFont="true" applyBorder="true" applyAlignment="true" applyProtection="true">
      <alignment horizontal="general" vertical="bottom" textRotation="0" wrapText="false" indent="0" shrinkToFit="false"/>
      <protection locked="true" hidden="false"/>
    </xf>
    <xf numFmtId="166" fontId="8" fillId="2" borderId="0" xfId="20" applyFont="true" applyBorder="true" applyAlignment="true" applyProtection="tru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0" borderId="1" xfId="0" applyFont="true" applyBorder="true" applyAlignment="true" applyProtection="false">
      <alignment horizontal="left" vertical="center" textRotation="0" wrapText="false" indent="1" shrinkToFit="false"/>
      <protection locked="true" hidden="false"/>
    </xf>
    <xf numFmtId="164" fontId="9" fillId="3" borderId="2" xfId="0" applyFont="true" applyBorder="true" applyAlignment="false" applyProtection="false">
      <alignment horizontal="general" vertical="bottom" textRotation="0" wrapText="false" indent="0" shrinkToFit="false"/>
      <protection locked="true" hidden="false"/>
    </xf>
    <xf numFmtId="164" fontId="9" fillId="3" borderId="3" xfId="0" applyFont="true" applyBorder="true" applyAlignment="false" applyProtection="false">
      <alignment horizontal="general" vertical="bottom" textRotation="0" wrapText="false" indent="0" shrinkToFit="false"/>
      <protection locked="true" hidden="false"/>
    </xf>
    <xf numFmtId="164" fontId="9" fillId="3" borderId="4" xfId="0" applyFont="true" applyBorder="true" applyAlignment="false" applyProtection="false">
      <alignment horizontal="general" vertical="bottom" textRotation="0" wrapText="false" indent="0" shrinkToFit="false"/>
      <protection locked="true" hidden="false"/>
    </xf>
    <xf numFmtId="164" fontId="9" fillId="3" borderId="5" xfId="0" applyFont="true" applyBorder="true" applyAlignment="false" applyProtection="false">
      <alignment horizontal="general" vertical="bottom" textRotation="0" wrapText="false" indent="0" shrinkToFit="false"/>
      <protection locked="true" hidden="false"/>
    </xf>
    <xf numFmtId="164" fontId="9" fillId="3" borderId="0" xfId="0" applyFont="true" applyBorder="false" applyAlignment="false" applyProtection="false">
      <alignment horizontal="general" vertical="bottom" textRotation="0" wrapText="false" indent="0" shrinkToFit="false"/>
      <protection locked="true" hidden="false"/>
    </xf>
    <xf numFmtId="164" fontId="12" fillId="3" borderId="0" xfId="0" applyFont="true" applyBorder="false" applyAlignment="false" applyProtection="false">
      <alignment horizontal="general" vertical="bottom" textRotation="0" wrapText="false" indent="0" shrinkToFit="false"/>
      <protection locked="true" hidden="false"/>
    </xf>
    <xf numFmtId="164" fontId="12" fillId="3" borderId="6" xfId="0" applyFont="true" applyBorder="true" applyAlignment="false" applyProtection="false">
      <alignment horizontal="general" vertical="bottom" textRotation="0" wrapText="false" indent="0" shrinkToFit="false"/>
      <protection locked="true" hidden="false"/>
    </xf>
    <xf numFmtId="164" fontId="9" fillId="0" borderId="7" xfId="0" applyFont="true" applyBorder="true" applyAlignment="true" applyProtection="false">
      <alignment horizontal="general" vertical="center" textRotation="0" wrapText="false" indent="0" shrinkToFit="false"/>
      <protection locked="true" hidden="false"/>
    </xf>
    <xf numFmtId="164" fontId="13" fillId="0" borderId="7" xfId="0" applyFont="true" applyBorder="true" applyAlignment="true" applyProtection="false">
      <alignment horizontal="center" vertical="center" textRotation="0" wrapText="false" indent="0" shrinkToFit="false"/>
      <protection locked="true" hidden="false"/>
    </xf>
    <xf numFmtId="164" fontId="9" fillId="3" borderId="6" xfId="0" applyFont="true" applyBorder="true" applyAlignment="false" applyProtection="false">
      <alignment horizontal="general" vertical="bottom" textRotation="0" wrapText="false" indent="0" shrinkToFit="false"/>
      <protection locked="true" hidden="false"/>
    </xf>
    <xf numFmtId="164" fontId="12" fillId="0" borderId="7" xfId="0" applyFont="true" applyBorder="true" applyAlignment="false" applyProtection="false">
      <alignment horizontal="general" vertical="bottom" textRotation="0" wrapText="false" indent="0" shrinkToFit="false"/>
      <protection locked="true" hidden="false"/>
    </xf>
    <xf numFmtId="167" fontId="12" fillId="3"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4" fontId="12" fillId="3" borderId="8" xfId="0" applyFont="true" applyBorder="true" applyAlignment="false" applyProtection="false">
      <alignment horizontal="general" vertical="bottom" textRotation="0" wrapText="false" indent="0" shrinkToFit="false"/>
      <protection locked="true" hidden="false"/>
    </xf>
    <xf numFmtId="164" fontId="9" fillId="3" borderId="9" xfId="0" applyFont="true" applyBorder="true" applyAlignment="false" applyProtection="false">
      <alignment horizontal="general" vertical="bottom" textRotation="0" wrapText="false" indent="0" shrinkToFit="false"/>
      <protection locked="true" hidden="false"/>
    </xf>
    <xf numFmtId="164" fontId="12" fillId="3" borderId="0" xfId="0" applyFont="true" applyBorder="false" applyAlignment="true" applyProtection="false">
      <alignment horizontal="general" vertical="center" textRotation="0" wrapText="false" indent="0" shrinkToFit="false"/>
      <protection locked="true" hidden="false"/>
    </xf>
    <xf numFmtId="164" fontId="9" fillId="3" borderId="0" xfId="0" applyFont="true" applyBorder="false" applyAlignment="true" applyProtection="false">
      <alignment horizontal="general" vertical="center" textRotation="0" wrapText="false" indent="0" shrinkToFit="false"/>
      <protection locked="true" hidden="false"/>
    </xf>
    <xf numFmtId="164" fontId="9" fillId="3" borderId="8"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true" applyProtection="false">
      <alignment horizontal="center" vertical="bottom" textRotation="0" wrapText="false" indent="0" shrinkToFit="false"/>
      <protection locked="true" hidden="false"/>
    </xf>
    <xf numFmtId="167" fontId="12" fillId="3" borderId="0" xfId="0" applyFont="true" applyBorder="true" applyAlignment="true" applyProtection="false">
      <alignment horizontal="left" vertical="bottom" textRotation="0" wrapText="false" indent="0" shrinkToFit="false"/>
      <protection locked="true" hidden="false"/>
    </xf>
    <xf numFmtId="164" fontId="12" fillId="3" borderId="0" xfId="0" applyFont="true" applyBorder="true" applyAlignment="true" applyProtection="false">
      <alignment horizontal="general" vertical="center" textRotation="0" wrapText="false" indent="0" shrinkToFit="false"/>
      <protection locked="true" hidden="false"/>
    </xf>
    <xf numFmtId="164" fontId="12" fillId="3" borderId="8" xfId="0" applyFont="true" applyBorder="true" applyAlignment="true" applyProtection="false">
      <alignment horizontal="general" vertical="center" textRotation="0" wrapText="false" indent="0" shrinkToFit="false"/>
      <protection locked="true" hidden="false"/>
    </xf>
    <xf numFmtId="168" fontId="13" fillId="0" borderId="7" xfId="0" applyFont="true" applyBorder="true" applyAlignment="true" applyProtection="false">
      <alignment horizontal="center" vertical="center" textRotation="0" wrapText="false" indent="0" shrinkToFit="false"/>
      <protection locked="true" hidden="false"/>
    </xf>
    <xf numFmtId="164" fontId="9" fillId="0" borderId="7" xfId="0" applyFont="true" applyBorder="true" applyAlignment="true" applyProtection="false">
      <alignment horizontal="right" vertical="bottom" textRotation="0" wrapText="false" indent="0" shrinkToFit="false"/>
      <protection locked="true" hidden="false"/>
    </xf>
    <xf numFmtId="164" fontId="9" fillId="0" borderId="7" xfId="0" applyFont="true" applyBorder="true" applyAlignment="true" applyProtection="false">
      <alignment horizontal="left" vertical="bottom" textRotation="0" wrapText="false" indent="0" shrinkToFit="false"/>
      <protection locked="true" hidden="false"/>
    </xf>
    <xf numFmtId="164" fontId="14" fillId="3" borderId="0" xfId="0" applyFont="true" applyBorder="false" applyAlignment="false" applyProtection="false">
      <alignment horizontal="general" vertical="bottom" textRotation="0" wrapText="false" indent="0" shrinkToFit="false"/>
      <protection locked="true" hidden="false"/>
    </xf>
    <xf numFmtId="164" fontId="15" fillId="0" borderId="7" xfId="0" applyFont="true" applyBorder="true" applyAlignment="true" applyProtection="false">
      <alignment horizontal="center" vertical="bottom" textRotation="0" wrapText="false" indent="0" shrinkToFit="false"/>
      <protection locked="true" hidden="false"/>
    </xf>
    <xf numFmtId="164" fontId="14" fillId="3" borderId="0" xfId="0" applyFont="true" applyBorder="false" applyAlignment="true" applyProtection="false">
      <alignment horizontal="general" vertical="center" textRotation="0" wrapText="false" indent="0" shrinkToFit="false"/>
      <protection locked="true" hidden="false"/>
    </xf>
    <xf numFmtId="164" fontId="16" fillId="3" borderId="0" xfId="0" applyFont="true" applyBorder="false" applyAlignment="false" applyProtection="false">
      <alignment horizontal="general" vertical="bottom" textRotation="0" wrapText="false" indent="0" shrinkToFit="false"/>
      <protection locked="true" hidden="false"/>
    </xf>
    <xf numFmtId="164" fontId="17" fillId="3" borderId="7" xfId="0" applyFont="true" applyBorder="true" applyAlignment="true" applyProtection="false">
      <alignment horizontal="center" vertical="center" textRotation="0" wrapText="false" indent="0" shrinkToFit="false"/>
      <protection locked="true" hidden="false"/>
    </xf>
    <xf numFmtId="169" fontId="13" fillId="0" borderId="7" xfId="0" applyFont="true" applyBorder="true" applyAlignment="true" applyProtection="false">
      <alignment horizontal="general" vertical="center" textRotation="0" wrapText="false" indent="0" shrinkToFit="false"/>
      <protection locked="true" hidden="false"/>
    </xf>
    <xf numFmtId="164" fontId="18" fillId="3" borderId="0" xfId="0" applyFont="true" applyBorder="false" applyAlignment="true" applyProtection="false">
      <alignment horizontal="center" vertical="center" textRotation="0" wrapText="false" indent="0" shrinkToFit="false"/>
      <protection locked="true" hidden="false"/>
    </xf>
    <xf numFmtId="170" fontId="17" fillId="3" borderId="7" xfId="0" applyFont="true" applyBorder="true" applyAlignment="true" applyProtection="false">
      <alignment horizontal="center" vertical="center" textRotation="0" wrapText="false" indent="0" shrinkToFit="false"/>
      <protection locked="true" hidden="false"/>
    </xf>
    <xf numFmtId="164" fontId="17" fillId="3" borderId="0" xfId="0" applyFont="true" applyBorder="false" applyAlignment="true" applyProtection="false">
      <alignment horizontal="center" vertical="center" textRotation="0" wrapText="false" indent="0" shrinkToFit="false"/>
      <protection locked="true" hidden="false"/>
    </xf>
    <xf numFmtId="169" fontId="13" fillId="3" borderId="0" xfId="0" applyFont="true" applyBorder="false" applyAlignment="true" applyProtection="false">
      <alignment horizontal="general" vertical="center" textRotation="0" wrapText="false" indent="0" shrinkToFit="false"/>
      <protection locked="true" hidden="false"/>
    </xf>
    <xf numFmtId="170" fontId="17" fillId="3" borderId="0" xfId="0" applyFont="true" applyBorder="false" applyAlignment="true" applyProtection="false">
      <alignment horizontal="center" vertical="center" textRotation="0" wrapText="false" indent="0" shrinkToFit="false"/>
      <protection locked="true" hidden="false"/>
    </xf>
    <xf numFmtId="164" fontId="9" fillId="3" borderId="8" xfId="0" applyFont="true" applyBorder="true" applyAlignment="true" applyProtection="false">
      <alignment horizontal="general" vertical="center" textRotation="0" wrapText="false" indent="0" shrinkToFit="false"/>
      <protection locked="true" hidden="false"/>
    </xf>
    <xf numFmtId="164" fontId="9" fillId="0" borderId="0" xfId="0" applyFont="true" applyBorder="false" applyAlignment="true" applyProtection="false">
      <alignment horizontal="general" vertical="center" textRotation="0" wrapText="false" indent="0" shrinkToFit="false"/>
      <protection locked="true" hidden="false"/>
    </xf>
    <xf numFmtId="164" fontId="19" fillId="3" borderId="0" xfId="0" applyFont="true" applyBorder="false" applyAlignment="true" applyProtection="false">
      <alignment horizontal="general" vertical="center" textRotation="0" wrapText="false" indent="0" shrinkToFit="false"/>
      <protection locked="true" hidden="false"/>
    </xf>
    <xf numFmtId="169" fontId="13" fillId="3" borderId="7" xfId="0" applyFont="true" applyBorder="true" applyAlignment="true" applyProtection="false">
      <alignment horizontal="general" vertical="center" textRotation="0" wrapText="false" indent="0" shrinkToFit="false"/>
      <protection locked="true" hidden="false"/>
    </xf>
    <xf numFmtId="164" fontId="9" fillId="3" borderId="10" xfId="0" applyFont="true" applyBorder="true" applyAlignment="false" applyProtection="false">
      <alignment horizontal="general" vertical="bottom" textRotation="0" wrapText="false" indent="0" shrinkToFit="false"/>
      <protection locked="true" hidden="false"/>
    </xf>
    <xf numFmtId="164" fontId="9" fillId="3" borderId="11" xfId="0" applyFont="true" applyBorder="true" applyAlignment="false" applyProtection="false">
      <alignment horizontal="general" vertical="bottom" textRotation="0" wrapText="false" indent="0" shrinkToFit="false"/>
      <protection locked="true" hidden="false"/>
    </xf>
    <xf numFmtId="164" fontId="9" fillId="3" borderId="12" xfId="0" applyFont="true" applyBorder="tru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true">
      <alignment horizontal="general" vertical="bottom" textRotation="0" wrapText="false" indent="0" shrinkToFit="false"/>
      <protection locked="true" hidden="true"/>
    </xf>
    <xf numFmtId="164" fontId="20" fillId="0" borderId="0" xfId="0" applyFont="true" applyBorder="true" applyAlignment="true" applyProtection="true">
      <alignment horizontal="center" vertical="center" textRotation="0" wrapText="true" indent="0" shrinkToFit="false"/>
      <protection locked="true" hidden="true"/>
    </xf>
    <xf numFmtId="164" fontId="21" fillId="0" borderId="0" xfId="0" applyFont="true" applyBorder="true" applyAlignment="true" applyProtection="true">
      <alignment horizontal="center" vertical="center" textRotation="0" wrapText="true" indent="0" shrinkToFit="false"/>
      <protection locked="true" hidden="true"/>
    </xf>
    <xf numFmtId="164" fontId="22" fillId="0" borderId="0" xfId="0" applyFont="true" applyBorder="true" applyAlignment="true" applyProtection="true">
      <alignment horizontal="left" vertical="center" textRotation="0" wrapText="true" indent="1" shrinkToFit="false"/>
      <protection locked="true" hidden="true"/>
    </xf>
    <xf numFmtId="164" fontId="23" fillId="0" borderId="0" xfId="0" applyFont="true" applyBorder="true" applyAlignment="true" applyProtection="true">
      <alignment horizontal="right" vertical="center" textRotation="0" wrapText="false" indent="0" shrinkToFit="false"/>
      <protection locked="true" hidden="true"/>
    </xf>
    <xf numFmtId="167" fontId="23" fillId="0" borderId="0" xfId="0" applyFont="true" applyBorder="true" applyAlignment="true" applyProtection="true">
      <alignment horizontal="center" vertical="center" textRotation="0" wrapText="false" indent="0" shrinkToFit="false"/>
      <protection locked="true" hidden="true"/>
    </xf>
    <xf numFmtId="164" fontId="23" fillId="0" borderId="0" xfId="0" applyFont="true" applyBorder="false" applyAlignment="true" applyProtection="true">
      <alignment horizontal="center" vertical="center" textRotation="0" wrapText="false" indent="0" shrinkToFit="false"/>
      <protection locked="true" hidden="true"/>
    </xf>
    <xf numFmtId="164" fontId="9" fillId="4" borderId="0" xfId="0" applyFont="true" applyBorder="true" applyAlignment="false" applyProtection="true">
      <alignment horizontal="general" vertical="bottom" textRotation="0" wrapText="false" indent="0" shrinkToFit="false"/>
      <protection locked="true" hidden="true"/>
    </xf>
    <xf numFmtId="164" fontId="9" fillId="0" borderId="13" xfId="0" applyFont="true" applyBorder="true" applyAlignment="false" applyProtection="true">
      <alignment horizontal="general" vertical="bottom" textRotation="0" wrapText="false" indent="0" shrinkToFit="false"/>
      <protection locked="true" hidden="true"/>
    </xf>
    <xf numFmtId="164" fontId="9" fillId="3" borderId="2" xfId="0" applyFont="true" applyBorder="true" applyAlignment="false" applyProtection="true">
      <alignment horizontal="general" vertical="bottom" textRotation="0" wrapText="false" indent="0" shrinkToFit="false"/>
      <protection locked="true" hidden="true"/>
    </xf>
    <xf numFmtId="164" fontId="9" fillId="3" borderId="3" xfId="0" applyFont="true" applyBorder="true" applyAlignment="false" applyProtection="true">
      <alignment horizontal="general" vertical="bottom" textRotation="0" wrapText="false" indent="0" shrinkToFit="false"/>
      <protection locked="true" hidden="true"/>
    </xf>
    <xf numFmtId="164" fontId="9" fillId="3" borderId="4" xfId="0" applyFont="true" applyBorder="true" applyAlignment="false" applyProtection="true">
      <alignment horizontal="general" vertical="bottom" textRotation="0" wrapText="false" indent="0" shrinkToFit="false"/>
      <protection locked="true" hidden="true"/>
    </xf>
    <xf numFmtId="164" fontId="9" fillId="3" borderId="5" xfId="0" applyFont="true" applyBorder="true" applyAlignment="false" applyProtection="true">
      <alignment horizontal="general" vertical="bottom" textRotation="0" wrapText="false" indent="0" shrinkToFit="false"/>
      <protection locked="true" hidden="true"/>
    </xf>
    <xf numFmtId="164" fontId="9" fillId="3" borderId="0" xfId="0" applyFont="true" applyBorder="false" applyAlignment="false" applyProtection="true">
      <alignment horizontal="general" vertical="bottom" textRotation="0" wrapText="false" indent="0" shrinkToFit="false"/>
      <protection locked="true" hidden="true"/>
    </xf>
    <xf numFmtId="164" fontId="12" fillId="3" borderId="0" xfId="0" applyFont="true" applyBorder="false" applyAlignment="false" applyProtection="true">
      <alignment horizontal="general" vertical="bottom" textRotation="0" wrapText="false" indent="0" shrinkToFit="false"/>
      <protection locked="true" hidden="true"/>
    </xf>
    <xf numFmtId="164" fontId="12" fillId="3" borderId="6" xfId="0" applyFont="true" applyBorder="true" applyAlignment="false" applyProtection="true">
      <alignment horizontal="general" vertical="bottom" textRotation="0" wrapText="false" indent="0" shrinkToFit="false"/>
      <protection locked="true" hidden="true"/>
    </xf>
    <xf numFmtId="165" fontId="13" fillId="0" borderId="7" xfId="0" applyFont="true" applyBorder="true" applyAlignment="true" applyProtection="true">
      <alignment horizontal="general" vertical="center" textRotation="0" wrapText="false" indent="0" shrinkToFit="false"/>
      <protection locked="true" hidden="true"/>
    </xf>
    <xf numFmtId="164" fontId="13" fillId="3" borderId="0" xfId="0" applyFont="true" applyBorder="false" applyAlignment="false" applyProtection="true">
      <alignment horizontal="general" vertical="bottom" textRotation="0" wrapText="false" indent="0" shrinkToFit="false"/>
      <protection locked="true" hidden="true"/>
    </xf>
    <xf numFmtId="165" fontId="13" fillId="0" borderId="7" xfId="0" applyFont="true" applyBorder="true" applyAlignment="true" applyProtection="true">
      <alignment horizontal="center" vertical="center" textRotation="0" wrapText="false" indent="0" shrinkToFit="false"/>
      <protection locked="true" hidden="true"/>
    </xf>
    <xf numFmtId="164" fontId="9" fillId="3" borderId="6" xfId="0" applyFont="true" applyBorder="true" applyAlignment="false" applyProtection="true">
      <alignment horizontal="general" vertical="bottom" textRotation="0" wrapText="false" indent="0" shrinkToFit="false"/>
      <protection locked="true" hidden="true"/>
    </xf>
    <xf numFmtId="164" fontId="9" fillId="3" borderId="14" xfId="0" applyFont="true" applyBorder="true" applyAlignment="false" applyProtection="true">
      <alignment horizontal="general" vertical="bottom" textRotation="0" wrapText="false" indent="0" shrinkToFit="false"/>
      <protection locked="true" hidden="true"/>
    </xf>
    <xf numFmtId="164" fontId="9" fillId="3" borderId="13" xfId="0" applyFont="true" applyBorder="true" applyAlignment="false" applyProtection="true">
      <alignment horizontal="general" vertical="bottom" textRotation="0" wrapText="false" indent="0" shrinkToFit="false"/>
      <protection locked="true" hidden="true"/>
    </xf>
    <xf numFmtId="164" fontId="9" fillId="3" borderId="15" xfId="0" applyFont="true" applyBorder="true" applyAlignment="false" applyProtection="true">
      <alignment horizontal="general" vertical="bottom" textRotation="0" wrapText="false" indent="0" shrinkToFit="false"/>
      <protection locked="true" hidden="true"/>
    </xf>
    <xf numFmtId="164" fontId="24" fillId="0" borderId="16" xfId="0" applyFont="true" applyBorder="true" applyAlignment="true" applyProtection="true">
      <alignment horizontal="general" vertical="center" textRotation="0" wrapText="false" indent="0" shrinkToFit="false"/>
      <protection locked="true" hidden="true"/>
    </xf>
    <xf numFmtId="164" fontId="9" fillId="3" borderId="17" xfId="0" applyFont="true" applyBorder="true" applyAlignment="false" applyProtection="true">
      <alignment horizontal="general" vertical="bottom" textRotation="0" wrapText="false" indent="0" shrinkToFit="false"/>
      <protection locked="true" hidden="true"/>
    </xf>
    <xf numFmtId="164" fontId="9" fillId="3" borderId="18" xfId="0" applyFont="true" applyBorder="true" applyAlignment="false" applyProtection="true">
      <alignment horizontal="general" vertical="bottom" textRotation="0" wrapText="false" indent="0" shrinkToFit="false"/>
      <protection locked="true" hidden="true"/>
    </xf>
    <xf numFmtId="164" fontId="9" fillId="3" borderId="19" xfId="0" applyFont="true" applyBorder="true" applyAlignment="false" applyProtection="true">
      <alignment horizontal="general" vertical="bottom" textRotation="0" wrapText="false" indent="0" shrinkToFit="false"/>
      <protection locked="true" hidden="true"/>
    </xf>
    <xf numFmtId="164" fontId="12" fillId="0" borderId="7" xfId="0" applyFont="true" applyBorder="true" applyAlignment="false" applyProtection="true">
      <alignment horizontal="general" vertical="bottom" textRotation="0" wrapText="false" indent="0" shrinkToFit="false"/>
      <protection locked="true" hidden="true"/>
    </xf>
    <xf numFmtId="167" fontId="12" fillId="3" borderId="0" xfId="0" applyFont="true" applyBorder="false" applyAlignment="false" applyProtection="true">
      <alignment horizontal="general" vertical="bottom" textRotation="0" wrapText="false" indent="0" shrinkToFit="false"/>
      <protection locked="true" hidden="true"/>
    </xf>
    <xf numFmtId="164" fontId="0" fillId="3" borderId="0" xfId="0" applyFont="false" applyBorder="false" applyAlignment="false" applyProtection="true">
      <alignment horizontal="general" vertical="bottom" textRotation="0" wrapText="false" indent="0" shrinkToFit="false"/>
      <protection locked="true" hidden="true"/>
    </xf>
    <xf numFmtId="164" fontId="12" fillId="3" borderId="8" xfId="0" applyFont="true" applyBorder="true" applyAlignment="false" applyProtection="true">
      <alignment horizontal="general" vertical="bottom" textRotation="0" wrapText="false" indent="0" shrinkToFit="false"/>
      <protection locked="true" hidden="true"/>
    </xf>
    <xf numFmtId="164" fontId="9" fillId="3" borderId="9" xfId="0" applyFont="true" applyBorder="true" applyAlignment="false" applyProtection="true">
      <alignment horizontal="general" vertical="bottom" textRotation="0" wrapText="false" indent="0" shrinkToFit="false"/>
      <protection locked="true" hidden="true"/>
    </xf>
    <xf numFmtId="164" fontId="12" fillId="3" borderId="0" xfId="0" applyFont="true" applyBorder="false" applyAlignment="true" applyProtection="true">
      <alignment horizontal="general" vertical="center" textRotation="0" wrapText="false" indent="0" shrinkToFit="false"/>
      <protection locked="true" hidden="true"/>
    </xf>
    <xf numFmtId="164" fontId="9" fillId="3" borderId="0" xfId="0" applyFont="true" applyBorder="false" applyAlignment="true" applyProtection="true">
      <alignment horizontal="general" vertical="center" textRotation="0" wrapText="false" indent="0" shrinkToFit="false"/>
      <protection locked="true" hidden="true"/>
    </xf>
    <xf numFmtId="164" fontId="9" fillId="3" borderId="8" xfId="0" applyFont="true" applyBorder="true" applyAlignment="false" applyProtection="true">
      <alignment horizontal="general" vertical="bottom" textRotation="0" wrapText="false" indent="0" shrinkToFit="false"/>
      <protection locked="true" hidden="true"/>
    </xf>
    <xf numFmtId="164" fontId="13" fillId="0" borderId="7" xfId="0" applyFont="true" applyBorder="true" applyAlignment="true" applyProtection="true">
      <alignment horizontal="center" vertical="bottom" textRotation="0" wrapText="false" indent="0" shrinkToFit="false"/>
      <protection locked="true" hidden="true"/>
    </xf>
    <xf numFmtId="167" fontId="12" fillId="3" borderId="0" xfId="0" applyFont="true" applyBorder="true" applyAlignment="true" applyProtection="true">
      <alignment horizontal="left" vertical="bottom" textRotation="0" wrapText="false" indent="0" shrinkToFit="false"/>
      <protection locked="true" hidden="true"/>
    </xf>
    <xf numFmtId="164" fontId="12" fillId="3" borderId="0" xfId="0" applyFont="true" applyBorder="true" applyAlignment="true" applyProtection="true">
      <alignment horizontal="general" vertical="center" textRotation="0" wrapText="false" indent="0" shrinkToFit="false"/>
      <protection locked="true" hidden="true"/>
    </xf>
    <xf numFmtId="164" fontId="12" fillId="3" borderId="8" xfId="0" applyFont="true" applyBorder="true" applyAlignment="true" applyProtection="true">
      <alignment horizontal="general" vertical="center" textRotation="0" wrapText="false" indent="0" shrinkToFit="false"/>
      <protection locked="true" hidden="true"/>
    </xf>
    <xf numFmtId="168" fontId="13" fillId="0" borderId="7" xfId="0" applyFont="true" applyBorder="true" applyAlignment="true" applyProtection="true">
      <alignment horizontal="center" vertical="center" textRotation="0" wrapText="false" indent="0" shrinkToFit="false"/>
      <protection locked="true" hidden="true"/>
    </xf>
    <xf numFmtId="165" fontId="13" fillId="0" borderId="7" xfId="0" applyFont="true" applyBorder="true" applyAlignment="true" applyProtection="true">
      <alignment horizontal="right" vertical="bottom" textRotation="0" wrapText="false" indent="0" shrinkToFit="false"/>
      <protection locked="true" hidden="true"/>
    </xf>
    <xf numFmtId="165" fontId="13" fillId="0" borderId="7" xfId="0" applyFont="true" applyBorder="true" applyAlignment="true" applyProtection="true">
      <alignment horizontal="left" vertical="bottom" textRotation="0" wrapText="false" indent="0" shrinkToFit="false"/>
      <protection locked="true" hidden="true"/>
    </xf>
    <xf numFmtId="164" fontId="14" fillId="3" borderId="0" xfId="0" applyFont="true" applyBorder="false" applyAlignment="false" applyProtection="true">
      <alignment horizontal="general" vertical="bottom" textRotation="0" wrapText="false" indent="0" shrinkToFit="false"/>
      <protection locked="true" hidden="true"/>
    </xf>
    <xf numFmtId="164" fontId="14" fillId="3" borderId="0" xfId="0" applyFont="true" applyBorder="false" applyAlignment="true" applyProtection="true">
      <alignment horizontal="general" vertical="center" textRotation="0" wrapText="false" indent="0" shrinkToFit="false"/>
      <protection locked="true" hidden="true"/>
    </xf>
    <xf numFmtId="164" fontId="9" fillId="3" borderId="10" xfId="0" applyFont="true" applyBorder="true" applyAlignment="false" applyProtection="true">
      <alignment horizontal="general" vertical="bottom" textRotation="0" wrapText="false" indent="0" shrinkToFit="false"/>
      <protection locked="true" hidden="true"/>
    </xf>
    <xf numFmtId="164" fontId="9" fillId="3" borderId="11" xfId="0" applyFont="true" applyBorder="true" applyAlignment="false" applyProtection="true">
      <alignment horizontal="general" vertical="bottom" textRotation="0" wrapText="false" indent="0" shrinkToFit="false"/>
      <protection locked="true" hidden="true"/>
    </xf>
    <xf numFmtId="164" fontId="9" fillId="3" borderId="12" xfId="0" applyFont="true" applyBorder="true" applyAlignment="false" applyProtection="true">
      <alignment horizontal="general" vertical="bottom" textRotation="0" wrapText="false" indent="0" shrinkToFit="false"/>
      <protection locked="true" hidden="true"/>
    </xf>
    <xf numFmtId="165" fontId="24" fillId="0" borderId="20" xfId="0" applyFont="true" applyBorder="true" applyAlignment="true" applyProtection="true">
      <alignment horizontal="general" vertical="center" textRotation="0" wrapText="false" indent="0" shrinkToFit="false"/>
      <protection locked="true" hidden="true"/>
    </xf>
    <xf numFmtId="164" fontId="17" fillId="3" borderId="7" xfId="0" applyFont="true" applyBorder="true" applyAlignment="true" applyProtection="true">
      <alignment horizontal="center" vertical="center" textRotation="0" wrapText="false" indent="0" shrinkToFit="false"/>
      <protection locked="true" hidden="true"/>
    </xf>
    <xf numFmtId="169" fontId="13" fillId="0" borderId="7" xfId="0" applyFont="true" applyBorder="true" applyAlignment="true" applyProtection="true">
      <alignment horizontal="general" vertical="center" textRotation="0" wrapText="false" indent="0" shrinkToFit="false"/>
      <protection locked="true" hidden="true"/>
    </xf>
    <xf numFmtId="164" fontId="18" fillId="3" borderId="0" xfId="0" applyFont="true" applyBorder="false" applyAlignment="true" applyProtection="true">
      <alignment horizontal="center" vertical="center" textRotation="0" wrapText="false" indent="0" shrinkToFit="false"/>
      <protection locked="true" hidden="true"/>
    </xf>
    <xf numFmtId="170" fontId="17" fillId="3" borderId="7" xfId="0" applyFont="true" applyBorder="true" applyAlignment="true" applyProtection="true">
      <alignment horizontal="center" vertical="center" textRotation="0" wrapText="false" indent="0" shrinkToFit="false"/>
      <protection locked="true" hidden="true"/>
    </xf>
    <xf numFmtId="170" fontId="25" fillId="3" borderId="9" xfId="0" applyFont="true" applyBorder="true" applyAlignment="true" applyProtection="true">
      <alignment horizontal="center" vertical="center" textRotation="0" wrapText="false" indent="0" shrinkToFit="false"/>
      <protection locked="true" hidden="true"/>
    </xf>
    <xf numFmtId="170" fontId="25" fillId="3" borderId="0" xfId="0" applyFont="true" applyBorder="false" applyAlignment="true" applyProtection="true">
      <alignment horizontal="center" vertical="center" textRotation="0" wrapText="false" indent="0" shrinkToFit="false"/>
      <protection locked="true" hidden="true"/>
    </xf>
    <xf numFmtId="164" fontId="24" fillId="0" borderId="18" xfId="0" applyFont="true" applyBorder="true" applyAlignment="true" applyProtection="true">
      <alignment horizontal="general" vertical="center" textRotation="0" wrapText="false" indent="0" shrinkToFit="false"/>
      <protection locked="true" hidden="true"/>
    </xf>
    <xf numFmtId="164" fontId="12" fillId="0" borderId="0" xfId="0" applyFont="true" applyBorder="true" applyAlignment="true" applyProtection="true">
      <alignment horizontal="general" vertical="center" textRotation="0" wrapText="false" indent="0" shrinkToFit="false"/>
      <protection locked="true" hidden="true"/>
    </xf>
    <xf numFmtId="164" fontId="4" fillId="0" borderId="0" xfId="0" applyFont="true" applyBorder="false" applyAlignment="false" applyProtection="true">
      <alignment horizontal="general" vertical="bottom" textRotation="0" wrapText="false" indent="0" shrinkToFit="false"/>
      <protection locked="true" hidden="true"/>
    </xf>
    <xf numFmtId="164" fontId="12" fillId="0" borderId="11" xfId="0" applyFont="true" applyBorder="true" applyAlignment="true" applyProtection="true">
      <alignment horizontal="general" vertical="center" textRotation="0" wrapText="false" indent="0" shrinkToFit="false"/>
      <protection locked="true" hidden="true"/>
    </xf>
    <xf numFmtId="164" fontId="12" fillId="3" borderId="9" xfId="0" applyFont="true" applyBorder="true" applyAlignment="false" applyProtection="true">
      <alignment horizontal="general" vertical="bottom" textRotation="0" wrapText="false" indent="0" shrinkToFit="false"/>
      <protection locked="true" hidden="true"/>
    </xf>
    <xf numFmtId="164" fontId="24" fillId="0" borderId="11" xfId="0" applyFont="true" applyBorder="true" applyAlignment="true" applyProtection="true">
      <alignment horizontal="general" vertical="center" textRotation="0" wrapText="false" indent="0" shrinkToFit="false"/>
      <protection locked="true" hidden="true"/>
    </xf>
    <xf numFmtId="164" fontId="9" fillId="3" borderId="8" xfId="0" applyFont="true" applyBorder="true" applyAlignment="true" applyProtection="true">
      <alignment horizontal="center" vertical="bottom" textRotation="0" wrapText="false" indent="0" shrinkToFit="false"/>
      <protection locked="true" hidden="true"/>
    </xf>
    <xf numFmtId="169" fontId="9" fillId="0" borderId="0" xfId="0" applyFont="true" applyBorder="false" applyAlignment="false" applyProtection="true">
      <alignment horizontal="general" vertical="bottom" textRotation="0" wrapText="false" indent="0" shrinkToFit="false"/>
      <protection locked="true" hidden="true"/>
    </xf>
    <xf numFmtId="164" fontId="24" fillId="0" borderId="0" xfId="0" applyFont="true" applyBorder="true" applyAlignment="true" applyProtection="true">
      <alignment horizontal="general" vertical="center" textRotation="0" wrapText="false" indent="0" shrinkToFit="false"/>
      <protection locked="true" hidden="true"/>
    </xf>
    <xf numFmtId="164" fontId="11" fillId="3" borderId="0" xfId="0" applyFont="true" applyBorder="false" applyAlignment="false" applyProtection="true">
      <alignment horizontal="general" vertical="bottom" textRotation="0" wrapText="false" indent="0" shrinkToFit="false"/>
      <protection locked="true" hidden="true"/>
    </xf>
    <xf numFmtId="164" fontId="13" fillId="3" borderId="0" xfId="0" applyFont="true" applyBorder="false" applyAlignment="true" applyProtection="true">
      <alignment horizontal="general" vertical="center" textRotation="0" wrapText="false" indent="0" shrinkToFit="false"/>
      <protection locked="true" hidden="true"/>
    </xf>
    <xf numFmtId="164" fontId="12" fillId="3" borderId="11" xfId="0" applyFont="true" applyBorder="true" applyAlignment="false" applyProtection="true">
      <alignment horizontal="general" vertical="bottom" textRotation="0" wrapText="false" indent="0" shrinkToFit="false"/>
      <protection locked="true" hidden="true"/>
    </xf>
    <xf numFmtId="171" fontId="12" fillId="3" borderId="0" xfId="0" applyFont="true" applyBorder="true" applyAlignment="false" applyProtection="true">
      <alignment horizontal="general" vertical="bottom" textRotation="0" wrapText="false" indent="0" shrinkToFit="false"/>
      <protection locked="true" hidden="true"/>
    </xf>
    <xf numFmtId="164" fontId="25" fillId="3" borderId="11" xfId="0" applyFont="true" applyBorder="true" applyAlignment="true" applyProtection="true">
      <alignment horizontal="center" vertical="center" textRotation="0" wrapText="false" indent="0" shrinkToFit="false"/>
      <protection locked="true" hidden="true"/>
    </xf>
    <xf numFmtId="164" fontId="13" fillId="3" borderId="11" xfId="0" applyFont="true" applyBorder="true" applyAlignment="true" applyProtection="true">
      <alignment horizontal="general" vertical="center" textRotation="0" wrapText="false" indent="0" shrinkToFit="false"/>
      <protection locked="true" hidden="true"/>
    </xf>
    <xf numFmtId="164" fontId="18" fillId="3" borderId="11" xfId="0" applyFont="true" applyBorder="true" applyAlignment="true" applyProtection="true">
      <alignment horizontal="center" vertical="center" textRotation="0" wrapText="false" indent="0" shrinkToFit="false"/>
      <protection locked="true" hidden="true"/>
    </xf>
    <xf numFmtId="170" fontId="25" fillId="3" borderId="11" xfId="0" applyFont="true" applyBorder="true" applyAlignment="true" applyProtection="true">
      <alignment horizontal="center" vertical="center" textRotation="0" wrapText="false" indent="0" shrinkToFit="false"/>
      <protection locked="true" hidden="true"/>
    </xf>
    <xf numFmtId="164" fontId="26" fillId="0" borderId="0" xfId="0" applyFont="true" applyBorder="false" applyAlignment="false" applyProtection="true">
      <alignment horizontal="general" vertical="bottom" textRotation="0" wrapText="false" indent="0" shrinkToFit="false"/>
      <protection locked="true" hidden="true"/>
    </xf>
    <xf numFmtId="172" fontId="26" fillId="0" borderId="0" xfId="0" applyFont="true" applyBorder="false" applyAlignment="true" applyProtection="true">
      <alignment horizontal="center" vertical="bottom" textRotation="0" wrapText="false" indent="0" shrinkToFit="false"/>
      <protection locked="true" hidden="true"/>
    </xf>
    <xf numFmtId="164" fontId="26" fillId="0" borderId="0" xfId="22" applyFont="true" applyBorder="false" applyAlignment="false" applyProtection="true">
      <alignment horizontal="general" vertical="bottom" textRotation="0" wrapText="false" indent="0" shrinkToFit="false"/>
      <protection locked="true" hidden="true"/>
    </xf>
    <xf numFmtId="164" fontId="27" fillId="5" borderId="21" xfId="0" applyFont="true" applyBorder="true" applyAlignment="true" applyProtection="true">
      <alignment horizontal="left" vertical="center" textRotation="0" wrapText="true" indent="1" shrinkToFit="false"/>
      <protection locked="true" hidden="true"/>
    </xf>
    <xf numFmtId="172" fontId="28" fillId="3" borderId="22" xfId="0" applyFont="true" applyBorder="true" applyAlignment="true" applyProtection="true">
      <alignment horizontal="center" vertical="center" textRotation="0" wrapText="false" indent="0" shrinkToFit="false"/>
      <protection locked="true" hidden="true"/>
    </xf>
    <xf numFmtId="173" fontId="29" fillId="3" borderId="23" xfId="0" applyFont="true" applyBorder="true" applyAlignment="true" applyProtection="false">
      <alignment horizontal="center" vertical="center" textRotation="0" wrapText="true" indent="0" shrinkToFit="false"/>
      <protection locked="true" hidden="false"/>
    </xf>
    <xf numFmtId="173" fontId="30" fillId="3" borderId="23" xfId="0" applyFont="true" applyBorder="true" applyAlignment="true" applyProtection="false">
      <alignment horizontal="center" vertical="center" textRotation="0" wrapText="true" indent="0" shrinkToFit="false"/>
      <protection locked="true" hidden="false"/>
    </xf>
    <xf numFmtId="173" fontId="31" fillId="3" borderId="23" xfId="0" applyFont="true" applyBorder="true" applyAlignment="true" applyProtection="false">
      <alignment horizontal="center" vertical="center" textRotation="0" wrapText="true" indent="0" shrinkToFit="false"/>
      <protection locked="true" hidden="false"/>
    </xf>
    <xf numFmtId="165" fontId="28" fillId="3" borderId="0" xfId="0" applyFont="true" applyBorder="false" applyAlignment="true" applyProtection="false">
      <alignment horizontal="center" vertical="center" textRotation="0" wrapText="false" indent="0" shrinkToFit="false"/>
      <protection locked="true" hidden="false"/>
    </xf>
    <xf numFmtId="164" fontId="26" fillId="3" borderId="0" xfId="0" applyFont="true" applyBorder="false" applyAlignment="false" applyProtection="true">
      <alignment horizontal="general" vertical="bottom" textRotation="0" wrapText="false" indent="0" shrinkToFit="false"/>
      <protection locked="true" hidden="true"/>
    </xf>
    <xf numFmtId="166" fontId="26" fillId="0" borderId="0" xfId="22" applyFont="true" applyBorder="false" applyAlignment="true" applyProtection="true">
      <alignment horizontal="center" vertical="bottom" textRotation="0" wrapText="false" indent="0" shrinkToFit="false"/>
      <protection locked="true" hidden="true"/>
    </xf>
    <xf numFmtId="164" fontId="9" fillId="3" borderId="21" xfId="0" applyFont="true" applyBorder="true" applyAlignment="true" applyProtection="true">
      <alignment horizontal="center" vertical="center" textRotation="0" wrapText="true" indent="0" shrinkToFit="false"/>
      <protection locked="true" hidden="true"/>
    </xf>
    <xf numFmtId="166" fontId="9" fillId="3" borderId="24" xfId="0" applyFont="true" applyBorder="true" applyAlignment="true" applyProtection="true">
      <alignment horizontal="center" vertical="center" textRotation="0" wrapText="true" indent="0" shrinkToFit="false"/>
      <protection locked="true" hidden="true"/>
    </xf>
    <xf numFmtId="166" fontId="9" fillId="3" borderId="21" xfId="0" applyFont="true" applyBorder="true" applyAlignment="true" applyProtection="true">
      <alignment horizontal="center" vertical="center" textRotation="0" wrapText="true" indent="0" shrinkToFit="false"/>
      <protection locked="true" hidden="true"/>
    </xf>
    <xf numFmtId="166" fontId="9" fillId="3" borderId="0" xfId="0" applyFont="true" applyBorder="false" applyAlignment="true" applyProtection="true">
      <alignment horizontal="center" vertical="bottom" textRotation="0" wrapText="false" indent="0" shrinkToFit="false"/>
      <protection locked="true" hidden="true"/>
    </xf>
    <xf numFmtId="166" fontId="9" fillId="0" borderId="0" xfId="0" applyFont="true" applyBorder="false" applyAlignment="true" applyProtection="true">
      <alignment horizontal="center" vertical="bottom" textRotation="0" wrapText="false" indent="0" shrinkToFit="false"/>
      <protection locked="true" hidden="true"/>
    </xf>
    <xf numFmtId="165" fontId="9" fillId="3" borderId="25" xfId="0" applyFont="true" applyBorder="true" applyAlignment="true" applyProtection="true">
      <alignment horizontal="center" vertical="center" textRotation="0" wrapText="true" indent="0" shrinkToFit="false"/>
      <protection locked="true" hidden="true"/>
    </xf>
    <xf numFmtId="164" fontId="28" fillId="0" borderId="0" xfId="22" applyFont="true" applyBorder="false" applyAlignment="true" applyProtection="true">
      <alignment horizontal="center" vertical="bottom" textRotation="0" wrapText="false" indent="0" shrinkToFit="false"/>
      <protection locked="true" hidden="true"/>
    </xf>
    <xf numFmtId="165" fontId="26" fillId="3" borderId="0" xfId="0" applyFont="true" applyBorder="false" applyAlignment="true" applyProtection="true">
      <alignment horizontal="left" vertical="bottom" textRotation="0" wrapText="false" indent="1" shrinkToFit="false"/>
      <protection locked="true" hidden="true"/>
    </xf>
    <xf numFmtId="172" fontId="28" fillId="3" borderId="0" xfId="0" applyFont="true" applyBorder="false" applyAlignment="true" applyProtection="true">
      <alignment horizontal="center" vertical="bottom" textRotation="0" wrapText="false" indent="0" shrinkToFit="false"/>
      <protection locked="true" hidden="true"/>
    </xf>
    <xf numFmtId="164" fontId="28" fillId="3" borderId="0" xfId="0" applyFont="true" applyBorder="false" applyAlignment="true" applyProtection="true">
      <alignment horizontal="center" vertical="bottom" textRotation="0" wrapText="false" indent="0" shrinkToFit="false"/>
      <protection locked="true" hidden="true"/>
    </xf>
    <xf numFmtId="164" fontId="28" fillId="0" borderId="0" xfId="0" applyFont="true" applyBorder="false" applyAlignment="true" applyProtection="true">
      <alignment horizontal="center" vertical="bottom" textRotation="0" wrapText="false" indent="0" shrinkToFit="false"/>
      <protection locked="true" hidden="true"/>
    </xf>
    <xf numFmtId="164" fontId="32" fillId="3" borderId="0" xfId="0" applyFont="true" applyBorder="false" applyAlignment="true" applyProtection="true">
      <alignment horizontal="right" vertical="center" textRotation="0" wrapText="true" indent="1" shrinkToFit="false"/>
      <protection locked="true" hidden="true"/>
    </xf>
    <xf numFmtId="172" fontId="26" fillId="3" borderId="26" xfId="0" applyFont="true" applyBorder="true" applyAlignment="true" applyProtection="true">
      <alignment horizontal="center" vertical="bottom" textRotation="0" wrapText="false" indent="0" shrinkToFit="false"/>
      <protection locked="true" hidden="true"/>
    </xf>
    <xf numFmtId="172" fontId="26" fillId="3" borderId="21" xfId="0" applyFont="true" applyBorder="true" applyAlignment="true" applyProtection="true">
      <alignment horizontal="center" vertical="bottom" textRotation="0" wrapText="false" indent="0" shrinkToFit="false"/>
      <protection locked="true" hidden="true"/>
    </xf>
    <xf numFmtId="172" fontId="26" fillId="3" borderId="27" xfId="0" applyFont="true" applyBorder="true" applyAlignment="true" applyProtection="true">
      <alignment horizontal="center" vertical="bottom" textRotation="0" wrapText="false" indent="0" shrinkToFit="false"/>
      <protection locked="true" hidden="true"/>
    </xf>
    <xf numFmtId="172" fontId="26" fillId="0" borderId="28" xfId="0" applyFont="true" applyBorder="true" applyAlignment="true" applyProtection="true">
      <alignment horizontal="center" vertical="bottom" textRotation="0" wrapText="false" indent="0" shrinkToFit="false"/>
      <protection locked="true" hidden="true"/>
    </xf>
    <xf numFmtId="172" fontId="26" fillId="0" borderId="29" xfId="0" applyFont="true" applyBorder="true" applyAlignment="true" applyProtection="true">
      <alignment horizontal="center" vertical="bottom" textRotation="0" wrapText="false" indent="0" shrinkToFit="false"/>
      <protection locked="true" hidden="true"/>
    </xf>
    <xf numFmtId="174" fontId="26" fillId="0" borderId="0" xfId="22" applyFont="true" applyBorder="false" applyAlignment="false" applyProtection="true">
      <alignment horizontal="general" vertical="bottom" textRotation="0" wrapText="false" indent="0" shrinkToFit="false"/>
      <protection locked="true" hidden="true"/>
    </xf>
    <xf numFmtId="164" fontId="26" fillId="3" borderId="0" xfId="0" applyFont="true" applyBorder="false" applyAlignment="true" applyProtection="false">
      <alignment horizontal="left" vertical="bottom" textRotation="0" wrapText="false" indent="1" shrinkToFit="false"/>
      <protection locked="true" hidden="false"/>
    </xf>
    <xf numFmtId="172" fontId="26" fillId="0" borderId="30" xfId="0" applyFont="true" applyBorder="true" applyAlignment="true" applyProtection="true">
      <alignment horizontal="center" vertical="bottom" textRotation="0" wrapText="false" indent="0" shrinkToFit="false"/>
      <protection locked="true" hidden="true"/>
    </xf>
    <xf numFmtId="172" fontId="26" fillId="0" borderId="31" xfId="0" applyFont="true" applyBorder="true" applyAlignment="true" applyProtection="true">
      <alignment horizontal="center" vertical="bottom" textRotation="0" wrapText="false" indent="0" shrinkToFit="false"/>
      <protection locked="true" hidden="true"/>
    </xf>
    <xf numFmtId="172" fontId="26" fillId="0" borderId="32" xfId="0" applyFont="true" applyBorder="true" applyAlignment="true" applyProtection="true">
      <alignment horizontal="center" vertical="bottom" textRotation="0" wrapText="false" indent="0" shrinkToFit="false"/>
      <protection locked="true" hidden="true"/>
    </xf>
    <xf numFmtId="164" fontId="32" fillId="3" borderId="0" xfId="0" applyFont="true" applyBorder="false" applyAlignment="true" applyProtection="true">
      <alignment horizontal="right" vertical="center" textRotation="0" wrapText="false" indent="1" shrinkToFit="false"/>
      <protection locked="true" hidden="true"/>
    </xf>
    <xf numFmtId="164" fontId="33" fillId="3" borderId="0" xfId="0" applyFont="true" applyBorder="false" applyAlignment="true" applyProtection="true">
      <alignment horizontal="left" vertical="bottom" textRotation="0" wrapText="false" indent="1" shrinkToFit="false"/>
      <protection locked="true" hidden="true"/>
    </xf>
    <xf numFmtId="172" fontId="26" fillId="0" borderId="25" xfId="0" applyFont="true" applyBorder="true" applyAlignment="true" applyProtection="true">
      <alignment horizontal="center" vertical="bottom" textRotation="0" wrapText="false" indent="0" shrinkToFit="false"/>
      <protection locked="true" hidden="true"/>
    </xf>
    <xf numFmtId="169" fontId="33" fillId="3" borderId="33" xfId="0" applyFont="true" applyBorder="true" applyAlignment="false" applyProtection="false">
      <alignment horizontal="general" vertical="bottom" textRotation="0" wrapText="false" indent="0" shrinkToFit="false"/>
      <protection locked="true" hidden="false"/>
    </xf>
    <xf numFmtId="172" fontId="33" fillId="3" borderId="34" xfId="0" applyFont="true" applyBorder="true" applyAlignment="false" applyProtection="false">
      <alignment horizontal="general" vertical="bottom" textRotation="0" wrapText="false" indent="0" shrinkToFit="false"/>
      <protection locked="true" hidden="false"/>
    </xf>
    <xf numFmtId="164" fontId="33" fillId="3" borderId="35" xfId="0" applyFont="true" applyBorder="true" applyAlignment="false" applyProtection="false">
      <alignment horizontal="general" vertical="bottom" textRotation="0" wrapText="false" indent="0" shrinkToFit="false"/>
      <protection locked="true" hidden="false"/>
    </xf>
    <xf numFmtId="164" fontId="33" fillId="0" borderId="0" xfId="0" applyFont="true" applyBorder="false" applyAlignment="false" applyProtection="false">
      <alignment horizontal="general" vertical="bottom" textRotation="0" wrapText="false" indent="0" shrinkToFit="false"/>
      <protection locked="true" hidden="false"/>
    </xf>
    <xf numFmtId="164" fontId="34" fillId="3" borderId="36" xfId="0" applyFont="true" applyBorder="true" applyAlignment="true" applyProtection="false">
      <alignment horizontal="left" vertical="bottom" textRotation="0" wrapText="false" indent="1" shrinkToFit="false"/>
      <protection locked="true" hidden="false"/>
    </xf>
    <xf numFmtId="169" fontId="33" fillId="3" borderId="37" xfId="0" applyFont="true" applyBorder="true" applyAlignment="false" applyProtection="false">
      <alignment horizontal="general" vertical="bottom" textRotation="0" wrapText="false" indent="0" shrinkToFit="false"/>
      <protection locked="true" hidden="false"/>
    </xf>
    <xf numFmtId="164" fontId="33" fillId="3" borderId="37" xfId="0" applyFont="true" applyBorder="true" applyAlignment="false" applyProtection="false">
      <alignment horizontal="general" vertical="bottom" textRotation="0" wrapText="false" indent="0" shrinkToFit="false"/>
      <protection locked="true" hidden="false"/>
    </xf>
    <xf numFmtId="164" fontId="33" fillId="3" borderId="38" xfId="0" applyFont="true" applyBorder="true" applyAlignment="false" applyProtection="false">
      <alignment horizontal="general" vertical="bottom" textRotation="0" wrapText="false" indent="0" shrinkToFit="false"/>
      <protection locked="true" hidden="false"/>
    </xf>
    <xf numFmtId="164" fontId="34" fillId="3" borderId="23" xfId="0" applyFont="true" applyBorder="true" applyAlignment="true" applyProtection="false">
      <alignment horizontal="left" vertical="bottom" textRotation="0" wrapText="false" indent="1" shrinkToFit="false"/>
      <protection locked="true" hidden="false"/>
    </xf>
    <xf numFmtId="172" fontId="34" fillId="3" borderId="23" xfId="0" applyFont="true" applyBorder="true" applyAlignment="false" applyProtection="false">
      <alignment horizontal="general" vertical="bottom" textRotation="0" wrapText="false" indent="0" shrinkToFit="false"/>
      <protection locked="true" hidden="false"/>
    </xf>
    <xf numFmtId="172" fontId="33" fillId="3" borderId="0" xfId="0" applyFont="true" applyBorder="false" applyAlignment="false" applyProtection="false">
      <alignment horizontal="general" vertical="bottom" textRotation="0" wrapText="false" indent="0" shrinkToFit="false"/>
      <protection locked="true" hidden="false"/>
    </xf>
    <xf numFmtId="164" fontId="33" fillId="3" borderId="39" xfId="0" applyFont="true" applyBorder="true" applyAlignment="false" applyProtection="false">
      <alignment horizontal="general" vertical="bottom" textRotation="0" wrapText="false" indent="0" shrinkToFit="false"/>
      <protection locked="true" hidden="false"/>
    </xf>
    <xf numFmtId="164" fontId="33" fillId="3" borderId="40" xfId="0" applyFont="true" applyBorder="true" applyAlignment="true" applyProtection="false">
      <alignment horizontal="left" vertical="bottom" textRotation="0" wrapText="false" indent="1" shrinkToFit="false"/>
      <protection locked="true" hidden="false"/>
    </xf>
    <xf numFmtId="172" fontId="33" fillId="3" borderId="0" xfId="0" applyFont="true" applyBorder="false" applyAlignment="true" applyProtection="false">
      <alignment horizontal="center" vertical="bottom" textRotation="0" wrapText="false" indent="0" shrinkToFit="false"/>
      <protection locked="true" hidden="false"/>
    </xf>
    <xf numFmtId="172" fontId="33" fillId="0" borderId="21" xfId="0" applyFont="true" applyBorder="true" applyAlignment="false" applyProtection="false">
      <alignment horizontal="general" vertical="bottom" textRotation="0" wrapText="false" indent="0" shrinkToFit="false"/>
      <protection locked="true" hidden="false"/>
    </xf>
    <xf numFmtId="172" fontId="33" fillId="3" borderId="27" xfId="0" applyFont="true" applyBorder="true" applyAlignment="false" applyProtection="false">
      <alignment horizontal="general" vertical="bottom" textRotation="0" wrapText="false" indent="0" shrinkToFit="false"/>
      <protection locked="true" hidden="false"/>
    </xf>
    <xf numFmtId="169" fontId="33" fillId="3" borderId="34" xfId="0" applyFont="true" applyBorder="true" applyAlignment="false" applyProtection="false">
      <alignment horizontal="general" vertical="bottom" textRotation="0" wrapText="false" indent="0" shrinkToFit="false"/>
      <protection locked="true" hidden="false"/>
    </xf>
    <xf numFmtId="164" fontId="33" fillId="3" borderId="34" xfId="0" applyFont="true" applyBorder="true" applyAlignment="false" applyProtection="false">
      <alignment horizontal="general" vertical="bottom" textRotation="0" wrapText="false" indent="0" shrinkToFit="false"/>
      <protection locked="true" hidden="false"/>
    </xf>
    <xf numFmtId="164" fontId="26" fillId="0" borderId="0" xfId="0" applyFont="true" applyBorder="false" applyAlignment="false" applyProtection="false">
      <alignment horizontal="general" vertical="bottom" textRotation="0" wrapText="false" indent="0" shrinkToFit="false"/>
      <protection locked="true" hidden="false"/>
    </xf>
    <xf numFmtId="173" fontId="26" fillId="0" borderId="0" xfId="0" applyFont="true" applyBorder="false" applyAlignment="false" applyProtection="false">
      <alignment horizontal="general" vertical="bottom" textRotation="0" wrapText="false" indent="0" shrinkToFit="false"/>
      <protection locked="true" hidden="false"/>
    </xf>
    <xf numFmtId="164" fontId="26" fillId="3" borderId="0" xfId="22" applyFont="true" applyBorder="false" applyAlignment="false" applyProtection="true">
      <alignment horizontal="general" vertical="bottom" textRotation="0" wrapText="false" indent="0" shrinkToFit="false"/>
      <protection locked="true" hidden="true"/>
    </xf>
    <xf numFmtId="164" fontId="32" fillId="3" borderId="21" xfId="22" applyFont="true" applyBorder="true" applyAlignment="true" applyProtection="true">
      <alignment horizontal="center" vertical="center" textRotation="0" wrapText="false" indent="0" shrinkToFit="false"/>
      <protection locked="true" hidden="true"/>
    </xf>
    <xf numFmtId="172" fontId="26" fillId="0" borderId="0" xfId="22" applyFont="true" applyBorder="false" applyAlignment="false" applyProtection="true">
      <alignment horizontal="general" vertical="bottom" textRotation="0" wrapText="false" indent="0" shrinkToFit="false"/>
      <protection locked="true" hidden="true"/>
    </xf>
    <xf numFmtId="175" fontId="26" fillId="0" borderId="0" xfId="22" applyFont="true" applyBorder="false" applyAlignment="false" applyProtection="true">
      <alignment horizontal="general" vertical="bottom" textRotation="0" wrapText="false" indent="0" shrinkToFit="false"/>
      <protection locked="true" hidden="true"/>
    </xf>
    <xf numFmtId="164" fontId="32" fillId="3" borderId="0" xfId="22" applyFont="true" applyBorder="false" applyAlignment="false" applyProtection="true">
      <alignment horizontal="general" vertical="bottom" textRotation="0" wrapText="false" indent="0" shrinkToFit="false"/>
      <protection locked="true" hidden="true"/>
    </xf>
    <xf numFmtId="172" fontId="32" fillId="0" borderId="22" xfId="22" applyFont="true" applyBorder="true" applyAlignment="false" applyProtection="true">
      <alignment horizontal="general" vertical="bottom" textRotation="0" wrapText="false" indent="0" shrinkToFit="false"/>
      <protection locked="true" hidden="true"/>
    </xf>
    <xf numFmtId="164" fontId="26" fillId="3" borderId="22" xfId="22" applyFont="true" applyBorder="true" applyAlignment="false" applyProtection="true">
      <alignment horizontal="general" vertical="bottom" textRotation="0" wrapText="false" indent="0" shrinkToFit="false"/>
      <protection locked="true" hidden="true"/>
    </xf>
    <xf numFmtId="172" fontId="26" fillId="0" borderId="0" xfId="22" applyFont="true" applyBorder="false" applyAlignment="true" applyProtection="true">
      <alignment horizontal="center" vertical="bottom" textRotation="0" wrapText="false" indent="0" shrinkToFit="false"/>
      <protection locked="true" hidden="true"/>
    </xf>
    <xf numFmtId="171" fontId="33" fillId="0" borderId="0" xfId="0" applyFont="true" applyBorder="false" applyAlignment="false" applyProtection="false">
      <alignment horizontal="general" vertical="bottom" textRotation="0" wrapText="false" indent="0" shrinkToFit="false"/>
      <protection locked="true" hidden="false"/>
    </xf>
    <xf numFmtId="173" fontId="33" fillId="0" borderId="0" xfId="0" applyFont="true" applyBorder="false" applyAlignment="false" applyProtection="false">
      <alignment horizontal="general" vertical="bottom" textRotation="0" wrapText="false" indent="0" shrinkToFit="false"/>
      <protection locked="true" hidden="false"/>
    </xf>
    <xf numFmtId="176" fontId="33" fillId="0" borderId="0" xfId="0" applyFont="true" applyBorder="false" applyAlignment="true" applyProtection="false">
      <alignment horizontal="center" vertical="bottom" textRotation="0" wrapText="false" indent="0" shrinkToFit="false"/>
      <protection locked="true" hidden="false"/>
    </xf>
    <xf numFmtId="175" fontId="33" fillId="0" borderId="0" xfId="0" applyFont="true" applyBorder="false" applyAlignment="false" applyProtection="false">
      <alignment horizontal="general" vertical="bottom" textRotation="0" wrapText="false" indent="0" shrinkToFit="false"/>
      <protection locked="true" hidden="false"/>
    </xf>
    <xf numFmtId="173" fontId="33" fillId="0" borderId="0" xfId="0" applyFont="true" applyBorder="false" applyAlignment="true" applyProtection="false">
      <alignment horizontal="center" vertical="bottom" textRotation="0" wrapText="false" indent="0" shrinkToFit="false"/>
      <protection locked="true" hidden="false"/>
    </xf>
    <xf numFmtId="171" fontId="33" fillId="3" borderId="26" xfId="0" applyFont="true" applyBorder="true" applyAlignment="true" applyProtection="false">
      <alignment horizontal="center" vertical="center" textRotation="0" wrapText="true" indent="0" shrinkToFit="false"/>
      <protection locked="true" hidden="false"/>
    </xf>
    <xf numFmtId="164" fontId="10" fillId="3" borderId="41" xfId="0" applyFont="true" applyBorder="true" applyAlignment="true" applyProtection="false">
      <alignment horizontal="right" vertical="center" textRotation="0" wrapText="false" indent="0" shrinkToFit="false"/>
      <protection locked="true" hidden="false"/>
    </xf>
    <xf numFmtId="167" fontId="10" fillId="3" borderId="42" xfId="0" applyFont="true" applyBorder="true" applyAlignment="true" applyProtection="false">
      <alignment horizontal="center" vertical="center" textRotation="0" wrapText="false" indent="0" shrinkToFit="false"/>
      <protection locked="true" hidden="false"/>
    </xf>
    <xf numFmtId="173" fontId="34" fillId="3" borderId="27" xfId="0" applyFont="true" applyBorder="true" applyAlignment="true" applyProtection="false">
      <alignment horizontal="center" vertical="bottom" textRotation="0" wrapText="false" indent="0" shrinkToFit="false"/>
      <protection locked="true" hidden="false"/>
    </xf>
    <xf numFmtId="173" fontId="34" fillId="3" borderId="0" xfId="0" applyFont="true" applyBorder="true" applyAlignment="true" applyProtection="false">
      <alignment horizontal="center" vertical="bottom" textRotation="0" wrapText="false" indent="0" shrinkToFit="false"/>
      <protection locked="true" hidden="false"/>
    </xf>
    <xf numFmtId="176" fontId="33" fillId="3" borderId="21" xfId="0" applyFont="true" applyBorder="true" applyAlignment="true" applyProtection="false">
      <alignment horizontal="center" vertical="center" textRotation="0" wrapText="true" indent="0" shrinkToFit="false"/>
      <protection locked="true" hidden="false"/>
    </xf>
    <xf numFmtId="175" fontId="34" fillId="3" borderId="43" xfId="0" applyFont="true" applyBorder="true" applyAlignment="true" applyProtection="false">
      <alignment horizontal="center" vertical="bottom" textRotation="0" wrapText="false" indent="0" shrinkToFit="false"/>
      <protection locked="true" hidden="false"/>
    </xf>
    <xf numFmtId="173" fontId="34" fillId="3" borderId="21" xfId="0" applyFont="true" applyBorder="true" applyAlignment="true" applyProtection="false">
      <alignment horizontal="center" vertical="bottom" textRotation="0" wrapText="false" indent="0" shrinkToFit="false"/>
      <protection locked="true" hidden="false"/>
    </xf>
    <xf numFmtId="171" fontId="33" fillId="3" borderId="21" xfId="0" applyFont="true" applyBorder="true" applyAlignment="true" applyProtection="false">
      <alignment horizontal="center" vertical="center" textRotation="0" wrapText="true" indent="0" shrinkToFit="false"/>
      <protection locked="true" hidden="false"/>
    </xf>
    <xf numFmtId="164" fontId="34" fillId="0" borderId="0" xfId="0" applyFont="true" applyBorder="false" applyAlignment="false" applyProtection="false">
      <alignment horizontal="general" vertical="bottom" textRotation="0" wrapText="false" indent="0" shrinkToFit="false"/>
      <protection locked="true" hidden="false"/>
    </xf>
    <xf numFmtId="177" fontId="33" fillId="3" borderId="25" xfId="0" applyFont="true" applyBorder="true" applyAlignment="true" applyProtection="false">
      <alignment horizontal="center" vertical="center" textRotation="0" wrapText="true" indent="0" shrinkToFit="false"/>
      <protection locked="true" hidden="false"/>
    </xf>
    <xf numFmtId="164" fontId="33" fillId="3" borderId="25" xfId="0" applyFont="true" applyBorder="true" applyAlignment="true" applyProtection="false">
      <alignment horizontal="center" vertical="center" textRotation="0" wrapText="true" indent="0" shrinkToFit="false"/>
      <protection locked="true" hidden="false"/>
    </xf>
    <xf numFmtId="173" fontId="33" fillId="3" borderId="21" xfId="0" applyFont="true" applyBorder="true" applyAlignment="true" applyProtection="false">
      <alignment horizontal="center" vertical="center" textRotation="0" wrapText="true" indent="0" shrinkToFit="false"/>
      <protection locked="true" hidden="false"/>
    </xf>
    <xf numFmtId="171" fontId="12" fillId="3" borderId="21" xfId="0" applyFont="true" applyBorder="true" applyAlignment="true" applyProtection="false">
      <alignment horizontal="center" vertical="center" textRotation="0" wrapText="true" indent="0" shrinkToFit="false"/>
      <protection locked="true" hidden="false"/>
    </xf>
    <xf numFmtId="176" fontId="34" fillId="3" borderId="21" xfId="0" applyFont="true" applyBorder="true" applyAlignment="true" applyProtection="false">
      <alignment horizontal="center" vertical="bottom" textRotation="0" wrapText="false" indent="0" shrinkToFit="false"/>
      <protection locked="true" hidden="false"/>
    </xf>
    <xf numFmtId="177" fontId="33" fillId="0" borderId="0" xfId="0" applyFont="true" applyBorder="false" applyAlignment="false" applyProtection="false">
      <alignment horizontal="general" vertical="bottom" textRotation="0" wrapText="false" indent="0" shrinkToFit="false"/>
      <protection locked="true" hidden="false"/>
    </xf>
    <xf numFmtId="171" fontId="33" fillId="3" borderId="0" xfId="0" applyFont="true" applyBorder="false" applyAlignment="true" applyProtection="false">
      <alignment horizontal="center" vertical="bottom" textRotation="0" wrapText="false" indent="0" shrinkToFit="false"/>
      <protection locked="true" hidden="false"/>
    </xf>
    <xf numFmtId="176" fontId="33" fillId="3" borderId="0" xfId="0" applyFont="true" applyBorder="false" applyAlignment="false" applyProtection="false">
      <alignment horizontal="general" vertical="bottom" textRotation="0" wrapText="false" indent="0" shrinkToFit="false"/>
      <protection locked="true" hidden="false"/>
    </xf>
    <xf numFmtId="176" fontId="33" fillId="3" borderId="44" xfId="0" applyFont="true" applyBorder="true" applyAlignment="true" applyProtection="false">
      <alignment horizontal="center" vertical="bottom" textRotation="0" wrapText="false" indent="0" shrinkToFit="false"/>
      <protection locked="true" hidden="false"/>
    </xf>
    <xf numFmtId="164" fontId="0" fillId="3" borderId="44" xfId="0" applyFont="false" applyBorder="true" applyAlignment="false" applyProtection="false">
      <alignment horizontal="general" vertical="bottom" textRotation="0" wrapText="false" indent="0" shrinkToFit="false"/>
      <protection locked="true" hidden="false"/>
    </xf>
    <xf numFmtId="173" fontId="33" fillId="3" borderId="0" xfId="0" applyFont="true" applyBorder="false" applyAlignment="true" applyProtection="false">
      <alignment horizontal="center" vertical="bottom" textRotation="0" wrapText="false" indent="0" shrinkToFit="false"/>
      <protection locked="true" hidden="false"/>
    </xf>
    <xf numFmtId="176" fontId="33" fillId="3" borderId="0" xfId="0" applyFont="true" applyBorder="false" applyAlignment="true" applyProtection="false">
      <alignment horizontal="center"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73" fontId="33" fillId="3" borderId="0" xfId="0" applyFont="true" applyBorder="false" applyAlignment="false" applyProtection="false">
      <alignment horizontal="general" vertical="bottom" textRotation="0" wrapText="false" indent="0" shrinkToFit="false"/>
      <protection locked="true" hidden="false"/>
    </xf>
    <xf numFmtId="176" fontId="33" fillId="0" borderId="0" xfId="0" applyFont="true" applyBorder="false" applyAlignment="false" applyProtection="false">
      <alignment horizontal="general" vertical="bottom" textRotation="0" wrapText="false" indent="0" shrinkToFit="false"/>
      <protection locked="true" hidden="false"/>
    </xf>
    <xf numFmtId="164" fontId="9" fillId="5" borderId="41" xfId="0" applyFont="true" applyBorder="true" applyAlignment="true" applyProtection="false">
      <alignment horizontal="right" vertical="center" textRotation="0" wrapText="false" indent="0" shrinkToFit="false"/>
      <protection locked="true" hidden="false"/>
    </xf>
    <xf numFmtId="171" fontId="9" fillId="5" borderId="42" xfId="0" applyFont="true" applyBorder="true" applyAlignment="true" applyProtection="false">
      <alignment horizontal="left" vertical="bottom" textRotation="0" wrapText="false" indent="0" shrinkToFit="false"/>
      <protection locked="true" hidden="false"/>
    </xf>
    <xf numFmtId="164" fontId="0" fillId="3" borderId="0" xfId="0" applyFont="false" applyBorder="false" applyAlignment="true" applyProtection="false">
      <alignment horizontal="general" vertical="center" textRotation="0" wrapText="false" indent="0" shrinkToFit="false"/>
      <protection locked="true" hidden="false"/>
    </xf>
    <xf numFmtId="164" fontId="0" fillId="3" borderId="0" xfId="0" applyFont="false" applyBorder="false" applyAlignment="true" applyProtection="false">
      <alignment horizontal="center" vertical="center" textRotation="0" wrapText="false" indent="0" shrinkToFit="false"/>
      <protection locked="true" hidden="false"/>
    </xf>
    <xf numFmtId="171" fontId="33" fillId="3" borderId="0" xfId="0" applyFont="true" applyBorder="false" applyAlignment="false" applyProtection="false">
      <alignment horizontal="general" vertical="bottom" textRotation="0" wrapText="false" indent="0" shrinkToFit="false"/>
      <protection locked="true" hidden="false"/>
    </xf>
    <xf numFmtId="171" fontId="33" fillId="0" borderId="25" xfId="0" applyFont="true" applyBorder="true" applyAlignment="false" applyProtection="false">
      <alignment horizontal="general" vertical="bottom" textRotation="0" wrapText="false" indent="0" shrinkToFit="false"/>
      <protection locked="true" hidden="false"/>
    </xf>
    <xf numFmtId="164" fontId="33" fillId="0" borderId="25" xfId="0" applyFont="true" applyBorder="true" applyAlignment="false" applyProtection="false">
      <alignment horizontal="general" vertical="bottom" textRotation="0" wrapText="false" indent="0" shrinkToFit="false"/>
      <protection locked="true" hidden="false"/>
    </xf>
    <xf numFmtId="173" fontId="33" fillId="0" borderId="25" xfId="0" applyFont="true" applyBorder="true" applyAlignment="false" applyProtection="false">
      <alignment horizontal="general" vertical="bottom" textRotation="0" wrapText="false" indent="0" shrinkToFit="false"/>
      <protection locked="true" hidden="false"/>
    </xf>
    <xf numFmtId="172" fontId="33" fillId="0" borderId="21" xfId="0" applyFont="true" applyBorder="true" applyAlignment="true" applyProtection="false">
      <alignment horizontal="center" vertical="bottom" textRotation="0" wrapText="false" indent="0" shrinkToFit="false"/>
      <protection locked="true" hidden="false"/>
    </xf>
    <xf numFmtId="172" fontId="33" fillId="3" borderId="0" xfId="0" applyFont="true" applyBorder="false" applyAlignment="true" applyProtection="false">
      <alignment horizontal="center" vertical="center" textRotation="0" wrapText="false" indent="0" shrinkToFit="false"/>
      <protection locked="true" hidden="false"/>
    </xf>
    <xf numFmtId="171" fontId="33" fillId="0" borderId="21" xfId="0" applyFont="true" applyBorder="true" applyAlignment="false" applyProtection="false">
      <alignment horizontal="general" vertical="bottom" textRotation="0" wrapText="false" indent="0" shrinkToFit="false"/>
      <protection locked="true" hidden="false"/>
    </xf>
    <xf numFmtId="173" fontId="33" fillId="0" borderId="21" xfId="0" applyFont="true" applyBorder="true" applyAlignment="false" applyProtection="false">
      <alignment horizontal="general" vertical="bottom" textRotation="0" wrapText="false" indent="0" shrinkToFit="false"/>
      <protection locked="true" hidden="false"/>
    </xf>
    <xf numFmtId="164" fontId="33" fillId="0" borderId="21" xfId="0" applyFont="true" applyBorder="true" applyAlignment="false" applyProtection="false">
      <alignment horizontal="general" vertical="bottom" textRotation="0" wrapText="false" indent="0" shrinkToFit="false"/>
      <protection locked="true" hidden="false"/>
    </xf>
    <xf numFmtId="171" fontId="33" fillId="0" borderId="24" xfId="0" applyFont="true" applyBorder="true" applyAlignment="false" applyProtection="false">
      <alignment horizontal="general" vertical="bottom" textRotation="0" wrapText="false" indent="0" shrinkToFit="false"/>
      <protection locked="true" hidden="false"/>
    </xf>
    <xf numFmtId="164" fontId="33" fillId="0" borderId="24" xfId="0" applyFont="true" applyBorder="true" applyAlignment="false" applyProtection="false">
      <alignment horizontal="general" vertical="bottom" textRotation="0" wrapText="false" indent="0" shrinkToFit="false"/>
      <protection locked="true" hidden="false"/>
    </xf>
    <xf numFmtId="173" fontId="33" fillId="0" borderId="24" xfId="0" applyFont="true" applyBorder="true" applyAlignment="false" applyProtection="false">
      <alignment horizontal="general" vertical="bottom" textRotation="0" wrapText="false" indent="0" shrinkToFit="false"/>
      <protection locked="true" hidden="false"/>
    </xf>
    <xf numFmtId="164" fontId="33" fillId="5" borderId="41" xfId="0" applyFont="true" applyBorder="true" applyAlignment="true" applyProtection="false">
      <alignment horizontal="right" vertical="center" textRotation="0" wrapText="false" indent="0" shrinkToFit="false"/>
      <protection locked="true" hidden="false"/>
    </xf>
    <xf numFmtId="171" fontId="33" fillId="5" borderId="45" xfId="0" applyFont="true" applyBorder="true" applyAlignment="true" applyProtection="false">
      <alignment horizontal="left" vertical="bottom" textRotation="0" wrapText="false" indent="0" shrinkToFit="false"/>
      <protection locked="true" hidden="false"/>
    </xf>
    <xf numFmtId="173" fontId="33" fillId="3" borderId="21" xfId="0" applyFont="true" applyBorder="true" applyAlignment="false" applyProtection="false">
      <alignment horizontal="general" vertical="bottom" textRotation="0" wrapText="false" indent="0" shrinkToFit="false"/>
      <protection locked="true" hidden="false"/>
    </xf>
    <xf numFmtId="172" fontId="33" fillId="3" borderId="21" xfId="0" applyFont="true" applyBorder="true" applyAlignment="true" applyProtection="false">
      <alignment horizontal="center" vertical="bottom" textRotation="0" wrapText="false" indent="0" shrinkToFit="false"/>
      <protection locked="true" hidden="false"/>
    </xf>
    <xf numFmtId="173" fontId="33" fillId="3" borderId="21" xfId="0" applyFont="true" applyBorder="true" applyAlignment="true" applyProtection="false">
      <alignment horizontal="center" vertical="bottom" textRotation="0" wrapText="false" indent="0" shrinkToFit="false"/>
      <protection locked="true" hidden="false"/>
    </xf>
    <xf numFmtId="164" fontId="33" fillId="3" borderId="0" xfId="0" applyFont="true" applyBorder="false" applyAlignment="false" applyProtection="false">
      <alignment horizontal="general" vertical="bottom" textRotation="0" wrapText="false" indent="0" shrinkToFit="false"/>
      <protection locked="true" hidden="false"/>
    </xf>
    <xf numFmtId="164" fontId="9" fillId="5" borderId="42" xfId="0" applyFont="true" applyBorder="true" applyAlignment="true" applyProtection="false">
      <alignment horizontal="left" vertical="bottom" textRotation="0" wrapText="false" indent="0" shrinkToFit="false"/>
      <protection locked="true" hidden="false"/>
    </xf>
    <xf numFmtId="176" fontId="33" fillId="0" borderId="21" xfId="0" applyFont="true" applyBorder="true" applyAlignment="true" applyProtection="false">
      <alignment horizontal="center" vertical="bottom" textRotation="0" wrapText="false" indent="0" shrinkToFit="false"/>
      <protection locked="true" hidden="false"/>
    </xf>
    <xf numFmtId="164" fontId="33" fillId="5" borderId="41" xfId="0" applyFont="true" applyBorder="true" applyAlignment="true" applyProtection="false">
      <alignment horizontal="right" vertical="center" textRotation="0" wrapText="true" indent="0" shrinkToFit="false"/>
      <protection locked="true" hidden="false"/>
    </xf>
    <xf numFmtId="171" fontId="33" fillId="5" borderId="42" xfId="0" applyFont="true" applyBorder="true" applyAlignment="true" applyProtection="false">
      <alignment horizontal="left" vertical="bottom" textRotation="0" wrapText="false" indent="0" shrinkToFit="false"/>
      <protection locked="true" hidden="false"/>
    </xf>
    <xf numFmtId="173" fontId="33" fillId="3" borderId="27" xfId="0" applyFont="true" applyBorder="true" applyAlignment="false" applyProtection="false">
      <alignment horizontal="general" vertical="bottom" textRotation="0" wrapText="false" indent="0" shrinkToFit="false"/>
      <protection locked="true" hidden="false"/>
    </xf>
    <xf numFmtId="164" fontId="10" fillId="5" borderId="41" xfId="0" applyFont="true" applyBorder="true" applyAlignment="true" applyProtection="false">
      <alignment horizontal="right" vertical="center" textRotation="0" wrapText="false" indent="0" shrinkToFit="false"/>
      <protection locked="true" hidden="false"/>
    </xf>
    <xf numFmtId="167" fontId="10" fillId="5" borderId="42" xfId="0" applyFont="true" applyBorder="true" applyAlignment="true" applyProtection="false">
      <alignment horizontal="center" vertical="center" textRotation="0" wrapText="false" indent="0" shrinkToFit="false"/>
      <protection locked="true" hidden="false"/>
    </xf>
    <xf numFmtId="173" fontId="33" fillId="3" borderId="23" xfId="0" applyFont="true" applyBorder="true" applyAlignment="false" applyProtection="false">
      <alignment horizontal="general" vertical="bottom" textRotation="0" wrapText="false" indent="0" shrinkToFit="false"/>
      <protection locked="true" hidden="false"/>
    </xf>
    <xf numFmtId="172" fontId="33" fillId="3" borderId="23" xfId="0" applyFont="true" applyBorder="true" applyAlignment="true" applyProtection="false">
      <alignment horizontal="center" vertical="bottom" textRotation="0" wrapText="false" indent="0" shrinkToFit="false"/>
      <protection locked="true" hidden="false"/>
    </xf>
    <xf numFmtId="173" fontId="33" fillId="3" borderId="23" xfId="0" applyFont="true" applyBorder="true" applyAlignment="true" applyProtection="false">
      <alignment horizontal="center" vertical="bottom" textRotation="0" wrapText="false" indent="0" shrinkToFit="false"/>
      <protection locked="true" hidden="false"/>
    </xf>
    <xf numFmtId="171" fontId="10" fillId="3" borderId="0" xfId="0" applyFont="true" applyBorder="false" applyAlignment="true" applyProtection="false">
      <alignment horizontal="center" vertical="bottom" textRotation="0" wrapText="true" indent="0" shrinkToFit="false"/>
      <protection locked="true" hidden="false"/>
    </xf>
    <xf numFmtId="164" fontId="35" fillId="3" borderId="0" xfId="0" applyFont="true" applyBorder="false" applyAlignment="true" applyProtection="false">
      <alignment horizontal="center" vertical="bottom" textRotation="0" wrapText="true" indent="0" shrinkToFit="false"/>
      <protection locked="true" hidden="false"/>
    </xf>
    <xf numFmtId="164" fontId="10" fillId="3" borderId="0" xfId="0" applyFont="true" applyBorder="false" applyAlignment="true" applyProtection="false">
      <alignment horizontal="center" vertical="bottom" textRotation="0" wrapText="true" indent="0" shrinkToFit="false"/>
      <protection locked="true" hidden="false"/>
    </xf>
    <xf numFmtId="164" fontId="9" fillId="6" borderId="41" xfId="0" applyFont="true" applyBorder="true" applyAlignment="true" applyProtection="false">
      <alignment horizontal="right" vertical="center" textRotation="0" wrapText="false" indent="0" shrinkToFit="false"/>
      <protection locked="true" hidden="false"/>
    </xf>
    <xf numFmtId="171" fontId="9" fillId="6" borderId="42" xfId="0" applyFont="true" applyBorder="true" applyAlignment="true" applyProtection="false">
      <alignment horizontal="left" vertical="bottom" textRotation="0" wrapText="false" indent="0" shrinkToFit="false"/>
      <protection locked="true" hidden="false"/>
    </xf>
    <xf numFmtId="164" fontId="34" fillId="0" borderId="25" xfId="0" applyFont="true" applyBorder="true" applyAlignment="false" applyProtection="false">
      <alignment horizontal="general" vertical="bottom" textRotation="0" wrapText="false" indent="0" shrinkToFit="false"/>
      <protection locked="true" hidden="false"/>
    </xf>
    <xf numFmtId="173" fontId="33" fillId="3" borderId="0" xfId="0" applyFont="true" applyBorder="false" applyAlignment="true" applyProtection="false">
      <alignment horizontal="center" vertical="center" textRotation="0" wrapText="false" indent="0" shrinkToFit="false"/>
      <protection locked="true" hidden="false"/>
    </xf>
    <xf numFmtId="164" fontId="34" fillId="0" borderId="21" xfId="0" applyFont="true" applyBorder="true" applyAlignment="false" applyProtection="false">
      <alignment horizontal="general" vertical="bottom" textRotation="0" wrapText="false" indent="0" shrinkToFit="false"/>
      <protection locked="true" hidden="false"/>
    </xf>
    <xf numFmtId="164" fontId="34" fillId="0" borderId="24" xfId="0" applyFont="true" applyBorder="true" applyAlignment="false" applyProtection="false">
      <alignment horizontal="general" vertical="bottom" textRotation="0" wrapText="false" indent="0" shrinkToFit="false"/>
      <protection locked="true" hidden="false"/>
    </xf>
    <xf numFmtId="164" fontId="33" fillId="6" borderId="41" xfId="0" applyFont="true" applyBorder="true" applyAlignment="true" applyProtection="false">
      <alignment horizontal="right" vertical="center" textRotation="0" wrapText="false" indent="0" shrinkToFit="false"/>
      <protection locked="true" hidden="false"/>
    </xf>
    <xf numFmtId="171" fontId="33" fillId="6" borderId="45" xfId="0" applyFont="true" applyBorder="true" applyAlignment="true" applyProtection="false">
      <alignment horizontal="left" vertical="bottom" textRotation="0" wrapText="false" indent="0" shrinkToFit="false"/>
      <protection locked="true" hidden="false"/>
    </xf>
    <xf numFmtId="164" fontId="34" fillId="3" borderId="0" xfId="0" applyFont="true" applyBorder="false" applyAlignment="false" applyProtection="false">
      <alignment horizontal="general" vertical="bottom" textRotation="0" wrapText="false" indent="0" shrinkToFit="false"/>
      <protection locked="true" hidden="false"/>
    </xf>
    <xf numFmtId="164" fontId="9" fillId="6" borderId="42" xfId="0" applyFont="true" applyBorder="true" applyAlignment="true" applyProtection="false">
      <alignment horizontal="left" vertical="bottom" textRotation="0" wrapText="false" indent="0" shrinkToFit="false"/>
      <protection locked="true" hidden="false"/>
    </xf>
    <xf numFmtId="164" fontId="33" fillId="6" borderId="41" xfId="0" applyFont="true" applyBorder="true" applyAlignment="true" applyProtection="false">
      <alignment horizontal="right" vertical="center" textRotation="0" wrapText="true" indent="0" shrinkToFit="false"/>
      <protection locked="true" hidden="false"/>
    </xf>
    <xf numFmtId="171" fontId="33" fillId="6" borderId="42" xfId="0" applyFont="true" applyBorder="true" applyAlignment="true" applyProtection="false">
      <alignment horizontal="left" vertical="bottom" textRotation="0" wrapText="false" indent="0" shrinkToFit="false"/>
      <protection locked="true" hidden="false"/>
    </xf>
    <xf numFmtId="173" fontId="33" fillId="3" borderId="26" xfId="0" applyFont="true" applyBorder="true" applyAlignment="false" applyProtection="false">
      <alignment horizontal="general" vertical="bottom" textRotation="0" wrapText="false" indent="0" shrinkToFit="false"/>
      <protection locked="true" hidden="false"/>
    </xf>
    <xf numFmtId="164" fontId="10" fillId="6" borderId="41" xfId="0" applyFont="true" applyBorder="true" applyAlignment="true" applyProtection="false">
      <alignment horizontal="right" vertical="center" textRotation="0" wrapText="false" indent="0" shrinkToFit="false"/>
      <protection locked="true" hidden="false"/>
    </xf>
    <xf numFmtId="165" fontId="5" fillId="6" borderId="42" xfId="0" applyFont="true" applyBorder="true" applyAlignment="true" applyProtection="false">
      <alignment horizontal="center" vertical="center" textRotation="0" wrapText="false" indent="0" shrinkToFit="false"/>
      <protection locked="true" hidden="false"/>
    </xf>
    <xf numFmtId="175" fontId="33" fillId="3" borderId="0" xfId="0" applyFont="true" applyBorder="false" applyAlignment="false" applyProtection="false">
      <alignment horizontal="general" vertical="bottom" textRotation="0" wrapText="false" indent="0" shrinkToFit="false"/>
      <protection locked="true" hidden="false"/>
    </xf>
    <xf numFmtId="174" fontId="26" fillId="0" borderId="0" xfId="0" applyFont="true" applyBorder="false" applyAlignment="true" applyProtection="true">
      <alignment horizontal="center" vertical="bottom" textRotation="0" wrapText="false" indent="0" shrinkToFit="false"/>
      <protection locked="true" hidden="true"/>
    </xf>
    <xf numFmtId="173" fontId="26" fillId="0" borderId="0" xfId="0" applyFont="true" applyBorder="false" applyAlignment="true" applyProtection="true">
      <alignment horizontal="center" vertical="bottom" textRotation="0" wrapText="false" indent="0" shrinkToFit="false"/>
      <protection locked="true" hidden="true"/>
    </xf>
    <xf numFmtId="170" fontId="26" fillId="0" borderId="0" xfId="0" applyFont="true" applyBorder="false" applyAlignment="false" applyProtection="true">
      <alignment horizontal="general" vertical="bottom" textRotation="0" wrapText="false" indent="0" shrinkToFit="false"/>
      <protection locked="true" hidden="true"/>
    </xf>
    <xf numFmtId="174" fontId="26" fillId="3" borderId="0" xfId="0" applyFont="true" applyBorder="false" applyAlignment="true" applyProtection="true">
      <alignment horizontal="center" vertical="bottom" textRotation="0" wrapText="false" indent="0" shrinkToFit="false"/>
      <protection locked="true" hidden="true"/>
    </xf>
    <xf numFmtId="173" fontId="26" fillId="3" borderId="0" xfId="0" applyFont="true" applyBorder="false" applyAlignment="true" applyProtection="true">
      <alignment horizontal="center" vertical="bottom" textRotation="0" wrapText="false" indent="0" shrinkToFit="false"/>
      <protection locked="true" hidden="true"/>
    </xf>
    <xf numFmtId="170" fontId="26" fillId="3" borderId="0" xfId="0" applyFont="true" applyBorder="false" applyAlignment="false" applyProtection="true">
      <alignment horizontal="general" vertical="bottom" textRotation="0" wrapText="false" indent="0" shrinkToFit="false"/>
      <protection locked="true" hidden="true"/>
    </xf>
    <xf numFmtId="164" fontId="5" fillId="3" borderId="41" xfId="0" applyFont="true" applyBorder="true" applyAlignment="true" applyProtection="true">
      <alignment horizontal="left" vertical="center" textRotation="0" wrapText="true" indent="1" shrinkToFit="false"/>
      <protection locked="true" hidden="true"/>
    </xf>
    <xf numFmtId="165" fontId="5" fillId="3" borderId="42" xfId="0" applyFont="true" applyBorder="true" applyAlignment="true" applyProtection="false">
      <alignment horizontal="left" vertical="center" textRotation="0" wrapText="true" indent="1" shrinkToFit="false"/>
      <protection locked="true" hidden="false"/>
    </xf>
    <xf numFmtId="174" fontId="26" fillId="3" borderId="27" xfId="0" applyFont="true" applyBorder="true" applyAlignment="true" applyProtection="true">
      <alignment horizontal="center" vertical="center" textRotation="0" wrapText="true" indent="0" shrinkToFit="false"/>
      <protection locked="true" hidden="true"/>
    </xf>
    <xf numFmtId="172" fontId="26" fillId="3" borderId="0" xfId="0" applyFont="true" applyBorder="false" applyAlignment="true" applyProtection="true">
      <alignment horizontal="center" vertical="bottom" textRotation="0" wrapText="false" indent="0" shrinkToFit="false"/>
      <protection locked="true" hidden="true"/>
    </xf>
    <xf numFmtId="164" fontId="0" fillId="3" borderId="0" xfId="0" applyFont="false" applyBorder="false" applyAlignment="true" applyProtection="false">
      <alignment horizontal="left" vertical="center" textRotation="0" wrapText="true" indent="1" shrinkToFit="false"/>
      <protection locked="true" hidden="false"/>
    </xf>
    <xf numFmtId="178" fontId="26" fillId="3" borderId="0" xfId="0" applyFont="true" applyBorder="false" applyAlignment="true" applyProtection="true">
      <alignment horizontal="center" vertical="bottom" textRotation="0" wrapText="false" indent="0" shrinkToFit="false"/>
      <protection locked="true" hidden="true"/>
    </xf>
    <xf numFmtId="164" fontId="26" fillId="3" borderId="21" xfId="0" applyFont="true" applyBorder="true" applyAlignment="true" applyProtection="true">
      <alignment horizontal="left" vertical="center" textRotation="0" wrapText="false" indent="1" shrinkToFit="false"/>
      <protection locked="true" hidden="true"/>
    </xf>
    <xf numFmtId="173" fontId="26" fillId="0" borderId="21" xfId="0" applyFont="true" applyBorder="true" applyAlignment="true" applyProtection="true">
      <alignment horizontal="center" vertical="bottom" textRotation="0" wrapText="false" indent="0" shrinkToFit="false"/>
      <protection locked="true" hidden="true"/>
    </xf>
    <xf numFmtId="173" fontId="26" fillId="0" borderId="0" xfId="0" applyFont="true" applyBorder="false" applyAlignment="false" applyProtection="true">
      <alignment horizontal="general" vertical="bottom" textRotation="0" wrapText="false" indent="0" shrinkToFit="false"/>
      <protection locked="true" hidden="true"/>
    </xf>
    <xf numFmtId="179" fontId="26" fillId="3" borderId="0" xfId="0" applyFont="true" applyBorder="false" applyAlignment="true" applyProtection="true">
      <alignment horizontal="center" vertical="bottom" textRotation="0" wrapText="false" indent="0" shrinkToFit="false"/>
      <protection locked="true" hidden="true"/>
    </xf>
    <xf numFmtId="176" fontId="26" fillId="3" borderId="0" xfId="0" applyFont="true" applyBorder="false" applyAlignment="true" applyProtection="true">
      <alignment horizontal="center" vertical="bottom" textRotation="0" wrapText="false" indent="0" shrinkToFit="false"/>
      <protection locked="true" hidden="true"/>
    </xf>
    <xf numFmtId="164" fontId="36" fillId="0" borderId="0" xfId="0" applyFont="true" applyBorder="false" applyAlignment="false" applyProtection="true">
      <alignment horizontal="general" vertical="bottom" textRotation="0" wrapText="false" indent="0" shrinkToFit="false"/>
      <protection locked="true" hidden="true"/>
    </xf>
    <xf numFmtId="164" fontId="26" fillId="3" borderId="23" xfId="0" applyFont="true" applyBorder="true" applyAlignment="true" applyProtection="true">
      <alignment horizontal="left" vertical="center" textRotation="0" wrapText="false" indent="1" shrinkToFit="false"/>
      <protection locked="true" hidden="true"/>
    </xf>
    <xf numFmtId="164" fontId="26" fillId="3" borderId="0" xfId="0" applyFont="true" applyBorder="false" applyAlignment="true" applyProtection="true">
      <alignment horizontal="left" vertical="center" textRotation="0" wrapText="false" indent="1" shrinkToFit="false"/>
      <protection locked="true" hidden="true"/>
    </xf>
    <xf numFmtId="164" fontId="5" fillId="3" borderId="0" xfId="0" applyFont="true" applyBorder="false" applyAlignment="true" applyProtection="false">
      <alignment horizontal="left" vertical="center" textRotation="0" wrapText="false" indent="1" shrinkToFit="false"/>
      <protection locked="true" hidden="false"/>
    </xf>
    <xf numFmtId="173" fontId="32" fillId="0" borderId="23" xfId="0" applyFont="true" applyBorder="true" applyAlignment="true" applyProtection="true">
      <alignment horizontal="center" vertical="bottom" textRotation="0" wrapText="false" indent="0" shrinkToFit="false"/>
      <protection locked="true" hidden="true"/>
    </xf>
    <xf numFmtId="170" fontId="37" fillId="3" borderId="0" xfId="0" applyFont="true" applyBorder="false" applyAlignment="true" applyProtection="true">
      <alignment horizontal="center" vertical="bottom" textRotation="0" wrapText="false" indent="0" shrinkToFit="false"/>
      <protection locked="true" hidden="true"/>
    </xf>
    <xf numFmtId="172" fontId="32" fillId="3" borderId="0" xfId="0" applyFont="true" applyBorder="false" applyAlignment="true" applyProtection="true">
      <alignment horizontal="center" vertical="bottom" textRotation="0" wrapText="false" indent="0" shrinkToFit="false"/>
      <protection locked="true" hidden="true"/>
    </xf>
    <xf numFmtId="164" fontId="38" fillId="3" borderId="0" xfId="0" applyFont="true" applyBorder="false" applyAlignment="true" applyProtection="true">
      <alignment horizontal="right" vertical="bottom" textRotation="0" wrapText="false" indent="0" shrinkToFit="false"/>
      <protection locked="true" hidden="true"/>
    </xf>
    <xf numFmtId="167" fontId="38" fillId="3" borderId="0" xfId="0" applyFont="true" applyBorder="true" applyAlignment="true" applyProtection="true">
      <alignment horizontal="left" vertical="bottom" textRotation="0" wrapText="false" indent="0" shrinkToFit="false"/>
      <protection locked="true" hidden="true"/>
    </xf>
    <xf numFmtId="171" fontId="26" fillId="3" borderId="0" xfId="0" applyFont="true" applyBorder="false" applyAlignment="true" applyProtection="true">
      <alignment horizontal="center" vertical="bottom" textRotation="0" wrapText="false" indent="0" shrinkToFit="false"/>
      <protection locked="true" hidden="true"/>
    </xf>
    <xf numFmtId="173" fontId="32" fillId="3" borderId="0" xfId="0" applyFont="true" applyBorder="false" applyAlignment="true" applyProtection="true">
      <alignment horizontal="center" vertical="bottom" textRotation="0" wrapText="false" indent="0" shrinkToFit="false"/>
      <protection locked="true" hidden="true"/>
    </xf>
    <xf numFmtId="164" fontId="26" fillId="3" borderId="23" xfId="0" applyFont="true" applyBorder="true" applyAlignment="true" applyProtection="true">
      <alignment horizontal="left" vertical="bottom" textRotation="0" wrapText="false" indent="1" shrinkToFit="false"/>
      <protection locked="true" hidden="true"/>
    </xf>
    <xf numFmtId="173" fontId="26" fillId="3" borderId="21" xfId="0" applyFont="true" applyBorder="true" applyAlignment="true" applyProtection="true">
      <alignment horizontal="center" vertical="bottom" textRotation="0" wrapText="false" indent="0" shrinkToFit="false"/>
      <protection locked="true" hidden="true"/>
    </xf>
    <xf numFmtId="164" fontId="32" fillId="3" borderId="23" xfId="0" applyFont="true" applyBorder="true" applyAlignment="true" applyProtection="true">
      <alignment horizontal="left" vertical="bottom" textRotation="0" wrapText="false" indent="1" shrinkToFit="false"/>
      <protection locked="true" hidden="true"/>
    </xf>
    <xf numFmtId="164" fontId="32" fillId="3" borderId="0" xfId="0" applyFont="true" applyBorder="false" applyAlignment="true" applyProtection="true">
      <alignment horizontal="center" vertical="bottom" textRotation="0" wrapText="false" indent="0" shrinkToFit="false"/>
      <protection locked="true" hidden="true"/>
    </xf>
    <xf numFmtId="164" fontId="26" fillId="3" borderId="41" xfId="0" applyFont="true" applyBorder="true" applyAlignment="true" applyProtection="true">
      <alignment horizontal="left" vertical="center" textRotation="0" wrapText="false" indent="1" shrinkToFit="false"/>
      <protection locked="true" hidden="true"/>
    </xf>
    <xf numFmtId="172" fontId="26" fillId="3" borderId="23" xfId="0" applyFont="true" applyBorder="true" applyAlignment="true" applyProtection="true">
      <alignment horizontal="center" vertical="center" textRotation="0" wrapText="true" indent="0" shrinkToFit="false"/>
      <protection locked="true" hidden="true"/>
    </xf>
    <xf numFmtId="164" fontId="26" fillId="3" borderId="0" xfId="0" applyFont="true" applyBorder="false" applyAlignment="true" applyProtection="true">
      <alignment horizontal="center" vertical="bottom" textRotation="0" wrapText="false" indent="0" shrinkToFit="false"/>
      <protection locked="true" hidden="true"/>
    </xf>
    <xf numFmtId="174" fontId="26" fillId="3" borderId="21" xfId="0" applyFont="true" applyBorder="true" applyAlignment="true" applyProtection="true">
      <alignment horizontal="center" vertical="bottom" textRotation="0" wrapText="true" indent="0" shrinkToFit="false"/>
      <protection locked="true" hidden="true"/>
    </xf>
    <xf numFmtId="173" fontId="26" fillId="3" borderId="21" xfId="0" applyFont="true" applyBorder="true" applyAlignment="true" applyProtection="true">
      <alignment horizontal="center" vertical="bottom" textRotation="0" wrapText="true" indent="0" shrinkToFit="false"/>
      <protection locked="true" hidden="true"/>
    </xf>
    <xf numFmtId="170" fontId="26" fillId="3" borderId="0" xfId="0" applyFont="true" applyBorder="false" applyAlignment="true" applyProtection="true">
      <alignment horizontal="center" vertical="bottom" textRotation="0" wrapText="false" indent="0" shrinkToFit="false"/>
      <protection locked="true" hidden="true"/>
    </xf>
    <xf numFmtId="164" fontId="26" fillId="0" borderId="0" xfId="0" applyFont="true" applyBorder="false" applyAlignment="true" applyProtection="true">
      <alignment horizontal="center" vertical="bottom" textRotation="0" wrapText="false" indent="0" shrinkToFit="false"/>
      <protection locked="true" hidden="true"/>
    </xf>
    <xf numFmtId="171" fontId="26" fillId="3" borderId="0" xfId="0" applyFont="true" applyBorder="false" applyAlignment="true" applyProtection="true">
      <alignment horizontal="left" vertical="bottom" textRotation="0" wrapText="false" indent="1" shrinkToFit="false"/>
      <protection locked="true" hidden="true"/>
    </xf>
    <xf numFmtId="174" fontId="26" fillId="3" borderId="21" xfId="0" applyFont="true" applyBorder="true" applyAlignment="true" applyProtection="true">
      <alignment horizontal="center" vertical="bottom" textRotation="0" wrapText="false" indent="0" shrinkToFit="false"/>
      <protection locked="true" hidden="true"/>
    </xf>
    <xf numFmtId="171" fontId="26" fillId="3" borderId="21" xfId="0" applyFont="true" applyBorder="true" applyAlignment="true" applyProtection="true">
      <alignment horizontal="center" vertical="bottom" textRotation="0" wrapText="false" indent="0" shrinkToFit="false"/>
      <protection locked="true" hidden="true"/>
    </xf>
    <xf numFmtId="164" fontId="33" fillId="3" borderId="21" xfId="0" applyFont="true" applyBorder="true" applyAlignment="true" applyProtection="true">
      <alignment horizontal="left" vertical="bottom" textRotation="0" wrapText="false" indent="1" shrinkToFit="false"/>
      <protection locked="true" hidden="true"/>
    </xf>
    <xf numFmtId="164" fontId="34" fillId="3" borderId="0" xfId="0" applyFont="true" applyBorder="false" applyAlignment="true" applyProtection="true">
      <alignment horizontal="left" vertical="bottom" textRotation="0" wrapText="false" indent="1" shrinkToFit="false"/>
      <protection locked="true" hidden="true"/>
    </xf>
    <xf numFmtId="173" fontId="32" fillId="3" borderId="0" xfId="0" applyFont="true" applyBorder="false" applyAlignment="false" applyProtection="true">
      <alignment horizontal="general" vertical="bottom" textRotation="0" wrapText="false" indent="0" shrinkToFit="false"/>
      <protection locked="true" hidden="true"/>
    </xf>
    <xf numFmtId="172" fontId="26" fillId="3" borderId="0" xfId="0" applyFont="true" applyBorder="false" applyAlignment="false" applyProtection="true">
      <alignment horizontal="general" vertical="bottom" textRotation="0" wrapText="false" indent="0" shrinkToFit="false"/>
      <protection locked="true" hidden="true"/>
    </xf>
    <xf numFmtId="171" fontId="33" fillId="3" borderId="0" xfId="0" applyFont="true" applyBorder="false" applyAlignment="true" applyProtection="true">
      <alignment horizontal="left" vertical="bottom" textRotation="0" wrapText="false" indent="1" shrinkToFit="false"/>
      <protection locked="true" hidden="true"/>
    </xf>
    <xf numFmtId="171" fontId="26" fillId="3" borderId="0" xfId="0" applyFont="true" applyBorder="false" applyAlignment="false" applyProtection="true">
      <alignment horizontal="general" vertical="bottom" textRotation="0" wrapText="false" indent="0" shrinkToFit="false"/>
      <protection locked="true" hidden="true"/>
    </xf>
    <xf numFmtId="171" fontId="34" fillId="3" borderId="0" xfId="0" applyFont="true" applyBorder="false" applyAlignment="true" applyProtection="true">
      <alignment horizontal="left" vertical="bottom" textRotation="0" wrapText="false" indent="1" shrinkToFit="false"/>
      <protection locked="true" hidden="true"/>
    </xf>
    <xf numFmtId="173" fontId="26" fillId="3" borderId="0" xfId="0" applyFont="true" applyBorder="false" applyAlignment="false" applyProtection="true">
      <alignment horizontal="general" vertical="bottom" textRotation="0" wrapText="false" indent="0" shrinkToFit="false"/>
      <protection locked="true" hidden="true"/>
    </xf>
    <xf numFmtId="169" fontId="33" fillId="3" borderId="0" xfId="0" applyFont="true" applyBorder="false" applyAlignment="false" applyProtection="false">
      <alignment horizontal="general" vertical="bottom" textRotation="0" wrapText="false" indent="0" shrinkToFit="false"/>
      <protection locked="true" hidden="false"/>
    </xf>
    <xf numFmtId="169" fontId="34" fillId="3" borderId="41" xfId="0" applyFont="true" applyBorder="true" applyAlignment="true" applyProtection="false">
      <alignment horizontal="center" vertical="center" textRotation="0" wrapText="true" indent="0" shrinkToFit="false"/>
      <protection locked="true" hidden="false"/>
    </xf>
    <xf numFmtId="164" fontId="33" fillId="3" borderId="46" xfId="0" applyFont="true" applyBorder="true" applyAlignment="true" applyProtection="false">
      <alignment horizontal="center" vertical="center" textRotation="0" wrapText="true" indent="0" shrinkToFit="false"/>
      <protection locked="true" hidden="false"/>
    </xf>
    <xf numFmtId="166" fontId="26" fillId="3" borderId="27" xfId="0" applyFont="true" applyBorder="true" applyAlignment="true" applyProtection="true">
      <alignment horizontal="center" vertical="center" textRotation="0" wrapText="true" indent="0" shrinkToFit="false"/>
      <protection locked="true" hidden="true"/>
    </xf>
    <xf numFmtId="166" fontId="26" fillId="3" borderId="21" xfId="0" applyFont="true" applyBorder="true" applyAlignment="true" applyProtection="true">
      <alignment horizontal="center" vertical="center" textRotation="0" wrapText="true" indent="0" shrinkToFit="false"/>
      <protection locked="true" hidden="true"/>
    </xf>
    <xf numFmtId="171" fontId="33" fillId="3" borderId="47" xfId="0" applyFont="true" applyBorder="true" applyAlignment="true" applyProtection="false">
      <alignment horizontal="center" vertical="center" textRotation="0" wrapText="true" indent="0" shrinkToFit="false"/>
      <protection locked="true" hidden="false"/>
    </xf>
    <xf numFmtId="169" fontId="33" fillId="3" borderId="32" xfId="0" applyFont="true" applyBorder="true" applyAlignment="true" applyProtection="false">
      <alignment horizontal="center" vertical="bottom" textRotation="0" wrapText="false" indent="0" shrinkToFit="false"/>
      <protection locked="true" hidden="false"/>
    </xf>
    <xf numFmtId="169" fontId="33" fillId="3" borderId="21" xfId="0" applyFont="true" applyBorder="true" applyAlignment="true" applyProtection="false">
      <alignment horizontal="center" vertical="bottom" textRotation="0" wrapText="false" indent="0" shrinkToFit="false"/>
      <protection locked="true" hidden="false"/>
    </xf>
    <xf numFmtId="169" fontId="33" fillId="3" borderId="26" xfId="0" applyFont="true" applyBorder="true" applyAlignment="true" applyProtection="false">
      <alignment horizontal="center" vertical="bottom" textRotation="0" wrapText="false" indent="0" shrinkToFit="false"/>
      <protection locked="true" hidden="false"/>
    </xf>
    <xf numFmtId="169" fontId="34" fillId="3" borderId="0" xfId="0" applyFont="true" applyBorder="false" applyAlignment="true" applyProtection="false">
      <alignment horizontal="right" vertical="bottom" textRotation="0" wrapText="false" indent="1" shrinkToFit="false"/>
      <protection locked="true" hidden="false"/>
    </xf>
    <xf numFmtId="169" fontId="33" fillId="3" borderId="0" xfId="0" applyFont="true" applyBorder="false" applyAlignment="true" applyProtection="false">
      <alignment horizontal="left" vertical="bottom" textRotation="0" wrapText="false" indent="1" shrinkToFit="false"/>
      <protection locked="true" hidden="false"/>
    </xf>
    <xf numFmtId="172" fontId="33" fillId="0" borderId="0" xfId="0" applyFont="true" applyBorder="false" applyAlignment="false" applyProtection="false">
      <alignment horizontal="general" vertical="bottom" textRotation="0" wrapText="false" indent="0" shrinkToFit="false"/>
      <protection locked="true" hidden="false"/>
    </xf>
    <xf numFmtId="169" fontId="34" fillId="3" borderId="0" xfId="0" applyFont="true" applyBorder="false" applyAlignment="true" applyProtection="false">
      <alignment horizontal="left" vertical="bottom" textRotation="0" wrapText="false" indent="1" shrinkToFit="false"/>
      <protection locked="true" hidden="false"/>
    </xf>
    <xf numFmtId="172" fontId="34" fillId="3" borderId="0" xfId="0" applyFont="true" applyBorder="false" applyAlignment="false" applyProtection="false">
      <alignment horizontal="general" vertical="bottom" textRotation="0" wrapText="false" indent="0" shrinkToFit="false"/>
      <protection locked="true" hidden="false"/>
    </xf>
    <xf numFmtId="169" fontId="34" fillId="3" borderId="0" xfId="0" applyFont="true" applyBorder="false" applyAlignment="false" applyProtection="false">
      <alignment horizontal="general" vertical="bottom" textRotation="0" wrapText="false" indent="0" shrinkToFit="false"/>
      <protection locked="true" hidden="false"/>
    </xf>
    <xf numFmtId="169" fontId="34" fillId="3" borderId="23" xfId="0" applyFont="true" applyBorder="true" applyAlignment="true" applyProtection="false">
      <alignment horizontal="center" vertical="center" textRotation="0" wrapText="true" indent="0" shrinkToFit="false"/>
      <protection locked="true" hidden="false"/>
    </xf>
    <xf numFmtId="166" fontId="33" fillId="3" borderId="21" xfId="0" applyFont="true" applyBorder="true" applyAlignment="true" applyProtection="false">
      <alignment horizontal="center" vertical="center" textRotation="0" wrapText="true" indent="0" shrinkToFit="false"/>
      <protection locked="true" hidden="false"/>
    </xf>
    <xf numFmtId="169" fontId="33" fillId="3" borderId="27" xfId="0" applyFont="true" applyBorder="true" applyAlignment="true" applyProtection="false">
      <alignment horizontal="center" vertical="bottom" textRotation="0" wrapText="false" indent="0" shrinkToFit="false"/>
      <protection locked="true" hidden="false"/>
    </xf>
    <xf numFmtId="164" fontId="33" fillId="3" borderId="23" xfId="0" applyFont="true" applyBorder="true" applyAlignment="true" applyProtection="false">
      <alignment horizontal="left" vertical="bottom" textRotation="0" wrapText="true" indent="1" shrinkToFit="false"/>
      <protection locked="true" hidden="false"/>
    </xf>
    <xf numFmtId="169" fontId="33" fillId="3" borderId="40" xfId="0" applyFont="true" applyBorder="true" applyAlignment="true" applyProtection="false">
      <alignment horizontal="left" vertical="bottom" textRotation="0" wrapText="false" indent="1" shrinkToFit="false"/>
      <protection locked="true" hidden="false"/>
    </xf>
    <xf numFmtId="172" fontId="33" fillId="3" borderId="39" xfId="0" applyFont="true" applyBorder="true" applyAlignment="false" applyProtection="false">
      <alignment horizontal="general" vertical="bottom" textRotation="0" wrapText="false" indent="0" shrinkToFit="false"/>
      <protection locked="true" hidden="false"/>
    </xf>
    <xf numFmtId="164" fontId="39" fillId="3" borderId="0" xfId="0" applyFont="true" applyBorder="false" applyAlignment="false" applyProtection="false">
      <alignment horizontal="general" vertical="bottom" textRotation="0" wrapText="false" indent="0" shrinkToFit="false"/>
      <protection locked="true" hidden="false"/>
    </xf>
    <xf numFmtId="172" fontId="34" fillId="3" borderId="48" xfId="0" applyFont="true" applyBorder="true" applyAlignment="false" applyProtection="false">
      <alignment horizontal="general" vertical="bottom" textRotation="0" wrapText="false" indent="0" shrinkToFit="false"/>
      <protection locked="true" hidden="false"/>
    </xf>
    <xf numFmtId="164" fontId="33" fillId="3" borderId="33" xfId="0" applyFont="true" applyBorder="true" applyAlignment="false" applyProtection="false">
      <alignment horizontal="general" vertical="bottom" textRotation="0" wrapText="false" indent="0" shrinkToFit="false"/>
      <protection locked="true" hidden="false"/>
    </xf>
    <xf numFmtId="171" fontId="26" fillId="0" borderId="0" xfId="0" applyFont="true" applyBorder="false" applyAlignment="false" applyProtection="false">
      <alignment horizontal="general" vertical="bottom" textRotation="0" wrapText="false" indent="0" shrinkToFit="false"/>
      <protection locked="true" hidden="false"/>
    </xf>
    <xf numFmtId="180" fontId="26" fillId="0" borderId="0" xfId="0" applyFont="true" applyBorder="false" applyAlignment="false" applyProtection="false">
      <alignment horizontal="general" vertical="bottom" textRotation="0" wrapText="false" indent="0" shrinkToFit="false"/>
      <protection locked="true" hidden="false"/>
    </xf>
    <xf numFmtId="172" fontId="26" fillId="0" borderId="0" xfId="0" applyFont="true" applyBorder="false" applyAlignment="true" applyProtection="false">
      <alignment horizontal="center" vertical="bottom" textRotation="0" wrapText="false" indent="0" shrinkToFit="false"/>
      <protection locked="true" hidden="false"/>
    </xf>
    <xf numFmtId="173" fontId="26" fillId="0" borderId="0" xfId="0" applyFont="true" applyBorder="false" applyAlignment="true" applyProtection="false">
      <alignment horizontal="center" vertical="bottom" textRotation="0" wrapText="false" indent="0" shrinkToFit="false"/>
      <protection locked="true" hidden="false"/>
    </xf>
    <xf numFmtId="171" fontId="26" fillId="3" borderId="21" xfId="0" applyFont="true" applyBorder="true" applyAlignment="true" applyProtection="false">
      <alignment horizontal="center" vertical="center" textRotation="0" wrapText="true" indent="0" shrinkToFit="false"/>
      <protection locked="true" hidden="false"/>
    </xf>
    <xf numFmtId="180" fontId="26" fillId="3" borderId="21" xfId="0" applyFont="true" applyBorder="true" applyAlignment="true" applyProtection="false">
      <alignment horizontal="center" vertical="center" textRotation="0" wrapText="true" indent="0" shrinkToFit="false"/>
      <protection locked="true" hidden="false"/>
    </xf>
    <xf numFmtId="173" fontId="32" fillId="3" borderId="21" xfId="0" applyFont="true" applyBorder="true" applyAlignment="true" applyProtection="false">
      <alignment horizontal="center" vertical="bottom" textRotation="0" wrapText="false" indent="0" shrinkToFit="false"/>
      <protection locked="true" hidden="false"/>
    </xf>
    <xf numFmtId="172" fontId="32" fillId="3" borderId="21" xfId="0" applyFont="true" applyBorder="true" applyAlignment="true" applyProtection="false">
      <alignment horizontal="center" vertical="bottom" textRotation="0" wrapText="false" indent="0" shrinkToFit="false"/>
      <protection locked="true" hidden="false"/>
    </xf>
    <xf numFmtId="173" fontId="32" fillId="0" borderId="0" xfId="0" applyFont="true" applyBorder="false" applyAlignment="false" applyProtection="false">
      <alignment horizontal="general" vertical="bottom" textRotation="0" wrapText="false" indent="0" shrinkToFit="false"/>
      <protection locked="true" hidden="false"/>
    </xf>
    <xf numFmtId="173" fontId="26" fillId="3" borderId="21" xfId="0" applyFont="true" applyBorder="true" applyAlignment="true" applyProtection="false">
      <alignment horizontal="center" vertical="center" textRotation="0" wrapText="true" indent="0" shrinkToFit="false"/>
      <protection locked="true" hidden="false"/>
    </xf>
    <xf numFmtId="172" fontId="26" fillId="3" borderId="21" xfId="0" applyFont="true" applyBorder="true" applyAlignment="true" applyProtection="false">
      <alignment horizontal="center" vertical="center" textRotation="0" wrapText="true" indent="0" shrinkToFit="false"/>
      <protection locked="true" hidden="false"/>
    </xf>
    <xf numFmtId="173" fontId="26" fillId="0" borderId="0" xfId="0" applyFont="true" applyBorder="false" applyAlignment="true" applyProtection="false">
      <alignment horizontal="center" vertical="center" textRotation="0" wrapText="true" indent="0" shrinkToFit="false"/>
      <protection locked="true" hidden="false"/>
    </xf>
    <xf numFmtId="171" fontId="26" fillId="0" borderId="36" xfId="0" applyFont="true" applyBorder="true" applyAlignment="false" applyProtection="false">
      <alignment horizontal="general" vertical="bottom" textRotation="0" wrapText="false" indent="0" shrinkToFit="false"/>
      <protection locked="true" hidden="false"/>
    </xf>
    <xf numFmtId="180" fontId="26" fillId="0" borderId="37" xfId="0" applyFont="true" applyBorder="true" applyAlignment="false" applyProtection="false">
      <alignment horizontal="general" vertical="bottom" textRotation="0" wrapText="false" indent="0" shrinkToFit="false"/>
      <protection locked="true" hidden="false"/>
    </xf>
    <xf numFmtId="173" fontId="26" fillId="0" borderId="37" xfId="0" applyFont="true" applyBorder="true" applyAlignment="false" applyProtection="false">
      <alignment horizontal="general" vertical="bottom" textRotation="0" wrapText="false" indent="0" shrinkToFit="false"/>
      <protection locked="true" hidden="false"/>
    </xf>
    <xf numFmtId="172" fontId="26" fillId="0" borderId="37" xfId="0" applyFont="true" applyBorder="true" applyAlignment="true" applyProtection="false">
      <alignment horizontal="center" vertical="bottom" textRotation="0" wrapText="false" indent="0" shrinkToFit="false"/>
      <protection locked="true" hidden="false"/>
    </xf>
    <xf numFmtId="173" fontId="26" fillId="0" borderId="37" xfId="0" applyFont="true" applyBorder="true" applyAlignment="true" applyProtection="false">
      <alignment horizontal="center" vertical="bottom" textRotation="0" wrapText="false" indent="0" shrinkToFit="false"/>
      <protection locked="true" hidden="false"/>
    </xf>
    <xf numFmtId="173" fontId="26" fillId="0" borderId="38" xfId="0" applyFont="true" applyBorder="true" applyAlignment="false" applyProtection="false">
      <alignment horizontal="general" vertical="bottom" textRotation="0" wrapText="false" indent="0" shrinkToFit="false"/>
      <protection locked="true" hidden="false"/>
    </xf>
    <xf numFmtId="171" fontId="26" fillId="0" borderId="40" xfId="0" applyFont="true" applyBorder="true" applyAlignment="false" applyProtection="false">
      <alignment horizontal="general" vertical="bottom" textRotation="0" wrapText="false" indent="0" shrinkToFit="false"/>
      <protection locked="true" hidden="false"/>
    </xf>
    <xf numFmtId="173" fontId="26" fillId="0" borderId="39" xfId="0" applyFont="true" applyBorder="true" applyAlignment="false" applyProtection="false">
      <alignment horizontal="general" vertical="bottom" textRotation="0" wrapText="false" indent="0" shrinkToFit="false"/>
      <protection locked="true" hidden="false"/>
    </xf>
    <xf numFmtId="171" fontId="26" fillId="0" borderId="33" xfId="0" applyFont="true" applyBorder="true" applyAlignment="false" applyProtection="false">
      <alignment horizontal="general" vertical="bottom" textRotation="0" wrapText="false" indent="0" shrinkToFit="false"/>
      <protection locked="true" hidden="false"/>
    </xf>
    <xf numFmtId="180" fontId="26" fillId="0" borderId="34" xfId="0" applyFont="true" applyBorder="true" applyAlignment="false" applyProtection="false">
      <alignment horizontal="general" vertical="bottom" textRotation="0" wrapText="false" indent="0" shrinkToFit="false"/>
      <protection locked="true" hidden="false"/>
    </xf>
    <xf numFmtId="173" fontId="26" fillId="0" borderId="34" xfId="0" applyFont="true" applyBorder="true" applyAlignment="false" applyProtection="false">
      <alignment horizontal="general" vertical="bottom" textRotation="0" wrapText="false" indent="0" shrinkToFit="false"/>
      <protection locked="true" hidden="false"/>
    </xf>
    <xf numFmtId="172" fontId="26" fillId="0" borderId="34" xfId="0" applyFont="true" applyBorder="true" applyAlignment="true" applyProtection="false">
      <alignment horizontal="center" vertical="bottom" textRotation="0" wrapText="false" indent="0" shrinkToFit="false"/>
      <protection locked="true" hidden="false"/>
    </xf>
    <xf numFmtId="173" fontId="26" fillId="0" borderId="49" xfId="0" applyFont="true" applyBorder="true" applyAlignment="false" applyProtection="false">
      <alignment horizontal="general" vertical="bottom" textRotation="0" wrapText="false" indent="0" shrinkToFit="false"/>
      <protection locked="true" hidden="false"/>
    </xf>
    <xf numFmtId="173" fontId="26" fillId="0" borderId="50" xfId="0" applyFont="true" applyBorder="true" applyAlignment="false" applyProtection="false">
      <alignment horizontal="general" vertical="bottom" textRotation="0" wrapText="false" indent="0" shrinkToFit="false"/>
      <protection locked="true" hidden="false"/>
    </xf>
    <xf numFmtId="171" fontId="26" fillId="0" borderId="0" xfId="0" applyFont="true" applyBorder="false" applyAlignment="true" applyProtection="false">
      <alignment horizontal="center" vertical="bottom" textRotation="0" wrapText="false" indent="0" shrinkToFit="false"/>
      <protection locked="true" hidden="false"/>
    </xf>
    <xf numFmtId="164" fontId="26" fillId="0" borderId="0" xfId="0" applyFont="true" applyBorder="false" applyAlignment="true" applyProtection="false">
      <alignment horizontal="center" vertical="bottom" textRotation="0" wrapText="false" indent="0" shrinkToFit="false"/>
      <protection locked="true" hidden="false"/>
    </xf>
    <xf numFmtId="173" fontId="26" fillId="0" borderId="0" xfId="0" applyFont="true" applyBorder="false" applyAlignment="true" applyProtection="false">
      <alignment horizontal="right" vertical="bottom" textRotation="0" wrapText="false" indent="0" shrinkToFit="false"/>
      <protection locked="true" hidden="false"/>
    </xf>
    <xf numFmtId="173" fontId="33" fillId="3" borderId="21" xfId="0" applyFont="true" applyBorder="true" applyAlignment="true" applyProtection="false">
      <alignment horizontal="center" vertical="center" textRotation="0" wrapText="false" indent="0" shrinkToFit="false"/>
      <protection locked="true" hidden="false"/>
    </xf>
    <xf numFmtId="173" fontId="34" fillId="3" borderId="21" xfId="0" applyFont="true" applyBorder="true" applyAlignment="true" applyProtection="false">
      <alignment horizontal="center" vertical="center" textRotation="0" wrapText="true" indent="0" shrinkToFit="false"/>
      <protection locked="true" hidden="false"/>
    </xf>
    <xf numFmtId="165" fontId="40" fillId="3" borderId="21" xfId="0" applyFont="true" applyBorder="true" applyAlignment="true" applyProtection="false">
      <alignment horizontal="center" vertical="center" textRotation="0" wrapText="true" indent="0" shrinkToFit="false"/>
      <protection locked="true" hidden="false"/>
    </xf>
    <xf numFmtId="173" fontId="34" fillId="5" borderId="21" xfId="0" applyFont="true" applyBorder="true" applyAlignment="true" applyProtection="false">
      <alignment horizontal="center" vertical="bottom" textRotation="0" wrapText="false" indent="0" shrinkToFit="false"/>
      <protection locked="true" hidden="false"/>
    </xf>
    <xf numFmtId="173" fontId="33" fillId="5" borderId="21" xfId="0" applyFont="true" applyBorder="true" applyAlignment="false" applyProtection="false">
      <alignment horizontal="general" vertical="bottom" textRotation="0" wrapText="false" indent="0" shrinkToFit="false"/>
      <protection locked="true" hidden="false"/>
    </xf>
    <xf numFmtId="164" fontId="33" fillId="3" borderId="21" xfId="0" applyFont="true" applyBorder="true" applyAlignment="true" applyProtection="false">
      <alignment horizontal="center" vertical="center" textRotation="0" wrapText="true" indent="0" shrinkToFit="false"/>
      <protection locked="true" hidden="false"/>
    </xf>
    <xf numFmtId="173" fontId="34" fillId="3" borderId="26" xfId="0" applyFont="true" applyBorder="true" applyAlignment="true" applyProtection="false">
      <alignment horizontal="center" vertical="center" textRotation="0" wrapText="true" indent="0" shrinkToFit="false"/>
      <protection locked="true" hidden="false"/>
    </xf>
    <xf numFmtId="173" fontId="34" fillId="3" borderId="27" xfId="0" applyFont="true" applyBorder="true" applyAlignment="true" applyProtection="false">
      <alignment horizontal="center" vertical="center" textRotation="0" wrapText="true" indent="0" shrinkToFit="false"/>
      <protection locked="true" hidden="false"/>
    </xf>
    <xf numFmtId="173" fontId="33" fillId="5" borderId="21" xfId="0" applyFont="true" applyBorder="true" applyAlignment="true" applyProtection="false">
      <alignment horizontal="center" vertical="center" textRotation="0" wrapText="true" indent="0" shrinkToFit="false"/>
      <protection locked="true" hidden="false"/>
    </xf>
    <xf numFmtId="165" fontId="33" fillId="5" borderId="21" xfId="0" applyFont="true" applyBorder="true" applyAlignment="true" applyProtection="false">
      <alignment horizontal="center" vertical="center" textRotation="0" wrapText="true" indent="0" shrinkToFit="false"/>
      <protection locked="true" hidden="false"/>
    </xf>
    <xf numFmtId="171" fontId="33" fillId="3" borderId="24" xfId="0" applyFont="true" applyBorder="true" applyAlignment="true" applyProtection="false">
      <alignment horizontal="center" vertical="center" textRotation="0" wrapText="true" indent="0" shrinkToFit="false"/>
      <protection locked="true" hidden="false"/>
    </xf>
    <xf numFmtId="164" fontId="33" fillId="0" borderId="0" xfId="0" applyFont="true" applyBorder="false" applyAlignment="true" applyProtection="false">
      <alignment horizontal="center" vertical="center" textRotation="0" wrapText="false" indent="0" shrinkToFit="false"/>
      <protection locked="true" hidden="false"/>
    </xf>
    <xf numFmtId="171" fontId="33" fillId="3" borderId="21" xfId="0" applyFont="true" applyBorder="true" applyAlignment="true" applyProtection="false">
      <alignment horizontal="center" vertical="bottom" textRotation="0" wrapText="false" indent="0" shrinkToFit="false"/>
      <protection locked="true" hidden="false"/>
    </xf>
    <xf numFmtId="173" fontId="34" fillId="5" borderId="21" xfId="0" applyFont="true" applyBorder="true" applyAlignment="true" applyProtection="false">
      <alignment horizontal="center" vertical="center" textRotation="0" wrapText="true" indent="0" shrinkToFit="false"/>
      <protection locked="true" hidden="false"/>
    </xf>
    <xf numFmtId="164" fontId="34" fillId="0" borderId="0" xfId="0" applyFont="true" applyBorder="false" applyAlignment="true" applyProtection="false">
      <alignment horizontal="center" vertical="center" textRotation="0" wrapText="false" indent="0" shrinkToFit="false"/>
      <protection locked="true" hidden="false"/>
    </xf>
    <xf numFmtId="164" fontId="26" fillId="0" borderId="0" xfId="0" applyFont="true" applyBorder="false" applyAlignment="true" applyProtection="false">
      <alignment horizontal="left" vertical="bottom" textRotation="0" wrapText="false" indent="0" shrinkToFit="false"/>
      <protection locked="true" hidden="false"/>
    </xf>
    <xf numFmtId="172" fontId="26" fillId="3" borderId="21" xfId="0" applyFont="true" applyBorder="true" applyAlignment="true" applyProtection="false">
      <alignment horizontal="center" vertical="bottom" textRotation="0" wrapText="false" indent="0" shrinkToFit="false"/>
      <protection locked="true" hidden="false"/>
    </xf>
    <xf numFmtId="173" fontId="26" fillId="3" borderId="21" xfId="0" applyFont="true" applyBorder="true" applyAlignment="true" applyProtection="false">
      <alignment horizontal="center" vertical="center" textRotation="0" wrapText="false" indent="0" shrinkToFit="false"/>
      <protection locked="true" hidden="false"/>
    </xf>
    <xf numFmtId="173" fontId="32" fillId="3" borderId="21" xfId="0" applyFont="true" applyBorder="true" applyAlignment="true" applyProtection="false">
      <alignment horizontal="center" vertical="center" textRotation="0" wrapText="true" indent="0" shrinkToFit="false"/>
      <protection locked="true" hidden="false"/>
    </xf>
    <xf numFmtId="173" fontId="32" fillId="5" borderId="21" xfId="0" applyFont="true" applyBorder="true" applyAlignment="true" applyProtection="false">
      <alignment horizontal="center" vertical="bottom" textRotation="0" wrapText="false" indent="0" shrinkToFit="false"/>
      <protection locked="true" hidden="false"/>
    </xf>
    <xf numFmtId="173" fontId="26" fillId="5" borderId="21" xfId="0" applyFont="true" applyBorder="true" applyAlignment="false" applyProtection="false">
      <alignment horizontal="general" vertical="bottom" textRotation="0" wrapText="false" indent="0" shrinkToFit="false"/>
      <protection locked="true" hidden="false"/>
    </xf>
    <xf numFmtId="173" fontId="26" fillId="3" borderId="21" xfId="0" applyFont="true" applyBorder="true" applyAlignment="true" applyProtection="false">
      <alignment horizontal="center" vertical="bottom" textRotation="0" wrapText="false" indent="0" shrinkToFit="false"/>
      <protection locked="true" hidden="false"/>
    </xf>
    <xf numFmtId="171" fontId="12" fillId="0" borderId="0" xfId="0" applyFont="true" applyBorder="false" applyAlignment="true" applyProtection="true">
      <alignment horizontal="center" vertical="bottom" textRotation="0" wrapText="false" indent="0" shrinkToFit="false"/>
      <protection locked="true" hidden="true"/>
    </xf>
    <xf numFmtId="164" fontId="9" fillId="0" borderId="0" xfId="0" applyFont="true" applyBorder="false" applyAlignment="true" applyProtection="true">
      <alignment horizontal="center" vertical="bottom" textRotation="0" wrapText="false" indent="0" shrinkToFit="false"/>
      <protection locked="true" hidden="true"/>
    </xf>
    <xf numFmtId="171" fontId="12" fillId="3" borderId="34"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center" vertical="bottom" textRotation="0" wrapText="false" indent="0" shrinkToFit="false"/>
      <protection locked="true" hidden="true"/>
    </xf>
    <xf numFmtId="171" fontId="12" fillId="0" borderId="46" xfId="0" applyFont="true" applyBorder="true" applyAlignment="true" applyProtection="true">
      <alignment horizontal="center" vertical="bottom" textRotation="0" wrapText="false" indent="0" shrinkToFit="false"/>
      <protection locked="true" hidden="true"/>
    </xf>
    <xf numFmtId="164" fontId="10" fillId="0" borderId="21" xfId="0" applyFont="true" applyBorder="true" applyAlignment="true" applyProtection="true">
      <alignment horizontal="left" vertical="bottom" textRotation="0" wrapText="false" indent="1" shrinkToFit="false"/>
      <protection locked="true" hidden="true"/>
    </xf>
    <xf numFmtId="171" fontId="10" fillId="0" borderId="21" xfId="0" applyFont="true" applyBorder="true" applyAlignment="true" applyProtection="true">
      <alignment horizontal="center" vertical="bottom" textRotation="0" wrapText="false" indent="0" shrinkToFit="false"/>
      <protection locked="true" hidden="true"/>
    </xf>
    <xf numFmtId="164" fontId="10" fillId="0" borderId="21" xfId="0" applyFont="true" applyBorder="true" applyAlignment="true" applyProtection="true">
      <alignment horizontal="left" vertical="center" textRotation="0" wrapText="false" indent="1" shrinkToFit="false"/>
      <protection locked="true" hidden="true"/>
    </xf>
    <xf numFmtId="165" fontId="10" fillId="0" borderId="21" xfId="0" applyFont="true" applyBorder="true" applyAlignment="true" applyProtection="true">
      <alignment horizontal="center" vertical="bottom" textRotation="0" wrapText="false" indent="0" shrinkToFit="false"/>
      <protection locked="true" hidden="true"/>
    </xf>
    <xf numFmtId="164" fontId="9" fillId="3" borderId="0" xfId="0" applyFont="true" applyBorder="fals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center" vertical="center" textRotation="0" wrapText="false" indent="0" shrinkToFit="false"/>
      <protection locked="true" hidden="true"/>
    </xf>
    <xf numFmtId="171" fontId="12" fillId="0" borderId="23" xfId="0" applyFont="true" applyBorder="true" applyAlignment="true" applyProtection="true">
      <alignment horizontal="center" vertical="bottom" textRotation="0" wrapText="false" indent="0" shrinkToFit="false"/>
      <protection locked="true" hidden="true"/>
    </xf>
    <xf numFmtId="164" fontId="9" fillId="3" borderId="0" xfId="0" applyFont="true" applyBorder="true" applyAlignment="false" applyProtection="true">
      <alignment horizontal="general" vertical="bottom" textRotation="0" wrapText="false" indent="0" shrinkToFit="false"/>
      <protection locked="true" hidden="true"/>
    </xf>
    <xf numFmtId="176" fontId="9" fillId="0" borderId="21" xfId="0" applyFont="true" applyBorder="true" applyAlignment="true" applyProtection="true">
      <alignment horizontal="center" vertical="bottom" textRotation="0" wrapText="false" indent="0" shrinkToFit="false"/>
      <protection locked="true" hidden="true"/>
    </xf>
    <xf numFmtId="170" fontId="9" fillId="0" borderId="21" xfId="0" applyFont="true" applyBorder="true" applyAlignment="true" applyProtection="true">
      <alignment horizontal="center" vertical="bottom" textRotation="0" wrapText="false" indent="0" shrinkToFit="false"/>
      <protection locked="true" hidden="true"/>
    </xf>
    <xf numFmtId="164" fontId="9" fillId="0" borderId="21" xfId="0" applyFont="true" applyBorder="true" applyAlignment="true" applyProtection="true">
      <alignment horizontal="center" vertical="bottom" textRotation="0" wrapText="false" indent="0" shrinkToFit="false"/>
      <protection locked="true" hidden="true"/>
    </xf>
    <xf numFmtId="164" fontId="9" fillId="3" borderId="0" xfId="0" applyFont="true" applyBorder="false" applyAlignment="true" applyProtection="true">
      <alignment horizontal="center" vertical="center" textRotation="0" wrapText="true" indent="0" shrinkToFit="false"/>
      <protection locked="true" hidden="true"/>
    </xf>
    <xf numFmtId="164" fontId="9" fillId="3" borderId="0" xfId="0" applyFont="true" applyBorder="false" applyAlignment="true" applyProtection="true">
      <alignment horizontal="center" vertical="bottom" textRotation="0" wrapText="true" indent="0" shrinkToFit="false"/>
      <protection locked="true" hidden="true"/>
    </xf>
    <xf numFmtId="176" fontId="9" fillId="3" borderId="0" xfId="0" applyFont="true" applyBorder="false" applyAlignment="true" applyProtection="true">
      <alignment horizontal="center" vertical="bottom" textRotation="0" wrapText="false" indent="0" shrinkToFit="false"/>
      <protection locked="true" hidden="true"/>
    </xf>
    <xf numFmtId="174" fontId="9" fillId="0" borderId="21" xfId="0" applyFont="true" applyBorder="true" applyAlignment="true" applyProtection="true">
      <alignment horizontal="center" vertical="bottom" textRotation="0" wrapText="false" indent="0" shrinkToFit="false"/>
      <protection locked="true" hidden="true"/>
    </xf>
    <xf numFmtId="174" fontId="9" fillId="3" borderId="0" xfId="0" applyFont="true" applyBorder="false" applyAlignment="true" applyProtection="true">
      <alignment horizontal="center" vertical="bottom" textRotation="0" wrapText="false" indent="0" shrinkToFit="false"/>
      <protection locked="true" hidden="true"/>
    </xf>
    <xf numFmtId="164" fontId="9" fillId="3" borderId="0" xfId="0" applyFont="true" applyBorder="true" applyAlignment="true" applyProtection="true">
      <alignment horizontal="general" vertical="bottom" textRotation="0" wrapText="true" indent="0" shrinkToFit="false"/>
      <protection locked="true" hidden="true"/>
    </xf>
    <xf numFmtId="164" fontId="9" fillId="3" borderId="0" xfId="0" applyFont="true" applyBorder="true" applyAlignment="true" applyProtection="true">
      <alignment horizontal="left" vertical="center" textRotation="0" wrapText="true" indent="1" shrinkToFit="false"/>
      <protection locked="true" hidden="true"/>
    </xf>
    <xf numFmtId="181" fontId="9" fillId="0" borderId="21" xfId="0" applyFont="true" applyBorder="true" applyAlignment="true" applyProtection="true">
      <alignment horizontal="center" vertical="bottom" textRotation="0" wrapText="false" indent="0" shrinkToFit="false"/>
      <protection locked="true" hidden="true"/>
    </xf>
    <xf numFmtId="164" fontId="9" fillId="3" borderId="0" xfId="0" applyFont="true" applyBorder="false" applyAlignment="true" applyProtection="true">
      <alignment horizontal="general" vertical="bottom" textRotation="0" wrapText="true" indent="0" shrinkToFit="false"/>
      <protection locked="true" hidden="true"/>
    </xf>
    <xf numFmtId="171" fontId="12" fillId="3" borderId="0" xfId="0" applyFont="true" applyBorder="false" applyAlignment="true" applyProtection="true">
      <alignment horizontal="center" vertical="bottom" textRotation="0" wrapText="false" indent="0" shrinkToFit="false"/>
      <protection locked="true" hidden="true"/>
    </xf>
  </cellXfs>
  <cellStyles count="9">
    <cellStyle name="Normal" xfId="0" builtinId="0"/>
    <cellStyle name="Comma" xfId="15" builtinId="3"/>
    <cellStyle name="Comma [0]" xfId="16" builtinId="6"/>
    <cellStyle name="Currency" xfId="17" builtinId="4"/>
    <cellStyle name="Currency [0]" xfId="18" builtinId="7"/>
    <cellStyle name="Percent" xfId="19" builtinId="5"/>
    <cellStyle name="Normal 2" xfId="21"/>
    <cellStyle name="Normal 3" xfId="22"/>
    <cellStyle name="*unknown*" xfId="20" builtinId="8"/>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G2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82421875" defaultRowHeight="12.75" zeroHeight="false" outlineLevelRow="0" outlineLevelCol="0"/>
  <cols>
    <col collapsed="false" customWidth="true" hidden="false" outlineLevel="0" max="1" min="1" style="0" width="3.49"/>
    <col collapsed="false" customWidth="true" hidden="false" outlineLevel="0" max="2" min="2" style="0" width="16.99"/>
    <col collapsed="false" customWidth="true" hidden="false" outlineLevel="0" max="5" min="3" style="0" width="23.15"/>
  </cols>
  <sheetData>
    <row r="2" customFormat="false" ht="12.75" hidden="false" customHeight="false" outlineLevel="0" collapsed="false">
      <c r="B2" s="1" t="s">
        <v>0</v>
      </c>
      <c r="C2" s="1"/>
      <c r="D2" s="1"/>
      <c r="E2" s="1"/>
    </row>
    <row r="3" customFormat="false" ht="15" hidden="false" customHeight="true" outlineLevel="0" collapsed="false">
      <c r="B3" s="2"/>
      <c r="C3" s="3"/>
      <c r="D3" s="3"/>
      <c r="E3" s="3"/>
    </row>
    <row r="4" s="4" customFormat="true" ht="54.75" hidden="false" customHeight="true" outlineLevel="0" collapsed="false">
      <c r="B4" s="5" t="s">
        <v>1</v>
      </c>
      <c r="C4" s="5"/>
      <c r="D4" s="5"/>
      <c r="E4" s="5"/>
    </row>
    <row r="5" customFormat="false" ht="15" hidden="false" customHeight="true" outlineLevel="0" collapsed="false">
      <c r="B5" s="3"/>
      <c r="C5" s="3"/>
      <c r="D5" s="3"/>
      <c r="E5" s="3"/>
    </row>
    <row r="6" customFormat="false" ht="12.75" hidden="false" customHeight="false" outlineLevel="0" collapsed="false">
      <c r="B6" s="6" t="s">
        <v>2</v>
      </c>
      <c r="C6" s="6" t="s">
        <v>3</v>
      </c>
      <c r="D6" s="6" t="s">
        <v>4</v>
      </c>
      <c r="E6" s="6" t="s">
        <v>5</v>
      </c>
    </row>
    <row r="7" customFormat="false" ht="12.75" hidden="false" customHeight="false" outlineLevel="0" collapsed="false">
      <c r="B7" s="3"/>
      <c r="C7" s="3"/>
      <c r="D7" s="3"/>
      <c r="E7" s="3"/>
    </row>
    <row r="8" customFormat="false" ht="12.75" hidden="false" customHeight="false" outlineLevel="0" collapsed="false">
      <c r="B8" s="7" t="str">
        <f aca="false">HYPERLINK("#'Business Details'!C5","Business Details")</f>
        <v>Business Details</v>
      </c>
      <c r="C8" s="8" t="str">
        <f aca="false">HYPERLINK("#'SalesApr'!E5","SalesApr")</f>
        <v>SalesApr</v>
      </c>
      <c r="D8" s="8" t="str">
        <f aca="false">HYPERLINK("#'PurchasesApr'!A5","PurchasesApr")</f>
        <v>PurchasesApr</v>
      </c>
      <c r="E8" s="7" t="str">
        <f aca="false">HYPERLINK("#'SE Short'!C8","SE Short")</f>
        <v>SE Short</v>
      </c>
      <c r="G8" s="9" t="s">
        <v>6</v>
      </c>
    </row>
    <row r="9" customFormat="false" ht="12.75" hidden="false" customHeight="false" outlineLevel="0" collapsed="false">
      <c r="B9" s="7" t="str">
        <f aca="false">HYPERLINK("#'Fixed Assets'!A7","Fixed Assets")</f>
        <v>Fixed Assets</v>
      </c>
      <c r="C9" s="8" t="str">
        <f aca="false">HYPERLINK("#'SalesMay'!E5","SalesMay")</f>
        <v>SalesMay</v>
      </c>
      <c r="D9" s="8" t="str">
        <f aca="false">HYPERLINK("#'PurchasesMay'!A5","PurchasesMay")</f>
        <v>PurchasesMay</v>
      </c>
      <c r="E9" s="7" t="str">
        <f aca="false">HYPERLINK("#'Profit &amp; Loss Acc'!A1","Profit &amp; Loss Acc")</f>
        <v>Profit &amp; Loss Acc</v>
      </c>
    </row>
    <row r="10" customFormat="false" ht="12.75" hidden="false" customHeight="false" outlineLevel="0" collapsed="false">
      <c r="B10" s="7"/>
      <c r="C10" s="8" t="str">
        <f aca="false">HYPERLINK("#'SalesJun'!E5","SalesJun")</f>
        <v>SalesJun</v>
      </c>
      <c r="D10" s="8" t="str">
        <f aca="false">HYPERLINK("#'PurchasesJun'!A5","PurchasesJun")</f>
        <v>PurchasesJun</v>
      </c>
      <c r="E10" s="7" t="str">
        <f aca="false">HYPERLINK("#'Draft Tax calculation'!D2","Draft Tax Calculation")</f>
        <v>Draft Tax Calculation</v>
      </c>
    </row>
    <row r="11" customFormat="false" ht="12.75" hidden="false" customHeight="false" outlineLevel="0" collapsed="false">
      <c r="B11" s="8"/>
      <c r="C11" s="8" t="str">
        <f aca="false">HYPERLINK("#'SalesJul'!E5","SalesJul")</f>
        <v>SalesJul</v>
      </c>
      <c r="D11" s="8" t="str">
        <f aca="false">HYPERLINK("#'PurchasesJul'!A5","PurchasesJul")</f>
        <v>PurchasesJul</v>
      </c>
      <c r="E11" s="7"/>
    </row>
    <row r="12" customFormat="false" ht="12.75" hidden="false" customHeight="false" outlineLevel="0" collapsed="false">
      <c r="B12" s="8"/>
      <c r="C12" s="8" t="str">
        <f aca="false">HYPERLINK("#'SalesAug'!E5","SalesAug")</f>
        <v>SalesAug</v>
      </c>
      <c r="D12" s="8" t="str">
        <f aca="false">HYPERLINK("#'PurchasesAug'!A5","PurchasesAug")</f>
        <v>PurchasesAug</v>
      </c>
      <c r="E12" s="7"/>
    </row>
    <row r="13" customFormat="false" ht="12.75" hidden="false" customHeight="false" outlineLevel="0" collapsed="false">
      <c r="B13" s="8"/>
      <c r="C13" s="8" t="str">
        <f aca="false">HYPERLINK("#'SalesSep'!E5","SalesSep")</f>
        <v>SalesSep</v>
      </c>
      <c r="D13" s="8" t="str">
        <f aca="false">HYPERLINK("#'PurchasesSep'!A5","PurchasesSep")</f>
        <v>PurchasesSep</v>
      </c>
      <c r="E13" s="7"/>
    </row>
    <row r="14" customFormat="false" ht="12.75" hidden="false" customHeight="false" outlineLevel="0" collapsed="false">
      <c r="B14" s="8"/>
      <c r="C14" s="8" t="str">
        <f aca="false">HYPERLINK("#'SalesOct'!E5","SalesOct")</f>
        <v>SalesOct</v>
      </c>
      <c r="D14" s="8" t="str">
        <f aca="false">HYPERLINK("#'PurchasesOct'!A5","PurchasesOct")</f>
        <v>PurchasesOct</v>
      </c>
      <c r="E14" s="7"/>
    </row>
    <row r="15" customFormat="false" ht="12.75" hidden="false" customHeight="false" outlineLevel="0" collapsed="false">
      <c r="B15" s="8"/>
      <c r="C15" s="8" t="str">
        <f aca="false">HYPERLINK("#'SalesNov'!E5","SalesNov")</f>
        <v>SalesNov</v>
      </c>
      <c r="D15" s="8" t="str">
        <f aca="false">HYPERLINK("#'PurchasesNov'!A5","PurchasesNov")</f>
        <v>PurchasesNov</v>
      </c>
      <c r="E15" s="7"/>
    </row>
    <row r="16" customFormat="false" ht="12.75" hidden="false" customHeight="false" outlineLevel="0" collapsed="false">
      <c r="B16" s="8"/>
      <c r="C16" s="8" t="str">
        <f aca="false">HYPERLINK("#'SalesDec'!E5","SalesDec")</f>
        <v>SalesDec</v>
      </c>
      <c r="D16" s="8" t="str">
        <f aca="false">HYPERLINK("#'PurchasesDec'!A5","PurchasesDec")</f>
        <v>PurchasesDec</v>
      </c>
      <c r="E16" s="7"/>
    </row>
    <row r="17" customFormat="false" ht="12.75" hidden="false" customHeight="false" outlineLevel="0" collapsed="false">
      <c r="B17" s="8"/>
      <c r="C17" s="8" t="str">
        <f aca="false">HYPERLINK("#'SalesJan'!E5","SalesJan")</f>
        <v>SalesJan</v>
      </c>
      <c r="D17" s="8" t="str">
        <f aca="false">HYPERLINK("#'PurchasesJan'!A5","PurchasesJan")</f>
        <v>PurchasesJan</v>
      </c>
      <c r="E17" s="3"/>
    </row>
    <row r="18" customFormat="false" ht="12.75" hidden="false" customHeight="false" outlineLevel="0" collapsed="false">
      <c r="B18" s="8"/>
      <c r="C18" s="8" t="str">
        <f aca="false">HYPERLINK("#'SalesFeb'!E5","SalesFeb")</f>
        <v>SalesFeb</v>
      </c>
      <c r="D18" s="8" t="str">
        <f aca="false">HYPERLINK("#'PurchasesFeb'!A5","PurchasesFeb")</f>
        <v>PurchasesFeb</v>
      </c>
      <c r="E18" s="3"/>
    </row>
    <row r="19" customFormat="false" ht="12.75" hidden="false" customHeight="false" outlineLevel="0" collapsed="false">
      <c r="B19" s="8"/>
      <c r="C19" s="8" t="str">
        <f aca="false">HYPERLINK("#'SalesMar'!E5","SalesMar")</f>
        <v>SalesMar</v>
      </c>
      <c r="D19" s="8" t="str">
        <f aca="false">HYPERLINK("#'PurchasesMar'!A5","PurchasesMar")</f>
        <v>PurchasesMar</v>
      </c>
      <c r="E19" s="3"/>
    </row>
    <row r="20" customFormat="false" ht="12.75" hidden="false" customHeight="false" outlineLevel="0" collapsed="false">
      <c r="B20" s="3"/>
      <c r="C20" s="3"/>
      <c r="D20" s="3"/>
      <c r="E20" s="3"/>
    </row>
  </sheetData>
  <mergeCells count="2">
    <mergeCell ref="B2:E2"/>
    <mergeCell ref="B4:E4"/>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10" width="3.66"/>
    <col collapsed="false" customWidth="true" hidden="false" outlineLevel="0" max="2" min="2" style="10" width="0.82"/>
    <col collapsed="false" customWidth="true" hidden="false" outlineLevel="0" max="3" min="3" style="10" width="3.66"/>
    <col collapsed="false" customWidth="true" hidden="false" outlineLevel="0" max="4" min="4" style="10" width="4.66"/>
    <col collapsed="false" customWidth="true" hidden="false" outlineLevel="0" max="5" min="5" style="10" width="1.66"/>
    <col collapsed="false" customWidth="true" hidden="false" outlineLevel="0" max="6" min="6" style="10" width="10.66"/>
    <col collapsed="false" customWidth="true" hidden="false" outlineLevel="0" max="7" min="7" style="10" width="1.66"/>
    <col collapsed="false" customWidth="true" hidden="false" outlineLevel="0" max="9" min="8" style="10" width="2.5"/>
    <col collapsed="false" customWidth="true" hidden="false" outlineLevel="0" max="11" min="10" style="10" width="6.66"/>
    <col collapsed="false" customWidth="true" hidden="false" outlineLevel="0" max="12" min="12" style="10" width="3.66"/>
    <col collapsed="false" customWidth="true" hidden="false" outlineLevel="0" max="13" min="13" style="10" width="0.82"/>
    <col collapsed="false" customWidth="true" hidden="false" outlineLevel="0" max="15" min="14" style="10" width="3.66"/>
    <col collapsed="false" customWidth="true" hidden="false" outlineLevel="0" max="17" min="16" style="10" width="6.66"/>
    <col collapsed="false" customWidth="true" hidden="false" outlineLevel="0" max="18" min="18" style="10" width="1.66"/>
    <col collapsed="false" customWidth="true" hidden="false" outlineLevel="0" max="20" min="19" style="10" width="2.5"/>
    <col collapsed="false" customWidth="true" hidden="false" outlineLevel="0" max="21" min="21" style="10" width="2.66"/>
    <col collapsed="false" customWidth="true" hidden="false" outlineLevel="0" max="22" min="22" style="10" width="7.66"/>
    <col collapsed="false" customWidth="true" hidden="false" outlineLevel="0" max="23" min="23" style="10" width="4.66"/>
    <col collapsed="false" customWidth="false" hidden="false" outlineLevel="0" max="257" min="24" style="10" width="9.15"/>
  </cols>
  <sheetData>
    <row r="1" customFormat="false" ht="15.75" hidden="false" customHeight="true" outlineLevel="0" collapsed="false">
      <c r="A1" s="11" t="s">
        <v>7</v>
      </c>
      <c r="B1" s="11"/>
      <c r="C1" s="11"/>
      <c r="D1" s="11"/>
      <c r="E1" s="11"/>
      <c r="F1" s="11"/>
      <c r="G1" s="11"/>
      <c r="H1" s="11"/>
      <c r="I1" s="11"/>
      <c r="J1" s="11"/>
      <c r="K1" s="11"/>
      <c r="L1" s="11"/>
      <c r="M1" s="11"/>
      <c r="N1" s="11"/>
      <c r="O1" s="11"/>
      <c r="P1" s="11"/>
      <c r="Q1" s="11"/>
      <c r="R1" s="11"/>
      <c r="S1" s="11"/>
      <c r="T1" s="11"/>
      <c r="U1" s="11"/>
      <c r="V1" s="11"/>
      <c r="W1" s="11"/>
    </row>
    <row r="2" customFormat="false" ht="3.75" hidden="false" customHeight="true" outlineLevel="0" collapsed="false">
      <c r="A2" s="12"/>
      <c r="B2" s="13"/>
      <c r="C2" s="13"/>
      <c r="D2" s="13"/>
      <c r="E2" s="13"/>
      <c r="F2" s="13"/>
      <c r="G2" s="13"/>
      <c r="H2" s="13"/>
      <c r="I2" s="13"/>
      <c r="J2" s="13"/>
      <c r="K2" s="13"/>
      <c r="L2" s="13"/>
      <c r="M2" s="13"/>
      <c r="N2" s="13"/>
      <c r="O2" s="13"/>
      <c r="P2" s="13"/>
      <c r="Q2" s="13"/>
      <c r="R2" s="13"/>
      <c r="S2" s="13"/>
      <c r="T2" s="13"/>
      <c r="U2" s="13"/>
      <c r="V2" s="13"/>
      <c r="W2" s="14"/>
    </row>
    <row r="3" customFormat="false" ht="12" hidden="false" customHeight="false" outlineLevel="0" collapsed="false">
      <c r="A3" s="15"/>
      <c r="B3" s="16"/>
      <c r="C3" s="17" t="s">
        <v>8</v>
      </c>
      <c r="D3" s="17"/>
      <c r="E3" s="17"/>
      <c r="F3" s="16"/>
      <c r="G3" s="16"/>
      <c r="H3" s="16"/>
      <c r="I3" s="16"/>
      <c r="J3" s="16"/>
      <c r="K3" s="16"/>
      <c r="L3" s="16"/>
      <c r="M3" s="16"/>
      <c r="N3" s="17" t="s">
        <v>9</v>
      </c>
      <c r="O3" s="17"/>
      <c r="P3" s="17"/>
      <c r="Q3" s="17"/>
      <c r="R3" s="17"/>
      <c r="S3" s="17"/>
      <c r="T3" s="17"/>
      <c r="U3" s="17"/>
      <c r="V3" s="17"/>
      <c r="W3" s="18"/>
    </row>
    <row r="4" customFormat="false" ht="7.5" hidden="false" customHeight="true" outlineLevel="0" collapsed="false">
      <c r="A4" s="15"/>
      <c r="B4" s="16"/>
      <c r="C4" s="17"/>
      <c r="D4" s="17"/>
      <c r="E4" s="17"/>
      <c r="F4" s="16"/>
      <c r="G4" s="16"/>
      <c r="H4" s="16"/>
      <c r="I4" s="16"/>
      <c r="J4" s="16"/>
      <c r="K4" s="16"/>
      <c r="L4" s="16"/>
      <c r="M4" s="16"/>
      <c r="N4" s="17"/>
      <c r="O4" s="17"/>
      <c r="P4" s="17"/>
      <c r="Q4" s="17"/>
      <c r="R4" s="17"/>
      <c r="S4" s="17"/>
      <c r="T4" s="17"/>
      <c r="U4" s="17"/>
      <c r="V4" s="17"/>
      <c r="W4" s="18"/>
    </row>
    <row r="5" customFormat="false" ht="15" hidden="false" customHeight="true" outlineLevel="0" collapsed="false">
      <c r="A5" s="15"/>
      <c r="B5" s="16"/>
      <c r="C5" s="19" t="s">
        <v>10</v>
      </c>
      <c r="D5" s="19"/>
      <c r="E5" s="19"/>
      <c r="F5" s="19"/>
      <c r="G5" s="19"/>
      <c r="H5" s="19"/>
      <c r="I5" s="19"/>
      <c r="J5" s="19"/>
      <c r="K5" s="16"/>
      <c r="L5" s="16"/>
      <c r="M5" s="16"/>
      <c r="N5" s="16"/>
      <c r="O5" s="20" t="s">
        <v>11</v>
      </c>
      <c r="P5" s="20"/>
      <c r="Q5" s="16"/>
      <c r="R5" s="20"/>
      <c r="S5" s="20"/>
      <c r="T5" s="20"/>
      <c r="U5" s="20"/>
      <c r="V5" s="16"/>
      <c r="W5" s="21"/>
    </row>
    <row r="6" customFormat="false" ht="6" hidden="false" customHeight="true" outlineLevel="0" collapsed="false">
      <c r="A6" s="15"/>
      <c r="B6" s="16"/>
      <c r="C6" s="16"/>
      <c r="D6" s="16"/>
      <c r="E6" s="16"/>
      <c r="F6" s="16"/>
      <c r="G6" s="16"/>
      <c r="H6" s="16"/>
      <c r="I6" s="16"/>
      <c r="J6" s="16"/>
      <c r="K6" s="16"/>
      <c r="L6" s="16"/>
      <c r="M6" s="16"/>
      <c r="N6" s="16"/>
      <c r="O6" s="16"/>
      <c r="P6" s="16"/>
      <c r="Q6" s="16"/>
      <c r="R6" s="16"/>
      <c r="S6" s="16"/>
      <c r="T6" s="16"/>
      <c r="U6" s="16"/>
      <c r="V6" s="16"/>
      <c r="W6" s="21"/>
    </row>
    <row r="7" customFormat="false" ht="12.65" hidden="false" customHeight="false" outlineLevel="0" collapsed="false">
      <c r="A7" s="22" t="n">
        <v>1</v>
      </c>
      <c r="B7" s="16"/>
      <c r="C7" s="17" t="s">
        <v>12</v>
      </c>
      <c r="D7" s="17"/>
      <c r="E7" s="17"/>
      <c r="F7" s="16"/>
      <c r="G7" s="16"/>
      <c r="H7" s="16"/>
      <c r="I7" s="16"/>
      <c r="J7" s="16"/>
      <c r="K7" s="16"/>
      <c r="L7" s="22" t="n">
        <v>4</v>
      </c>
      <c r="M7" s="16"/>
      <c r="N7" s="17" t="s">
        <v>13</v>
      </c>
      <c r="O7" s="17"/>
      <c r="P7" s="17"/>
      <c r="Q7" s="17"/>
      <c r="R7" s="23"/>
      <c r="S7" s="24"/>
      <c r="T7" s="24"/>
      <c r="U7" s="24"/>
      <c r="V7" s="17"/>
      <c r="W7" s="25"/>
    </row>
    <row r="8" customFormat="false" ht="15" hidden="false" customHeight="true" outlineLevel="0" collapsed="false">
      <c r="A8" s="26"/>
      <c r="B8" s="16"/>
      <c r="C8" s="19" t="s">
        <v>14</v>
      </c>
      <c r="D8" s="19"/>
      <c r="E8" s="19"/>
      <c r="F8" s="19"/>
      <c r="G8" s="19"/>
      <c r="H8" s="19"/>
      <c r="I8" s="19"/>
      <c r="J8" s="19"/>
      <c r="K8" s="16"/>
      <c r="L8" s="16"/>
      <c r="M8" s="16"/>
      <c r="N8" s="27" t="s">
        <v>15</v>
      </c>
      <c r="O8" s="17"/>
      <c r="P8" s="17"/>
      <c r="Q8" s="17"/>
      <c r="R8" s="17"/>
      <c r="S8" s="17"/>
      <c r="T8" s="17"/>
      <c r="U8" s="17"/>
      <c r="V8" s="17"/>
      <c r="W8" s="25"/>
    </row>
    <row r="9" customFormat="false" ht="7.5" hidden="false" customHeight="true" outlineLevel="0" collapsed="false">
      <c r="A9" s="26"/>
      <c r="B9" s="16"/>
      <c r="C9" s="16"/>
      <c r="D9" s="16"/>
      <c r="E9" s="16"/>
      <c r="F9" s="16"/>
      <c r="G9" s="16"/>
      <c r="H9" s="16"/>
      <c r="I9" s="16"/>
      <c r="J9" s="16"/>
      <c r="K9" s="16"/>
      <c r="L9" s="16"/>
      <c r="M9" s="16"/>
      <c r="N9" s="28"/>
      <c r="O9" s="28"/>
      <c r="P9" s="28"/>
      <c r="Q9" s="28"/>
      <c r="R9" s="16"/>
      <c r="S9" s="16"/>
      <c r="T9" s="16"/>
      <c r="U9" s="16"/>
      <c r="V9" s="16"/>
      <c r="W9" s="29"/>
    </row>
    <row r="10" customFormat="false" ht="15" hidden="false" customHeight="true" outlineLevel="0" collapsed="false">
      <c r="A10" s="26"/>
      <c r="B10" s="16"/>
      <c r="C10" s="19"/>
      <c r="D10" s="19"/>
      <c r="E10" s="19"/>
      <c r="F10" s="19"/>
      <c r="G10" s="19"/>
      <c r="H10" s="19"/>
      <c r="I10" s="19"/>
      <c r="J10" s="19"/>
      <c r="K10" s="16"/>
      <c r="L10" s="16"/>
      <c r="M10" s="16"/>
      <c r="N10" s="30"/>
      <c r="O10" s="28"/>
      <c r="P10" s="28"/>
      <c r="Q10" s="28"/>
      <c r="R10" s="16"/>
      <c r="S10" s="16"/>
      <c r="T10" s="16"/>
      <c r="U10" s="16"/>
      <c r="V10" s="16"/>
      <c r="W10" s="29"/>
    </row>
    <row r="11" customFormat="false" ht="7.5" hidden="false" customHeight="true" outlineLevel="0" collapsed="false">
      <c r="A11" s="26"/>
      <c r="B11" s="16"/>
      <c r="C11" s="16"/>
      <c r="D11" s="16"/>
      <c r="E11" s="16"/>
      <c r="F11" s="16"/>
      <c r="G11" s="16"/>
      <c r="H11" s="16"/>
      <c r="I11" s="16"/>
      <c r="J11" s="16"/>
      <c r="K11" s="16"/>
      <c r="L11" s="16"/>
      <c r="M11" s="16"/>
      <c r="N11" s="16"/>
      <c r="O11" s="16"/>
      <c r="P11" s="16"/>
      <c r="Q11" s="16"/>
      <c r="R11" s="16"/>
      <c r="S11" s="16"/>
      <c r="T11" s="16"/>
      <c r="U11" s="16"/>
      <c r="V11" s="16"/>
      <c r="W11" s="29"/>
    </row>
    <row r="12" customFormat="false" ht="15" hidden="false" customHeight="true" outlineLevel="0" collapsed="false">
      <c r="A12" s="26"/>
      <c r="B12" s="16"/>
      <c r="C12" s="19"/>
      <c r="D12" s="19"/>
      <c r="E12" s="19"/>
      <c r="F12" s="19"/>
      <c r="G12" s="19"/>
      <c r="H12" s="19"/>
      <c r="I12" s="19"/>
      <c r="J12" s="19"/>
      <c r="K12" s="16"/>
      <c r="L12" s="22" t="n">
        <v>5</v>
      </c>
      <c r="M12" s="16"/>
      <c r="N12" s="17" t="s">
        <v>16</v>
      </c>
      <c r="O12" s="17"/>
      <c r="P12" s="17"/>
      <c r="Q12" s="17"/>
      <c r="R12" s="23"/>
      <c r="S12" s="31" t="n">
        <f aca="false">Admin!B4</f>
        <v>46118</v>
      </c>
      <c r="T12" s="31"/>
      <c r="U12" s="31"/>
      <c r="V12" s="31"/>
      <c r="W12" s="25"/>
    </row>
    <row r="13" customFormat="false" ht="11.25" hidden="false" customHeight="true" outlineLevel="0" collapsed="false">
      <c r="A13" s="26"/>
      <c r="B13" s="16"/>
      <c r="C13" s="16"/>
      <c r="D13" s="16"/>
      <c r="E13" s="16"/>
      <c r="F13" s="16"/>
      <c r="G13" s="16"/>
      <c r="H13" s="16"/>
      <c r="I13" s="16"/>
      <c r="J13" s="16"/>
      <c r="K13" s="16"/>
      <c r="L13" s="16"/>
      <c r="M13" s="16"/>
      <c r="N13" s="32" t="s">
        <v>17</v>
      </c>
      <c r="O13" s="32"/>
      <c r="P13" s="32"/>
      <c r="Q13" s="32"/>
      <c r="R13" s="32"/>
      <c r="S13" s="32"/>
      <c r="T13" s="32"/>
      <c r="U13" s="32"/>
      <c r="V13" s="32"/>
      <c r="W13" s="33"/>
    </row>
    <row r="14" customFormat="false" ht="7.5" hidden="false" customHeight="true" outlineLevel="0" collapsed="false">
      <c r="A14" s="26"/>
      <c r="B14" s="16"/>
      <c r="C14" s="16"/>
      <c r="D14" s="16"/>
      <c r="E14" s="16"/>
      <c r="F14" s="16"/>
      <c r="G14" s="16"/>
      <c r="H14" s="16"/>
      <c r="I14" s="16"/>
      <c r="J14" s="16"/>
      <c r="K14" s="16"/>
      <c r="L14" s="16"/>
      <c r="M14" s="16"/>
      <c r="N14" s="16"/>
      <c r="O14" s="16"/>
      <c r="P14" s="16"/>
      <c r="Q14" s="16"/>
      <c r="R14" s="16"/>
      <c r="S14" s="16"/>
      <c r="T14" s="16"/>
      <c r="U14" s="16"/>
      <c r="V14" s="16"/>
      <c r="W14" s="29"/>
    </row>
    <row r="15" customFormat="false" ht="13.5" hidden="false" customHeight="false" outlineLevel="0" collapsed="false">
      <c r="A15" s="22" t="n">
        <v>2</v>
      </c>
      <c r="B15" s="16"/>
      <c r="C15" s="17" t="s">
        <v>18</v>
      </c>
      <c r="D15" s="17"/>
      <c r="E15" s="17"/>
      <c r="F15" s="16"/>
      <c r="G15" s="16"/>
      <c r="H15" s="16"/>
      <c r="I15" s="16"/>
      <c r="J15" s="16"/>
      <c r="K15" s="16"/>
      <c r="L15" s="16"/>
      <c r="M15" s="16"/>
      <c r="N15" s="34"/>
      <c r="O15" s="34"/>
      <c r="P15" s="34"/>
      <c r="Q15" s="34"/>
      <c r="R15" s="17"/>
      <c r="S15" s="17"/>
      <c r="T15" s="17"/>
      <c r="U15" s="17"/>
      <c r="V15" s="17"/>
      <c r="W15" s="25"/>
    </row>
    <row r="16" customFormat="false" ht="6" hidden="false" customHeight="true" outlineLevel="0" collapsed="false">
      <c r="A16" s="26"/>
      <c r="B16" s="16"/>
      <c r="C16" s="16"/>
      <c r="D16" s="16"/>
      <c r="E16" s="16"/>
      <c r="F16" s="16"/>
      <c r="G16" s="16"/>
      <c r="H16" s="16"/>
      <c r="I16" s="16"/>
      <c r="J16" s="16"/>
      <c r="K16" s="16"/>
      <c r="L16" s="16"/>
      <c r="M16" s="16"/>
      <c r="N16" s="16"/>
      <c r="O16" s="16"/>
      <c r="P16" s="16"/>
      <c r="Q16" s="16"/>
      <c r="R16" s="16"/>
      <c r="S16" s="16"/>
      <c r="T16" s="16"/>
      <c r="U16" s="16"/>
      <c r="V16" s="16"/>
      <c r="W16" s="29"/>
    </row>
    <row r="17" customFormat="false" ht="15" hidden="false" customHeight="true" outlineLevel="0" collapsed="false">
      <c r="A17" s="26"/>
      <c r="B17" s="16"/>
      <c r="C17" s="35" t="s">
        <v>19</v>
      </c>
      <c r="D17" s="35"/>
      <c r="E17" s="16"/>
      <c r="F17" s="36"/>
      <c r="G17" s="16"/>
      <c r="H17" s="16"/>
      <c r="I17" s="16"/>
      <c r="J17" s="16"/>
      <c r="K17" s="16"/>
      <c r="L17" s="16"/>
      <c r="M17" s="16"/>
      <c r="N17" s="17"/>
      <c r="O17" s="17"/>
      <c r="P17" s="17"/>
      <c r="Q17" s="17"/>
      <c r="R17" s="17"/>
      <c r="S17" s="17"/>
      <c r="T17" s="17"/>
      <c r="U17" s="17"/>
      <c r="V17" s="17"/>
      <c r="W17" s="25"/>
    </row>
    <row r="18" customFormat="false" ht="12" hidden="false" customHeight="false" outlineLevel="0" collapsed="false">
      <c r="A18" s="26"/>
      <c r="B18" s="16"/>
      <c r="C18" s="16"/>
      <c r="D18" s="16"/>
      <c r="E18" s="16"/>
      <c r="F18" s="16"/>
      <c r="G18" s="16"/>
      <c r="H18" s="16"/>
      <c r="I18" s="16"/>
      <c r="J18" s="16"/>
      <c r="K18" s="16"/>
      <c r="L18" s="22" t="n">
        <v>6</v>
      </c>
      <c r="M18" s="17"/>
      <c r="N18" s="17" t="s">
        <v>20</v>
      </c>
      <c r="O18" s="37"/>
      <c r="P18" s="17"/>
      <c r="Q18" s="17"/>
      <c r="R18" s="17"/>
      <c r="S18" s="31" t="n">
        <f aca="false">Admin!B17</f>
        <v>46482</v>
      </c>
      <c r="T18" s="31"/>
      <c r="U18" s="31"/>
      <c r="V18" s="31"/>
      <c r="W18" s="25"/>
    </row>
    <row r="19" customFormat="false" ht="12" hidden="false" customHeight="false" outlineLevel="0" collapsed="false">
      <c r="A19" s="22" t="n">
        <v>3</v>
      </c>
      <c r="B19" s="16"/>
      <c r="C19" s="17" t="s">
        <v>21</v>
      </c>
      <c r="D19" s="16"/>
      <c r="E19" s="16"/>
      <c r="F19" s="16"/>
      <c r="G19" s="16"/>
      <c r="H19" s="16"/>
      <c r="I19" s="16"/>
      <c r="J19" s="16"/>
      <c r="K19" s="16"/>
      <c r="L19" s="16"/>
      <c r="M19" s="17"/>
      <c r="N19" s="27" t="s">
        <v>22</v>
      </c>
      <c r="O19" s="28"/>
      <c r="P19" s="28"/>
      <c r="Q19" s="28"/>
      <c r="R19" s="16"/>
      <c r="S19" s="16"/>
      <c r="T19" s="16"/>
      <c r="U19" s="16"/>
      <c r="V19" s="16"/>
      <c r="W19" s="29"/>
    </row>
    <row r="20" customFormat="false" ht="12" hidden="false" customHeight="false" outlineLevel="0" collapsed="false">
      <c r="A20" s="26"/>
      <c r="B20" s="16"/>
      <c r="C20" s="17" t="s">
        <v>23</v>
      </c>
      <c r="D20" s="16"/>
      <c r="E20" s="16"/>
      <c r="F20" s="16"/>
      <c r="G20" s="16"/>
      <c r="H20" s="16"/>
      <c r="I20" s="16"/>
      <c r="J20" s="16"/>
      <c r="K20" s="16"/>
      <c r="L20" s="16"/>
      <c r="M20" s="16"/>
      <c r="N20" s="28"/>
      <c r="O20" s="28"/>
      <c r="P20" s="28"/>
      <c r="Q20" s="28"/>
      <c r="R20" s="16"/>
      <c r="S20" s="16"/>
      <c r="T20" s="16"/>
      <c r="U20" s="16"/>
      <c r="V20" s="16"/>
      <c r="W20" s="29"/>
    </row>
    <row r="21" customFormat="false" ht="13.5" hidden="false" customHeight="false" outlineLevel="0" collapsed="false">
      <c r="A21" s="26"/>
      <c r="B21" s="16"/>
      <c r="C21" s="27" t="s">
        <v>24</v>
      </c>
      <c r="D21" s="28"/>
      <c r="E21" s="28"/>
      <c r="F21" s="28"/>
      <c r="G21" s="28"/>
      <c r="H21" s="28"/>
      <c r="I21" s="28"/>
      <c r="J21" s="28"/>
      <c r="K21" s="28"/>
      <c r="L21" s="16"/>
      <c r="M21" s="16"/>
      <c r="N21" s="34"/>
      <c r="O21" s="34"/>
      <c r="P21" s="34"/>
      <c r="Q21" s="34"/>
      <c r="R21" s="16"/>
      <c r="S21" s="16"/>
      <c r="T21" s="16"/>
      <c r="U21" s="16"/>
      <c r="V21" s="16"/>
      <c r="W21" s="29"/>
    </row>
    <row r="22" customFormat="false" ht="9.75" hidden="false" customHeight="true" outlineLevel="0" collapsed="false">
      <c r="A22" s="26"/>
      <c r="B22" s="16"/>
      <c r="C22" s="27" t="s">
        <v>25</v>
      </c>
      <c r="D22" s="16"/>
      <c r="E22" s="16"/>
      <c r="F22" s="16"/>
      <c r="G22" s="16"/>
      <c r="H22" s="16"/>
      <c r="I22" s="16"/>
      <c r="J22" s="16"/>
      <c r="K22" s="16"/>
      <c r="L22" s="16"/>
      <c r="M22" s="16"/>
      <c r="N22" s="28"/>
      <c r="O22" s="28"/>
      <c r="P22" s="28"/>
      <c r="Q22" s="28"/>
      <c r="R22" s="16"/>
      <c r="S22" s="16"/>
      <c r="T22" s="16"/>
      <c r="U22" s="16"/>
      <c r="V22" s="16"/>
      <c r="W22" s="29"/>
    </row>
    <row r="23" customFormat="false" ht="12" hidden="false" customHeight="false" outlineLevel="0" collapsed="false">
      <c r="A23" s="26"/>
      <c r="B23" s="16"/>
      <c r="C23" s="28"/>
      <c r="D23" s="16"/>
      <c r="E23" s="16"/>
      <c r="F23" s="16"/>
      <c r="G23" s="16"/>
      <c r="H23" s="16"/>
      <c r="I23" s="16"/>
      <c r="J23" s="16"/>
      <c r="K23" s="16"/>
      <c r="L23" s="22" t="n">
        <v>7</v>
      </c>
      <c r="M23" s="16"/>
      <c r="N23" s="27" t="s">
        <v>26</v>
      </c>
      <c r="O23" s="28"/>
      <c r="P23" s="28"/>
      <c r="Q23" s="28"/>
      <c r="R23" s="16"/>
      <c r="S23" s="16"/>
      <c r="T23" s="16"/>
      <c r="U23" s="16"/>
      <c r="V23" s="16"/>
      <c r="W23" s="29"/>
    </row>
    <row r="24" customFormat="false" ht="15" hidden="false" customHeight="true" outlineLevel="0" collapsed="false">
      <c r="A24" s="26"/>
      <c r="B24" s="16"/>
      <c r="C24" s="38"/>
      <c r="D24" s="16"/>
      <c r="E24" s="16"/>
      <c r="F24" s="16"/>
      <c r="G24" s="16"/>
      <c r="H24" s="16"/>
      <c r="I24" s="16"/>
      <c r="J24" s="16"/>
      <c r="K24" s="16"/>
      <c r="L24" s="16"/>
      <c r="M24" s="16"/>
      <c r="N24" s="39" t="s">
        <v>27</v>
      </c>
      <c r="O24" s="28"/>
      <c r="P24" s="28"/>
      <c r="Q24" s="28"/>
      <c r="R24" s="16"/>
      <c r="S24" s="16"/>
      <c r="T24" s="16"/>
      <c r="U24" s="16"/>
      <c r="V24" s="16"/>
      <c r="W24" s="29"/>
    </row>
    <row r="25" customFormat="false" ht="15" hidden="false" customHeight="true" outlineLevel="0" collapsed="false">
      <c r="A25" s="26"/>
      <c r="B25" s="16"/>
      <c r="C25" s="16"/>
      <c r="D25" s="16"/>
      <c r="E25" s="16"/>
      <c r="F25" s="16"/>
      <c r="G25" s="16"/>
      <c r="H25" s="16"/>
      <c r="I25" s="16"/>
      <c r="J25" s="16"/>
      <c r="K25" s="16"/>
      <c r="L25" s="16"/>
      <c r="M25" s="16"/>
      <c r="N25" s="34" t="n">
        <f aca="false">Admin!B17</f>
        <v>46482</v>
      </c>
      <c r="O25" s="34"/>
      <c r="P25" s="34"/>
      <c r="Q25" s="34"/>
      <c r="R25" s="16"/>
      <c r="S25" s="16"/>
      <c r="T25" s="16"/>
      <c r="U25" s="16"/>
      <c r="V25" s="16"/>
      <c r="W25" s="29"/>
    </row>
    <row r="26" customFormat="false" ht="12" hidden="false" customHeight="true" outlineLevel="0" collapsed="false">
      <c r="A26" s="26"/>
      <c r="B26" s="16"/>
      <c r="C26" s="16"/>
      <c r="D26" s="16"/>
      <c r="E26" s="16"/>
      <c r="F26" s="16"/>
      <c r="G26" s="16"/>
      <c r="H26" s="16"/>
      <c r="I26" s="16"/>
      <c r="J26" s="16"/>
      <c r="K26" s="16"/>
      <c r="L26" s="16"/>
      <c r="M26" s="16"/>
      <c r="N26" s="39"/>
      <c r="O26" s="28"/>
      <c r="P26" s="28"/>
      <c r="Q26" s="28"/>
      <c r="R26" s="16"/>
      <c r="S26" s="16"/>
      <c r="T26" s="16"/>
      <c r="U26" s="16"/>
      <c r="V26" s="16"/>
      <c r="W26" s="29"/>
    </row>
    <row r="27" customFormat="false" ht="12" hidden="false" customHeight="false" outlineLevel="0" collapsed="false">
      <c r="A27" s="22" t="n">
        <v>26</v>
      </c>
      <c r="B27" s="16"/>
      <c r="C27" s="40" t="s">
        <v>28</v>
      </c>
      <c r="D27" s="16"/>
      <c r="E27" s="16"/>
      <c r="F27" s="16"/>
      <c r="G27" s="16"/>
      <c r="H27" s="16"/>
      <c r="I27" s="16"/>
      <c r="J27" s="16"/>
      <c r="K27" s="16"/>
      <c r="L27" s="22" t="n">
        <v>24</v>
      </c>
      <c r="M27" s="16"/>
      <c r="N27" s="40" t="s">
        <v>29</v>
      </c>
      <c r="O27" s="17"/>
      <c r="P27" s="17"/>
      <c r="Q27" s="17"/>
      <c r="R27" s="17"/>
      <c r="S27" s="17"/>
      <c r="T27" s="17"/>
      <c r="U27" s="17"/>
      <c r="V27" s="17"/>
      <c r="W27" s="29"/>
    </row>
    <row r="28" customFormat="false" ht="12" hidden="false" customHeight="true" outlineLevel="0" collapsed="false">
      <c r="A28" s="17"/>
      <c r="B28" s="16"/>
      <c r="C28" s="16"/>
      <c r="D28" s="16"/>
      <c r="E28" s="16"/>
      <c r="F28" s="16"/>
      <c r="G28" s="16"/>
      <c r="H28" s="16"/>
      <c r="I28" s="16"/>
      <c r="J28" s="16"/>
      <c r="K28" s="16"/>
      <c r="L28" s="17"/>
      <c r="M28" s="16"/>
      <c r="N28" s="37" t="s">
        <v>30</v>
      </c>
      <c r="O28" s="17"/>
      <c r="P28" s="17"/>
      <c r="Q28" s="17"/>
      <c r="R28" s="17"/>
      <c r="S28" s="17"/>
      <c r="T28" s="17"/>
      <c r="U28" s="17"/>
      <c r="V28" s="17"/>
      <c r="W28" s="29"/>
    </row>
    <row r="29" customFormat="false" ht="15" hidden="false" customHeight="true" outlineLevel="0" collapsed="false">
      <c r="A29" s="16"/>
      <c r="B29" s="16"/>
      <c r="C29" s="41" t="s">
        <v>31</v>
      </c>
      <c r="D29" s="42"/>
      <c r="E29" s="42"/>
      <c r="F29" s="42"/>
      <c r="G29" s="43" t="s">
        <v>32</v>
      </c>
      <c r="H29" s="44" t="n">
        <v>0</v>
      </c>
      <c r="I29" s="44" t="n">
        <v>0</v>
      </c>
      <c r="J29" s="16"/>
      <c r="K29" s="16"/>
      <c r="L29" s="17"/>
      <c r="M29" s="16"/>
      <c r="N29" s="41" t="s">
        <v>31</v>
      </c>
      <c r="O29" s="42"/>
      <c r="P29" s="42"/>
      <c r="Q29" s="42"/>
      <c r="R29" s="43" t="s">
        <v>32</v>
      </c>
      <c r="S29" s="44" t="n">
        <v>0</v>
      </c>
      <c r="T29" s="44" t="n">
        <v>0</v>
      </c>
      <c r="U29" s="17"/>
      <c r="V29" s="17"/>
      <c r="W29" s="29"/>
    </row>
    <row r="30" customFormat="false" ht="7.5" hidden="false" customHeight="true" outlineLevel="0" collapsed="false">
      <c r="A30" s="16"/>
      <c r="B30" s="16"/>
      <c r="C30" s="45"/>
      <c r="D30" s="46"/>
      <c r="E30" s="46"/>
      <c r="F30" s="46"/>
      <c r="G30" s="43"/>
      <c r="H30" s="47"/>
      <c r="I30" s="47"/>
      <c r="J30" s="16"/>
      <c r="K30" s="16"/>
      <c r="L30" s="16"/>
      <c r="M30" s="16"/>
      <c r="N30" s="16"/>
      <c r="O30" s="16"/>
      <c r="P30" s="16"/>
      <c r="Q30" s="16"/>
      <c r="R30" s="16"/>
      <c r="S30" s="16"/>
      <c r="T30" s="16"/>
      <c r="U30" s="16"/>
      <c r="V30" s="16"/>
      <c r="W30" s="29"/>
    </row>
    <row r="31" s="49" customFormat="true" ht="12" hidden="false" customHeight="true" outlineLevel="0" collapsed="false">
      <c r="A31" s="28"/>
      <c r="B31" s="28"/>
      <c r="C31" s="27" t="s">
        <v>33</v>
      </c>
      <c r="D31" s="46"/>
      <c r="E31" s="46"/>
      <c r="F31" s="46"/>
      <c r="G31" s="43"/>
      <c r="H31" s="47"/>
      <c r="I31" s="47"/>
      <c r="J31" s="28"/>
      <c r="K31" s="28"/>
      <c r="L31" s="28"/>
      <c r="M31" s="28"/>
      <c r="N31" s="27" t="s">
        <v>34</v>
      </c>
      <c r="O31" s="28"/>
      <c r="P31" s="28"/>
      <c r="Q31" s="28"/>
      <c r="R31" s="28"/>
      <c r="S31" s="28"/>
      <c r="T31" s="28"/>
      <c r="U31" s="28"/>
      <c r="V31" s="28"/>
      <c r="W31" s="48"/>
    </row>
    <row r="32" s="49" customFormat="true" ht="12" hidden="false" customHeight="true" outlineLevel="0" collapsed="false">
      <c r="A32" s="28"/>
      <c r="B32" s="28"/>
      <c r="C32" s="50" t="s">
        <v>35</v>
      </c>
      <c r="D32" s="46"/>
      <c r="E32" s="46"/>
      <c r="F32" s="46"/>
      <c r="G32" s="43"/>
      <c r="H32" s="47"/>
      <c r="I32" s="47"/>
      <c r="J32" s="28"/>
      <c r="K32" s="28"/>
      <c r="L32" s="28"/>
      <c r="M32" s="28"/>
      <c r="N32" s="50" t="s">
        <v>35</v>
      </c>
      <c r="O32" s="46"/>
      <c r="P32" s="46"/>
      <c r="Q32" s="46"/>
      <c r="R32" s="43"/>
      <c r="S32" s="47"/>
      <c r="T32" s="47"/>
      <c r="U32" s="28"/>
      <c r="V32" s="28"/>
      <c r="W32" s="48"/>
    </row>
    <row r="33" customFormat="false" ht="3.75" hidden="false" customHeight="true" outlineLevel="0" collapsed="false">
      <c r="A33" s="26"/>
      <c r="B33" s="16"/>
      <c r="C33" s="16"/>
      <c r="D33" s="16"/>
      <c r="E33" s="16"/>
      <c r="F33" s="16"/>
      <c r="G33" s="16"/>
      <c r="H33" s="16"/>
      <c r="I33" s="16"/>
      <c r="J33" s="16"/>
      <c r="K33" s="16"/>
      <c r="L33" s="16"/>
      <c r="M33" s="16"/>
      <c r="N33" s="28"/>
      <c r="O33" s="28"/>
      <c r="P33" s="28"/>
      <c r="Q33" s="28"/>
      <c r="R33" s="16"/>
      <c r="S33" s="16"/>
      <c r="T33" s="16"/>
      <c r="U33" s="16"/>
      <c r="V33" s="16"/>
      <c r="W33" s="29"/>
    </row>
    <row r="34" customFormat="false" ht="15" hidden="false" customHeight="true" outlineLevel="0" collapsed="false">
      <c r="A34" s="16"/>
      <c r="B34" s="16"/>
      <c r="C34" s="41" t="s">
        <v>31</v>
      </c>
      <c r="D34" s="51" t="n">
        <f aca="false">'SE Short'!O94</f>
        <v>0</v>
      </c>
      <c r="E34" s="51"/>
      <c r="F34" s="51"/>
      <c r="G34" s="43" t="s">
        <v>32</v>
      </c>
      <c r="H34" s="44" t="n">
        <v>0</v>
      </c>
      <c r="I34" s="44" t="n">
        <v>0</v>
      </c>
      <c r="J34" s="16"/>
      <c r="K34" s="16"/>
      <c r="L34" s="16"/>
      <c r="M34" s="16"/>
      <c r="N34" s="41" t="s">
        <v>31</v>
      </c>
      <c r="O34" s="51" t="n">
        <f aca="false">D29-D34+'SE Short'!O106</f>
        <v>0</v>
      </c>
      <c r="P34" s="51"/>
      <c r="Q34" s="51"/>
      <c r="R34" s="43" t="s">
        <v>32</v>
      </c>
      <c r="S34" s="44" t="n">
        <v>0</v>
      </c>
      <c r="T34" s="44" t="n">
        <v>0</v>
      </c>
      <c r="U34" s="16"/>
      <c r="V34" s="16"/>
      <c r="W34" s="29"/>
    </row>
    <row r="35" customFormat="false" ht="7.5" hidden="false" customHeight="true" outlineLevel="0" collapsed="false">
      <c r="A35" s="52"/>
      <c r="B35" s="53"/>
      <c r="C35" s="53"/>
      <c r="D35" s="53"/>
      <c r="E35" s="53"/>
      <c r="F35" s="53"/>
      <c r="G35" s="53"/>
      <c r="H35" s="53"/>
      <c r="I35" s="53"/>
      <c r="J35" s="53"/>
      <c r="K35" s="53"/>
      <c r="L35" s="53"/>
      <c r="M35" s="53"/>
      <c r="N35" s="53"/>
      <c r="O35" s="53"/>
      <c r="P35" s="53"/>
      <c r="Q35" s="53"/>
      <c r="R35" s="53"/>
      <c r="S35" s="53"/>
      <c r="T35" s="53"/>
      <c r="U35" s="53"/>
      <c r="V35" s="53"/>
      <c r="W35" s="54"/>
    </row>
  </sheetData>
  <mergeCells count="18">
    <mergeCell ref="A1:W1"/>
    <mergeCell ref="C5:J5"/>
    <mergeCell ref="O5:P5"/>
    <mergeCell ref="R5:U5"/>
    <mergeCell ref="C8:J8"/>
    <mergeCell ref="C10:J10"/>
    <mergeCell ref="C12:J12"/>
    <mergeCell ref="S12:V12"/>
    <mergeCell ref="N13:V13"/>
    <mergeCell ref="N15:Q15"/>
    <mergeCell ref="C17:D17"/>
    <mergeCell ref="S18:V18"/>
    <mergeCell ref="N21:Q21"/>
    <mergeCell ref="N25:Q25"/>
    <mergeCell ref="D29:F29"/>
    <mergeCell ref="O29:Q29"/>
    <mergeCell ref="D34:F34"/>
    <mergeCell ref="O34:Q3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55" width="3.66"/>
    <col collapsed="false" customWidth="true" hidden="false" outlineLevel="0" max="2" min="2" style="55" width="0.82"/>
    <col collapsed="false" customWidth="true" hidden="false" outlineLevel="0" max="3" min="3" style="55" width="3.66"/>
    <col collapsed="false" customWidth="true" hidden="false" outlineLevel="0" max="4" min="4" style="55" width="4.66"/>
    <col collapsed="false" customWidth="true" hidden="false" outlineLevel="0" max="5" min="5" style="55" width="1.66"/>
    <col collapsed="false" customWidth="true" hidden="false" outlineLevel="0" max="6" min="6" style="55" width="10.66"/>
    <col collapsed="false" customWidth="true" hidden="false" outlineLevel="0" max="7" min="7" style="55" width="1.66"/>
    <col collapsed="false" customWidth="true" hidden="false" outlineLevel="0" max="9" min="8" style="55" width="2.5"/>
    <col collapsed="false" customWidth="true" hidden="false" outlineLevel="0" max="11" min="10" style="55" width="6.66"/>
    <col collapsed="false" customWidth="true" hidden="false" outlineLevel="0" max="12" min="12" style="55" width="3.66"/>
    <col collapsed="false" customWidth="true" hidden="false" outlineLevel="0" max="13" min="13" style="55" width="0.82"/>
    <col collapsed="false" customWidth="true" hidden="false" outlineLevel="0" max="15" min="14" style="55" width="3.66"/>
    <col collapsed="false" customWidth="true" hidden="false" outlineLevel="0" max="17" min="16" style="55" width="6.66"/>
    <col collapsed="false" customWidth="true" hidden="false" outlineLevel="0" max="18" min="18" style="55" width="1.66"/>
    <col collapsed="false" customWidth="true" hidden="false" outlineLevel="0" max="19" min="19" style="55" width="2.5"/>
    <col collapsed="false" customWidth="true" hidden="false" outlineLevel="0" max="20" min="20" style="55" width="12.15"/>
    <col collapsed="false" customWidth="true" hidden="false" outlineLevel="0" max="21" min="21" style="55" width="2.66"/>
    <col collapsed="false" customWidth="true" hidden="false" outlineLevel="0" max="22" min="22" style="55" width="7.66"/>
    <col collapsed="false" customWidth="true" hidden="false" outlineLevel="0" max="23" min="23" style="55" width="14.82"/>
    <col collapsed="false" customWidth="false" hidden="false" outlineLevel="0" max="257" min="24" style="55" width="9.15"/>
  </cols>
  <sheetData>
    <row r="1" customFormat="false" ht="30" hidden="false" customHeight="true" outlineLevel="0" collapsed="false">
      <c r="A1" s="56" t="s">
        <v>36</v>
      </c>
      <c r="B1" s="56"/>
      <c r="C1" s="56"/>
      <c r="D1" s="56"/>
      <c r="E1" s="56"/>
      <c r="F1" s="56"/>
      <c r="G1" s="57" t="s">
        <v>37</v>
      </c>
      <c r="H1" s="57"/>
      <c r="I1" s="57"/>
      <c r="J1" s="57"/>
      <c r="K1" s="57"/>
      <c r="L1" s="57"/>
      <c r="M1" s="57"/>
      <c r="N1" s="57"/>
      <c r="O1" s="58" t="s">
        <v>38</v>
      </c>
      <c r="P1" s="58"/>
      <c r="Q1" s="58"/>
      <c r="R1" s="58"/>
      <c r="S1" s="58"/>
      <c r="T1" s="58"/>
      <c r="U1" s="58"/>
      <c r="V1" s="58"/>
      <c r="W1" s="58"/>
    </row>
    <row r="2" customFormat="false" ht="30" hidden="false" customHeight="true" outlineLevel="0" collapsed="false">
      <c r="A2" s="56"/>
      <c r="B2" s="56"/>
      <c r="C2" s="56"/>
      <c r="D2" s="56"/>
      <c r="E2" s="56"/>
      <c r="F2" s="56"/>
      <c r="G2" s="57"/>
      <c r="H2" s="57"/>
      <c r="I2" s="57"/>
      <c r="J2" s="57"/>
      <c r="K2" s="57"/>
      <c r="L2" s="57"/>
      <c r="M2" s="57"/>
      <c r="N2" s="57"/>
      <c r="O2" s="59" t="s">
        <v>39</v>
      </c>
      <c r="P2" s="59"/>
      <c r="Q2" s="60" t="n">
        <f aca="false">Admin!B4</f>
        <v>46118</v>
      </c>
      <c r="R2" s="60"/>
      <c r="S2" s="60"/>
      <c r="T2" s="60"/>
      <c r="U2" s="61" t="s">
        <v>40</v>
      </c>
      <c r="V2" s="60" t="n">
        <f aca="false">Admin!B17</f>
        <v>46482</v>
      </c>
      <c r="W2" s="60"/>
    </row>
    <row r="3" customFormat="false" ht="8.25" hidden="false" customHeight="true" outlineLevel="0" collapsed="false">
      <c r="A3" s="62"/>
      <c r="B3" s="62"/>
      <c r="C3" s="62"/>
      <c r="D3" s="62"/>
      <c r="E3" s="62"/>
      <c r="F3" s="62"/>
      <c r="G3" s="62"/>
      <c r="H3" s="62"/>
      <c r="I3" s="62"/>
      <c r="J3" s="62"/>
      <c r="K3" s="62"/>
      <c r="L3" s="62"/>
      <c r="M3" s="62"/>
      <c r="N3" s="62"/>
      <c r="O3" s="62"/>
      <c r="P3" s="62"/>
      <c r="Q3" s="62"/>
      <c r="R3" s="62"/>
      <c r="S3" s="62"/>
      <c r="T3" s="62"/>
      <c r="U3" s="62"/>
      <c r="V3" s="62"/>
      <c r="W3" s="62"/>
    </row>
    <row r="4" customFormat="false" ht="9.75" hidden="false" customHeight="true" outlineLevel="0" collapsed="false">
      <c r="A4" s="63"/>
      <c r="B4" s="63"/>
      <c r="C4" s="63"/>
      <c r="D4" s="63"/>
      <c r="E4" s="63"/>
      <c r="F4" s="63"/>
      <c r="G4" s="63"/>
      <c r="H4" s="63"/>
      <c r="I4" s="63"/>
      <c r="J4" s="63"/>
      <c r="K4" s="63"/>
      <c r="L4" s="63"/>
      <c r="M4" s="63"/>
      <c r="N4" s="63"/>
      <c r="O4" s="63"/>
      <c r="P4" s="63"/>
      <c r="Q4" s="63"/>
      <c r="R4" s="63"/>
      <c r="S4" s="63"/>
      <c r="T4" s="63"/>
      <c r="U4" s="63"/>
      <c r="V4" s="63"/>
      <c r="W4" s="63"/>
    </row>
    <row r="5" customFormat="false" ht="6" hidden="false" customHeight="true" outlineLevel="0" collapsed="false">
      <c r="A5" s="64"/>
      <c r="B5" s="65"/>
      <c r="C5" s="65"/>
      <c r="D5" s="65"/>
      <c r="E5" s="65"/>
      <c r="F5" s="65"/>
      <c r="G5" s="65"/>
      <c r="H5" s="65"/>
      <c r="I5" s="65"/>
      <c r="J5" s="65"/>
      <c r="K5" s="65"/>
      <c r="L5" s="65"/>
      <c r="M5" s="65"/>
      <c r="N5" s="65"/>
      <c r="O5" s="65"/>
      <c r="P5" s="65"/>
      <c r="Q5" s="65"/>
      <c r="R5" s="65"/>
      <c r="S5" s="65"/>
      <c r="T5" s="65"/>
      <c r="U5" s="65"/>
      <c r="V5" s="65"/>
      <c r="W5" s="66"/>
    </row>
    <row r="6" customFormat="false" ht="12" hidden="false" customHeight="false" outlineLevel="0" collapsed="false">
      <c r="A6" s="67"/>
      <c r="B6" s="68"/>
      <c r="C6" s="69" t="s">
        <v>8</v>
      </c>
      <c r="D6" s="69"/>
      <c r="E6" s="69"/>
      <c r="F6" s="68"/>
      <c r="G6" s="68"/>
      <c r="H6" s="68"/>
      <c r="I6" s="68"/>
      <c r="J6" s="68"/>
      <c r="K6" s="68"/>
      <c r="L6" s="68"/>
      <c r="M6" s="68"/>
      <c r="N6" s="69" t="s">
        <v>9</v>
      </c>
      <c r="O6" s="69"/>
      <c r="P6" s="69"/>
      <c r="Q6" s="69"/>
      <c r="R6" s="69"/>
      <c r="S6" s="69"/>
      <c r="T6" s="69"/>
      <c r="U6" s="69"/>
      <c r="V6" s="69"/>
      <c r="W6" s="70"/>
    </row>
    <row r="7" customFormat="false" ht="7.5" hidden="false" customHeight="true" outlineLevel="0" collapsed="false">
      <c r="A7" s="67"/>
      <c r="B7" s="68"/>
      <c r="C7" s="69"/>
      <c r="D7" s="69"/>
      <c r="E7" s="69"/>
      <c r="F7" s="68"/>
      <c r="G7" s="68"/>
      <c r="H7" s="68"/>
      <c r="I7" s="68"/>
      <c r="J7" s="68"/>
      <c r="K7" s="68"/>
      <c r="L7" s="68"/>
      <c r="M7" s="68"/>
      <c r="N7" s="69"/>
      <c r="O7" s="69"/>
      <c r="P7" s="69"/>
      <c r="Q7" s="69"/>
      <c r="R7" s="69"/>
      <c r="S7" s="69"/>
      <c r="T7" s="69"/>
      <c r="U7" s="69"/>
      <c r="V7" s="69"/>
      <c r="W7" s="70"/>
    </row>
    <row r="8" customFormat="false" ht="15" hidden="false" customHeight="true" outlineLevel="0" collapsed="false">
      <c r="A8" s="67"/>
      <c r="B8" s="68"/>
      <c r="C8" s="71" t="str">
        <f aca="false">IF('Business Details'!C5&gt;0,'Business Details'!C5," ")</f>
        <v>Basic Taxi Driver</v>
      </c>
      <c r="D8" s="71"/>
      <c r="E8" s="71"/>
      <c r="F8" s="71"/>
      <c r="G8" s="71"/>
      <c r="H8" s="71"/>
      <c r="I8" s="71"/>
      <c r="J8" s="71"/>
      <c r="K8" s="72"/>
      <c r="L8" s="72"/>
      <c r="M8" s="72"/>
      <c r="N8" s="72"/>
      <c r="O8" s="73" t="str">
        <f aca="false">IF('Business Details'!O5&gt;0,'Business Details'!O5," ")</f>
        <v>5566778899</v>
      </c>
      <c r="P8" s="73"/>
      <c r="Q8" s="72"/>
      <c r="R8" s="73" t="str">
        <f aca="false">IF('Business Details'!R5&gt;0,'Business Details'!R5," ")</f>
        <v> </v>
      </c>
      <c r="S8" s="73"/>
      <c r="T8" s="73"/>
      <c r="U8" s="73"/>
      <c r="V8" s="68"/>
      <c r="W8" s="74"/>
    </row>
    <row r="9" customFormat="false" ht="6" hidden="false" customHeight="true" outlineLevel="0" collapsed="false">
      <c r="A9" s="75"/>
      <c r="B9" s="76"/>
      <c r="C9" s="76"/>
      <c r="D9" s="76"/>
      <c r="E9" s="76"/>
      <c r="F9" s="76"/>
      <c r="G9" s="76"/>
      <c r="H9" s="76"/>
      <c r="I9" s="76"/>
      <c r="J9" s="76"/>
      <c r="K9" s="76"/>
      <c r="L9" s="76"/>
      <c r="M9" s="76"/>
      <c r="N9" s="76"/>
      <c r="O9" s="76"/>
      <c r="P9" s="76"/>
      <c r="Q9" s="76"/>
      <c r="R9" s="76"/>
      <c r="S9" s="76"/>
      <c r="T9" s="76"/>
      <c r="U9" s="76"/>
      <c r="V9" s="76"/>
      <c r="W9" s="77"/>
    </row>
    <row r="10" customFormat="false" ht="24.75" hidden="false" customHeight="true" outlineLevel="0" collapsed="false">
      <c r="A10" s="78" t="s">
        <v>41</v>
      </c>
      <c r="B10" s="78"/>
      <c r="C10" s="78"/>
      <c r="D10" s="78"/>
      <c r="E10" s="78"/>
      <c r="F10" s="78"/>
      <c r="G10" s="78"/>
      <c r="H10" s="78"/>
      <c r="I10" s="78"/>
      <c r="J10" s="78"/>
      <c r="K10" s="78"/>
      <c r="L10" s="78"/>
      <c r="M10" s="78"/>
      <c r="N10" s="78"/>
      <c r="O10" s="78"/>
      <c r="P10" s="78"/>
      <c r="Q10" s="78"/>
      <c r="R10" s="78"/>
      <c r="S10" s="78"/>
      <c r="T10" s="78"/>
      <c r="U10" s="78"/>
      <c r="V10" s="78"/>
      <c r="W10" s="78"/>
    </row>
    <row r="11" customFormat="false" ht="7.5" hidden="false" customHeight="true" outlineLevel="0" collapsed="false">
      <c r="A11" s="79"/>
      <c r="B11" s="80"/>
      <c r="C11" s="80"/>
      <c r="D11" s="80"/>
      <c r="E11" s="80"/>
      <c r="F11" s="80"/>
      <c r="G11" s="80"/>
      <c r="H11" s="80"/>
      <c r="I11" s="80"/>
      <c r="J11" s="80"/>
      <c r="K11" s="80"/>
      <c r="L11" s="80"/>
      <c r="M11" s="80"/>
      <c r="N11" s="80"/>
      <c r="O11" s="80"/>
      <c r="P11" s="80"/>
      <c r="Q11" s="80"/>
      <c r="R11" s="80"/>
      <c r="S11" s="80"/>
      <c r="T11" s="80"/>
      <c r="U11" s="80"/>
      <c r="V11" s="80"/>
      <c r="W11" s="81"/>
    </row>
    <row r="12" customFormat="false" ht="12.65" hidden="false" customHeight="false" outlineLevel="0" collapsed="false">
      <c r="A12" s="82" t="n">
        <v>1</v>
      </c>
      <c r="B12" s="68"/>
      <c r="C12" s="69" t="s">
        <v>12</v>
      </c>
      <c r="D12" s="69"/>
      <c r="E12" s="69"/>
      <c r="F12" s="68"/>
      <c r="G12" s="68"/>
      <c r="H12" s="68"/>
      <c r="I12" s="68"/>
      <c r="J12" s="68"/>
      <c r="K12" s="68"/>
      <c r="L12" s="82" t="n">
        <v>4</v>
      </c>
      <c r="M12" s="68"/>
      <c r="N12" s="69" t="s">
        <v>13</v>
      </c>
      <c r="O12" s="69"/>
      <c r="P12" s="69"/>
      <c r="Q12" s="69"/>
      <c r="R12" s="83"/>
      <c r="S12" s="84"/>
      <c r="T12" s="84"/>
      <c r="U12" s="84"/>
      <c r="V12" s="69"/>
      <c r="W12" s="85"/>
    </row>
    <row r="13" customFormat="false" ht="15" hidden="false" customHeight="true" outlineLevel="0" collapsed="false">
      <c r="A13" s="86"/>
      <c r="B13" s="68"/>
      <c r="C13" s="71" t="str">
        <f aca="false">IF('Business Details'!C8&gt;0,'Business Details'!C8," ")</f>
        <v>Owner-driver private hire and taxi services</v>
      </c>
      <c r="D13" s="71"/>
      <c r="E13" s="71"/>
      <c r="F13" s="71"/>
      <c r="G13" s="71"/>
      <c r="H13" s="71"/>
      <c r="I13" s="71"/>
      <c r="J13" s="71"/>
      <c r="K13" s="68"/>
      <c r="L13" s="68"/>
      <c r="M13" s="68"/>
      <c r="N13" s="87" t="s">
        <v>15</v>
      </c>
      <c r="O13" s="69"/>
      <c r="P13" s="69"/>
      <c r="Q13" s="69"/>
      <c r="R13" s="69"/>
      <c r="S13" s="69"/>
      <c r="T13" s="69"/>
      <c r="U13" s="69"/>
      <c r="V13" s="69"/>
      <c r="W13" s="85"/>
    </row>
    <row r="14" customFormat="false" ht="7.5" hidden="false" customHeight="true" outlineLevel="0" collapsed="false">
      <c r="A14" s="86"/>
      <c r="B14" s="68"/>
      <c r="C14" s="72"/>
      <c r="D14" s="72"/>
      <c r="E14" s="72"/>
      <c r="F14" s="72"/>
      <c r="G14" s="72"/>
      <c r="H14" s="72"/>
      <c r="I14" s="72"/>
      <c r="J14" s="72"/>
      <c r="K14" s="68"/>
      <c r="L14" s="68"/>
      <c r="M14" s="68"/>
      <c r="N14" s="88"/>
      <c r="O14" s="88"/>
      <c r="P14" s="88"/>
      <c r="Q14" s="88"/>
      <c r="R14" s="68"/>
      <c r="S14" s="68"/>
      <c r="T14" s="68"/>
      <c r="U14" s="68"/>
      <c r="V14" s="68"/>
      <c r="W14" s="89"/>
    </row>
    <row r="15" customFormat="false" ht="15" hidden="false" customHeight="true" outlineLevel="0" collapsed="false">
      <c r="A15" s="86"/>
      <c r="B15" s="68"/>
      <c r="C15" s="71" t="str">
        <f aca="false">IF('Business Details'!C10&gt;0,'Business Details'!C10," ")</f>
        <v> </v>
      </c>
      <c r="D15" s="71"/>
      <c r="E15" s="71"/>
      <c r="F15" s="71"/>
      <c r="G15" s="71"/>
      <c r="H15" s="71"/>
      <c r="I15" s="71"/>
      <c r="J15" s="71"/>
      <c r="K15" s="68"/>
      <c r="L15" s="68"/>
      <c r="M15" s="68"/>
      <c r="N15" s="90"/>
      <c r="O15" s="88"/>
      <c r="P15" s="88"/>
      <c r="Q15" s="88"/>
      <c r="R15" s="68"/>
      <c r="S15" s="68"/>
      <c r="T15" s="68"/>
      <c r="U15" s="68"/>
      <c r="V15" s="68"/>
      <c r="W15" s="89"/>
    </row>
    <row r="16" customFormat="false" ht="7.5" hidden="false" customHeight="true" outlineLevel="0" collapsed="false">
      <c r="A16" s="86"/>
      <c r="B16" s="68"/>
      <c r="C16" s="72"/>
      <c r="D16" s="72"/>
      <c r="E16" s="72"/>
      <c r="F16" s="72"/>
      <c r="G16" s="72"/>
      <c r="H16" s="72"/>
      <c r="I16" s="72"/>
      <c r="J16" s="72"/>
      <c r="K16" s="68"/>
      <c r="L16" s="68"/>
      <c r="M16" s="68"/>
      <c r="N16" s="68"/>
      <c r="O16" s="68"/>
      <c r="P16" s="68"/>
      <c r="Q16" s="68"/>
      <c r="R16" s="68"/>
      <c r="S16" s="68"/>
      <c r="T16" s="68"/>
      <c r="U16" s="68"/>
      <c r="V16" s="68"/>
      <c r="W16" s="89"/>
    </row>
    <row r="17" customFormat="false" ht="15" hidden="false" customHeight="true" outlineLevel="0" collapsed="false">
      <c r="A17" s="86"/>
      <c r="B17" s="68"/>
      <c r="C17" s="71" t="str">
        <f aca="false">IF('Business Details'!C12&gt;0,'Business Details'!C12," ")</f>
        <v> </v>
      </c>
      <c r="D17" s="71"/>
      <c r="E17" s="71"/>
      <c r="F17" s="71"/>
      <c r="G17" s="71"/>
      <c r="H17" s="71"/>
      <c r="I17" s="71"/>
      <c r="J17" s="71"/>
      <c r="K17" s="68"/>
      <c r="L17" s="82" t="n">
        <v>5</v>
      </c>
      <c r="M17" s="68"/>
      <c r="N17" s="69" t="s">
        <v>16</v>
      </c>
      <c r="O17" s="69"/>
      <c r="P17" s="69"/>
      <c r="Q17" s="69"/>
      <c r="R17" s="83"/>
      <c r="S17" s="91" t="n">
        <f aca="false">Admin!B4</f>
        <v>46118</v>
      </c>
      <c r="T17" s="91"/>
      <c r="U17" s="91"/>
      <c r="V17" s="91"/>
      <c r="W17" s="85"/>
    </row>
    <row r="18" customFormat="false" ht="12" hidden="false" customHeight="true" outlineLevel="0" collapsed="false">
      <c r="A18" s="86"/>
      <c r="B18" s="68"/>
      <c r="C18" s="68"/>
      <c r="D18" s="68"/>
      <c r="E18" s="68"/>
      <c r="F18" s="68"/>
      <c r="G18" s="68"/>
      <c r="H18" s="68"/>
      <c r="I18" s="68"/>
      <c r="J18" s="68"/>
      <c r="K18" s="68"/>
      <c r="L18" s="68"/>
      <c r="M18" s="68"/>
      <c r="N18" s="92" t="s">
        <v>42</v>
      </c>
      <c r="O18" s="92"/>
      <c r="P18" s="92"/>
      <c r="Q18" s="92"/>
      <c r="R18" s="92"/>
      <c r="S18" s="92"/>
      <c r="T18" s="92"/>
      <c r="U18" s="92"/>
      <c r="V18" s="92"/>
      <c r="W18" s="93"/>
    </row>
    <row r="19" customFormat="false" ht="7.5" hidden="false" customHeight="true" outlineLevel="0" collapsed="false">
      <c r="A19" s="86"/>
      <c r="B19" s="68"/>
      <c r="C19" s="68"/>
      <c r="D19" s="68"/>
      <c r="E19" s="68"/>
      <c r="F19" s="68"/>
      <c r="G19" s="68"/>
      <c r="H19" s="68"/>
      <c r="I19" s="68"/>
      <c r="J19" s="68"/>
      <c r="K19" s="68"/>
      <c r="L19" s="68"/>
      <c r="M19" s="68"/>
      <c r="N19" s="68"/>
      <c r="O19" s="68"/>
      <c r="P19" s="68"/>
      <c r="Q19" s="68"/>
      <c r="R19" s="68"/>
      <c r="S19" s="68"/>
      <c r="T19" s="68"/>
      <c r="U19" s="68"/>
      <c r="V19" s="68"/>
      <c r="W19" s="89"/>
    </row>
    <row r="20" customFormat="false" ht="13.5" hidden="false" customHeight="false" outlineLevel="0" collapsed="false">
      <c r="A20" s="82" t="n">
        <v>2</v>
      </c>
      <c r="B20" s="68"/>
      <c r="C20" s="69" t="s">
        <v>18</v>
      </c>
      <c r="D20" s="69"/>
      <c r="E20" s="69"/>
      <c r="F20" s="68"/>
      <c r="G20" s="68"/>
      <c r="H20" s="68"/>
      <c r="I20" s="68"/>
      <c r="J20" s="68"/>
      <c r="K20" s="68"/>
      <c r="L20" s="68"/>
      <c r="M20" s="68"/>
      <c r="N20" s="94" t="str">
        <f aca="false">IF('Business Details'!N15&gt;0,'Business Details'!N15," ")</f>
        <v> </v>
      </c>
      <c r="O20" s="94"/>
      <c r="P20" s="94"/>
      <c r="Q20" s="94"/>
      <c r="R20" s="69"/>
      <c r="S20" s="69"/>
      <c r="T20" s="69"/>
      <c r="U20" s="69"/>
      <c r="V20" s="69"/>
      <c r="W20" s="85"/>
    </row>
    <row r="21" customFormat="false" ht="7.5" hidden="false" customHeight="true" outlineLevel="0" collapsed="false">
      <c r="A21" s="86"/>
      <c r="B21" s="68"/>
      <c r="C21" s="68"/>
      <c r="D21" s="68"/>
      <c r="E21" s="68"/>
      <c r="F21" s="68"/>
      <c r="G21" s="68"/>
      <c r="H21" s="68"/>
      <c r="I21" s="68"/>
      <c r="J21" s="68"/>
      <c r="K21" s="68"/>
      <c r="L21" s="68"/>
      <c r="M21" s="68"/>
      <c r="N21" s="68"/>
      <c r="O21" s="68"/>
      <c r="P21" s="68"/>
      <c r="Q21" s="68"/>
      <c r="R21" s="68"/>
      <c r="S21" s="68"/>
      <c r="T21" s="68"/>
      <c r="U21" s="68"/>
      <c r="V21" s="68"/>
      <c r="W21" s="89"/>
    </row>
    <row r="22" customFormat="false" ht="15" hidden="false" customHeight="true" outlineLevel="0" collapsed="false">
      <c r="A22" s="86"/>
      <c r="B22" s="68"/>
      <c r="C22" s="95" t="str">
        <f aca="false">IF('Business Details'!C17&gt;0,'Business Details'!C17," ")</f>
        <v>DE1 2GH</v>
      </c>
      <c r="D22" s="95"/>
      <c r="E22" s="72"/>
      <c r="F22" s="96" t="str">
        <f aca="false">IF('Business Details'!F17&gt;0,'Business Details'!F17," ")</f>
        <v> </v>
      </c>
      <c r="G22" s="68"/>
      <c r="H22" s="68"/>
      <c r="I22" s="68"/>
      <c r="J22" s="68"/>
      <c r="K22" s="68"/>
      <c r="L22" s="68"/>
      <c r="M22" s="68"/>
      <c r="N22" s="69"/>
      <c r="O22" s="69"/>
      <c r="P22" s="69"/>
      <c r="Q22" s="69"/>
      <c r="R22" s="69"/>
      <c r="S22" s="69"/>
      <c r="T22" s="69"/>
      <c r="U22" s="69"/>
      <c r="V22" s="69"/>
      <c r="W22" s="85"/>
    </row>
    <row r="23" customFormat="false" ht="12" hidden="false" customHeight="false" outlineLevel="0" collapsed="false">
      <c r="A23" s="86"/>
      <c r="B23" s="68"/>
      <c r="C23" s="68"/>
      <c r="D23" s="68"/>
      <c r="E23" s="68"/>
      <c r="F23" s="68"/>
      <c r="G23" s="68"/>
      <c r="H23" s="68"/>
      <c r="I23" s="68"/>
      <c r="J23" s="68"/>
      <c r="K23" s="68"/>
      <c r="L23" s="82" t="n">
        <v>6</v>
      </c>
      <c r="M23" s="69"/>
      <c r="N23" s="69" t="s">
        <v>20</v>
      </c>
      <c r="O23" s="97"/>
      <c r="P23" s="69"/>
      <c r="Q23" s="69"/>
      <c r="R23" s="69"/>
      <c r="S23" s="91" t="n">
        <f aca="false">Admin!B17</f>
        <v>46482</v>
      </c>
      <c r="T23" s="91"/>
      <c r="U23" s="91"/>
      <c r="V23" s="91"/>
      <c r="W23" s="85"/>
    </row>
    <row r="24" customFormat="false" ht="12" hidden="false" customHeight="false" outlineLevel="0" collapsed="false">
      <c r="A24" s="82" t="n">
        <v>3</v>
      </c>
      <c r="B24" s="68"/>
      <c r="C24" s="69" t="s">
        <v>21</v>
      </c>
      <c r="D24" s="68"/>
      <c r="E24" s="68"/>
      <c r="F24" s="68"/>
      <c r="G24" s="68"/>
      <c r="H24" s="68"/>
      <c r="I24" s="68"/>
      <c r="J24" s="68"/>
      <c r="K24" s="68"/>
      <c r="L24" s="68"/>
      <c r="M24" s="69"/>
      <c r="N24" s="87" t="s">
        <v>22</v>
      </c>
      <c r="O24" s="88"/>
      <c r="P24" s="88"/>
      <c r="Q24" s="88"/>
      <c r="R24" s="68"/>
      <c r="S24" s="68"/>
      <c r="T24" s="68"/>
      <c r="U24" s="68"/>
      <c r="V24" s="68"/>
      <c r="W24" s="89"/>
    </row>
    <row r="25" customFormat="false" ht="12" hidden="false" customHeight="false" outlineLevel="0" collapsed="false">
      <c r="A25" s="86"/>
      <c r="B25" s="68"/>
      <c r="C25" s="69" t="s">
        <v>23</v>
      </c>
      <c r="D25" s="68"/>
      <c r="E25" s="68"/>
      <c r="F25" s="68"/>
      <c r="G25" s="68"/>
      <c r="H25" s="68"/>
      <c r="I25" s="68"/>
      <c r="J25" s="68"/>
      <c r="K25" s="68"/>
      <c r="L25" s="68"/>
      <c r="M25" s="68"/>
      <c r="N25" s="88"/>
      <c r="O25" s="88"/>
      <c r="P25" s="88"/>
      <c r="Q25" s="88"/>
      <c r="R25" s="68"/>
      <c r="S25" s="68"/>
      <c r="T25" s="68"/>
      <c r="U25" s="68"/>
      <c r="V25" s="68"/>
      <c r="W25" s="89"/>
    </row>
    <row r="26" customFormat="false" ht="13.5" hidden="false" customHeight="false" outlineLevel="0" collapsed="false">
      <c r="A26" s="86"/>
      <c r="B26" s="68"/>
      <c r="C26" s="87" t="s">
        <v>24</v>
      </c>
      <c r="D26" s="88"/>
      <c r="E26" s="88"/>
      <c r="F26" s="88"/>
      <c r="G26" s="88"/>
      <c r="H26" s="88"/>
      <c r="I26" s="88"/>
      <c r="J26" s="88"/>
      <c r="K26" s="88"/>
      <c r="L26" s="68"/>
      <c r="M26" s="68"/>
      <c r="N26" s="94" t="str">
        <f aca="false">IF('Business Details'!N21&gt;0,'Business Details'!N21," ")</f>
        <v> </v>
      </c>
      <c r="O26" s="94"/>
      <c r="P26" s="94"/>
      <c r="Q26" s="94"/>
      <c r="R26" s="68"/>
      <c r="S26" s="68"/>
      <c r="T26" s="68"/>
      <c r="U26" s="68"/>
      <c r="V26" s="68"/>
      <c r="W26" s="89"/>
    </row>
    <row r="27" customFormat="false" ht="12" hidden="false" customHeight="false" outlineLevel="0" collapsed="false">
      <c r="A27" s="86"/>
      <c r="B27" s="68"/>
      <c r="C27" s="87" t="s">
        <v>25</v>
      </c>
      <c r="D27" s="68"/>
      <c r="E27" s="68"/>
      <c r="F27" s="68"/>
      <c r="G27" s="68"/>
      <c r="H27" s="68"/>
      <c r="I27" s="68"/>
      <c r="J27" s="68"/>
      <c r="K27" s="68"/>
      <c r="L27" s="68"/>
      <c r="M27" s="68"/>
      <c r="N27" s="88"/>
      <c r="O27" s="88"/>
      <c r="P27" s="88"/>
      <c r="Q27" s="88"/>
      <c r="R27" s="68"/>
      <c r="S27" s="68"/>
      <c r="T27" s="68"/>
      <c r="U27" s="68"/>
      <c r="V27" s="68"/>
      <c r="W27" s="89"/>
    </row>
    <row r="28" customFormat="false" ht="12" hidden="false" customHeight="false" outlineLevel="0" collapsed="false">
      <c r="A28" s="86"/>
      <c r="B28" s="68"/>
      <c r="C28" s="88"/>
      <c r="D28" s="68"/>
      <c r="E28" s="68"/>
      <c r="F28" s="68"/>
      <c r="G28" s="68"/>
      <c r="H28" s="68"/>
      <c r="I28" s="68"/>
      <c r="J28" s="68"/>
      <c r="K28" s="68"/>
      <c r="L28" s="82" t="n">
        <v>7</v>
      </c>
      <c r="M28" s="68"/>
      <c r="N28" s="87" t="s">
        <v>26</v>
      </c>
      <c r="O28" s="88"/>
      <c r="P28" s="88"/>
      <c r="Q28" s="88"/>
      <c r="R28" s="68"/>
      <c r="S28" s="68"/>
      <c r="T28" s="68"/>
      <c r="U28" s="68"/>
      <c r="V28" s="68"/>
      <c r="W28" s="89"/>
    </row>
    <row r="29" customFormat="false" ht="15" hidden="false" customHeight="true" outlineLevel="0" collapsed="false">
      <c r="A29" s="86"/>
      <c r="B29" s="68"/>
      <c r="C29" s="90" t="str">
        <f aca="false">IF('Business Details'!C24="x","x"," ")</f>
        <v> </v>
      </c>
      <c r="D29" s="68"/>
      <c r="E29" s="68"/>
      <c r="F29" s="68"/>
      <c r="G29" s="68"/>
      <c r="H29" s="68"/>
      <c r="I29" s="68"/>
      <c r="J29" s="68"/>
      <c r="K29" s="68"/>
      <c r="L29" s="68"/>
      <c r="M29" s="68"/>
      <c r="N29" s="98" t="s">
        <v>27</v>
      </c>
      <c r="O29" s="88"/>
      <c r="P29" s="88"/>
      <c r="Q29" s="88"/>
      <c r="R29" s="68"/>
      <c r="S29" s="68"/>
      <c r="T29" s="68"/>
      <c r="U29" s="68"/>
      <c r="V29" s="68"/>
      <c r="W29" s="89"/>
    </row>
    <row r="30" customFormat="false" ht="7.5" hidden="false" customHeight="true" outlineLevel="0" collapsed="false">
      <c r="A30" s="86"/>
      <c r="B30" s="68"/>
      <c r="C30" s="68"/>
      <c r="D30" s="68"/>
      <c r="E30" s="68"/>
      <c r="F30" s="68"/>
      <c r="G30" s="68"/>
      <c r="H30" s="68"/>
      <c r="I30" s="68"/>
      <c r="J30" s="68"/>
      <c r="K30" s="68"/>
      <c r="L30" s="68"/>
      <c r="M30" s="68"/>
      <c r="N30" s="98"/>
      <c r="O30" s="88"/>
      <c r="P30" s="88"/>
      <c r="Q30" s="88"/>
      <c r="R30" s="68"/>
      <c r="S30" s="68"/>
      <c r="T30" s="68"/>
      <c r="U30" s="68"/>
      <c r="V30" s="68"/>
      <c r="W30" s="89"/>
    </row>
    <row r="31" customFormat="false" ht="13.5" hidden="false" customHeight="false" outlineLevel="0" collapsed="false">
      <c r="A31" s="86"/>
      <c r="B31" s="68"/>
      <c r="C31" s="68"/>
      <c r="D31" s="68"/>
      <c r="E31" s="68"/>
      <c r="F31" s="68"/>
      <c r="G31" s="68"/>
      <c r="H31" s="68"/>
      <c r="I31" s="68"/>
      <c r="J31" s="68"/>
      <c r="K31" s="68"/>
      <c r="L31" s="68"/>
      <c r="M31" s="68"/>
      <c r="N31" s="94" t="n">
        <f aca="false">Admin!B17</f>
        <v>46482</v>
      </c>
      <c r="O31" s="94"/>
      <c r="P31" s="94"/>
      <c r="Q31" s="94"/>
      <c r="R31" s="68"/>
      <c r="S31" s="68"/>
      <c r="T31" s="68"/>
      <c r="U31" s="68"/>
      <c r="V31" s="68"/>
      <c r="W31" s="89"/>
    </row>
    <row r="32" customFormat="false" ht="7.5" hidden="false" customHeight="true" outlineLevel="0" collapsed="false">
      <c r="A32" s="99"/>
      <c r="B32" s="100"/>
      <c r="C32" s="100"/>
      <c r="D32" s="100"/>
      <c r="E32" s="100"/>
      <c r="F32" s="100"/>
      <c r="G32" s="100"/>
      <c r="H32" s="100"/>
      <c r="I32" s="100"/>
      <c r="J32" s="100"/>
      <c r="K32" s="100"/>
      <c r="L32" s="100"/>
      <c r="M32" s="100"/>
      <c r="N32" s="100"/>
      <c r="O32" s="100"/>
      <c r="P32" s="100"/>
      <c r="Q32" s="100"/>
      <c r="R32" s="100"/>
      <c r="S32" s="100"/>
      <c r="T32" s="100"/>
      <c r="U32" s="100"/>
      <c r="V32" s="100"/>
      <c r="W32" s="101"/>
    </row>
    <row r="33" customFormat="false" ht="24.75" hidden="false" customHeight="true" outlineLevel="0" collapsed="false">
      <c r="A33" s="102" t="str">
        <f aca="false">"Business income - if your annual turnover was below £"&amp;Admin!F26&amp;" VAT threshold"</f>
        <v>Business income - if your annual turnover was below £90000 VAT threshold</v>
      </c>
      <c r="B33" s="102"/>
      <c r="C33" s="102"/>
      <c r="D33" s="102"/>
      <c r="E33" s="102"/>
      <c r="F33" s="102"/>
      <c r="G33" s="102"/>
      <c r="H33" s="102"/>
      <c r="I33" s="102"/>
      <c r="J33" s="102"/>
      <c r="K33" s="102"/>
      <c r="L33" s="102"/>
      <c r="M33" s="102"/>
      <c r="N33" s="102"/>
      <c r="O33" s="102"/>
      <c r="P33" s="102"/>
      <c r="Q33" s="102"/>
      <c r="R33" s="102"/>
      <c r="S33" s="102"/>
      <c r="T33" s="102"/>
      <c r="U33" s="102"/>
      <c r="V33" s="102"/>
      <c r="W33" s="102"/>
    </row>
    <row r="34" customFormat="false" ht="7.5" hidden="false" customHeight="true" outlineLevel="0" collapsed="false">
      <c r="A34" s="79"/>
      <c r="B34" s="80"/>
      <c r="C34" s="80"/>
      <c r="D34" s="80"/>
      <c r="E34" s="80"/>
      <c r="F34" s="80"/>
      <c r="G34" s="80"/>
      <c r="H34" s="80"/>
      <c r="I34" s="80"/>
      <c r="J34" s="80"/>
      <c r="K34" s="80"/>
      <c r="L34" s="80"/>
      <c r="M34" s="80"/>
      <c r="N34" s="80"/>
      <c r="O34" s="80"/>
      <c r="P34" s="80"/>
      <c r="Q34" s="80"/>
      <c r="R34" s="80"/>
      <c r="S34" s="80"/>
      <c r="T34" s="80"/>
      <c r="U34" s="80"/>
      <c r="V34" s="80"/>
      <c r="W34" s="81"/>
    </row>
    <row r="35" customFormat="false" ht="12" hidden="false" customHeight="false" outlineLevel="0" collapsed="false">
      <c r="A35" s="82" t="n">
        <v>9</v>
      </c>
      <c r="B35" s="68"/>
      <c r="C35" s="69" t="s">
        <v>43</v>
      </c>
      <c r="D35" s="69"/>
      <c r="E35" s="69"/>
      <c r="F35" s="69"/>
      <c r="G35" s="69"/>
      <c r="H35" s="69"/>
      <c r="I35" s="69"/>
      <c r="J35" s="69"/>
      <c r="K35" s="69"/>
      <c r="L35" s="82" t="n">
        <v>10</v>
      </c>
      <c r="M35" s="68"/>
      <c r="N35" s="69" t="s">
        <v>44</v>
      </c>
      <c r="O35" s="69"/>
      <c r="P35" s="69"/>
      <c r="Q35" s="69"/>
      <c r="R35" s="69"/>
      <c r="S35" s="69"/>
      <c r="T35" s="69"/>
      <c r="U35" s="69"/>
      <c r="V35" s="69"/>
      <c r="W35" s="85"/>
    </row>
    <row r="36" customFormat="false" ht="12" hidden="false" customHeight="false" outlineLevel="0" collapsed="false">
      <c r="A36" s="86"/>
      <c r="B36" s="68"/>
      <c r="C36" s="97" t="s">
        <v>45</v>
      </c>
      <c r="D36" s="68"/>
      <c r="E36" s="68"/>
      <c r="F36" s="68"/>
      <c r="G36" s="68"/>
      <c r="H36" s="68"/>
      <c r="I36" s="68"/>
      <c r="J36" s="68"/>
      <c r="K36" s="68"/>
      <c r="L36" s="68"/>
      <c r="M36" s="68"/>
      <c r="N36" s="97" t="s">
        <v>46</v>
      </c>
      <c r="O36" s="68"/>
      <c r="P36" s="68"/>
      <c r="Q36" s="68"/>
      <c r="R36" s="68"/>
      <c r="S36" s="68"/>
      <c r="T36" s="68"/>
      <c r="U36" s="68"/>
      <c r="V36" s="68"/>
      <c r="W36" s="89"/>
    </row>
    <row r="37" customFormat="false" ht="6" hidden="false" customHeight="true" outlineLevel="0" collapsed="false">
      <c r="A37" s="86"/>
      <c r="B37" s="68"/>
      <c r="C37" s="68"/>
      <c r="D37" s="68"/>
      <c r="E37" s="68"/>
      <c r="F37" s="68"/>
      <c r="G37" s="68"/>
      <c r="H37" s="68"/>
      <c r="I37" s="68"/>
      <c r="J37" s="68"/>
      <c r="K37" s="68"/>
      <c r="L37" s="68"/>
      <c r="M37" s="68"/>
      <c r="N37" s="68"/>
      <c r="O37" s="68"/>
      <c r="P37" s="68"/>
      <c r="Q37" s="68"/>
      <c r="R37" s="68"/>
      <c r="S37" s="68"/>
      <c r="T37" s="68"/>
      <c r="U37" s="68"/>
      <c r="V37" s="68"/>
      <c r="W37" s="89"/>
    </row>
    <row r="38" customFormat="false" ht="15" hidden="false" customHeight="false" outlineLevel="0" collapsed="false">
      <c r="A38" s="86"/>
      <c r="B38" s="68"/>
      <c r="C38" s="103" t="s">
        <v>31</v>
      </c>
      <c r="D38" s="104" t="n">
        <f aca="false">'Profit &amp; Loss Acc'!B5</f>
        <v>36045</v>
      </c>
      <c r="E38" s="104"/>
      <c r="F38" s="104"/>
      <c r="G38" s="105" t="s">
        <v>32</v>
      </c>
      <c r="H38" s="106" t="n">
        <v>0</v>
      </c>
      <c r="I38" s="106" t="n">
        <v>0</v>
      </c>
      <c r="J38" s="68"/>
      <c r="K38" s="68"/>
      <c r="L38" s="68"/>
      <c r="M38" s="68"/>
      <c r="N38" s="103" t="s">
        <v>31</v>
      </c>
      <c r="O38" s="104"/>
      <c r="P38" s="104"/>
      <c r="Q38" s="104"/>
      <c r="R38" s="105" t="s">
        <v>32</v>
      </c>
      <c r="S38" s="106" t="n">
        <v>0</v>
      </c>
      <c r="T38" s="106" t="n">
        <v>0</v>
      </c>
      <c r="U38" s="107"/>
      <c r="V38" s="108"/>
      <c r="W38" s="89"/>
    </row>
    <row r="39" customFormat="false" ht="7.5" hidden="false" customHeight="true" outlineLevel="0" collapsed="false">
      <c r="A39" s="99"/>
      <c r="B39" s="100"/>
      <c r="C39" s="100"/>
      <c r="D39" s="100"/>
      <c r="E39" s="100"/>
      <c r="F39" s="100"/>
      <c r="G39" s="100"/>
      <c r="H39" s="100"/>
      <c r="I39" s="100"/>
      <c r="J39" s="100"/>
      <c r="K39" s="100"/>
      <c r="L39" s="100"/>
      <c r="M39" s="100"/>
      <c r="N39" s="100"/>
      <c r="O39" s="100"/>
      <c r="P39" s="100"/>
      <c r="Q39" s="100"/>
      <c r="R39" s="100"/>
      <c r="S39" s="100"/>
      <c r="T39" s="100"/>
      <c r="U39" s="100"/>
      <c r="V39" s="100"/>
      <c r="W39" s="101"/>
    </row>
    <row r="40" customFormat="false" ht="24.75" hidden="false" customHeight="true" outlineLevel="0" collapsed="false">
      <c r="A40" s="109" t="s">
        <v>47</v>
      </c>
      <c r="B40" s="109"/>
      <c r="C40" s="109"/>
      <c r="D40" s="109"/>
      <c r="E40" s="109"/>
      <c r="F40" s="109"/>
      <c r="G40" s="109"/>
      <c r="H40" s="109"/>
      <c r="I40" s="109"/>
      <c r="J40" s="109"/>
      <c r="K40" s="109"/>
      <c r="L40" s="109"/>
      <c r="M40" s="109"/>
      <c r="N40" s="109"/>
      <c r="O40" s="109"/>
      <c r="P40" s="109"/>
      <c r="Q40" s="109"/>
      <c r="R40" s="109"/>
      <c r="S40" s="109"/>
      <c r="T40" s="109"/>
      <c r="U40" s="109"/>
      <c r="V40" s="109"/>
      <c r="W40" s="109"/>
    </row>
    <row r="41" s="111" customFormat="true" ht="13.5" hidden="false" customHeight="true" outlineLevel="0" collapsed="false">
      <c r="A41" s="110" t="s">
        <v>48</v>
      </c>
      <c r="B41" s="110"/>
      <c r="C41" s="110"/>
      <c r="D41" s="110"/>
      <c r="E41" s="110"/>
      <c r="F41" s="110"/>
      <c r="G41" s="110"/>
      <c r="H41" s="110"/>
      <c r="I41" s="110"/>
      <c r="J41" s="110"/>
      <c r="K41" s="110"/>
      <c r="L41" s="110"/>
      <c r="M41" s="110"/>
      <c r="N41" s="110"/>
      <c r="O41" s="110"/>
      <c r="P41" s="110"/>
      <c r="Q41" s="110"/>
      <c r="R41" s="110"/>
      <c r="S41" s="110"/>
      <c r="T41" s="110"/>
      <c r="U41" s="110"/>
      <c r="V41" s="110"/>
      <c r="W41" s="110"/>
    </row>
    <row r="42" s="111" customFormat="true" ht="13.5" hidden="false" customHeight="true" outlineLevel="0" collapsed="false">
      <c r="A42" s="112" t="s">
        <v>49</v>
      </c>
      <c r="B42" s="112"/>
      <c r="C42" s="112"/>
      <c r="D42" s="112"/>
      <c r="E42" s="112"/>
      <c r="F42" s="112"/>
      <c r="G42" s="112"/>
      <c r="H42" s="112"/>
      <c r="I42" s="112"/>
      <c r="J42" s="112"/>
      <c r="K42" s="112"/>
      <c r="L42" s="112"/>
      <c r="M42" s="112"/>
      <c r="N42" s="112"/>
      <c r="O42" s="112"/>
      <c r="P42" s="112"/>
      <c r="Q42" s="112"/>
      <c r="R42" s="112"/>
      <c r="S42" s="112"/>
      <c r="T42" s="112"/>
      <c r="U42" s="112"/>
      <c r="V42" s="112"/>
      <c r="W42" s="112"/>
    </row>
    <row r="43" customFormat="false" ht="7.5" hidden="false" customHeight="true" outlineLevel="0" collapsed="false">
      <c r="A43" s="79"/>
      <c r="B43" s="80"/>
      <c r="C43" s="80"/>
      <c r="D43" s="80"/>
      <c r="E43" s="80"/>
      <c r="F43" s="80"/>
      <c r="G43" s="80"/>
      <c r="H43" s="80"/>
      <c r="I43" s="80"/>
      <c r="J43" s="80"/>
      <c r="K43" s="80"/>
      <c r="L43" s="80"/>
      <c r="M43" s="80"/>
      <c r="N43" s="80"/>
      <c r="O43" s="80"/>
      <c r="P43" s="80"/>
      <c r="Q43" s="80"/>
      <c r="R43" s="80"/>
      <c r="S43" s="80"/>
      <c r="T43" s="80"/>
      <c r="U43" s="80"/>
      <c r="V43" s="80"/>
      <c r="W43" s="81"/>
    </row>
    <row r="44" customFormat="false" ht="12" hidden="false" customHeight="false" outlineLevel="0" collapsed="false">
      <c r="A44" s="82" t="n">
        <v>11</v>
      </c>
      <c r="B44" s="68"/>
      <c r="C44" s="69" t="s">
        <v>50</v>
      </c>
      <c r="D44" s="69"/>
      <c r="E44" s="69"/>
      <c r="F44" s="69"/>
      <c r="G44" s="69"/>
      <c r="H44" s="69"/>
      <c r="I44" s="69"/>
      <c r="J44" s="69"/>
      <c r="K44" s="69"/>
      <c r="L44" s="82" t="n">
        <v>16</v>
      </c>
      <c r="M44" s="68"/>
      <c r="N44" s="69" t="s">
        <v>51</v>
      </c>
      <c r="O44" s="68"/>
      <c r="P44" s="68"/>
      <c r="Q44" s="68"/>
      <c r="R44" s="68"/>
      <c r="S44" s="68"/>
      <c r="T44" s="68"/>
      <c r="U44" s="68"/>
      <c r="V44" s="68"/>
      <c r="W44" s="89"/>
    </row>
    <row r="45" customFormat="false" ht="6" hidden="false" customHeight="true" outlineLevel="0" collapsed="false">
      <c r="A45" s="113"/>
      <c r="B45" s="68"/>
      <c r="C45" s="69"/>
      <c r="D45" s="69"/>
      <c r="E45" s="69"/>
      <c r="F45" s="69"/>
      <c r="G45" s="69"/>
      <c r="H45" s="69"/>
      <c r="I45" s="69"/>
      <c r="J45" s="69"/>
      <c r="K45" s="69"/>
      <c r="L45" s="69"/>
      <c r="M45" s="68"/>
      <c r="N45" s="68"/>
      <c r="O45" s="68"/>
      <c r="P45" s="68"/>
      <c r="Q45" s="68"/>
      <c r="R45" s="68"/>
      <c r="S45" s="68"/>
      <c r="T45" s="68"/>
      <c r="U45" s="68"/>
      <c r="V45" s="68"/>
      <c r="W45" s="89"/>
    </row>
    <row r="46" customFormat="false" ht="15" hidden="false" customHeight="false" outlineLevel="0" collapsed="false">
      <c r="A46" s="86"/>
      <c r="B46" s="68"/>
      <c r="C46" s="103" t="s">
        <v>31</v>
      </c>
      <c r="D46" s="104" t="str">
        <f aca="false">IF(('Profit &amp; Loss Acc'!B5&lt;Admin!F26)," ",'Profit &amp; Loss Acc'!B12-'Profit &amp; Loss Acc'!B10)</f>
        <v> </v>
      </c>
      <c r="E46" s="104"/>
      <c r="F46" s="104"/>
      <c r="G46" s="105" t="s">
        <v>32</v>
      </c>
      <c r="H46" s="106" t="n">
        <v>0</v>
      </c>
      <c r="I46" s="106" t="n">
        <v>0</v>
      </c>
      <c r="J46" s="68"/>
      <c r="K46" s="68"/>
      <c r="L46" s="68"/>
      <c r="M46" s="68"/>
      <c r="N46" s="103" t="s">
        <v>31</v>
      </c>
      <c r="O46" s="104" t="str">
        <f aca="false">IF(('Profit &amp; Loss Acc'!B5&lt;Admin!F26)," ",'Profit &amp; Loss Acc'!B18)</f>
        <v> </v>
      </c>
      <c r="P46" s="104"/>
      <c r="Q46" s="104"/>
      <c r="R46" s="105" t="s">
        <v>32</v>
      </c>
      <c r="S46" s="106" t="n">
        <v>0</v>
      </c>
      <c r="T46" s="106" t="n">
        <v>0</v>
      </c>
      <c r="U46" s="68"/>
      <c r="V46" s="68"/>
      <c r="W46" s="89"/>
    </row>
    <row r="47" customFormat="false" ht="12" hidden="false" customHeight="false" outlineLevel="0" collapsed="false">
      <c r="A47" s="86"/>
      <c r="B47" s="68"/>
      <c r="C47" s="68"/>
      <c r="D47" s="68"/>
      <c r="E47" s="68"/>
      <c r="F47" s="68"/>
      <c r="G47" s="68"/>
      <c r="H47" s="68"/>
      <c r="I47" s="68"/>
      <c r="J47" s="68"/>
      <c r="K47" s="68"/>
      <c r="L47" s="68"/>
      <c r="M47" s="68"/>
      <c r="N47" s="68"/>
      <c r="O47" s="68"/>
      <c r="P47" s="68"/>
      <c r="Q47" s="68"/>
      <c r="R47" s="68"/>
      <c r="S47" s="68"/>
      <c r="T47" s="68"/>
      <c r="U47" s="68"/>
      <c r="V47" s="68"/>
      <c r="W47" s="89"/>
    </row>
    <row r="48" customFormat="false" ht="12" hidden="false" customHeight="false" outlineLevel="0" collapsed="false">
      <c r="A48" s="82" t="n">
        <v>12</v>
      </c>
      <c r="B48" s="68"/>
      <c r="C48" s="69" t="s">
        <v>52</v>
      </c>
      <c r="D48" s="69"/>
      <c r="E48" s="69"/>
      <c r="F48" s="69"/>
      <c r="G48" s="69"/>
      <c r="H48" s="69"/>
      <c r="I48" s="69"/>
      <c r="J48" s="69"/>
      <c r="K48" s="69"/>
      <c r="L48" s="82" t="n">
        <v>17</v>
      </c>
      <c r="M48" s="68"/>
      <c r="N48" s="69" t="s">
        <v>53</v>
      </c>
      <c r="O48" s="68"/>
      <c r="P48" s="68"/>
      <c r="Q48" s="68"/>
      <c r="R48" s="68"/>
      <c r="S48" s="68"/>
      <c r="T48" s="68"/>
      <c r="U48" s="68"/>
      <c r="V48" s="68"/>
      <c r="W48" s="89"/>
    </row>
    <row r="49" customFormat="false" ht="12.75" hidden="false" customHeight="true" outlineLevel="0" collapsed="false">
      <c r="A49" s="86"/>
      <c r="B49" s="68"/>
      <c r="C49" s="97" t="s">
        <v>54</v>
      </c>
      <c r="D49" s="68"/>
      <c r="E49" s="68"/>
      <c r="F49" s="68"/>
      <c r="G49" s="68"/>
      <c r="H49" s="68"/>
      <c r="I49" s="68"/>
      <c r="J49" s="68"/>
      <c r="K49" s="68"/>
      <c r="L49" s="68"/>
      <c r="M49" s="68"/>
      <c r="N49" s="68"/>
      <c r="O49" s="68"/>
      <c r="P49" s="68"/>
      <c r="Q49" s="68"/>
      <c r="R49" s="68"/>
      <c r="S49" s="68"/>
      <c r="T49" s="68"/>
      <c r="U49" s="68"/>
      <c r="V49" s="68"/>
      <c r="W49" s="89"/>
    </row>
    <row r="50" customFormat="false" ht="6" hidden="false" customHeight="true" outlineLevel="0" collapsed="false">
      <c r="A50" s="113"/>
      <c r="B50" s="68"/>
      <c r="C50" s="69"/>
      <c r="D50" s="69"/>
      <c r="E50" s="69"/>
      <c r="F50" s="69"/>
      <c r="G50" s="69"/>
      <c r="H50" s="69"/>
      <c r="I50" s="69"/>
      <c r="J50" s="69"/>
      <c r="K50" s="69"/>
      <c r="L50" s="69"/>
      <c r="M50" s="68"/>
      <c r="N50" s="68"/>
      <c r="O50" s="68"/>
      <c r="P50" s="68"/>
      <c r="Q50" s="68"/>
      <c r="R50" s="68"/>
      <c r="S50" s="68"/>
      <c r="T50" s="68"/>
      <c r="U50" s="68"/>
      <c r="V50" s="68"/>
      <c r="W50" s="89"/>
    </row>
    <row r="51" customFormat="false" ht="15" hidden="false" customHeight="false" outlineLevel="0" collapsed="false">
      <c r="A51" s="86"/>
      <c r="B51" s="68"/>
      <c r="C51" s="103" t="s">
        <v>31</v>
      </c>
      <c r="D51" s="104"/>
      <c r="E51" s="104"/>
      <c r="F51" s="104"/>
      <c r="G51" s="105" t="s">
        <v>32</v>
      </c>
      <c r="H51" s="106" t="n">
        <v>0</v>
      </c>
      <c r="I51" s="106" t="n">
        <v>0</v>
      </c>
      <c r="J51" s="68"/>
      <c r="K51" s="68"/>
      <c r="L51" s="68"/>
      <c r="M51" s="68"/>
      <c r="N51" s="103" t="s">
        <v>31</v>
      </c>
      <c r="O51" s="104" t="str">
        <f aca="false">IF(('Profit &amp; Loss Acc'!B5&lt;Admin!F26)," ",'Profit &amp; Loss Acc'!B19+'Profit &amp; Loss Acc'!B20)</f>
        <v> </v>
      </c>
      <c r="P51" s="104"/>
      <c r="Q51" s="104"/>
      <c r="R51" s="105" t="s">
        <v>32</v>
      </c>
      <c r="S51" s="106" t="n">
        <v>0</v>
      </c>
      <c r="T51" s="106" t="n">
        <v>0</v>
      </c>
      <c r="U51" s="68"/>
      <c r="V51" s="68"/>
      <c r="W51" s="89"/>
    </row>
    <row r="52" customFormat="false" ht="12.75" hidden="false" customHeight="true" outlineLevel="0" collapsed="false">
      <c r="A52" s="86"/>
      <c r="B52" s="68"/>
      <c r="C52" s="68"/>
      <c r="D52" s="68"/>
      <c r="E52" s="68"/>
      <c r="F52" s="68"/>
      <c r="G52" s="68"/>
      <c r="H52" s="68"/>
      <c r="I52" s="68"/>
      <c r="J52" s="68"/>
      <c r="K52" s="68"/>
      <c r="L52" s="68"/>
      <c r="M52" s="68"/>
      <c r="N52" s="68"/>
      <c r="O52" s="68"/>
      <c r="P52" s="68"/>
      <c r="Q52" s="68"/>
      <c r="R52" s="68"/>
      <c r="S52" s="68"/>
      <c r="T52" s="68"/>
      <c r="U52" s="68"/>
      <c r="V52" s="68"/>
      <c r="W52" s="89"/>
    </row>
    <row r="53" customFormat="false" ht="12" hidden="false" customHeight="false" outlineLevel="0" collapsed="false">
      <c r="A53" s="82" t="n">
        <v>13</v>
      </c>
      <c r="B53" s="68"/>
      <c r="C53" s="69" t="s">
        <v>55</v>
      </c>
      <c r="D53" s="69"/>
      <c r="E53" s="69"/>
      <c r="F53" s="69"/>
      <c r="G53" s="69"/>
      <c r="H53" s="69"/>
      <c r="I53" s="69"/>
      <c r="J53" s="69"/>
      <c r="K53" s="69"/>
      <c r="L53" s="82" t="n">
        <v>18</v>
      </c>
      <c r="M53" s="68"/>
      <c r="N53" s="69" t="s">
        <v>56</v>
      </c>
      <c r="O53" s="68"/>
      <c r="P53" s="68"/>
      <c r="Q53" s="68"/>
      <c r="R53" s="68"/>
      <c r="S53" s="68"/>
      <c r="T53" s="68"/>
      <c r="U53" s="68"/>
      <c r="V53" s="68"/>
      <c r="W53" s="89"/>
    </row>
    <row r="54" customFormat="false" ht="6" hidden="false" customHeight="true" outlineLevel="0" collapsed="false">
      <c r="A54" s="113"/>
      <c r="B54" s="68"/>
      <c r="C54" s="69"/>
      <c r="D54" s="69"/>
      <c r="E54" s="69"/>
      <c r="F54" s="69"/>
      <c r="G54" s="69"/>
      <c r="H54" s="69"/>
      <c r="I54" s="69"/>
      <c r="J54" s="69"/>
      <c r="K54" s="69"/>
      <c r="L54" s="69"/>
      <c r="M54" s="68"/>
      <c r="N54" s="68"/>
      <c r="O54" s="68"/>
      <c r="P54" s="68"/>
      <c r="Q54" s="68"/>
      <c r="R54" s="68"/>
      <c r="S54" s="68"/>
      <c r="T54" s="68"/>
      <c r="U54" s="68"/>
      <c r="V54" s="68"/>
      <c r="W54" s="89"/>
    </row>
    <row r="55" customFormat="false" ht="15" hidden="false" customHeight="false" outlineLevel="0" collapsed="false">
      <c r="A55" s="86"/>
      <c r="B55" s="68"/>
      <c r="C55" s="103" t="s">
        <v>31</v>
      </c>
      <c r="D55" s="104" t="str">
        <f aca="false">IF(('Profit &amp; Loss Acc'!B5&lt;Admin!F26)," ",'Profit &amp; Loss Acc'!B14)</f>
        <v> </v>
      </c>
      <c r="E55" s="104"/>
      <c r="F55" s="104"/>
      <c r="G55" s="105" t="s">
        <v>32</v>
      </c>
      <c r="H55" s="106" t="n">
        <v>0</v>
      </c>
      <c r="I55" s="106" t="n">
        <v>0</v>
      </c>
      <c r="J55" s="68"/>
      <c r="K55" s="68"/>
      <c r="L55" s="68"/>
      <c r="M55" s="68"/>
      <c r="N55" s="103" t="s">
        <v>31</v>
      </c>
      <c r="O55" s="104" t="str">
        <f aca="false">IF(('Profit &amp; Loss Acc'!B5&lt;Admin!F26)," ",'Profit &amp; Loss Acc'!B16)</f>
        <v> </v>
      </c>
      <c r="P55" s="104"/>
      <c r="Q55" s="104"/>
      <c r="R55" s="105" t="s">
        <v>32</v>
      </c>
      <c r="S55" s="106" t="n">
        <v>0</v>
      </c>
      <c r="T55" s="106" t="n">
        <v>0</v>
      </c>
      <c r="U55" s="68"/>
      <c r="V55" s="68"/>
      <c r="W55" s="89"/>
    </row>
    <row r="56" customFormat="false" ht="12" hidden="false" customHeight="false" outlineLevel="0" collapsed="false">
      <c r="A56" s="86"/>
      <c r="B56" s="68"/>
      <c r="C56" s="68"/>
      <c r="D56" s="68"/>
      <c r="E56" s="68"/>
      <c r="F56" s="68"/>
      <c r="G56" s="68"/>
      <c r="H56" s="68"/>
      <c r="I56" s="68"/>
      <c r="J56" s="68"/>
      <c r="K56" s="68"/>
      <c r="L56" s="68"/>
      <c r="M56" s="68"/>
      <c r="N56" s="68"/>
      <c r="O56" s="68"/>
      <c r="P56" s="68"/>
      <c r="Q56" s="68"/>
      <c r="R56" s="68"/>
      <c r="S56" s="68"/>
      <c r="T56" s="68"/>
      <c r="U56" s="68"/>
      <c r="V56" s="68"/>
      <c r="W56" s="89"/>
    </row>
    <row r="57" customFormat="false" ht="12" hidden="false" customHeight="false" outlineLevel="0" collapsed="false">
      <c r="A57" s="82" t="n">
        <v>14</v>
      </c>
      <c r="B57" s="68"/>
      <c r="C57" s="69" t="s">
        <v>57</v>
      </c>
      <c r="D57" s="69"/>
      <c r="E57" s="69"/>
      <c r="F57" s="69"/>
      <c r="G57" s="69"/>
      <c r="H57" s="69"/>
      <c r="I57" s="69"/>
      <c r="J57" s="69"/>
      <c r="K57" s="69"/>
      <c r="L57" s="82" t="n">
        <v>19</v>
      </c>
      <c r="M57" s="68"/>
      <c r="N57" s="69" t="s">
        <v>58</v>
      </c>
      <c r="O57" s="68"/>
      <c r="P57" s="68"/>
      <c r="Q57" s="68"/>
      <c r="R57" s="68"/>
      <c r="S57" s="68"/>
      <c r="T57" s="68"/>
      <c r="U57" s="68"/>
      <c r="V57" s="68"/>
      <c r="W57" s="89"/>
    </row>
    <row r="58" customFormat="false" ht="12" hidden="false" customHeight="false" outlineLevel="0" collapsed="false">
      <c r="A58" s="86"/>
      <c r="B58" s="68"/>
      <c r="C58" s="68"/>
      <c r="D58" s="68"/>
      <c r="E58" s="68"/>
      <c r="F58" s="68"/>
      <c r="G58" s="68"/>
      <c r="H58" s="68"/>
      <c r="I58" s="68"/>
      <c r="J58" s="68"/>
      <c r="K58" s="68"/>
      <c r="L58" s="68"/>
      <c r="M58" s="68"/>
      <c r="N58" s="97" t="s">
        <v>59</v>
      </c>
      <c r="O58" s="68"/>
      <c r="P58" s="68"/>
      <c r="Q58" s="68"/>
      <c r="R58" s="68"/>
      <c r="S58" s="68"/>
      <c r="T58" s="68"/>
      <c r="U58" s="68"/>
      <c r="V58" s="68"/>
      <c r="W58" s="89"/>
    </row>
    <row r="59" customFormat="false" ht="6" hidden="false" customHeight="true" outlineLevel="0" collapsed="false">
      <c r="A59" s="113"/>
      <c r="B59" s="68"/>
      <c r="C59" s="69"/>
      <c r="D59" s="69"/>
      <c r="E59" s="69"/>
      <c r="F59" s="69"/>
      <c r="G59" s="69"/>
      <c r="H59" s="69"/>
      <c r="I59" s="69"/>
      <c r="J59" s="69"/>
      <c r="K59" s="69"/>
      <c r="L59" s="69"/>
      <c r="M59" s="68"/>
      <c r="N59" s="68"/>
      <c r="O59" s="68"/>
      <c r="P59" s="68"/>
      <c r="Q59" s="68"/>
      <c r="R59" s="68"/>
      <c r="S59" s="68"/>
      <c r="T59" s="68"/>
      <c r="U59" s="68"/>
      <c r="V59" s="68"/>
      <c r="W59" s="89"/>
    </row>
    <row r="60" customFormat="false" ht="15" hidden="false" customHeight="false" outlineLevel="0" collapsed="false">
      <c r="A60" s="86"/>
      <c r="B60" s="68"/>
      <c r="C60" s="103" t="s">
        <v>31</v>
      </c>
      <c r="D60" s="104" t="str">
        <f aca="false">IF(('Profit &amp; Loss Acc'!B5&lt;Admin!F26)," ",'Profit &amp; Loss Acc'!B15)</f>
        <v> </v>
      </c>
      <c r="E60" s="104"/>
      <c r="F60" s="104"/>
      <c r="G60" s="105" t="s">
        <v>32</v>
      </c>
      <c r="H60" s="106" t="n">
        <v>0</v>
      </c>
      <c r="I60" s="106" t="n">
        <v>0</v>
      </c>
      <c r="J60" s="68"/>
      <c r="K60" s="68"/>
      <c r="L60" s="68"/>
      <c r="M60" s="68"/>
      <c r="N60" s="103" t="s">
        <v>31</v>
      </c>
      <c r="O60" s="104" t="str">
        <f aca="false">IF(('Profit &amp; Loss Acc'!B5&lt;Admin!F26)," ",'Profit &amp; Loss Acc'!B17+'Profit &amp; Loss Acc'!B21)</f>
        <v> </v>
      </c>
      <c r="P60" s="104"/>
      <c r="Q60" s="104"/>
      <c r="R60" s="105" t="s">
        <v>32</v>
      </c>
      <c r="S60" s="106" t="n">
        <v>0</v>
      </c>
      <c r="T60" s="106" t="n">
        <v>0</v>
      </c>
      <c r="U60" s="68"/>
      <c r="V60" s="68"/>
      <c r="W60" s="89"/>
    </row>
    <row r="61" customFormat="false" ht="12" hidden="false" customHeight="false" outlineLevel="0" collapsed="false">
      <c r="A61" s="86"/>
      <c r="B61" s="68"/>
      <c r="C61" s="68"/>
      <c r="D61" s="68"/>
      <c r="E61" s="68"/>
      <c r="F61" s="68"/>
      <c r="G61" s="68"/>
      <c r="H61" s="68"/>
      <c r="I61" s="68"/>
      <c r="J61" s="68"/>
      <c r="K61" s="68"/>
      <c r="L61" s="68"/>
      <c r="M61" s="68"/>
      <c r="N61" s="68"/>
      <c r="O61" s="68"/>
      <c r="P61" s="68"/>
      <c r="Q61" s="68"/>
      <c r="R61" s="68"/>
      <c r="S61" s="68"/>
      <c r="T61" s="68"/>
      <c r="U61" s="68"/>
      <c r="V61" s="68"/>
      <c r="W61" s="89"/>
    </row>
    <row r="62" customFormat="false" ht="12" hidden="false" customHeight="false" outlineLevel="0" collapsed="false">
      <c r="A62" s="82" t="n">
        <v>15</v>
      </c>
      <c r="B62" s="68"/>
      <c r="C62" s="69" t="s">
        <v>60</v>
      </c>
      <c r="D62" s="69"/>
      <c r="E62" s="69"/>
      <c r="F62" s="69"/>
      <c r="G62" s="69"/>
      <c r="H62" s="69"/>
      <c r="I62" s="69"/>
      <c r="J62" s="69"/>
      <c r="K62" s="69"/>
      <c r="L62" s="82" t="n">
        <v>20</v>
      </c>
      <c r="M62" s="68"/>
      <c r="N62" s="69" t="s">
        <v>61</v>
      </c>
      <c r="O62" s="68"/>
      <c r="P62" s="68"/>
      <c r="Q62" s="68"/>
      <c r="R62" s="68"/>
      <c r="S62" s="68"/>
      <c r="T62" s="68"/>
      <c r="U62" s="68"/>
      <c r="V62" s="68"/>
      <c r="W62" s="89"/>
    </row>
    <row r="63" customFormat="false" ht="6" hidden="false" customHeight="true" outlineLevel="0" collapsed="false">
      <c r="A63" s="113"/>
      <c r="B63" s="68"/>
      <c r="C63" s="69"/>
      <c r="D63" s="69"/>
      <c r="E63" s="69"/>
      <c r="F63" s="69"/>
      <c r="G63" s="69"/>
      <c r="H63" s="69"/>
      <c r="I63" s="69"/>
      <c r="J63" s="69"/>
      <c r="K63" s="69"/>
      <c r="L63" s="69"/>
      <c r="M63" s="68"/>
      <c r="N63" s="68"/>
      <c r="O63" s="68"/>
      <c r="P63" s="68"/>
      <c r="Q63" s="68"/>
      <c r="R63" s="68"/>
      <c r="S63" s="68"/>
      <c r="T63" s="68"/>
      <c r="U63" s="68"/>
      <c r="V63" s="68"/>
      <c r="W63" s="89"/>
    </row>
    <row r="64" customFormat="false" ht="15" hidden="false" customHeight="false" outlineLevel="0" collapsed="false">
      <c r="A64" s="86"/>
      <c r="B64" s="68"/>
      <c r="C64" s="103" t="s">
        <v>31</v>
      </c>
      <c r="D64" s="104"/>
      <c r="E64" s="104"/>
      <c r="F64" s="104"/>
      <c r="G64" s="105" t="s">
        <v>32</v>
      </c>
      <c r="H64" s="106" t="n">
        <v>0</v>
      </c>
      <c r="I64" s="106" t="n">
        <v>0</v>
      </c>
      <c r="J64" s="68"/>
      <c r="K64" s="68"/>
      <c r="L64" s="68"/>
      <c r="M64" s="68"/>
      <c r="N64" s="103" t="s">
        <v>31</v>
      </c>
      <c r="O64" s="104" t="n">
        <f aca="false">'Profit &amp; Loss Acc'!B12+'Profit &amp; Loss Acc'!B22-'Profit &amp; Loss Acc'!B10</f>
        <v>6360</v>
      </c>
      <c r="P64" s="104"/>
      <c r="Q64" s="104"/>
      <c r="R64" s="105" t="s">
        <v>32</v>
      </c>
      <c r="S64" s="106" t="n">
        <v>0</v>
      </c>
      <c r="T64" s="106" t="n">
        <v>0</v>
      </c>
      <c r="U64" s="68"/>
      <c r="V64" s="68"/>
      <c r="W64" s="89"/>
    </row>
    <row r="65" customFormat="false" ht="7.5" hidden="false" customHeight="true" outlineLevel="0" collapsed="false">
      <c r="A65" s="99"/>
      <c r="B65" s="100"/>
      <c r="C65" s="100"/>
      <c r="D65" s="100"/>
      <c r="E65" s="100"/>
      <c r="F65" s="100"/>
      <c r="G65" s="100"/>
      <c r="H65" s="100"/>
      <c r="I65" s="100"/>
      <c r="J65" s="100"/>
      <c r="K65" s="100"/>
      <c r="L65" s="100"/>
      <c r="M65" s="100"/>
      <c r="N65" s="100"/>
      <c r="O65" s="100"/>
      <c r="P65" s="100"/>
      <c r="Q65" s="100"/>
      <c r="R65" s="100"/>
      <c r="S65" s="100"/>
      <c r="T65" s="100"/>
      <c r="U65" s="100"/>
      <c r="V65" s="100"/>
      <c r="W65" s="101"/>
    </row>
    <row r="66" customFormat="false" ht="24.75" hidden="false" customHeight="true" outlineLevel="0" collapsed="false">
      <c r="A66" s="114" t="s">
        <v>62</v>
      </c>
      <c r="B66" s="114"/>
      <c r="C66" s="114"/>
      <c r="D66" s="114"/>
      <c r="E66" s="114"/>
      <c r="F66" s="114"/>
      <c r="G66" s="114"/>
      <c r="H66" s="114"/>
      <c r="I66" s="114"/>
      <c r="J66" s="114"/>
      <c r="K66" s="114"/>
      <c r="L66" s="114"/>
      <c r="M66" s="114"/>
      <c r="N66" s="114"/>
      <c r="O66" s="114"/>
      <c r="P66" s="114"/>
      <c r="Q66" s="114"/>
      <c r="R66" s="114"/>
      <c r="S66" s="114"/>
      <c r="T66" s="114"/>
      <c r="U66" s="114"/>
      <c r="V66" s="114"/>
      <c r="W66" s="114"/>
    </row>
    <row r="67" customFormat="false" ht="7.5" hidden="false" customHeight="true" outlineLevel="0" collapsed="false">
      <c r="A67" s="79"/>
      <c r="B67" s="80"/>
      <c r="C67" s="80"/>
      <c r="D67" s="80"/>
      <c r="E67" s="80"/>
      <c r="F67" s="80"/>
      <c r="G67" s="80"/>
      <c r="H67" s="80"/>
      <c r="I67" s="80"/>
      <c r="J67" s="80"/>
      <c r="K67" s="80"/>
      <c r="L67" s="80"/>
      <c r="M67" s="80"/>
      <c r="N67" s="80"/>
      <c r="O67" s="80"/>
      <c r="P67" s="80"/>
      <c r="Q67" s="80"/>
      <c r="R67" s="80"/>
      <c r="S67" s="80"/>
      <c r="T67" s="80"/>
      <c r="U67" s="80"/>
      <c r="V67" s="80"/>
      <c r="W67" s="81"/>
    </row>
    <row r="68" customFormat="false" ht="12" hidden="false" customHeight="false" outlineLevel="0" collapsed="false">
      <c r="A68" s="82" t="n">
        <v>21</v>
      </c>
      <c r="B68" s="68"/>
      <c r="C68" s="69" t="s">
        <v>63</v>
      </c>
      <c r="D68" s="69"/>
      <c r="E68" s="69"/>
      <c r="F68" s="69"/>
      <c r="G68" s="69"/>
      <c r="H68" s="69"/>
      <c r="I68" s="69"/>
      <c r="J68" s="69"/>
      <c r="K68" s="69"/>
      <c r="L68" s="82" t="n">
        <v>22</v>
      </c>
      <c r="M68" s="68"/>
      <c r="N68" s="69" t="s">
        <v>64</v>
      </c>
      <c r="O68" s="68"/>
      <c r="P68" s="68"/>
      <c r="Q68" s="68"/>
      <c r="R68" s="68"/>
      <c r="S68" s="68"/>
      <c r="T68" s="68"/>
      <c r="U68" s="68"/>
      <c r="V68" s="68"/>
      <c r="W68" s="89"/>
    </row>
    <row r="69" customFormat="false" ht="12" hidden="false" customHeight="false" outlineLevel="0" collapsed="false">
      <c r="A69" s="86"/>
      <c r="B69" s="68"/>
      <c r="C69" s="97" t="s">
        <v>65</v>
      </c>
      <c r="D69" s="69"/>
      <c r="E69" s="69"/>
      <c r="F69" s="69"/>
      <c r="G69" s="69"/>
      <c r="H69" s="69"/>
      <c r="I69" s="69"/>
      <c r="J69" s="69"/>
      <c r="K69" s="69"/>
      <c r="L69" s="68"/>
      <c r="M69" s="68"/>
      <c r="N69" s="97" t="s">
        <v>66</v>
      </c>
      <c r="O69" s="68"/>
      <c r="P69" s="68"/>
      <c r="Q69" s="68"/>
      <c r="R69" s="68"/>
      <c r="S69" s="68"/>
      <c r="T69" s="68"/>
      <c r="U69" s="68"/>
      <c r="V69" s="68"/>
      <c r="W69" s="89"/>
    </row>
    <row r="70" customFormat="false" ht="6" hidden="false" customHeight="true" outlineLevel="0" collapsed="false">
      <c r="A70" s="113"/>
      <c r="B70" s="68"/>
      <c r="C70" s="69"/>
      <c r="D70" s="69"/>
      <c r="E70" s="69"/>
      <c r="F70" s="69"/>
      <c r="G70" s="69"/>
      <c r="H70" s="69"/>
      <c r="I70" s="69"/>
      <c r="J70" s="69"/>
      <c r="K70" s="69"/>
      <c r="L70" s="69"/>
      <c r="M70" s="68"/>
      <c r="N70" s="68"/>
      <c r="O70" s="68"/>
      <c r="P70" s="68"/>
      <c r="Q70" s="68"/>
      <c r="R70" s="68"/>
      <c r="S70" s="68"/>
      <c r="T70" s="68"/>
      <c r="U70" s="68"/>
      <c r="V70" s="68"/>
      <c r="W70" s="89"/>
    </row>
    <row r="71" customFormat="false" ht="15" hidden="false" customHeight="false" outlineLevel="0" collapsed="false">
      <c r="A71" s="86"/>
      <c r="B71" s="68"/>
      <c r="C71" s="103" t="s">
        <v>31</v>
      </c>
      <c r="D71" s="104" t="n">
        <f aca="false">IF((D38+O38-O64)&gt;=0,D38+O38-O64,0)</f>
        <v>29685</v>
      </c>
      <c r="E71" s="104"/>
      <c r="F71" s="104"/>
      <c r="G71" s="105" t="s">
        <v>32</v>
      </c>
      <c r="H71" s="106" t="n">
        <v>0</v>
      </c>
      <c r="I71" s="106" t="n">
        <v>0</v>
      </c>
      <c r="J71" s="68"/>
      <c r="K71" s="68"/>
      <c r="L71" s="68"/>
      <c r="M71" s="68"/>
      <c r="N71" s="103" t="s">
        <v>31</v>
      </c>
      <c r="O71" s="104" t="n">
        <f aca="false">IF((D38+O38-O64)&lt;0,-D38-O38+O64,0)</f>
        <v>0</v>
      </c>
      <c r="P71" s="104"/>
      <c r="Q71" s="104"/>
      <c r="R71" s="105" t="s">
        <v>32</v>
      </c>
      <c r="S71" s="106" t="n">
        <v>0</v>
      </c>
      <c r="T71" s="106" t="n">
        <v>0</v>
      </c>
      <c r="U71" s="68"/>
      <c r="V71" s="68"/>
      <c r="W71" s="115"/>
      <c r="Y71" s="116"/>
      <c r="Z71" s="116"/>
    </row>
    <row r="72" customFormat="false" ht="7.5" hidden="false" customHeight="true" outlineLevel="0" collapsed="false">
      <c r="A72" s="99"/>
      <c r="B72" s="100"/>
      <c r="C72" s="100"/>
      <c r="D72" s="100"/>
      <c r="E72" s="100"/>
      <c r="F72" s="100"/>
      <c r="G72" s="100"/>
      <c r="H72" s="100"/>
      <c r="I72" s="100"/>
      <c r="J72" s="100"/>
      <c r="K72" s="100"/>
      <c r="L72" s="100"/>
      <c r="M72" s="100"/>
      <c r="N72" s="100"/>
      <c r="O72" s="100"/>
      <c r="P72" s="100"/>
      <c r="Q72" s="100"/>
      <c r="R72" s="100"/>
      <c r="S72" s="100"/>
      <c r="T72" s="100"/>
      <c r="U72" s="100"/>
      <c r="V72" s="100"/>
      <c r="W72" s="101"/>
    </row>
    <row r="73" customFormat="false" ht="24.75" hidden="false" customHeight="true" outlineLevel="0" collapsed="false">
      <c r="A73" s="117" t="s">
        <v>67</v>
      </c>
      <c r="B73" s="117"/>
      <c r="C73" s="117"/>
      <c r="D73" s="117"/>
      <c r="E73" s="117"/>
      <c r="F73" s="117"/>
      <c r="G73" s="117"/>
      <c r="H73" s="117"/>
      <c r="I73" s="117"/>
      <c r="J73" s="117"/>
      <c r="K73" s="117"/>
      <c r="L73" s="117"/>
      <c r="M73" s="117"/>
      <c r="N73" s="117"/>
      <c r="O73" s="117"/>
      <c r="P73" s="117"/>
      <c r="Q73" s="117"/>
      <c r="R73" s="117"/>
      <c r="S73" s="117"/>
      <c r="T73" s="117"/>
      <c r="U73" s="117"/>
      <c r="V73" s="117"/>
      <c r="W73" s="117"/>
      <c r="Y73" s="116"/>
      <c r="Z73" s="116"/>
    </row>
    <row r="74" customFormat="false" ht="13.5" hidden="false" customHeight="true" outlineLevel="0" collapsed="false">
      <c r="A74" s="110" t="s">
        <v>68</v>
      </c>
      <c r="B74" s="110"/>
      <c r="C74" s="110"/>
      <c r="D74" s="110"/>
      <c r="E74" s="110"/>
      <c r="F74" s="110"/>
      <c r="G74" s="110"/>
      <c r="H74" s="110"/>
      <c r="I74" s="110"/>
      <c r="J74" s="110"/>
      <c r="K74" s="110"/>
      <c r="L74" s="110"/>
      <c r="M74" s="110"/>
      <c r="N74" s="110"/>
      <c r="O74" s="110"/>
      <c r="P74" s="110"/>
      <c r="Q74" s="110"/>
      <c r="R74" s="110"/>
      <c r="S74" s="110"/>
      <c r="T74" s="110"/>
      <c r="U74" s="110"/>
      <c r="V74" s="110"/>
      <c r="W74" s="110"/>
    </row>
    <row r="75" customFormat="false" ht="13.5" hidden="false" customHeight="true" outlineLevel="0" collapsed="false">
      <c r="A75" s="110" t="s">
        <v>69</v>
      </c>
      <c r="B75" s="110"/>
      <c r="C75" s="110"/>
      <c r="D75" s="110"/>
      <c r="E75" s="110"/>
      <c r="F75" s="110"/>
      <c r="G75" s="110"/>
      <c r="H75" s="110"/>
      <c r="I75" s="110"/>
      <c r="J75" s="110"/>
      <c r="K75" s="110"/>
      <c r="L75" s="110"/>
      <c r="M75" s="110"/>
      <c r="N75" s="110"/>
      <c r="O75" s="110"/>
      <c r="P75" s="110"/>
      <c r="Q75" s="110"/>
      <c r="R75" s="110"/>
      <c r="S75" s="110"/>
      <c r="T75" s="110"/>
      <c r="U75" s="110"/>
      <c r="V75" s="110"/>
      <c r="W75" s="110"/>
      <c r="Y75" s="116"/>
      <c r="Z75" s="116"/>
    </row>
    <row r="76" customFormat="false" ht="13.5" hidden="false" customHeight="true" outlineLevel="0" collapsed="false">
      <c r="A76" s="110" t="s">
        <v>70</v>
      </c>
      <c r="B76" s="110"/>
      <c r="C76" s="110"/>
      <c r="D76" s="110"/>
      <c r="E76" s="110"/>
      <c r="F76" s="110"/>
      <c r="G76" s="110"/>
      <c r="H76" s="110"/>
      <c r="I76" s="110"/>
      <c r="J76" s="110"/>
      <c r="K76" s="110"/>
      <c r="L76" s="110"/>
      <c r="M76" s="110"/>
      <c r="N76" s="110"/>
      <c r="O76" s="110"/>
      <c r="P76" s="110"/>
      <c r="Q76" s="110"/>
      <c r="R76" s="110"/>
      <c r="S76" s="110"/>
      <c r="T76" s="110"/>
      <c r="U76" s="110"/>
      <c r="V76" s="110"/>
      <c r="W76" s="110"/>
    </row>
    <row r="77" customFormat="false" ht="7.5" hidden="false" customHeight="true" outlineLevel="0" collapsed="false">
      <c r="A77" s="79"/>
      <c r="B77" s="80"/>
      <c r="C77" s="80"/>
      <c r="D77" s="80"/>
      <c r="E77" s="80"/>
      <c r="F77" s="80"/>
      <c r="G77" s="80"/>
      <c r="H77" s="80"/>
      <c r="I77" s="80"/>
      <c r="J77" s="80"/>
      <c r="K77" s="80"/>
      <c r="L77" s="80"/>
      <c r="M77" s="80"/>
      <c r="N77" s="80"/>
      <c r="O77" s="80"/>
      <c r="P77" s="80"/>
      <c r="Q77" s="80"/>
      <c r="R77" s="80"/>
      <c r="S77" s="80"/>
      <c r="T77" s="80"/>
      <c r="U77" s="80"/>
      <c r="V77" s="80"/>
      <c r="W77" s="81"/>
    </row>
    <row r="78" customFormat="false" ht="12" hidden="false" customHeight="false" outlineLevel="0" collapsed="false">
      <c r="A78" s="82" t="n">
        <v>23</v>
      </c>
      <c r="B78" s="68"/>
      <c r="C78" s="69" t="s">
        <v>71</v>
      </c>
      <c r="D78" s="69"/>
      <c r="E78" s="69"/>
      <c r="F78" s="69"/>
      <c r="G78" s="69"/>
      <c r="H78" s="69"/>
      <c r="I78" s="69"/>
      <c r="J78" s="69"/>
      <c r="K78" s="69"/>
      <c r="L78" s="82" t="n">
        <v>25</v>
      </c>
      <c r="M78" s="68"/>
      <c r="N78" s="69" t="s">
        <v>72</v>
      </c>
      <c r="O78" s="68"/>
      <c r="P78" s="68"/>
      <c r="Q78" s="68"/>
      <c r="R78" s="68"/>
      <c r="S78" s="68"/>
      <c r="T78" s="68"/>
      <c r="U78" s="68"/>
      <c r="V78" s="68"/>
      <c r="W78" s="89"/>
    </row>
    <row r="79" customFormat="false" ht="12" hidden="false" customHeight="false" outlineLevel="0" collapsed="false">
      <c r="A79" s="113"/>
      <c r="B79" s="68"/>
      <c r="C79" s="69"/>
      <c r="D79" s="69"/>
      <c r="E79" s="69"/>
      <c r="F79" s="69"/>
      <c r="G79" s="69"/>
      <c r="H79" s="69"/>
      <c r="I79" s="69"/>
      <c r="J79" s="69"/>
      <c r="K79" s="69"/>
      <c r="L79" s="68"/>
      <c r="M79" s="68"/>
      <c r="N79" s="68"/>
      <c r="O79" s="68"/>
      <c r="P79" s="68"/>
      <c r="Q79" s="68"/>
      <c r="R79" s="68"/>
      <c r="S79" s="118"/>
      <c r="T79" s="118"/>
      <c r="U79" s="118"/>
      <c r="V79" s="118"/>
      <c r="W79" s="89"/>
    </row>
    <row r="80" customFormat="false" ht="15" hidden="false" customHeight="true" outlineLevel="0" collapsed="false">
      <c r="A80" s="113"/>
      <c r="B80" s="68"/>
      <c r="C80" s="103" t="s">
        <v>31</v>
      </c>
      <c r="D80" s="104" t="n">
        <f aca="false">IF(('Fixed Assets'!I1)&gt;0,'Fixed Assets'!I1,0)</f>
        <v>0</v>
      </c>
      <c r="E80" s="104"/>
      <c r="F80" s="104"/>
      <c r="G80" s="105" t="s">
        <v>32</v>
      </c>
      <c r="H80" s="106" t="n">
        <v>0</v>
      </c>
      <c r="I80" s="106" t="n">
        <v>0</v>
      </c>
      <c r="J80" s="69"/>
      <c r="K80" s="69"/>
      <c r="L80" s="69"/>
      <c r="M80" s="68"/>
      <c r="N80" s="103" t="s">
        <v>31</v>
      </c>
      <c r="O80" s="104" t="n">
        <f aca="false">IF(('Fixed Assets'!J1+'Fixed Assets'!P1)&gt;0,'Fixed Assets'!J1+'Fixed Assets'!P1,0)</f>
        <v>1120</v>
      </c>
      <c r="P80" s="104"/>
      <c r="Q80" s="104"/>
      <c r="R80" s="105" t="s">
        <v>32</v>
      </c>
      <c r="S80" s="106" t="n">
        <v>0</v>
      </c>
      <c r="T80" s="106" t="n">
        <v>0</v>
      </c>
      <c r="U80" s="68"/>
      <c r="V80" s="68"/>
      <c r="W80" s="89"/>
    </row>
    <row r="81" customFormat="false" ht="6" hidden="false" customHeight="true" outlineLevel="0" collapsed="false">
      <c r="A81" s="113"/>
      <c r="B81" s="68"/>
      <c r="C81" s="69"/>
      <c r="D81" s="69"/>
      <c r="E81" s="69"/>
      <c r="F81" s="69"/>
      <c r="G81" s="69"/>
      <c r="H81" s="69"/>
      <c r="I81" s="69"/>
      <c r="J81" s="69"/>
      <c r="K81" s="69"/>
      <c r="L81" s="69"/>
      <c r="M81" s="68"/>
      <c r="N81" s="68"/>
      <c r="O81" s="68"/>
      <c r="P81" s="68"/>
      <c r="Q81" s="68"/>
      <c r="R81" s="68"/>
      <c r="S81" s="68"/>
      <c r="T81" s="68"/>
      <c r="U81" s="68"/>
      <c r="V81" s="68"/>
      <c r="W81" s="89"/>
    </row>
    <row r="82" customFormat="false" ht="12" hidden="false" customHeight="false" outlineLevel="0" collapsed="false">
      <c r="A82" s="82" t="n">
        <v>24</v>
      </c>
      <c r="B82" s="68"/>
      <c r="C82" s="69" t="s">
        <v>73</v>
      </c>
      <c r="D82" s="68"/>
      <c r="E82" s="68"/>
      <c r="F82" s="68"/>
      <c r="G82" s="68"/>
      <c r="H82" s="68"/>
      <c r="I82" s="68"/>
      <c r="J82" s="68"/>
      <c r="K82" s="68"/>
      <c r="L82" s="82" t="n">
        <v>26</v>
      </c>
      <c r="M82" s="68"/>
      <c r="N82" s="69" t="s">
        <v>74</v>
      </c>
      <c r="O82" s="68"/>
      <c r="P82" s="68"/>
      <c r="Q82" s="68"/>
      <c r="R82" s="68"/>
      <c r="S82" s="68"/>
      <c r="T82" s="68"/>
      <c r="U82" s="68"/>
      <c r="V82" s="68"/>
      <c r="W82" s="89"/>
    </row>
    <row r="83" customFormat="false" ht="11.25" hidden="false" customHeight="true" outlineLevel="0" collapsed="false">
      <c r="A83" s="86"/>
      <c r="B83" s="68"/>
      <c r="C83" s="69" t="s">
        <v>75</v>
      </c>
      <c r="D83" s="68"/>
      <c r="E83" s="68"/>
      <c r="F83" s="68"/>
      <c r="G83" s="68"/>
      <c r="H83" s="68"/>
      <c r="I83" s="68"/>
      <c r="J83" s="68"/>
      <c r="K83" s="68"/>
      <c r="L83" s="69"/>
      <c r="M83" s="68"/>
      <c r="N83" s="69" t="s">
        <v>76</v>
      </c>
      <c r="O83" s="118"/>
      <c r="P83" s="118"/>
      <c r="Q83" s="118"/>
      <c r="R83" s="118"/>
      <c r="S83" s="100"/>
      <c r="T83" s="100"/>
      <c r="U83" s="100"/>
      <c r="V83" s="100"/>
      <c r="W83" s="101"/>
    </row>
    <row r="84" customFormat="false" ht="6" hidden="false" customHeight="true" outlineLevel="0" collapsed="false">
      <c r="A84" s="113"/>
      <c r="B84" s="68"/>
      <c r="C84" s="69"/>
      <c r="D84" s="69"/>
      <c r="E84" s="69"/>
      <c r="F84" s="69"/>
      <c r="G84" s="69"/>
      <c r="H84" s="69"/>
      <c r="I84" s="69"/>
      <c r="J84" s="69"/>
      <c r="K84" s="69"/>
      <c r="L84" s="69"/>
      <c r="M84" s="68"/>
      <c r="N84" s="68"/>
      <c r="O84" s="68"/>
      <c r="P84" s="68"/>
      <c r="Q84" s="68"/>
      <c r="R84" s="68"/>
      <c r="S84" s="68"/>
      <c r="T84" s="68"/>
      <c r="U84" s="68"/>
      <c r="V84" s="68"/>
      <c r="W84" s="89"/>
    </row>
    <row r="85" customFormat="false" ht="15" hidden="false" customHeight="false" outlineLevel="0" collapsed="false">
      <c r="A85" s="113"/>
      <c r="B85" s="68"/>
      <c r="C85" s="103" t="s">
        <v>31</v>
      </c>
      <c r="D85" s="104" t="n">
        <f aca="false">IF(('Fixed Assets'!K1+'Fixed Assets'!J1)&lt;1000,'Fixed Assets'!K1,0)</f>
        <v>0</v>
      </c>
      <c r="E85" s="104"/>
      <c r="F85" s="104"/>
      <c r="G85" s="105" t="s">
        <v>32</v>
      </c>
      <c r="H85" s="106" t="n">
        <v>0</v>
      </c>
      <c r="I85" s="106" t="n">
        <v>0</v>
      </c>
      <c r="J85" s="69"/>
      <c r="K85" s="69"/>
      <c r="L85" s="68"/>
      <c r="M85" s="68"/>
      <c r="N85" s="103" t="s">
        <v>31</v>
      </c>
      <c r="O85" s="104" t="n">
        <f aca="false">IF('Fixed Assets'!Q1&gt;0,'Fixed Assets'!Q1,0)</f>
        <v>0</v>
      </c>
      <c r="P85" s="104"/>
      <c r="Q85" s="104"/>
      <c r="R85" s="105" t="s">
        <v>32</v>
      </c>
      <c r="S85" s="106" t="n">
        <v>0</v>
      </c>
      <c r="T85" s="106" t="n">
        <v>0</v>
      </c>
      <c r="U85" s="68"/>
      <c r="V85" s="68"/>
      <c r="W85" s="89"/>
    </row>
    <row r="86" customFormat="false" ht="7.5" hidden="false" customHeight="true" outlineLevel="0" collapsed="false">
      <c r="A86" s="99"/>
      <c r="B86" s="100"/>
      <c r="C86" s="100"/>
      <c r="D86" s="100"/>
      <c r="E86" s="100"/>
      <c r="F86" s="100"/>
      <c r="G86" s="100"/>
      <c r="H86" s="100"/>
      <c r="I86" s="100"/>
      <c r="J86" s="100"/>
      <c r="K86" s="100"/>
      <c r="L86" s="100"/>
      <c r="M86" s="100"/>
      <c r="N86" s="100"/>
      <c r="O86" s="100"/>
      <c r="P86" s="100"/>
      <c r="Q86" s="100"/>
      <c r="R86" s="100"/>
      <c r="S86" s="100"/>
      <c r="T86" s="100"/>
      <c r="U86" s="100"/>
      <c r="V86" s="100"/>
      <c r="W86" s="101"/>
    </row>
    <row r="87" customFormat="false" ht="24.75" hidden="false" customHeight="true" outlineLevel="0" collapsed="false">
      <c r="A87" s="109" t="s">
        <v>77</v>
      </c>
      <c r="B87" s="109"/>
      <c r="C87" s="109"/>
      <c r="D87" s="109"/>
      <c r="E87" s="109"/>
      <c r="F87" s="109"/>
      <c r="G87" s="109"/>
      <c r="H87" s="109"/>
      <c r="I87" s="109"/>
      <c r="J87" s="109"/>
      <c r="K87" s="109"/>
      <c r="L87" s="109"/>
      <c r="M87" s="109"/>
      <c r="N87" s="109"/>
      <c r="O87" s="109"/>
      <c r="P87" s="109"/>
      <c r="Q87" s="109"/>
      <c r="R87" s="109"/>
      <c r="S87" s="109"/>
      <c r="T87" s="109"/>
      <c r="U87" s="109"/>
      <c r="V87" s="109"/>
      <c r="W87" s="109"/>
    </row>
    <row r="88" customFormat="false" ht="15.75" hidden="false" customHeight="true" outlineLevel="0" collapsed="false">
      <c r="A88" s="110" t="s">
        <v>78</v>
      </c>
      <c r="B88" s="110"/>
      <c r="C88" s="110"/>
      <c r="D88" s="110"/>
      <c r="E88" s="110"/>
      <c r="F88" s="110"/>
      <c r="G88" s="110"/>
      <c r="H88" s="110"/>
      <c r="I88" s="110"/>
      <c r="J88" s="110"/>
      <c r="K88" s="110"/>
      <c r="L88" s="110"/>
      <c r="M88" s="110"/>
      <c r="N88" s="110"/>
      <c r="O88" s="110"/>
      <c r="P88" s="110"/>
      <c r="Q88" s="110"/>
      <c r="R88" s="110"/>
      <c r="S88" s="110"/>
      <c r="T88" s="110"/>
      <c r="U88" s="110"/>
      <c r="V88" s="110"/>
      <c r="W88" s="110"/>
    </row>
    <row r="89" customFormat="false" ht="15.75" hidden="false" customHeight="true" outlineLevel="0" collapsed="false">
      <c r="A89" s="110" t="s">
        <v>79</v>
      </c>
      <c r="B89" s="110"/>
      <c r="C89" s="110"/>
      <c r="D89" s="110"/>
      <c r="E89" s="110"/>
      <c r="F89" s="110"/>
      <c r="G89" s="110"/>
      <c r="H89" s="110"/>
      <c r="I89" s="110"/>
      <c r="J89" s="110"/>
      <c r="K89" s="110"/>
      <c r="L89" s="110"/>
      <c r="M89" s="110"/>
      <c r="N89" s="110"/>
      <c r="O89" s="110"/>
      <c r="P89" s="110"/>
      <c r="Q89" s="110"/>
      <c r="R89" s="110"/>
      <c r="S89" s="110"/>
      <c r="T89" s="110"/>
      <c r="U89" s="110"/>
      <c r="V89" s="110"/>
      <c r="W89" s="110"/>
    </row>
    <row r="90" customFormat="false" ht="7.5" hidden="false" customHeight="true" outlineLevel="0" collapsed="false">
      <c r="A90" s="79"/>
      <c r="B90" s="80"/>
      <c r="C90" s="80"/>
      <c r="D90" s="80"/>
      <c r="E90" s="80"/>
      <c r="F90" s="80"/>
      <c r="G90" s="80"/>
      <c r="H90" s="80"/>
      <c r="I90" s="80"/>
      <c r="J90" s="80"/>
      <c r="K90" s="80"/>
      <c r="L90" s="80"/>
      <c r="M90" s="80"/>
      <c r="N90" s="80"/>
      <c r="O90" s="80"/>
      <c r="P90" s="80"/>
      <c r="Q90" s="80"/>
      <c r="R90" s="80"/>
      <c r="S90" s="80"/>
      <c r="T90" s="80"/>
      <c r="U90" s="80"/>
      <c r="V90" s="80"/>
      <c r="W90" s="81"/>
    </row>
    <row r="91" customFormat="false" ht="12" hidden="false" customHeight="false" outlineLevel="0" collapsed="false">
      <c r="A91" s="82" t="n">
        <v>27</v>
      </c>
      <c r="B91" s="68"/>
      <c r="C91" s="69" t="s">
        <v>80</v>
      </c>
      <c r="D91" s="69"/>
      <c r="E91" s="69"/>
      <c r="F91" s="69"/>
      <c r="G91" s="69"/>
      <c r="H91" s="69"/>
      <c r="I91" s="69"/>
      <c r="J91" s="69"/>
      <c r="K91" s="69"/>
      <c r="L91" s="82" t="n">
        <v>29</v>
      </c>
      <c r="M91" s="68"/>
      <c r="N91" s="69" t="s">
        <v>81</v>
      </c>
      <c r="O91" s="68"/>
      <c r="P91" s="68"/>
      <c r="Q91" s="68"/>
      <c r="R91" s="68"/>
      <c r="S91" s="68"/>
      <c r="T91" s="68"/>
      <c r="U91" s="68"/>
      <c r="V91" s="68"/>
      <c r="W91" s="89"/>
    </row>
    <row r="92" customFormat="false" ht="12" hidden="false" customHeight="false" outlineLevel="0" collapsed="false">
      <c r="A92" s="69"/>
      <c r="B92" s="68"/>
      <c r="C92" s="97" t="s">
        <v>82</v>
      </c>
      <c r="D92" s="69"/>
      <c r="E92" s="69"/>
      <c r="F92" s="69"/>
      <c r="G92" s="69"/>
      <c r="H92" s="69"/>
      <c r="I92" s="69"/>
      <c r="J92" s="69"/>
      <c r="K92" s="69"/>
      <c r="L92" s="69"/>
      <c r="M92" s="68"/>
      <c r="N92" s="69" t="s">
        <v>83</v>
      </c>
      <c r="O92" s="118"/>
      <c r="P92" s="118"/>
      <c r="Q92" s="118"/>
      <c r="R92" s="118"/>
      <c r="S92" s="118"/>
      <c r="T92" s="118"/>
      <c r="U92" s="118"/>
      <c r="V92" s="118"/>
      <c r="W92" s="89"/>
    </row>
    <row r="93" customFormat="false" ht="6" hidden="false" customHeight="true" outlineLevel="0" collapsed="false">
      <c r="A93" s="69"/>
      <c r="B93" s="68"/>
      <c r="C93" s="69"/>
      <c r="D93" s="69"/>
      <c r="E93" s="69"/>
      <c r="F93" s="69"/>
      <c r="G93" s="69"/>
      <c r="H93" s="69"/>
      <c r="I93" s="69"/>
      <c r="J93" s="69"/>
      <c r="K93" s="69"/>
      <c r="L93" s="69"/>
      <c r="M93" s="68"/>
      <c r="N93" s="68"/>
      <c r="O93" s="68"/>
      <c r="P93" s="68"/>
      <c r="Q93" s="68"/>
      <c r="R93" s="68"/>
      <c r="S93" s="68"/>
      <c r="T93" s="68"/>
      <c r="U93" s="68"/>
      <c r="V93" s="68"/>
      <c r="W93" s="89"/>
    </row>
    <row r="94" customFormat="false" ht="15" hidden="false" customHeight="false" outlineLevel="0" collapsed="false">
      <c r="A94" s="68"/>
      <c r="B94" s="68"/>
      <c r="C94" s="103" t="s">
        <v>31</v>
      </c>
      <c r="D94" s="104" t="n">
        <f aca="false">'Business Details'!O29</f>
        <v>0</v>
      </c>
      <c r="E94" s="104"/>
      <c r="F94" s="104"/>
      <c r="G94" s="105" t="s">
        <v>32</v>
      </c>
      <c r="H94" s="106" t="n">
        <v>0</v>
      </c>
      <c r="I94" s="106" t="n">
        <v>0</v>
      </c>
      <c r="J94" s="68"/>
      <c r="K94" s="68"/>
      <c r="L94" s="68"/>
      <c r="M94" s="68"/>
      <c r="N94" s="103" t="s">
        <v>31</v>
      </c>
      <c r="O94" s="104" t="n">
        <f aca="false">IF(O106&gt;0,0,IF('Business Details'!D29=0,0,IF(D99&gt;'Business Details'!D29,'Business Details'!D29,D99)))</f>
        <v>0</v>
      </c>
      <c r="P94" s="104"/>
      <c r="Q94" s="104"/>
      <c r="R94" s="105" t="s">
        <v>32</v>
      </c>
      <c r="S94" s="106" t="n">
        <v>0</v>
      </c>
      <c r="T94" s="106" t="n">
        <v>0</v>
      </c>
      <c r="U94" s="68"/>
      <c r="V94" s="68"/>
      <c r="W94" s="89"/>
    </row>
    <row r="95" customFormat="false" ht="12" hidden="false" customHeight="false" outlineLevel="0" collapsed="false">
      <c r="A95" s="68"/>
      <c r="B95" s="68"/>
      <c r="C95" s="68"/>
      <c r="D95" s="68"/>
      <c r="E95" s="68"/>
      <c r="F95" s="68"/>
      <c r="G95" s="68"/>
      <c r="H95" s="68"/>
      <c r="I95" s="68"/>
      <c r="J95" s="68"/>
      <c r="K95" s="68"/>
      <c r="L95" s="68"/>
      <c r="M95" s="68"/>
      <c r="N95" s="68"/>
      <c r="O95" s="68"/>
      <c r="P95" s="68"/>
      <c r="Q95" s="68"/>
      <c r="R95" s="68"/>
      <c r="S95" s="68"/>
      <c r="T95" s="68"/>
      <c r="U95" s="68"/>
      <c r="V95" s="68"/>
      <c r="W95" s="89"/>
    </row>
    <row r="96" customFormat="false" ht="12" hidden="false" customHeight="false" outlineLevel="0" collapsed="false">
      <c r="A96" s="82" t="n">
        <v>28</v>
      </c>
      <c r="B96" s="68"/>
      <c r="C96" s="69" t="s">
        <v>84</v>
      </c>
      <c r="D96" s="69"/>
      <c r="E96" s="69"/>
      <c r="F96" s="69"/>
      <c r="G96" s="69"/>
      <c r="H96" s="69"/>
      <c r="I96" s="69"/>
      <c r="J96" s="69"/>
      <c r="K96" s="69"/>
      <c r="L96" s="82" t="n">
        <v>30</v>
      </c>
      <c r="M96" s="68"/>
      <c r="N96" s="69" t="s">
        <v>85</v>
      </c>
      <c r="O96" s="68"/>
      <c r="P96" s="68"/>
      <c r="Q96" s="68"/>
      <c r="R96" s="68"/>
      <c r="S96" s="68"/>
      <c r="T96" s="68"/>
      <c r="U96" s="68"/>
      <c r="V96" s="68"/>
      <c r="W96" s="89"/>
    </row>
    <row r="97" customFormat="false" ht="12" hidden="false" customHeight="true" outlineLevel="0" collapsed="false">
      <c r="A97" s="113"/>
      <c r="B97" s="68"/>
      <c r="C97" s="69" t="s">
        <v>86</v>
      </c>
      <c r="D97" s="69"/>
      <c r="E97" s="69"/>
      <c r="F97" s="69"/>
      <c r="G97" s="69"/>
      <c r="H97" s="69"/>
      <c r="I97" s="69"/>
      <c r="J97" s="69"/>
      <c r="K97" s="69"/>
      <c r="L97" s="69"/>
      <c r="M97" s="68"/>
      <c r="N97" s="97" t="s">
        <v>87</v>
      </c>
      <c r="O97" s="68"/>
      <c r="P97" s="68"/>
      <c r="Q97" s="68"/>
      <c r="R97" s="68"/>
      <c r="S97" s="68"/>
      <c r="T97" s="68"/>
      <c r="U97" s="68"/>
      <c r="V97" s="68"/>
      <c r="W97" s="89"/>
    </row>
    <row r="98" customFormat="false" ht="6" hidden="false" customHeight="true" outlineLevel="0" collapsed="false">
      <c r="A98" s="113"/>
      <c r="B98" s="68"/>
      <c r="C98" s="69"/>
      <c r="D98" s="69"/>
      <c r="E98" s="69"/>
      <c r="F98" s="69"/>
      <c r="G98" s="69"/>
      <c r="H98" s="69"/>
      <c r="I98" s="69"/>
      <c r="J98" s="69"/>
      <c r="K98" s="69"/>
      <c r="L98" s="69"/>
      <c r="M98" s="68"/>
      <c r="N98" s="68"/>
      <c r="O98" s="68"/>
      <c r="P98" s="68"/>
      <c r="Q98" s="68"/>
      <c r="R98" s="68"/>
      <c r="S98" s="68"/>
      <c r="T98" s="68"/>
      <c r="U98" s="68"/>
      <c r="V98" s="68"/>
      <c r="W98" s="89"/>
    </row>
    <row r="99" customFormat="false" ht="15" hidden="false" customHeight="false" outlineLevel="0" collapsed="false">
      <c r="A99" s="86"/>
      <c r="B99" s="68"/>
      <c r="C99" s="103" t="s">
        <v>31</v>
      </c>
      <c r="D99" s="104" t="n">
        <f aca="false">IF((D71+O85+D94-O71-D80-D85-O80)&gt;0,D71+O85+D94-O71-D80-D85-O80,0)</f>
        <v>28565</v>
      </c>
      <c r="E99" s="104"/>
      <c r="F99" s="104"/>
      <c r="G99" s="105" t="s">
        <v>32</v>
      </c>
      <c r="H99" s="106" t="n">
        <v>0</v>
      </c>
      <c r="I99" s="106" t="n">
        <v>0</v>
      </c>
      <c r="J99" s="68"/>
      <c r="K99" s="68"/>
      <c r="L99" s="69"/>
      <c r="M99" s="68"/>
      <c r="N99" s="103" t="s">
        <v>31</v>
      </c>
      <c r="O99" s="104" t="n">
        <f aca="false">'Profit &amp; Loss Acc'!B24</f>
        <v>500</v>
      </c>
      <c r="P99" s="104"/>
      <c r="Q99" s="104"/>
      <c r="R99" s="105" t="s">
        <v>32</v>
      </c>
      <c r="S99" s="106" t="n">
        <v>0</v>
      </c>
      <c r="T99" s="106" t="n">
        <v>0</v>
      </c>
      <c r="U99" s="68"/>
      <c r="V99" s="68"/>
      <c r="W99" s="89"/>
      <c r="Y99" s="116"/>
      <c r="Z99" s="116"/>
    </row>
    <row r="100" customFormat="false" ht="12" hidden="false" customHeight="true" outlineLevel="0" collapsed="false">
      <c r="A100" s="99"/>
      <c r="B100" s="100"/>
      <c r="C100" s="100"/>
      <c r="D100" s="100"/>
      <c r="E100" s="100"/>
      <c r="F100" s="100"/>
      <c r="G100" s="100"/>
      <c r="H100" s="100"/>
      <c r="I100" s="100"/>
      <c r="J100" s="100"/>
      <c r="K100" s="100"/>
      <c r="L100" s="100"/>
      <c r="M100" s="100"/>
      <c r="N100" s="100"/>
      <c r="O100" s="100"/>
      <c r="P100" s="100"/>
      <c r="Q100" s="100"/>
      <c r="R100" s="100"/>
      <c r="S100" s="100"/>
      <c r="T100" s="100"/>
      <c r="U100" s="100"/>
      <c r="V100" s="100"/>
      <c r="W100" s="101"/>
    </row>
    <row r="101" customFormat="false" ht="24.75" hidden="false" customHeight="true" outlineLevel="0" collapsed="false">
      <c r="A101" s="117" t="s">
        <v>88</v>
      </c>
      <c r="B101" s="117"/>
      <c r="C101" s="117"/>
      <c r="D101" s="117"/>
      <c r="E101" s="117"/>
      <c r="F101" s="117"/>
      <c r="G101" s="117"/>
      <c r="H101" s="117"/>
      <c r="I101" s="117"/>
      <c r="J101" s="117"/>
      <c r="K101" s="117"/>
      <c r="L101" s="117"/>
      <c r="M101" s="117"/>
      <c r="N101" s="117"/>
      <c r="O101" s="117"/>
      <c r="P101" s="117"/>
      <c r="Q101" s="117"/>
      <c r="R101" s="117"/>
      <c r="S101" s="117"/>
      <c r="T101" s="117"/>
      <c r="U101" s="117"/>
      <c r="V101" s="117"/>
      <c r="W101" s="117"/>
    </row>
    <row r="102" customFormat="false" ht="7.5" hidden="false" customHeight="true" outlineLevel="0" collapsed="false">
      <c r="A102" s="79"/>
      <c r="B102" s="80"/>
      <c r="C102" s="80"/>
      <c r="D102" s="80"/>
      <c r="E102" s="80"/>
      <c r="F102" s="80"/>
      <c r="G102" s="80"/>
      <c r="H102" s="80"/>
      <c r="I102" s="80"/>
      <c r="J102" s="80"/>
      <c r="K102" s="80"/>
      <c r="L102" s="80"/>
      <c r="M102" s="80"/>
      <c r="N102" s="80"/>
      <c r="O102" s="80"/>
      <c r="P102" s="80"/>
      <c r="Q102" s="80"/>
      <c r="R102" s="80"/>
      <c r="S102" s="80"/>
      <c r="T102" s="80"/>
      <c r="U102" s="80"/>
      <c r="V102" s="80"/>
      <c r="W102" s="81"/>
    </row>
    <row r="103" customFormat="false" ht="12" hidden="false" customHeight="false" outlineLevel="0" collapsed="false">
      <c r="A103" s="82" t="n">
        <v>31</v>
      </c>
      <c r="B103" s="68"/>
      <c r="C103" s="69" t="s">
        <v>89</v>
      </c>
      <c r="D103" s="69"/>
      <c r="E103" s="69"/>
      <c r="F103" s="69"/>
      <c r="G103" s="69"/>
      <c r="H103" s="69"/>
      <c r="I103" s="69"/>
      <c r="J103" s="69"/>
      <c r="K103" s="69"/>
      <c r="L103" s="82" t="n">
        <v>32</v>
      </c>
      <c r="M103" s="68"/>
      <c r="N103" s="69" t="s">
        <v>90</v>
      </c>
      <c r="O103" s="68"/>
      <c r="P103" s="68"/>
      <c r="Q103" s="68"/>
      <c r="R103" s="68"/>
      <c r="S103" s="68"/>
      <c r="T103" s="68"/>
      <c r="U103" s="68"/>
      <c r="V103" s="68"/>
      <c r="W103" s="89"/>
    </row>
    <row r="104" customFormat="false" ht="12" hidden="false" customHeight="true" outlineLevel="0" collapsed="false">
      <c r="A104" s="86"/>
      <c r="B104" s="68"/>
      <c r="C104" s="87" t="s">
        <v>91</v>
      </c>
      <c r="D104" s="119"/>
      <c r="E104" s="119"/>
      <c r="F104" s="119"/>
      <c r="G104" s="105"/>
      <c r="H104" s="108"/>
      <c r="I104" s="108"/>
      <c r="J104" s="68"/>
      <c r="K104" s="68"/>
      <c r="L104" s="69"/>
      <c r="M104" s="68"/>
      <c r="N104" s="69" t="s">
        <v>92</v>
      </c>
      <c r="O104" s="68"/>
      <c r="P104" s="68"/>
      <c r="Q104" s="68"/>
      <c r="R104" s="68"/>
      <c r="S104" s="68"/>
      <c r="T104" s="68"/>
      <c r="U104" s="68"/>
      <c r="V104" s="68"/>
      <c r="W104" s="89"/>
    </row>
    <row r="105" customFormat="false" ht="6" hidden="false" customHeight="true" outlineLevel="0" collapsed="false">
      <c r="A105" s="113"/>
      <c r="B105" s="68"/>
      <c r="C105" s="69"/>
      <c r="D105" s="69"/>
      <c r="E105" s="69"/>
      <c r="F105" s="69"/>
      <c r="G105" s="69"/>
      <c r="H105" s="69"/>
      <c r="I105" s="69"/>
      <c r="J105" s="69"/>
      <c r="K105" s="69"/>
      <c r="L105" s="69"/>
      <c r="M105" s="68"/>
      <c r="N105" s="68"/>
      <c r="O105" s="68"/>
      <c r="P105" s="68"/>
      <c r="Q105" s="68"/>
      <c r="R105" s="68"/>
      <c r="S105" s="68"/>
      <c r="T105" s="68"/>
      <c r="U105" s="68"/>
      <c r="V105" s="68"/>
      <c r="W105" s="89"/>
    </row>
    <row r="106" customFormat="false" ht="15" hidden="false" customHeight="false" outlineLevel="0" collapsed="false">
      <c r="A106" s="113"/>
      <c r="B106" s="68"/>
      <c r="C106" s="103" t="s">
        <v>31</v>
      </c>
      <c r="D106" s="104" t="n">
        <f aca="false">IF((D99+O99-O94)&gt;0,D99+O99-O94,0)</f>
        <v>29065</v>
      </c>
      <c r="E106" s="104"/>
      <c r="F106" s="104"/>
      <c r="G106" s="105" t="s">
        <v>32</v>
      </c>
      <c r="H106" s="106" t="n">
        <v>0</v>
      </c>
      <c r="I106" s="106" t="n">
        <v>0</v>
      </c>
      <c r="J106" s="69"/>
      <c r="K106" s="69"/>
      <c r="L106" s="69"/>
      <c r="M106" s="68"/>
      <c r="N106" s="103" t="s">
        <v>31</v>
      </c>
      <c r="O106" s="104" t="n">
        <f aca="false">IF((O71+D80+D85+O80-D71-O85-D94)&gt;=0,O71+D80+D85+O80-D71-O85-D94,0)</f>
        <v>0</v>
      </c>
      <c r="P106" s="104"/>
      <c r="Q106" s="104"/>
      <c r="R106" s="105" t="s">
        <v>32</v>
      </c>
      <c r="S106" s="106" t="n">
        <v>0</v>
      </c>
      <c r="T106" s="106" t="n">
        <v>0</v>
      </c>
      <c r="U106" s="68"/>
      <c r="V106" s="68"/>
      <c r="W106" s="89"/>
    </row>
    <row r="107" customFormat="false" ht="6" hidden="false" customHeight="true" outlineLevel="0" collapsed="false">
      <c r="A107" s="99"/>
      <c r="B107" s="100"/>
      <c r="C107" s="100"/>
      <c r="D107" s="100"/>
      <c r="E107" s="100"/>
      <c r="F107" s="100"/>
      <c r="G107" s="100"/>
      <c r="H107" s="100"/>
      <c r="I107" s="100"/>
      <c r="J107" s="100"/>
      <c r="K107" s="100"/>
      <c r="L107" s="100"/>
      <c r="M107" s="100"/>
      <c r="N107" s="120"/>
      <c r="O107" s="100"/>
      <c r="P107" s="100"/>
      <c r="Q107" s="100"/>
      <c r="R107" s="100"/>
      <c r="S107" s="100"/>
      <c r="T107" s="100"/>
      <c r="U107" s="100"/>
      <c r="V107" s="100"/>
      <c r="W107" s="101"/>
    </row>
    <row r="108" customFormat="false" ht="24.75" hidden="false" customHeight="true" outlineLevel="0" collapsed="false">
      <c r="A108" s="109" t="s">
        <v>93</v>
      </c>
      <c r="B108" s="109"/>
      <c r="C108" s="109"/>
      <c r="D108" s="109"/>
      <c r="E108" s="109"/>
      <c r="F108" s="109"/>
      <c r="G108" s="109"/>
      <c r="H108" s="109"/>
      <c r="I108" s="109"/>
      <c r="J108" s="109"/>
      <c r="K108" s="109"/>
      <c r="L108" s="109"/>
      <c r="M108" s="109"/>
      <c r="N108" s="109"/>
      <c r="O108" s="109"/>
      <c r="P108" s="109"/>
      <c r="Q108" s="109"/>
      <c r="R108" s="109"/>
      <c r="S108" s="109"/>
      <c r="T108" s="109"/>
      <c r="U108" s="109"/>
      <c r="V108" s="109"/>
      <c r="W108" s="109"/>
    </row>
    <row r="109" customFormat="false" ht="15.75" hidden="false" customHeight="true" outlineLevel="0" collapsed="false">
      <c r="A109" s="110" t="s">
        <v>94</v>
      </c>
      <c r="B109" s="110"/>
      <c r="C109" s="110"/>
      <c r="D109" s="110"/>
      <c r="E109" s="110"/>
      <c r="F109" s="110"/>
      <c r="G109" s="110"/>
      <c r="H109" s="110"/>
      <c r="I109" s="110"/>
      <c r="J109" s="110"/>
      <c r="K109" s="110"/>
      <c r="L109" s="110"/>
      <c r="M109" s="110"/>
      <c r="N109" s="110"/>
      <c r="O109" s="110"/>
      <c r="P109" s="110"/>
      <c r="Q109" s="110"/>
      <c r="R109" s="110"/>
      <c r="S109" s="110"/>
      <c r="T109" s="110"/>
      <c r="U109" s="110"/>
      <c r="V109" s="110"/>
      <c r="W109" s="110"/>
    </row>
    <row r="110" customFormat="false" ht="7.5" hidden="false" customHeight="true" outlineLevel="0" collapsed="false">
      <c r="A110" s="79"/>
      <c r="B110" s="80"/>
      <c r="C110" s="80"/>
      <c r="D110" s="80"/>
      <c r="E110" s="80"/>
      <c r="F110" s="80"/>
      <c r="G110" s="80"/>
      <c r="H110" s="80"/>
      <c r="I110" s="80"/>
      <c r="J110" s="80"/>
      <c r="K110" s="80"/>
      <c r="L110" s="80"/>
      <c r="M110" s="80"/>
      <c r="N110" s="80"/>
      <c r="O110" s="80"/>
      <c r="P110" s="80"/>
      <c r="Q110" s="80"/>
      <c r="R110" s="80"/>
      <c r="S110" s="80"/>
      <c r="T110" s="80"/>
      <c r="U110" s="80"/>
      <c r="V110" s="80"/>
      <c r="W110" s="81"/>
    </row>
    <row r="111" customFormat="false" ht="12" hidden="false" customHeight="false" outlineLevel="0" collapsed="false">
      <c r="A111" s="82" t="n">
        <v>33</v>
      </c>
      <c r="B111" s="68"/>
      <c r="C111" s="69" t="s">
        <v>95</v>
      </c>
      <c r="D111" s="69"/>
      <c r="E111" s="69"/>
      <c r="F111" s="69"/>
      <c r="G111" s="69"/>
      <c r="H111" s="69"/>
      <c r="I111" s="69"/>
      <c r="J111" s="69"/>
      <c r="K111" s="69"/>
      <c r="L111" s="82" t="n">
        <v>36</v>
      </c>
      <c r="M111" s="68"/>
      <c r="N111" s="69" t="str">
        <f aca="false">"If your total profits for "&amp;Admin!G2&amp;" are less than £"&amp;TEXT(Admin!N16,"#,##0")&amp;" and you"</f>
        <v>If your total profits for 2026-27 are less than £7,105 and you</v>
      </c>
      <c r="O111" s="68"/>
      <c r="P111" s="68"/>
      <c r="Q111" s="68"/>
      <c r="R111" s="68"/>
      <c r="S111" s="68"/>
      <c r="T111" s="68"/>
      <c r="U111" s="68"/>
      <c r="V111" s="68"/>
      <c r="W111" s="89"/>
    </row>
    <row r="112" customFormat="false" ht="12" hidden="false" customHeight="false" outlineLevel="0" collapsed="false">
      <c r="A112" s="113"/>
      <c r="B112" s="68"/>
      <c r="C112" s="69" t="s">
        <v>96</v>
      </c>
      <c r="D112" s="121" t="str">
        <f aca="false">Admin!G$2</f>
        <v>2026-27</v>
      </c>
      <c r="E112" s="121"/>
      <c r="F112" s="121"/>
      <c r="G112" s="69"/>
      <c r="H112" s="69"/>
      <c r="I112" s="69"/>
      <c r="J112" s="69"/>
      <c r="K112" s="69"/>
      <c r="L112" s="69"/>
      <c r="M112" s="68"/>
      <c r="N112" s="69" t="s">
        <v>97</v>
      </c>
      <c r="O112" s="118"/>
      <c r="P112" s="118"/>
      <c r="Q112" s="118"/>
      <c r="R112" s="118"/>
      <c r="S112" s="118"/>
      <c r="T112" s="118"/>
      <c r="U112" s="118"/>
      <c r="V112" s="118"/>
      <c r="W112" s="89"/>
    </row>
    <row r="113" customFormat="false" ht="6" hidden="false" customHeight="true" outlineLevel="0" collapsed="false">
      <c r="A113" s="113"/>
      <c r="B113" s="68"/>
      <c r="C113" s="69"/>
      <c r="D113" s="69"/>
      <c r="E113" s="69"/>
      <c r="F113" s="69"/>
      <c r="G113" s="69"/>
      <c r="H113" s="69"/>
      <c r="I113" s="69"/>
      <c r="J113" s="69"/>
      <c r="K113" s="69"/>
      <c r="L113" s="69"/>
      <c r="M113" s="68"/>
      <c r="N113" s="68"/>
      <c r="O113" s="68"/>
      <c r="P113" s="68"/>
      <c r="Q113" s="68"/>
      <c r="R113" s="68"/>
      <c r="S113" s="68"/>
      <c r="T113" s="68"/>
      <c r="U113" s="68"/>
      <c r="V113" s="68"/>
      <c r="W113" s="89"/>
    </row>
    <row r="114" customFormat="false" ht="15" hidden="false" customHeight="false" outlineLevel="0" collapsed="false">
      <c r="A114" s="86"/>
      <c r="B114" s="68"/>
      <c r="C114" s="103" t="s">
        <v>31</v>
      </c>
      <c r="D114" s="104"/>
      <c r="E114" s="104"/>
      <c r="F114" s="104"/>
      <c r="G114" s="105" t="s">
        <v>32</v>
      </c>
      <c r="H114" s="106" t="n">
        <v>0</v>
      </c>
      <c r="I114" s="106" t="n">
        <v>0</v>
      </c>
      <c r="J114" s="68"/>
      <c r="K114" s="68"/>
      <c r="L114" s="68"/>
      <c r="M114" s="68"/>
      <c r="N114" s="82"/>
      <c r="O114" s="119"/>
      <c r="P114" s="119"/>
      <c r="Q114" s="119"/>
      <c r="R114" s="105"/>
      <c r="S114" s="108"/>
      <c r="T114" s="108"/>
      <c r="U114" s="68"/>
      <c r="V114" s="68"/>
      <c r="W114" s="89"/>
    </row>
    <row r="115" customFormat="false" ht="12" hidden="false" customHeight="false" outlineLevel="0" collapsed="false">
      <c r="A115" s="86"/>
      <c r="B115" s="68"/>
      <c r="C115" s="68"/>
      <c r="D115" s="68"/>
      <c r="E115" s="68"/>
      <c r="F115" s="68"/>
      <c r="G115" s="68"/>
      <c r="H115" s="68"/>
      <c r="I115" s="68"/>
      <c r="J115" s="68"/>
      <c r="K115" s="68"/>
      <c r="L115" s="68"/>
      <c r="M115" s="68"/>
      <c r="N115" s="68"/>
      <c r="O115" s="68"/>
      <c r="P115" s="68"/>
      <c r="Q115" s="68"/>
      <c r="R115" s="68"/>
      <c r="S115" s="68"/>
      <c r="T115" s="68"/>
      <c r="U115" s="68"/>
      <c r="V115" s="68"/>
      <c r="W115" s="89"/>
    </row>
    <row r="116" customFormat="false" ht="12" hidden="false" customHeight="false" outlineLevel="0" collapsed="false">
      <c r="A116" s="82" t="n">
        <v>34</v>
      </c>
      <c r="B116" s="68"/>
      <c r="C116" s="69" t="s">
        <v>98</v>
      </c>
      <c r="D116" s="69"/>
      <c r="E116" s="69"/>
      <c r="F116" s="69"/>
      <c r="G116" s="69"/>
      <c r="H116" s="69"/>
      <c r="I116" s="69"/>
      <c r="J116" s="69"/>
      <c r="K116" s="69"/>
      <c r="L116" s="82" t="n">
        <v>37</v>
      </c>
      <c r="M116" s="68"/>
      <c r="N116" s="69" t="s">
        <v>99</v>
      </c>
      <c r="O116" s="68"/>
      <c r="P116" s="68"/>
      <c r="Q116" s="68"/>
      <c r="R116" s="121"/>
      <c r="S116" s="121"/>
      <c r="T116" s="121"/>
      <c r="U116" s="69"/>
      <c r="V116" s="68"/>
      <c r="W116" s="89"/>
    </row>
    <row r="117" customFormat="false" ht="12" hidden="false" customHeight="true" outlineLevel="0" collapsed="false">
      <c r="A117" s="113"/>
      <c r="B117" s="68"/>
      <c r="C117" s="69" t="s">
        <v>100</v>
      </c>
      <c r="D117" s="69"/>
      <c r="E117" s="69"/>
      <c r="F117" s="69"/>
      <c r="G117" s="69"/>
      <c r="H117" s="69"/>
      <c r="I117" s="69"/>
      <c r="J117" s="69"/>
      <c r="K117" s="69"/>
      <c r="L117" s="69"/>
      <c r="M117" s="68"/>
      <c r="N117" s="69" t="s">
        <v>101</v>
      </c>
      <c r="O117" s="68"/>
      <c r="P117" s="68"/>
      <c r="Q117" s="68"/>
      <c r="R117" s="68"/>
      <c r="S117" s="68"/>
      <c r="T117" s="68"/>
      <c r="U117" s="68"/>
      <c r="V117" s="68"/>
      <c r="W117" s="89"/>
    </row>
    <row r="118" customFormat="false" ht="12" hidden="false" customHeight="true" outlineLevel="0" collapsed="false">
      <c r="A118" s="113"/>
      <c r="B118" s="68"/>
      <c r="C118" s="69"/>
      <c r="D118" s="69"/>
      <c r="E118" s="69"/>
      <c r="F118" s="69"/>
      <c r="G118" s="69"/>
      <c r="H118" s="69"/>
      <c r="I118" s="69"/>
      <c r="J118" s="69"/>
      <c r="K118" s="69"/>
      <c r="L118" s="69"/>
      <c r="M118" s="68"/>
      <c r="N118" s="98"/>
      <c r="O118" s="68"/>
      <c r="P118" s="68"/>
      <c r="Q118" s="68"/>
      <c r="R118" s="68"/>
      <c r="S118" s="68"/>
      <c r="T118" s="68"/>
      <c r="U118" s="68"/>
      <c r="V118" s="68"/>
      <c r="W118" s="89"/>
    </row>
    <row r="119" customFormat="false" ht="15" hidden="false" customHeight="false" outlineLevel="0" collapsed="false">
      <c r="A119" s="86"/>
      <c r="B119" s="68"/>
      <c r="C119" s="103" t="s">
        <v>31</v>
      </c>
      <c r="D119" s="104"/>
      <c r="E119" s="104"/>
      <c r="F119" s="104"/>
      <c r="G119" s="105" t="s">
        <v>32</v>
      </c>
      <c r="H119" s="106" t="n">
        <v>0</v>
      </c>
      <c r="I119" s="106" t="n">
        <v>0</v>
      </c>
      <c r="J119" s="68"/>
      <c r="K119" s="68"/>
      <c r="L119" s="69"/>
      <c r="M119" s="68"/>
      <c r="N119" s="82"/>
      <c r="O119" s="68"/>
      <c r="P119" s="68"/>
      <c r="Q119" s="68"/>
      <c r="R119" s="68"/>
      <c r="S119" s="68"/>
      <c r="T119" s="68"/>
      <c r="U119" s="68"/>
      <c r="V119" s="68"/>
      <c r="W119" s="89"/>
    </row>
    <row r="120" customFormat="false" ht="12" hidden="false" customHeight="false" outlineLevel="0" collapsed="false">
      <c r="A120" s="82" t="n">
        <v>35</v>
      </c>
      <c r="B120" s="68"/>
      <c r="C120" s="69" t="s">
        <v>102</v>
      </c>
      <c r="D120" s="69"/>
      <c r="E120" s="69"/>
      <c r="F120" s="69"/>
      <c r="G120" s="69"/>
      <c r="H120" s="69"/>
      <c r="I120" s="69"/>
      <c r="J120" s="69"/>
      <c r="K120" s="69"/>
      <c r="L120" s="82" t="n">
        <v>38</v>
      </c>
      <c r="M120" s="68"/>
      <c r="N120" s="69" t="s">
        <v>103</v>
      </c>
      <c r="O120" s="68"/>
      <c r="P120" s="68"/>
      <c r="Q120" s="68"/>
      <c r="R120" s="68"/>
      <c r="S120" s="68"/>
      <c r="T120" s="68"/>
      <c r="U120" s="68"/>
      <c r="V120" s="68"/>
      <c r="W120" s="89"/>
    </row>
    <row r="121" customFormat="false" ht="12" hidden="false" customHeight="true" outlineLevel="0" collapsed="false">
      <c r="A121" s="113"/>
      <c r="B121" s="68"/>
      <c r="C121" s="97" t="s">
        <v>104</v>
      </c>
      <c r="D121" s="69"/>
      <c r="E121" s="69"/>
      <c r="F121" s="69"/>
      <c r="G121" s="69"/>
      <c r="H121" s="69"/>
      <c r="I121" s="69"/>
      <c r="J121" s="69"/>
      <c r="K121" s="69"/>
      <c r="L121" s="69"/>
      <c r="M121" s="68"/>
      <c r="N121" s="69" t="s">
        <v>105</v>
      </c>
      <c r="O121" s="68"/>
      <c r="P121" s="68"/>
      <c r="Q121" s="68"/>
      <c r="R121" s="68"/>
      <c r="S121" s="68"/>
      <c r="T121" s="68"/>
      <c r="U121" s="68"/>
      <c r="V121" s="68"/>
      <c r="W121" s="89"/>
    </row>
    <row r="122" customFormat="false" ht="6" hidden="false" customHeight="true" outlineLevel="0" collapsed="false">
      <c r="A122" s="113"/>
      <c r="B122" s="68"/>
      <c r="C122" s="69"/>
      <c r="D122" s="69"/>
      <c r="E122" s="69"/>
      <c r="F122" s="69"/>
      <c r="G122" s="69"/>
      <c r="H122" s="69"/>
      <c r="I122" s="69"/>
      <c r="J122" s="69"/>
      <c r="K122" s="69"/>
      <c r="L122" s="69"/>
      <c r="M122" s="68"/>
      <c r="N122" s="68"/>
      <c r="O122" s="68"/>
      <c r="P122" s="68"/>
      <c r="Q122" s="68"/>
      <c r="R122" s="68"/>
      <c r="S122" s="68"/>
      <c r="T122" s="68"/>
      <c r="U122" s="68"/>
      <c r="V122" s="68"/>
      <c r="W122" s="89"/>
    </row>
    <row r="123" customFormat="false" ht="15" hidden="false" customHeight="false" outlineLevel="0" collapsed="false">
      <c r="A123" s="86"/>
      <c r="B123" s="68"/>
      <c r="C123" s="103" t="s">
        <v>31</v>
      </c>
      <c r="D123" s="104" t="n">
        <f aca="false">'Business Details'!O34</f>
        <v>0</v>
      </c>
      <c r="E123" s="104"/>
      <c r="F123" s="104"/>
      <c r="G123" s="105" t="s">
        <v>32</v>
      </c>
      <c r="H123" s="106" t="n">
        <v>0</v>
      </c>
      <c r="I123" s="106" t="n">
        <v>0</v>
      </c>
      <c r="J123" s="68"/>
      <c r="K123" s="68"/>
      <c r="L123" s="69"/>
      <c r="M123" s="68"/>
      <c r="N123" s="103" t="s">
        <v>31</v>
      </c>
      <c r="O123" s="104" t="n">
        <v>0</v>
      </c>
      <c r="P123" s="104"/>
      <c r="Q123" s="104"/>
      <c r="R123" s="105" t="s">
        <v>32</v>
      </c>
      <c r="S123" s="106" t="n">
        <v>0</v>
      </c>
      <c r="T123" s="106" t="n">
        <v>0</v>
      </c>
      <c r="U123" s="68"/>
      <c r="V123" s="68"/>
      <c r="W123" s="89"/>
    </row>
    <row r="124" customFormat="false" ht="12" hidden="false" customHeight="true" outlineLevel="0" collapsed="false">
      <c r="A124" s="99"/>
      <c r="B124" s="100"/>
      <c r="C124" s="100"/>
      <c r="D124" s="100"/>
      <c r="E124" s="100"/>
      <c r="F124" s="100"/>
      <c r="G124" s="100"/>
      <c r="H124" s="100"/>
      <c r="I124" s="100"/>
      <c r="J124" s="100"/>
      <c r="K124" s="100"/>
      <c r="L124" s="120"/>
      <c r="M124" s="100"/>
      <c r="N124" s="122"/>
      <c r="O124" s="123"/>
      <c r="P124" s="123"/>
      <c r="Q124" s="123"/>
      <c r="R124" s="124"/>
      <c r="S124" s="125"/>
      <c r="T124" s="125"/>
      <c r="U124" s="100"/>
      <c r="V124" s="100"/>
      <c r="W124" s="101"/>
    </row>
  </sheetData>
  <mergeCells count="67">
    <mergeCell ref="A1:F2"/>
    <mergeCell ref="G1:N2"/>
    <mergeCell ref="O1:W1"/>
    <mergeCell ref="O2:P2"/>
    <mergeCell ref="Q2:T2"/>
    <mergeCell ref="V2:W2"/>
    <mergeCell ref="A3:W3"/>
    <mergeCell ref="A4:W4"/>
    <mergeCell ref="C8:J8"/>
    <mergeCell ref="O8:P8"/>
    <mergeCell ref="R8:U8"/>
    <mergeCell ref="A10:W10"/>
    <mergeCell ref="C13:J13"/>
    <mergeCell ref="C15:J15"/>
    <mergeCell ref="C17:J17"/>
    <mergeCell ref="S17:V17"/>
    <mergeCell ref="N18:V18"/>
    <mergeCell ref="N20:Q20"/>
    <mergeCell ref="C22:D22"/>
    <mergeCell ref="S23:V23"/>
    <mergeCell ref="N26:Q26"/>
    <mergeCell ref="N31:Q31"/>
    <mergeCell ref="A33:W33"/>
    <mergeCell ref="D38:F38"/>
    <mergeCell ref="O38:Q38"/>
    <mergeCell ref="A40:W40"/>
    <mergeCell ref="A41:W41"/>
    <mergeCell ref="A42:W42"/>
    <mergeCell ref="D46:F46"/>
    <mergeCell ref="O46:Q46"/>
    <mergeCell ref="D51:F51"/>
    <mergeCell ref="O51:Q51"/>
    <mergeCell ref="D55:F55"/>
    <mergeCell ref="O55:Q55"/>
    <mergeCell ref="D60:F60"/>
    <mergeCell ref="O60:Q60"/>
    <mergeCell ref="D64:F64"/>
    <mergeCell ref="O64:Q64"/>
    <mergeCell ref="A66:W66"/>
    <mergeCell ref="D71:F71"/>
    <mergeCell ref="O71:Q71"/>
    <mergeCell ref="A73:W73"/>
    <mergeCell ref="A74:W74"/>
    <mergeCell ref="A75:W75"/>
    <mergeCell ref="A76:W76"/>
    <mergeCell ref="D80:F80"/>
    <mergeCell ref="O80:Q80"/>
    <mergeCell ref="D85:F85"/>
    <mergeCell ref="O85:Q85"/>
    <mergeCell ref="A87:W87"/>
    <mergeCell ref="A88:W88"/>
    <mergeCell ref="A89:W89"/>
    <mergeCell ref="D94:F94"/>
    <mergeCell ref="O94:Q94"/>
    <mergeCell ref="D99:F99"/>
    <mergeCell ref="O99:Q99"/>
    <mergeCell ref="A101:W101"/>
    <mergeCell ref="D106:F106"/>
    <mergeCell ref="O106:Q106"/>
    <mergeCell ref="A108:W108"/>
    <mergeCell ref="A109:W109"/>
    <mergeCell ref="D112:F112"/>
    <mergeCell ref="D114:F114"/>
    <mergeCell ref="R116:T116"/>
    <mergeCell ref="D119:F119"/>
    <mergeCell ref="D123:F123"/>
    <mergeCell ref="O123:Q123"/>
  </mergeCells>
  <printOptions headings="false" gridLines="false" gridLinesSet="true" horizontalCentered="true" verticalCentered="true"/>
  <pageMargins left="0.39375" right="0.39375" top="0.196527777777778" bottom="0.1965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rowBreaks count="1" manualBreakCount="1">
    <brk id="65" man="true" max="16383" min="0"/>
  </rowBreak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A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6" width="24.5"/>
    <col collapsed="false" customWidth="true" hidden="false" outlineLevel="0" max="2" min="2" style="127" width="8.66"/>
    <col collapsed="false" customWidth="true" hidden="false" outlineLevel="0" max="3" min="3" style="127" width="10.82"/>
    <col collapsed="false" customWidth="true" hidden="false" outlineLevel="0" max="8" min="4" style="127" width="8.33"/>
    <col collapsed="false" customWidth="true" hidden="false" outlineLevel="0" max="9" min="9" style="127" width="11.32"/>
    <col collapsed="false" customWidth="true" hidden="false" outlineLevel="0" max="10" min="10" style="127" width="8.66"/>
    <col collapsed="false" customWidth="true" hidden="false" outlineLevel="0" max="14" min="11" style="127" width="8.33"/>
    <col collapsed="false" customWidth="true" hidden="false" outlineLevel="0" max="15" min="15" style="126" width="1.66"/>
    <col collapsed="false" customWidth="false" hidden="false" outlineLevel="0" max="16" min="16" style="126" width="9.15"/>
    <col collapsed="false" customWidth="false" hidden="false" outlineLevel="0" max="17" min="17" style="128" width="9.15"/>
    <col collapsed="false" customWidth="false" hidden="false" outlineLevel="0" max="27" min="27" style="128" width="9.15"/>
    <col collapsed="false" customWidth="false" hidden="false" outlineLevel="0" max="257" min="28" style="126" width="9.15"/>
  </cols>
  <sheetData>
    <row r="1" customFormat="false" ht="42" hidden="false" customHeight="true" outlineLevel="0" collapsed="false">
      <c r="A1" s="129" t="s">
        <v>106</v>
      </c>
      <c r="B1" s="130" t="n">
        <f aca="false">ROUND(PurchasesMar!$A$2,0)</f>
        <v>0</v>
      </c>
      <c r="C1" s="131" t="str">
        <f aca="false">IF(B1&gt;J1,"MILEAGE ALLOWANCE"," ")</f>
        <v> </v>
      </c>
      <c r="D1" s="132" t="str">
        <f aca="false">IF(J1&gt;=B1,"CABSMART                                                                          MOST TAX EFFICIENT OPTION IS  &gt; &gt; &gt; &gt;","CABSMART                                                                            &lt; &lt; &lt; &lt;  MOST TAX EFFICIENT OPTION IS")</f>
        <v>CABSMART                                                                          MOST TAX EFFICIENT OPTION IS  &gt; &gt; &gt; &gt;</v>
      </c>
      <c r="E1" s="132"/>
      <c r="F1" s="132"/>
      <c r="G1" s="132"/>
      <c r="H1" s="132"/>
      <c r="I1" s="133" t="str">
        <f aca="false">IF(J1&gt;=B1,"VEHICLE EXPENSES"," ")</f>
        <v>VEHICLE EXPENSES</v>
      </c>
      <c r="J1" s="134" t="n">
        <f aca="false">ROUND(PurchasesMar!$I$2+'Fixed Assets'!I1-'Fixed Assets'!I15-'Fixed Assets'!I44+'Fixed Assets'!J1-'Fixed Assets'!J15-'Fixed Assets'!J44+'Fixed Assets'!P1-'Fixed Assets'!P15-'Fixed Assets'!P44-'Fixed Assets'!Q1+'Fixed Assets'!Q15+'Fixed Assets'!Q44,0)</f>
        <v>6100</v>
      </c>
      <c r="K1" s="129" t="s">
        <v>107</v>
      </c>
      <c r="L1" s="129"/>
      <c r="M1" s="129"/>
      <c r="N1" s="129"/>
      <c r="O1" s="135"/>
      <c r="Q1" s="136"/>
      <c r="AA1" s="136"/>
    </row>
    <row r="2" s="141" customFormat="true" ht="12.75" hidden="false" customHeight="true" outlineLevel="0" collapsed="false">
      <c r="A2" s="137" t="s">
        <v>108</v>
      </c>
      <c r="B2" s="138" t="s">
        <v>109</v>
      </c>
      <c r="C2" s="139" t="n">
        <f aca="false">Admin!B$5</f>
        <v>46142</v>
      </c>
      <c r="D2" s="139" t="n">
        <f aca="false">Admin!B$6</f>
        <v>46173</v>
      </c>
      <c r="E2" s="139" t="n">
        <f aca="false">Admin!B$7</f>
        <v>46203</v>
      </c>
      <c r="F2" s="139" t="n">
        <f aca="false">Admin!B$8</f>
        <v>46234</v>
      </c>
      <c r="G2" s="139" t="n">
        <f aca="false">Admin!B$9</f>
        <v>46265</v>
      </c>
      <c r="H2" s="139" t="n">
        <f aca="false">Admin!B$10</f>
        <v>46295</v>
      </c>
      <c r="I2" s="139" t="n">
        <f aca="false">Admin!B$11</f>
        <v>46326</v>
      </c>
      <c r="J2" s="139" t="n">
        <f aca="false">Admin!B$12</f>
        <v>46356</v>
      </c>
      <c r="K2" s="139" t="n">
        <f aca="false">Admin!B$13</f>
        <v>46387</v>
      </c>
      <c r="L2" s="139" t="n">
        <f aca="false">Admin!B$14</f>
        <v>46418</v>
      </c>
      <c r="M2" s="139" t="n">
        <f aca="false">Admin!B$15</f>
        <v>46446</v>
      </c>
      <c r="N2" s="139" t="n">
        <f aca="false">Admin!B$16</f>
        <v>46477</v>
      </c>
      <c r="O2" s="140"/>
      <c r="Q2" s="128"/>
      <c r="AA2" s="128"/>
    </row>
    <row r="3" s="55" customFormat="true" ht="12.75" hidden="false" customHeight="false" outlineLevel="0" collapsed="false">
      <c r="A3" s="137"/>
      <c r="B3" s="142" t="str">
        <f aca="false">Admin!G$2</f>
        <v>2026-27</v>
      </c>
      <c r="C3" s="139"/>
      <c r="D3" s="139"/>
      <c r="E3" s="139"/>
      <c r="F3" s="139"/>
      <c r="G3" s="139"/>
      <c r="H3" s="139"/>
      <c r="I3" s="139"/>
      <c r="J3" s="139"/>
      <c r="K3" s="139"/>
      <c r="L3" s="139"/>
      <c r="M3" s="139"/>
      <c r="N3" s="139"/>
      <c r="O3" s="68"/>
      <c r="Q3" s="143"/>
      <c r="AA3" s="143"/>
    </row>
    <row r="4" s="147" customFormat="true" ht="13.5" hidden="false" customHeight="true" outlineLevel="0" collapsed="false">
      <c r="A4" s="144" t="str">
        <f aca="false">IF(B4=" "," ","Purchase analysis errors")</f>
        <v> </v>
      </c>
      <c r="B4" s="145" t="str">
        <f aca="false">IF((SUM(C4:N4)&gt;1),ROUND(SUM(C4:N4),0)," ")</f>
        <v> </v>
      </c>
      <c r="C4" s="145" t="str">
        <f aca="false">IF((PurchasesApr!$D$1&lt;&gt;0),PurchasesApr!$D$1," ")</f>
        <v> </v>
      </c>
      <c r="D4" s="145" t="str">
        <f aca="false">IF((PurchasesMay!$D$1&lt;&gt;0),PurchasesMay!$D$1," ")</f>
        <v> </v>
      </c>
      <c r="E4" s="145" t="str">
        <f aca="false">IF((PurchasesJun!$D$1&lt;&gt;0),PurchasesJun!$D$1," ")</f>
        <v> </v>
      </c>
      <c r="F4" s="145" t="str">
        <f aca="false">IF((PurchasesJul!$D$1&lt;&gt;0),PurchasesJul!$D$1," ")</f>
        <v> </v>
      </c>
      <c r="G4" s="145" t="str">
        <f aca="false">IF((PurchasesAug!$D$1&lt;&gt;0),PurchasesAug!$D$1," ")</f>
        <v> </v>
      </c>
      <c r="H4" s="145" t="str">
        <f aca="false">IF((PurchasesSep!$D$1&lt;&gt;0),PurchasesSep!$D$1," ")</f>
        <v> </v>
      </c>
      <c r="I4" s="145" t="str">
        <f aca="false">IF((PurchasesOct!$D$1&lt;&gt;0),PurchasesOct!$D$1," ")</f>
        <v> </v>
      </c>
      <c r="J4" s="145" t="str">
        <f aca="false">IF((PurchasesNov!$D$1&lt;&gt;0),PurchasesNov!$D$1," ")</f>
        <v> </v>
      </c>
      <c r="K4" s="145" t="str">
        <f aca="false">IF((PurchasesDec!$D$1&lt;&gt;0),PurchasesDec!$D$1," ")</f>
        <v> </v>
      </c>
      <c r="L4" s="145" t="str">
        <f aca="false">IF((PurchasesJan!$D$1&lt;&gt;0),PurchasesJan!$D$1," ")</f>
        <v> </v>
      </c>
      <c r="M4" s="145" t="str">
        <f aca="false">IF((PurchasesFeb!$D$1&lt;&gt;0),PurchasesFeb!$D$1," ")</f>
        <v> </v>
      </c>
      <c r="N4" s="145" t="str">
        <f aca="false">IF((PurchasesMar!$D$1&lt;&gt;0),PurchasesMar!$D$1," ")</f>
        <v> </v>
      </c>
      <c r="O4" s="146"/>
      <c r="Q4" s="128"/>
      <c r="AA4" s="128"/>
    </row>
    <row r="5" customFormat="false" ht="12.75" hidden="false" customHeight="false" outlineLevel="0" collapsed="false">
      <c r="A5" s="148" t="s">
        <v>110</v>
      </c>
      <c r="B5" s="149" t="n">
        <f aca="false">ROUNDDOWN(SUM(C5:N5),0)</f>
        <v>36045</v>
      </c>
      <c r="C5" s="150" t="n">
        <f aca="false">SalesApr!$E$1</f>
        <v>3045</v>
      </c>
      <c r="D5" s="150" t="n">
        <f aca="false">SalesMay!$E$1</f>
        <v>3000</v>
      </c>
      <c r="E5" s="150" t="n">
        <f aca="false">SalesJun!$E$1</f>
        <v>3000</v>
      </c>
      <c r="F5" s="151" t="n">
        <f aca="false">SalesJul!$E$1</f>
        <v>3000</v>
      </c>
      <c r="G5" s="150" t="n">
        <f aca="false">SalesAug!$E$1</f>
        <v>3000</v>
      </c>
      <c r="H5" s="150" t="n">
        <f aca="false">SalesSep!$E$1</f>
        <v>3000</v>
      </c>
      <c r="I5" s="151" t="n">
        <f aca="false">SalesOct!$E$1</f>
        <v>3000</v>
      </c>
      <c r="J5" s="150" t="n">
        <f aca="false">SalesNov!$E$1</f>
        <v>3000</v>
      </c>
      <c r="K5" s="150" t="n">
        <f aca="false">SalesDec!$E$1</f>
        <v>3000</v>
      </c>
      <c r="L5" s="151" t="n">
        <f aca="false">SalesJan!$E$1</f>
        <v>3000</v>
      </c>
      <c r="M5" s="150" t="n">
        <f aca="false">SalesFeb!$E$1</f>
        <v>3000</v>
      </c>
      <c r="N5" s="150" t="n">
        <f aca="false">SalesMar!$E$1</f>
        <v>3000</v>
      </c>
      <c r="O5" s="135"/>
    </row>
    <row r="6" customFormat="false" ht="12.75" hidden="false" customHeight="false" outlineLevel="0" collapsed="false">
      <c r="A6" s="144" t="s">
        <v>111</v>
      </c>
      <c r="B6" s="127" t="n">
        <f aca="false">ROUNDUP(SUM(C6:N6),0)</f>
        <v>3600</v>
      </c>
      <c r="C6" s="152" t="n">
        <f aca="false">IF((C1="mileage allowance"),0,(PurchasesApr!$G$1))</f>
        <v>300</v>
      </c>
      <c r="D6" s="127" t="n">
        <f aca="false">IF((C1="mileage allowance"),0,(PurchasesMay!$G$1))</f>
        <v>300</v>
      </c>
      <c r="E6" s="153" t="n">
        <f aca="false">IF((C1="mileage allowance"),0,(PurchasesJun!$G$1))</f>
        <v>300</v>
      </c>
      <c r="F6" s="127" t="n">
        <f aca="false">IF((C1="mileage allowance"),0,(PurchasesJul!$G$1))</f>
        <v>300</v>
      </c>
      <c r="G6" s="127" t="n">
        <f aca="false">IF((C1="mileage allowance"),0,(PurchasesAug!$G$1))</f>
        <v>300</v>
      </c>
      <c r="H6" s="153" t="n">
        <f aca="false">IF((C1="mileage allowance"),0,(PurchasesSep!$G$1))</f>
        <v>300</v>
      </c>
      <c r="I6" s="127" t="n">
        <f aca="false">IF((C1="mileage allowance"),0,(PurchasesOct!$G$1))</f>
        <v>300</v>
      </c>
      <c r="J6" s="127" t="n">
        <f aca="false">IF((C1="mileage allowance"),0,(PurchasesNov!$G$1))</f>
        <v>300</v>
      </c>
      <c r="K6" s="153" t="n">
        <f aca="false">IF((C1="mileage allowance"),0,(PurchasesDec!$G$1))</f>
        <v>300</v>
      </c>
      <c r="L6" s="127" t="n">
        <f aca="false">IF((C1="mileage allowance"),0,(PurchasesJan!$G$1))</f>
        <v>300</v>
      </c>
      <c r="M6" s="127" t="n">
        <f aca="false">IF((C1="mileage allowance"),0,(PurchasesFeb!$G$1))</f>
        <v>300</v>
      </c>
      <c r="N6" s="153" t="n">
        <f aca="false">IF((C1="mileage allowance"),0,(PurchasesMar!$G$1))</f>
        <v>300</v>
      </c>
      <c r="O6" s="135"/>
    </row>
    <row r="7" customFormat="false" ht="12.75" hidden="false" customHeight="false" outlineLevel="0" collapsed="false">
      <c r="A7" s="144" t="s">
        <v>112</v>
      </c>
      <c r="B7" s="127" t="n">
        <f aca="false">ROUNDUP(SUM(C7:N7),0)</f>
        <v>0</v>
      </c>
      <c r="C7" s="152" t="n">
        <f aca="false">IF((C1="mileage allowance"),0,(PurchasesApr!$H$1))</f>
        <v>0</v>
      </c>
      <c r="D7" s="127" t="n">
        <f aca="false">IF((C1="mileage allowance"),0,(PurchasesMay!$H$1))</f>
        <v>0</v>
      </c>
      <c r="E7" s="153" t="n">
        <f aca="false">IF((C1="mileage allowance"),0,(PurchasesJun!$H$1))</f>
        <v>0</v>
      </c>
      <c r="F7" s="127" t="n">
        <f aca="false">IF((C1="mileage allowance"),0,(PurchasesJul!$H$1))</f>
        <v>0</v>
      </c>
      <c r="G7" s="127" t="n">
        <f aca="false">IF((C1="mileage allowance"),0,(PurchasesAug!$H$1))</f>
        <v>0</v>
      </c>
      <c r="H7" s="153" t="n">
        <f aca="false">IF((C1="mileage allowance"),0,(PurchasesSep!$H$1))</f>
        <v>0</v>
      </c>
      <c r="I7" s="127" t="n">
        <f aca="false">IF((C1="mileage allowance"),0,(PurchasesOct!$H$1))</f>
        <v>0</v>
      </c>
      <c r="J7" s="127" t="n">
        <f aca="false">IF((C1="mileage allowance"),0,(PurchasesNov!$H$1))</f>
        <v>0</v>
      </c>
      <c r="K7" s="153" t="n">
        <f aca="false">IF((C1="mileage allowance"),0,(PurchasesDec!$H$1))</f>
        <v>0</v>
      </c>
      <c r="L7" s="127" t="n">
        <f aca="false">IF((C1="mileage allowance"),0,(PurchasesJan!$H$1))</f>
        <v>0</v>
      </c>
      <c r="M7" s="127" t="n">
        <f aca="false">IF((C1="mileage allowance"),0,(PurchasesFeb!$H$1))</f>
        <v>0</v>
      </c>
      <c r="N7" s="153" t="n">
        <f aca="false">IF((C1="mileage allowance"),0,(PurchasesMar!$H$1))</f>
        <v>0</v>
      </c>
      <c r="O7" s="135"/>
      <c r="Q7" s="154"/>
      <c r="AA7" s="154"/>
    </row>
    <row r="8" customFormat="false" ht="12.75" hidden="false" customHeight="false" outlineLevel="0" collapsed="false">
      <c r="A8" s="144" t="s">
        <v>113</v>
      </c>
      <c r="B8" s="127" t="n">
        <f aca="false">ROUNDUP(SUM(C8:N8),0)</f>
        <v>0</v>
      </c>
      <c r="C8" s="152" t="n">
        <f aca="false">IF((C1="mileage allowance"),0,(PurchasesApr!$I$1))</f>
        <v>0</v>
      </c>
      <c r="D8" s="127" t="n">
        <f aca="false">IF((C1="mileage allowance"),0,(PurchasesMay!$I$1))</f>
        <v>0</v>
      </c>
      <c r="E8" s="153" t="n">
        <f aca="false">IF((C1="mileage allowance"),0,(PurchasesJun!$I$1))</f>
        <v>0</v>
      </c>
      <c r="F8" s="127" t="n">
        <f aca="false">IF((C1="mileage allowance"),0,(PurchasesJul!$I$1))</f>
        <v>0</v>
      </c>
      <c r="G8" s="127" t="n">
        <f aca="false">IF((C1="mileage allowance"),0,(PurchasesAug!$I$1))</f>
        <v>0</v>
      </c>
      <c r="H8" s="153" t="n">
        <f aca="false">IF((C1="mileage allowance"),0,(PurchasesSep!$I$1))</f>
        <v>0</v>
      </c>
      <c r="I8" s="127" t="n">
        <f aca="false">IF((C1="mileage allowance"),0,(PurchasesOct!$I$1))</f>
        <v>0</v>
      </c>
      <c r="J8" s="127" t="n">
        <f aca="false">IF((C1="mileage allowance"),0,(PurchasesNov!$I$1))</f>
        <v>0</v>
      </c>
      <c r="K8" s="153" t="n">
        <f aca="false">IF((C1="mileage allowance"),0,(PurchasesDec!$I$1))</f>
        <v>0</v>
      </c>
      <c r="L8" s="127" t="n">
        <f aca="false">IF((C1="mileage allowance"),0,(PurchasesJan!$I$1))</f>
        <v>0</v>
      </c>
      <c r="M8" s="127" t="n">
        <f aca="false">IF((C1="mileage allowance"),0,(PurchasesFeb!$I$1))</f>
        <v>0</v>
      </c>
      <c r="N8" s="153" t="n">
        <f aca="false">IF((C1="mileage allowance"),0,(PurchasesMar!$I$1))</f>
        <v>0</v>
      </c>
      <c r="O8" s="135"/>
    </row>
    <row r="9" customFormat="false" ht="12.75" hidden="false" customHeight="false" outlineLevel="0" collapsed="false">
      <c r="A9" s="144" t="s">
        <v>114</v>
      </c>
      <c r="B9" s="127" t="n">
        <f aca="false">ROUNDUP(SUM(C9:N9),0)</f>
        <v>1380</v>
      </c>
      <c r="C9" s="152" t="n">
        <f aca="false">IF((C1="mileage allowance"),0,(PurchasesApr!$J$1))</f>
        <v>1380</v>
      </c>
      <c r="D9" s="127" t="n">
        <f aca="false">IF((C1="mileage allowance"),0,(PurchasesMay!$J$1))</f>
        <v>0</v>
      </c>
      <c r="E9" s="153" t="n">
        <f aca="false">IF((C1="mileage allowance"),0,(PurchasesJun!$J$1))</f>
        <v>0</v>
      </c>
      <c r="F9" s="127" t="n">
        <f aca="false">IF((C1="mileage allowance"),0,(PurchasesJul!$J$1))</f>
        <v>0</v>
      </c>
      <c r="G9" s="127" t="n">
        <f aca="false">IF((C1="mileage allowance"),0,(PurchasesAug!$J$1))</f>
        <v>0</v>
      </c>
      <c r="H9" s="153" t="n">
        <f aca="false">IF((C1="mileage allowance"),0,(PurchasesSep!$J$1))</f>
        <v>0</v>
      </c>
      <c r="I9" s="127" t="n">
        <f aca="false">IF((C1="mileage allowance"),0,(PurchasesOct!$J$1))</f>
        <v>0</v>
      </c>
      <c r="J9" s="127" t="n">
        <f aca="false">IF((C1="mileage allowance"),0,(PurchasesNov!$J$1))</f>
        <v>0</v>
      </c>
      <c r="K9" s="153" t="n">
        <f aca="false">IF((C1="mileage allowance"),0,(PurchasesDec!$J$1))</f>
        <v>0</v>
      </c>
      <c r="L9" s="127" t="n">
        <f aca="false">IF((C1="mileage allowance"),0,(PurchasesJan!$J$1))</f>
        <v>0</v>
      </c>
      <c r="M9" s="127" t="n">
        <f aca="false">IF((C1="mileage allowance"),0,(PurchasesFeb!$J$1))</f>
        <v>0</v>
      </c>
      <c r="N9" s="153" t="n">
        <f aca="false">IF((C1="mileage allowance"),0,(PurchasesMar!$J$1))</f>
        <v>0</v>
      </c>
      <c r="O9" s="135"/>
    </row>
    <row r="10" customFormat="false" ht="12.75" hidden="false" customHeight="false" outlineLevel="0" collapsed="false">
      <c r="A10" s="155" t="s">
        <v>115</v>
      </c>
      <c r="B10" s="127" t="n">
        <f aca="false">IF((C1="mileage allowance"),0,('Fixed Assets'!I1+'Fixed Assets'!J1+'Fixed Assets'!P1-'Fixed Assets'!Q1))</f>
        <v>1120</v>
      </c>
      <c r="C10" s="152" t="n">
        <f aca="false">B10/12</f>
        <v>93.3333333333333</v>
      </c>
      <c r="D10" s="127" t="n">
        <f aca="false">B10/12</f>
        <v>93.3333333333333</v>
      </c>
      <c r="E10" s="153" t="n">
        <f aca="false">B10/12</f>
        <v>93.3333333333333</v>
      </c>
      <c r="F10" s="127" t="n">
        <f aca="false">B10/12</f>
        <v>93.3333333333333</v>
      </c>
      <c r="G10" s="127" t="n">
        <f aca="false">B10/12</f>
        <v>93.3333333333333</v>
      </c>
      <c r="H10" s="153" t="n">
        <f aca="false">B10/12</f>
        <v>93.3333333333333</v>
      </c>
      <c r="I10" s="127" t="n">
        <f aca="false">B10/12</f>
        <v>93.3333333333333</v>
      </c>
      <c r="J10" s="127" t="n">
        <f aca="false">B10/12</f>
        <v>93.3333333333333</v>
      </c>
      <c r="K10" s="153" t="n">
        <f aca="false">B10/12</f>
        <v>93.3333333333333</v>
      </c>
      <c r="L10" s="127" t="n">
        <f aca="false">B10/12</f>
        <v>93.3333333333333</v>
      </c>
      <c r="M10" s="127" t="n">
        <f aca="false">B10/12</f>
        <v>93.3333333333333</v>
      </c>
      <c r="N10" s="153" t="n">
        <f aca="false">B10/12</f>
        <v>93.3333333333333</v>
      </c>
      <c r="O10" s="135"/>
    </row>
    <row r="11" customFormat="false" ht="12.75" hidden="false" customHeight="false" outlineLevel="0" collapsed="false">
      <c r="A11" s="144" t="s">
        <v>116</v>
      </c>
      <c r="B11" s="156" t="n">
        <f aca="false">ROUNDUP(SUM(C11:N11),0)</f>
        <v>0</v>
      </c>
      <c r="C11" s="157" t="n">
        <f aca="false">IF((C1="mileage allowance"),(PurchasesApr!$U$1),0)</f>
        <v>0</v>
      </c>
      <c r="D11" s="156" t="n">
        <f aca="false">IF((C1="mileage allowance"),(PurchasesMay!$U$1),0)</f>
        <v>0</v>
      </c>
      <c r="E11" s="158" t="n">
        <f aca="false">IF((C1="mileage allowance"),(PurchasesJun!$U$1),0)</f>
        <v>0</v>
      </c>
      <c r="F11" s="156" t="n">
        <f aca="false">IF((C1="mileage allowance"),(PurchasesJul!$U$1),0)</f>
        <v>0</v>
      </c>
      <c r="G11" s="156" t="n">
        <f aca="false">IF((C1="mileage allowance"),(PurchasesAug!$U$1),0)</f>
        <v>0</v>
      </c>
      <c r="H11" s="158" t="n">
        <f aca="false">IF((C1="mileage allowance"),(PurchasesSep!$U$1),0)</f>
        <v>0</v>
      </c>
      <c r="I11" s="156" t="n">
        <f aca="false">IF((C1="mileage allowance"),(PurchasesOct!$U$1),0)</f>
        <v>0</v>
      </c>
      <c r="J11" s="156" t="n">
        <f aca="false">IF((C1="mileage allowance"),(PurchasesNov!$U$1),0)</f>
        <v>0</v>
      </c>
      <c r="K11" s="158" t="n">
        <f aca="false">IF((C1="mileage allowance"),(PurchasesDec!$U$1),0)</f>
        <v>0</v>
      </c>
      <c r="L11" s="156" t="n">
        <f aca="false">IF((C1="mileage allowance"),(PurchasesJan!$U$1),0)</f>
        <v>0</v>
      </c>
      <c r="M11" s="156" t="n">
        <f aca="false">IF((C1="mileage allowance"),(PurchasesFeb!$U$1),0)</f>
        <v>0</v>
      </c>
      <c r="N11" s="158" t="n">
        <f aca="false">IF((C1="mileage allowance"),(PurchasesMar!$U$1),0)</f>
        <v>0</v>
      </c>
      <c r="O11" s="135"/>
    </row>
    <row r="12" customFormat="false" ht="12.75" hidden="false" customHeight="false" outlineLevel="0" collapsed="false">
      <c r="A12" s="159" t="s">
        <v>117</v>
      </c>
      <c r="B12" s="149" t="n">
        <f aca="false">ROUNDUP(SUM(B6:B11),0)</f>
        <v>6100</v>
      </c>
      <c r="C12" s="150" t="n">
        <f aca="false">SUM(C6:C11)</f>
        <v>1773.33333333333</v>
      </c>
      <c r="D12" s="150" t="n">
        <f aca="false">SUM(D6:D11)</f>
        <v>393.333333333333</v>
      </c>
      <c r="E12" s="150" t="n">
        <f aca="false">SUM(E6:E11)</f>
        <v>393.333333333333</v>
      </c>
      <c r="F12" s="151" t="n">
        <f aca="false">SUM(F6:F11)</f>
        <v>393.333333333333</v>
      </c>
      <c r="G12" s="150" t="n">
        <f aca="false">SUM(G6:G11)</f>
        <v>393.333333333333</v>
      </c>
      <c r="H12" s="150" t="n">
        <f aca="false">SUM(H6:H11)</f>
        <v>393.333333333333</v>
      </c>
      <c r="I12" s="151" t="n">
        <f aca="false">SUM(I6:I11)</f>
        <v>393.333333333333</v>
      </c>
      <c r="J12" s="150" t="n">
        <f aca="false">SUM(J6:J11)</f>
        <v>393.333333333333</v>
      </c>
      <c r="K12" s="150" t="n">
        <f aca="false">SUM(K6:K11)</f>
        <v>393.333333333333</v>
      </c>
      <c r="L12" s="151" t="n">
        <f aca="false">SUM(L6:L11)</f>
        <v>393.333333333333</v>
      </c>
      <c r="M12" s="150" t="n">
        <f aca="false">SUM(M6:M11)</f>
        <v>393.333333333333</v>
      </c>
      <c r="N12" s="150" t="n">
        <f aca="false">SUM(N6:N11)</f>
        <v>393.333333333333</v>
      </c>
      <c r="O12" s="135"/>
    </row>
    <row r="13" customFormat="false" ht="12.75" hidden="false" customHeight="false" outlineLevel="0" collapsed="false">
      <c r="A13" s="159" t="s">
        <v>118</v>
      </c>
      <c r="B13" s="149" t="n">
        <f aca="false">ROUNDUP(B5-B12,0)</f>
        <v>29945</v>
      </c>
      <c r="C13" s="150" t="n">
        <f aca="false">C5-C12</f>
        <v>1271.66666666667</v>
      </c>
      <c r="D13" s="150" t="n">
        <f aca="false">D5-D12</f>
        <v>2606.66666666667</v>
      </c>
      <c r="E13" s="150" t="n">
        <f aca="false">E5-E12</f>
        <v>2606.66666666667</v>
      </c>
      <c r="F13" s="151" t="n">
        <f aca="false">F5-F12</f>
        <v>2606.66666666667</v>
      </c>
      <c r="G13" s="150" t="n">
        <f aca="false">G5-G12</f>
        <v>2606.66666666667</v>
      </c>
      <c r="H13" s="150" t="n">
        <f aca="false">H5-H12</f>
        <v>2606.66666666667</v>
      </c>
      <c r="I13" s="151" t="n">
        <f aca="false">I5-I12</f>
        <v>2606.66666666667</v>
      </c>
      <c r="J13" s="150" t="n">
        <f aca="false">J5-J12</f>
        <v>2606.66666666667</v>
      </c>
      <c r="K13" s="150" t="n">
        <f aca="false">K5-K12</f>
        <v>2606.66666666667</v>
      </c>
      <c r="L13" s="151" t="n">
        <f aca="false">L5-L12</f>
        <v>2606.66666666667</v>
      </c>
      <c r="M13" s="150" t="n">
        <f aca="false">M5-M12</f>
        <v>2606.66666666667</v>
      </c>
      <c r="N13" s="150" t="n">
        <f aca="false">N5-N12</f>
        <v>2606.66666666667</v>
      </c>
      <c r="O13" s="135"/>
    </row>
    <row r="14" customFormat="false" ht="12.75" hidden="false" customHeight="false" outlineLevel="0" collapsed="false">
      <c r="A14" s="144" t="s">
        <v>119</v>
      </c>
      <c r="B14" s="127" t="n">
        <f aca="false">ROUNDUP(SUM(C14:N14),0)</f>
        <v>0</v>
      </c>
      <c r="C14" s="152" t="n">
        <f aca="false">PurchasesApr!$K$1</f>
        <v>0</v>
      </c>
      <c r="D14" s="127" t="n">
        <f aca="false">PurchasesMay!$K$1</f>
        <v>0</v>
      </c>
      <c r="E14" s="153" t="n">
        <f aca="false">PurchasesJun!$K$1</f>
        <v>0</v>
      </c>
      <c r="F14" s="127" t="n">
        <f aca="false">PurchasesJul!$K$1</f>
        <v>0</v>
      </c>
      <c r="G14" s="127" t="n">
        <f aca="false">PurchasesAug!$K$1</f>
        <v>0</v>
      </c>
      <c r="H14" s="153" t="n">
        <f aca="false">PurchasesSep!$K$1</f>
        <v>0</v>
      </c>
      <c r="I14" s="127" t="n">
        <f aca="false">PurchasesOct!$K$1</f>
        <v>0</v>
      </c>
      <c r="J14" s="127" t="n">
        <f aca="false">PurchasesNov!$K$1</f>
        <v>0</v>
      </c>
      <c r="K14" s="153" t="n">
        <f aca="false">PurchasesDec!$K$1</f>
        <v>0</v>
      </c>
      <c r="L14" s="127" t="n">
        <f aca="false">PurchasesJan!$K$1</f>
        <v>0</v>
      </c>
      <c r="M14" s="127" t="n">
        <f aca="false">PurchasesFeb!$K$1</f>
        <v>0</v>
      </c>
      <c r="N14" s="153" t="n">
        <f aca="false">PurchasesMar!$K$1</f>
        <v>0</v>
      </c>
      <c r="O14" s="135"/>
    </row>
    <row r="15" customFormat="false" ht="12.75" hidden="false" customHeight="false" outlineLevel="0" collapsed="false">
      <c r="A15" s="144" t="s">
        <v>120</v>
      </c>
      <c r="B15" s="127" t="n">
        <f aca="false">ROUNDUP(SUM(C15:N15),0)</f>
        <v>0</v>
      </c>
      <c r="C15" s="152" t="n">
        <f aca="false">PurchasesApr!$L$1</f>
        <v>0</v>
      </c>
      <c r="D15" s="127" t="n">
        <f aca="false">PurchasesMay!$L$1</f>
        <v>0</v>
      </c>
      <c r="E15" s="153" t="n">
        <f aca="false">PurchasesJun!$L$1</f>
        <v>0</v>
      </c>
      <c r="F15" s="127" t="n">
        <f aca="false">PurchasesJul!$L$1</f>
        <v>0</v>
      </c>
      <c r="G15" s="127" t="n">
        <f aca="false">PurchasesAug!$L$1</f>
        <v>0</v>
      </c>
      <c r="H15" s="153" t="n">
        <f aca="false">PurchasesSep!$L$1</f>
        <v>0</v>
      </c>
      <c r="I15" s="127" t="n">
        <f aca="false">PurchasesOct!$L$1</f>
        <v>0</v>
      </c>
      <c r="J15" s="127" t="n">
        <f aca="false">PurchasesNov!$L$1</f>
        <v>0</v>
      </c>
      <c r="K15" s="153" t="n">
        <f aca="false">PurchasesDec!$L$1</f>
        <v>0</v>
      </c>
      <c r="L15" s="127" t="n">
        <f aca="false">PurchasesJan!$L$1</f>
        <v>0</v>
      </c>
      <c r="M15" s="127" t="n">
        <f aca="false">PurchasesFeb!$L$1</f>
        <v>0</v>
      </c>
      <c r="N15" s="153" t="n">
        <f aca="false">PurchasesMar!$L$1</f>
        <v>0</v>
      </c>
      <c r="O15" s="135"/>
    </row>
    <row r="16" customFormat="false" ht="12.75" hidden="false" customHeight="false" outlineLevel="0" collapsed="false">
      <c r="A16" s="144" t="s">
        <v>121</v>
      </c>
      <c r="B16" s="127" t="n">
        <f aca="false">ROUNDUP(SUM(C16:N16),0)</f>
        <v>480</v>
      </c>
      <c r="C16" s="152" t="n">
        <f aca="false">PurchasesApr!$M$1</f>
        <v>120</v>
      </c>
      <c r="D16" s="127" t="n">
        <f aca="false">PurchasesMay!$M$1</f>
        <v>0</v>
      </c>
      <c r="E16" s="153" t="n">
        <f aca="false">PurchasesJun!$M$1</f>
        <v>0</v>
      </c>
      <c r="F16" s="127" t="n">
        <f aca="false">PurchasesJul!$M$1</f>
        <v>120</v>
      </c>
      <c r="G16" s="127" t="n">
        <f aca="false">PurchasesAug!$M$1</f>
        <v>0</v>
      </c>
      <c r="H16" s="153" t="n">
        <f aca="false">PurchasesSep!$M$1</f>
        <v>0</v>
      </c>
      <c r="I16" s="127" t="n">
        <f aca="false">PurchasesOct!$M$1</f>
        <v>120</v>
      </c>
      <c r="J16" s="127" t="n">
        <f aca="false">PurchasesNov!$M$1</f>
        <v>0</v>
      </c>
      <c r="K16" s="153" t="n">
        <f aca="false">PurchasesDec!$M$1</f>
        <v>0</v>
      </c>
      <c r="L16" s="127" t="n">
        <f aca="false">PurchasesJan!$M$1</f>
        <v>120</v>
      </c>
      <c r="M16" s="127" t="n">
        <f aca="false">PurchasesFeb!$M$1</f>
        <v>0</v>
      </c>
      <c r="N16" s="153" t="n">
        <f aca="false">PurchasesMar!$M$1</f>
        <v>0</v>
      </c>
      <c r="O16" s="135"/>
    </row>
    <row r="17" customFormat="false" ht="12.75" hidden="false" customHeight="false" outlineLevel="0" collapsed="false">
      <c r="A17" s="144" t="s">
        <v>122</v>
      </c>
      <c r="B17" s="127" t="n">
        <f aca="false">ROUNDUP(SUM(C17:N17),0)</f>
        <v>0</v>
      </c>
      <c r="C17" s="152" t="n">
        <f aca="false">PurchasesApr!$N$1</f>
        <v>0</v>
      </c>
      <c r="D17" s="127" t="n">
        <f aca="false">PurchasesMay!$N$1</f>
        <v>0</v>
      </c>
      <c r="E17" s="153" t="n">
        <f aca="false">PurchasesJun!$N$1</f>
        <v>0</v>
      </c>
      <c r="F17" s="127" t="n">
        <f aca="false">PurchasesJul!$N$1</f>
        <v>0</v>
      </c>
      <c r="G17" s="127" t="n">
        <f aca="false">PurchasesAug!$N$1</f>
        <v>0</v>
      </c>
      <c r="H17" s="153" t="n">
        <f aca="false">PurchasesSep!$N$1</f>
        <v>0</v>
      </c>
      <c r="I17" s="127" t="n">
        <f aca="false">PurchasesOct!$N$1</f>
        <v>0</v>
      </c>
      <c r="J17" s="127" t="n">
        <f aca="false">PurchasesNov!$N$1</f>
        <v>0</v>
      </c>
      <c r="K17" s="153" t="n">
        <f aca="false">PurchasesDec!$N$1</f>
        <v>0</v>
      </c>
      <c r="L17" s="127" t="n">
        <f aca="false">PurchasesJan!$N$1</f>
        <v>0</v>
      </c>
      <c r="M17" s="127" t="n">
        <f aca="false">PurchasesFeb!$N$1</f>
        <v>0</v>
      </c>
      <c r="N17" s="153" t="n">
        <f aca="false">PurchasesMar!$N$1</f>
        <v>0</v>
      </c>
      <c r="O17" s="135"/>
    </row>
    <row r="18" customFormat="false" ht="12.75" hidden="false" customHeight="false" outlineLevel="0" collapsed="false">
      <c r="A18" s="144" t="s">
        <v>123</v>
      </c>
      <c r="B18" s="127" t="n">
        <f aca="false">ROUNDUP(SUM(C18:N18),0)</f>
        <v>900</v>
      </c>
      <c r="C18" s="152" t="n">
        <f aca="false">PurchasesApr!$O$1</f>
        <v>400</v>
      </c>
      <c r="D18" s="127" t="n">
        <f aca="false">PurchasesMay!$O$1</f>
        <v>0</v>
      </c>
      <c r="E18" s="153" t="n">
        <f aca="false">PurchasesJun!$O$1</f>
        <v>0</v>
      </c>
      <c r="F18" s="127" t="n">
        <f aca="false">PurchasesJul!$O$1</f>
        <v>0</v>
      </c>
      <c r="G18" s="127" t="n">
        <f aca="false">PurchasesAug!$O$1</f>
        <v>0</v>
      </c>
      <c r="H18" s="153" t="n">
        <f aca="false">PurchasesSep!$O$1</f>
        <v>0</v>
      </c>
      <c r="I18" s="127" t="n">
        <f aca="false">PurchasesOct!$O$1</f>
        <v>0</v>
      </c>
      <c r="J18" s="127" t="n">
        <f aca="false">PurchasesNov!$O$1</f>
        <v>0</v>
      </c>
      <c r="K18" s="153" t="n">
        <f aca="false">PurchasesDec!$O$1</f>
        <v>0</v>
      </c>
      <c r="L18" s="127" t="n">
        <f aca="false">PurchasesJan!$O$1</f>
        <v>500</v>
      </c>
      <c r="M18" s="127" t="n">
        <f aca="false">PurchasesFeb!$O$1</f>
        <v>0</v>
      </c>
      <c r="N18" s="153" t="n">
        <f aca="false">PurchasesMar!$O$1</f>
        <v>0</v>
      </c>
      <c r="O18" s="135"/>
    </row>
    <row r="19" customFormat="false" ht="12.75" hidden="false" customHeight="false" outlineLevel="0" collapsed="false">
      <c r="A19" s="144" t="s">
        <v>124</v>
      </c>
      <c r="B19" s="127" t="n">
        <f aca="false">ROUNDUP(SUM(C19:N19),0)</f>
        <v>0</v>
      </c>
      <c r="C19" s="152" t="n">
        <f aca="false">PurchasesApr!$P$1</f>
        <v>0</v>
      </c>
      <c r="D19" s="127" t="n">
        <f aca="false">PurchasesMay!$P$1</f>
        <v>0</v>
      </c>
      <c r="E19" s="153" t="n">
        <f aca="false">PurchasesJun!$P$1</f>
        <v>0</v>
      </c>
      <c r="F19" s="127" t="n">
        <f aca="false">PurchasesJul!$P$1</f>
        <v>0</v>
      </c>
      <c r="G19" s="127" t="n">
        <f aca="false">PurchasesAug!$P$1</f>
        <v>0</v>
      </c>
      <c r="H19" s="153" t="n">
        <f aca="false">PurchasesSep!$P$1</f>
        <v>0</v>
      </c>
      <c r="I19" s="127" t="n">
        <f aca="false">PurchasesOct!$P$1</f>
        <v>0</v>
      </c>
      <c r="J19" s="127" t="n">
        <f aca="false">PurchasesNov!$P$1</f>
        <v>0</v>
      </c>
      <c r="K19" s="153" t="n">
        <f aca="false">PurchasesDec!$P$1</f>
        <v>0</v>
      </c>
      <c r="L19" s="127" t="n">
        <f aca="false">PurchasesJan!$P$1</f>
        <v>0</v>
      </c>
      <c r="M19" s="127" t="n">
        <f aca="false">PurchasesFeb!$P$1</f>
        <v>0</v>
      </c>
      <c r="N19" s="153" t="n">
        <f aca="false">PurchasesMar!$P$1</f>
        <v>0</v>
      </c>
      <c r="O19" s="135"/>
    </row>
    <row r="20" customFormat="false" ht="12.75" hidden="false" customHeight="false" outlineLevel="0" collapsed="false">
      <c r="A20" s="144" t="s">
        <v>125</v>
      </c>
      <c r="B20" s="127" t="n">
        <f aca="false">ROUNDUP(SUM(C20:N20),0)</f>
        <v>0</v>
      </c>
      <c r="C20" s="152" t="n">
        <f aca="false">PurchasesApr!$Q$1</f>
        <v>0</v>
      </c>
      <c r="D20" s="127" t="n">
        <f aca="false">PurchasesMay!$Q$1</f>
        <v>0</v>
      </c>
      <c r="E20" s="153" t="n">
        <f aca="false">PurchasesJun!$Q$1</f>
        <v>0</v>
      </c>
      <c r="F20" s="127" t="n">
        <f aca="false">PurchasesJul!$Q$1</f>
        <v>0</v>
      </c>
      <c r="G20" s="127" t="n">
        <f aca="false">PurchasesAug!$Q$1</f>
        <v>0</v>
      </c>
      <c r="H20" s="153" t="n">
        <f aca="false">PurchasesSep!$Q$1</f>
        <v>0</v>
      </c>
      <c r="I20" s="127" t="n">
        <f aca="false">PurchasesOct!$Q$1</f>
        <v>0</v>
      </c>
      <c r="J20" s="127" t="n">
        <f aca="false">PurchasesNov!$Q$1</f>
        <v>0</v>
      </c>
      <c r="K20" s="153" t="n">
        <f aca="false">PurchasesDec!$Q$1</f>
        <v>0</v>
      </c>
      <c r="L20" s="127" t="n">
        <f aca="false">PurchasesJan!$Q$1</f>
        <v>0</v>
      </c>
      <c r="M20" s="127" t="n">
        <f aca="false">PurchasesFeb!$Q$1</f>
        <v>0</v>
      </c>
      <c r="N20" s="153" t="n">
        <f aca="false">PurchasesMar!$Q$1</f>
        <v>0</v>
      </c>
      <c r="O20" s="135"/>
    </row>
    <row r="21" customFormat="false" ht="12.75" hidden="false" customHeight="false" outlineLevel="0" collapsed="false">
      <c r="A21" s="144" t="s">
        <v>126</v>
      </c>
      <c r="B21" s="127" t="n">
        <f aca="false">ROUNDUP(SUM(C21:N21),0)</f>
        <v>0</v>
      </c>
      <c r="C21" s="152" t="n">
        <f aca="false">PurchasesApr!$R$1</f>
        <v>0</v>
      </c>
      <c r="D21" s="127" t="n">
        <f aca="false">PurchasesMay!$R$1</f>
        <v>0</v>
      </c>
      <c r="E21" s="153" t="n">
        <f aca="false">PurchasesJun!$R$1</f>
        <v>0</v>
      </c>
      <c r="F21" s="127" t="n">
        <f aca="false">PurchasesJul!$R$1</f>
        <v>0</v>
      </c>
      <c r="G21" s="127" t="n">
        <f aca="false">PurchasesAug!$R$1</f>
        <v>0</v>
      </c>
      <c r="H21" s="153" t="n">
        <f aca="false">PurchasesSep!$R$1</f>
        <v>0</v>
      </c>
      <c r="I21" s="127" t="n">
        <f aca="false">PurchasesOct!$R$1</f>
        <v>0</v>
      </c>
      <c r="J21" s="127" t="n">
        <f aca="false">PurchasesNov!$R$1</f>
        <v>0</v>
      </c>
      <c r="K21" s="153" t="n">
        <f aca="false">PurchasesDec!$R$1</f>
        <v>0</v>
      </c>
      <c r="L21" s="127" t="n">
        <f aca="false">PurchasesJan!$R$1</f>
        <v>0</v>
      </c>
      <c r="M21" s="127" t="n">
        <f aca="false">PurchasesFeb!$R$1</f>
        <v>0</v>
      </c>
      <c r="N21" s="153" t="n">
        <f aca="false">PurchasesMar!$R$1</f>
        <v>0</v>
      </c>
      <c r="O21" s="135"/>
    </row>
    <row r="22" customFormat="false" ht="12.75" hidden="false" customHeight="false" outlineLevel="0" collapsed="false">
      <c r="A22" s="159" t="s">
        <v>127</v>
      </c>
      <c r="B22" s="149" t="n">
        <f aca="false">ROUNDUP(SUM(B14:B21),0)</f>
        <v>1380</v>
      </c>
      <c r="C22" s="150" t="n">
        <f aca="false">SUM(C14:C21)</f>
        <v>520</v>
      </c>
      <c r="D22" s="150" t="n">
        <f aca="false">SUM(D14:D21)</f>
        <v>0</v>
      </c>
      <c r="E22" s="150" t="n">
        <f aca="false">SUM(E14:E21)</f>
        <v>0</v>
      </c>
      <c r="F22" s="151" t="n">
        <f aca="false">SUM(F14:F21)</f>
        <v>120</v>
      </c>
      <c r="G22" s="150" t="n">
        <f aca="false">SUM(G14:G21)</f>
        <v>0</v>
      </c>
      <c r="H22" s="150" t="n">
        <f aca="false">SUM(H14:H21)</f>
        <v>0</v>
      </c>
      <c r="I22" s="151" t="n">
        <f aca="false">SUM(I14:I21)</f>
        <v>120</v>
      </c>
      <c r="J22" s="150" t="n">
        <f aca="false">SUM(J14:J21)</f>
        <v>0</v>
      </c>
      <c r="K22" s="150" t="n">
        <f aca="false">SUM(K14:K21)</f>
        <v>0</v>
      </c>
      <c r="L22" s="151" t="n">
        <f aca="false">SUM(L14:L21)</f>
        <v>620</v>
      </c>
      <c r="M22" s="150" t="n">
        <f aca="false">SUM(M14:M21)</f>
        <v>0</v>
      </c>
      <c r="N22" s="150" t="n">
        <f aca="false">SUM(N14:N21)</f>
        <v>0</v>
      </c>
      <c r="O22" s="135"/>
    </row>
    <row r="23" customFormat="false" ht="12.75" hidden="false" customHeight="false" outlineLevel="0" collapsed="false">
      <c r="A23" s="159" t="s">
        <v>128</v>
      </c>
      <c r="B23" s="149" t="n">
        <f aca="false">ROUNDDOWN((B13-B22),0)</f>
        <v>28565</v>
      </c>
      <c r="C23" s="150" t="n">
        <f aca="false">C13-C22</f>
        <v>751.666666666667</v>
      </c>
      <c r="D23" s="150" t="n">
        <f aca="false">D13-D22</f>
        <v>2606.66666666667</v>
      </c>
      <c r="E23" s="150" t="n">
        <f aca="false">E13-E22</f>
        <v>2606.66666666667</v>
      </c>
      <c r="F23" s="151" t="n">
        <f aca="false">F13-F22</f>
        <v>2486.66666666667</v>
      </c>
      <c r="G23" s="150" t="n">
        <f aca="false">G13-G22</f>
        <v>2606.66666666667</v>
      </c>
      <c r="H23" s="150" t="n">
        <f aca="false">H13-H22</f>
        <v>2606.66666666667</v>
      </c>
      <c r="I23" s="151" t="n">
        <f aca="false">I13-I22</f>
        <v>2486.66666666667</v>
      </c>
      <c r="J23" s="150" t="n">
        <f aca="false">J13-J22</f>
        <v>2606.66666666667</v>
      </c>
      <c r="K23" s="150" t="n">
        <f aca="false">K13-K22</f>
        <v>2606.66666666667</v>
      </c>
      <c r="L23" s="151" t="n">
        <f aca="false">L13-L22</f>
        <v>1986.66666666667</v>
      </c>
      <c r="M23" s="150" t="n">
        <f aca="false">M13-M22</f>
        <v>2606.66666666667</v>
      </c>
      <c r="N23" s="150" t="n">
        <f aca="false">N13-N22</f>
        <v>2606.66666666667</v>
      </c>
      <c r="O23" s="135"/>
    </row>
    <row r="24" customFormat="false" ht="12.75" hidden="false" customHeight="false" outlineLevel="0" collapsed="false">
      <c r="A24" s="160" t="s">
        <v>129</v>
      </c>
      <c r="B24" s="157" t="n">
        <f aca="false">ROUNDDOWN(SUM(C24:N24),0)</f>
        <v>500</v>
      </c>
      <c r="C24" s="161" t="n">
        <f aca="false">SalesApr!$F$1</f>
        <v>0</v>
      </c>
      <c r="D24" s="161" t="n">
        <f aca="false">SalesMay!$F$1</f>
        <v>0</v>
      </c>
      <c r="E24" s="161" t="n">
        <f aca="false">SalesJun!$F$1</f>
        <v>0</v>
      </c>
      <c r="F24" s="158" t="n">
        <f aca="false">SalesJul!$F$1</f>
        <v>0</v>
      </c>
      <c r="G24" s="161" t="n">
        <f aca="false">SalesAug!$F$1</f>
        <v>0</v>
      </c>
      <c r="H24" s="161" t="n">
        <f aca="false">SalesSep!$F$1</f>
        <v>500</v>
      </c>
      <c r="I24" s="158" t="n">
        <f aca="false">SalesOct!$F$1</f>
        <v>0</v>
      </c>
      <c r="J24" s="161" t="n">
        <f aca="false">SalesNov!$F$1</f>
        <v>0</v>
      </c>
      <c r="K24" s="161" t="n">
        <f aca="false">SalesDec!$F$1</f>
        <v>0</v>
      </c>
      <c r="L24" s="158" t="n">
        <f aca="false">SalesJan!$F$1</f>
        <v>0</v>
      </c>
      <c r="M24" s="161" t="n">
        <f aca="false">SalesFeb!$F$1</f>
        <v>0</v>
      </c>
      <c r="N24" s="161" t="n">
        <f aca="false">SalesMar!$F$1</f>
        <v>0</v>
      </c>
      <c r="O24" s="135"/>
    </row>
    <row r="25" s="165" customFormat="true" ht="12.75" hidden="false" customHeight="true" outlineLevel="0" collapsed="false">
      <c r="A25" s="162"/>
      <c r="B25" s="163"/>
      <c r="C25" s="163"/>
      <c r="D25" s="163"/>
      <c r="E25" s="163"/>
      <c r="F25" s="163"/>
      <c r="G25" s="163"/>
      <c r="H25" s="163"/>
      <c r="I25" s="163"/>
      <c r="J25" s="163"/>
      <c r="K25" s="163"/>
      <c r="L25" s="163"/>
      <c r="M25" s="163"/>
      <c r="N25" s="163"/>
      <c r="O25" s="164"/>
      <c r="Q25" s="128"/>
      <c r="AA25" s="128"/>
    </row>
    <row r="26" s="165" customFormat="true" ht="12.75" hidden="false" customHeight="false" outlineLevel="0" collapsed="false">
      <c r="A26" s="166" t="s">
        <v>130</v>
      </c>
      <c r="B26" s="167"/>
      <c r="C26" s="168"/>
      <c r="D26" s="168"/>
      <c r="E26" s="168"/>
      <c r="F26" s="168"/>
      <c r="G26" s="168"/>
      <c r="H26" s="168"/>
      <c r="I26" s="168"/>
      <c r="J26" s="168"/>
      <c r="K26" s="168"/>
      <c r="L26" s="168"/>
      <c r="M26" s="168"/>
      <c r="N26" s="168"/>
      <c r="O26" s="169"/>
      <c r="Q26" s="128"/>
      <c r="AA26" s="128"/>
    </row>
    <row r="27" s="165" customFormat="true" ht="12.75" hidden="false" customHeight="false" outlineLevel="0" collapsed="false">
      <c r="A27" s="170" t="s">
        <v>131</v>
      </c>
      <c r="B27" s="171" t="n">
        <f aca="false">SUM(C27:N27)</f>
        <v>29065</v>
      </c>
      <c r="C27" s="172" t="n">
        <f aca="false">'Wages Forecast'!D30</f>
        <v>751.666666666667</v>
      </c>
      <c r="D27" s="172" t="n">
        <f aca="false">'Wages Forecast'!E30</f>
        <v>2606.66666666667</v>
      </c>
      <c r="E27" s="172" t="n">
        <f aca="false">'Wages Forecast'!F30</f>
        <v>2606.66666666667</v>
      </c>
      <c r="F27" s="172" t="n">
        <f aca="false">'Wages Forecast'!G30</f>
        <v>2486.66666666667</v>
      </c>
      <c r="G27" s="172" t="n">
        <f aca="false">'Wages Forecast'!H30</f>
        <v>2606.66666666667</v>
      </c>
      <c r="H27" s="172" t="n">
        <f aca="false">'Wages Forecast'!I30</f>
        <v>3106.66666666667</v>
      </c>
      <c r="I27" s="172" t="n">
        <f aca="false">'Wages Forecast'!J30</f>
        <v>2486.66666666667</v>
      </c>
      <c r="J27" s="172" t="n">
        <f aca="false">'Wages Forecast'!K30</f>
        <v>2606.66666666667</v>
      </c>
      <c r="K27" s="172" t="n">
        <f aca="false">'Wages Forecast'!L30</f>
        <v>2606.66666666667</v>
      </c>
      <c r="L27" s="172" t="n">
        <f aca="false">'Wages Forecast'!M30</f>
        <v>1986.66666666667</v>
      </c>
      <c r="M27" s="172" t="n">
        <f aca="false">'Wages Forecast'!N30</f>
        <v>2606.66666666667</v>
      </c>
      <c r="N27" s="172" t="n">
        <f aca="false">'Wages Forecast'!O30</f>
        <v>2606.66666666667</v>
      </c>
      <c r="O27" s="173"/>
      <c r="Q27" s="128"/>
      <c r="AA27" s="128"/>
    </row>
    <row r="28" s="165" customFormat="true" ht="12.75" hidden="false" customHeight="false" outlineLevel="0" collapsed="false">
      <c r="A28" s="174" t="s">
        <v>132</v>
      </c>
      <c r="B28" s="175" t="n">
        <f aca="false">SUM(C28:N28)</f>
        <v>0</v>
      </c>
      <c r="C28" s="176"/>
      <c r="D28" s="176"/>
      <c r="E28" s="176"/>
      <c r="F28" s="176"/>
      <c r="G28" s="176"/>
      <c r="H28" s="176"/>
      <c r="I28" s="176"/>
      <c r="J28" s="176"/>
      <c r="K28" s="176"/>
      <c r="L28" s="176"/>
      <c r="M28" s="176"/>
      <c r="N28" s="176"/>
      <c r="O28" s="173"/>
      <c r="Q28" s="128"/>
      <c r="AA28" s="128"/>
    </row>
    <row r="29" s="165" customFormat="true" ht="12.75" hidden="false" customHeight="false" outlineLevel="0" collapsed="false">
      <c r="A29" s="174" t="s">
        <v>133</v>
      </c>
      <c r="B29" s="175" t="n">
        <f aca="false">SUM(C29:N29)</f>
        <v>0</v>
      </c>
      <c r="C29" s="176"/>
      <c r="D29" s="176"/>
      <c r="E29" s="176"/>
      <c r="F29" s="176"/>
      <c r="G29" s="176"/>
      <c r="H29" s="176"/>
      <c r="I29" s="176"/>
      <c r="J29" s="176"/>
      <c r="K29" s="176"/>
      <c r="L29" s="176"/>
      <c r="M29" s="176"/>
      <c r="N29" s="176"/>
      <c r="O29" s="173"/>
      <c r="Q29" s="128"/>
      <c r="AA29" s="128"/>
    </row>
    <row r="30" s="165" customFormat="true" ht="12.75" hidden="false" customHeight="false" outlineLevel="0" collapsed="false">
      <c r="A30" s="174" t="s">
        <v>134</v>
      </c>
      <c r="B30" s="175" t="n">
        <f aca="false">SUM(C30:N30)</f>
        <v>0</v>
      </c>
      <c r="C30" s="176"/>
      <c r="D30" s="176"/>
      <c r="E30" s="176"/>
      <c r="F30" s="176"/>
      <c r="G30" s="176"/>
      <c r="H30" s="176"/>
      <c r="I30" s="176"/>
      <c r="J30" s="176"/>
      <c r="K30" s="176"/>
      <c r="L30" s="176"/>
      <c r="M30" s="176"/>
      <c r="N30" s="176"/>
      <c r="O30" s="173"/>
      <c r="Q30" s="128"/>
      <c r="AA30" s="128"/>
    </row>
    <row r="31" s="165" customFormat="true" ht="12.75" hidden="false" customHeight="false" outlineLevel="0" collapsed="false">
      <c r="A31" s="174" t="s">
        <v>135</v>
      </c>
      <c r="B31" s="175" t="n">
        <f aca="false">SUM(C31:N31)</f>
        <v>0</v>
      </c>
      <c r="C31" s="176"/>
      <c r="D31" s="176"/>
      <c r="E31" s="176"/>
      <c r="F31" s="176"/>
      <c r="G31" s="176"/>
      <c r="H31" s="176"/>
      <c r="I31" s="176"/>
      <c r="J31" s="176"/>
      <c r="K31" s="176"/>
      <c r="L31" s="176"/>
      <c r="M31" s="176"/>
      <c r="N31" s="176"/>
      <c r="O31" s="173"/>
      <c r="Q31" s="128"/>
      <c r="AA31" s="128"/>
    </row>
    <row r="32" s="165" customFormat="true" ht="12.75" hidden="false" customHeight="false" outlineLevel="0" collapsed="false">
      <c r="A32" s="174" t="s">
        <v>136</v>
      </c>
      <c r="B32" s="175" t="n">
        <f aca="false">SUM(C32:N32)</f>
        <v>4288.7</v>
      </c>
      <c r="C32" s="172" t="n">
        <f aca="false">'Wages Forecast'!C$41/12</f>
        <v>357.391666666667</v>
      </c>
      <c r="D32" s="172" t="n">
        <f aca="false">'Wages Forecast'!C$41/12</f>
        <v>357.391666666667</v>
      </c>
      <c r="E32" s="172" t="n">
        <f aca="false">'Wages Forecast'!C$41/12</f>
        <v>357.391666666667</v>
      </c>
      <c r="F32" s="172" t="n">
        <f aca="false">'Wages Forecast'!C$41/12</f>
        <v>357.391666666667</v>
      </c>
      <c r="G32" s="172" t="n">
        <f aca="false">'Wages Forecast'!C$41/12</f>
        <v>357.391666666667</v>
      </c>
      <c r="H32" s="172" t="n">
        <f aca="false">'Wages Forecast'!C$41/12</f>
        <v>357.391666666667</v>
      </c>
      <c r="I32" s="172" t="n">
        <f aca="false">'Wages Forecast'!C$41/12</f>
        <v>357.391666666667</v>
      </c>
      <c r="J32" s="172" t="n">
        <f aca="false">'Wages Forecast'!C$41/12</f>
        <v>357.391666666667</v>
      </c>
      <c r="K32" s="172" t="n">
        <f aca="false">'Wages Forecast'!C$41/12</f>
        <v>357.391666666667</v>
      </c>
      <c r="L32" s="172" t="n">
        <f aca="false">'Wages Forecast'!C$41/12</f>
        <v>357.391666666667</v>
      </c>
      <c r="M32" s="172" t="n">
        <f aca="false">'Wages Forecast'!C$41/12</f>
        <v>357.391666666667</v>
      </c>
      <c r="N32" s="172" t="n">
        <f aca="false">'Wages Forecast'!C$41/12</f>
        <v>357.391666666667</v>
      </c>
      <c r="O32" s="173"/>
      <c r="Q32" s="128"/>
      <c r="AA32" s="128"/>
    </row>
    <row r="33" s="165" customFormat="true" ht="12.75" hidden="false" customHeight="false" outlineLevel="0" collapsed="false">
      <c r="A33" s="170" t="s">
        <v>137</v>
      </c>
      <c r="B33" s="171" t="n">
        <f aca="false">SUM(C33:N33)</f>
        <v>24776.3</v>
      </c>
      <c r="C33" s="177" t="n">
        <f aca="false">C27-SUM(C28:C31)-C32</f>
        <v>394.275</v>
      </c>
      <c r="D33" s="177" t="n">
        <f aca="false">D27-SUM(D28:D31)-D32</f>
        <v>2249.275</v>
      </c>
      <c r="E33" s="177" t="n">
        <f aca="false">E27-SUM(E28:E31)-E32</f>
        <v>2249.275</v>
      </c>
      <c r="F33" s="177" t="n">
        <f aca="false">F27-SUM(F28:F31)-F32</f>
        <v>2129.275</v>
      </c>
      <c r="G33" s="177" t="n">
        <f aca="false">G27-SUM(G28:G31)-G32</f>
        <v>2249.275</v>
      </c>
      <c r="H33" s="177" t="n">
        <f aca="false">H27-SUM(H28:H31)-H32</f>
        <v>2749.275</v>
      </c>
      <c r="I33" s="177" t="n">
        <f aca="false">I27-SUM(I28:I31)-I32</f>
        <v>2129.275</v>
      </c>
      <c r="J33" s="177" t="n">
        <f aca="false">J27-SUM(J28:J31)-J32</f>
        <v>2249.275</v>
      </c>
      <c r="K33" s="177" t="n">
        <f aca="false">K27-SUM(K28:K31)-K32</f>
        <v>2249.275</v>
      </c>
      <c r="L33" s="177" t="n">
        <f aca="false">L27-SUM(L28:L31)-L32</f>
        <v>1629.275</v>
      </c>
      <c r="M33" s="177" t="n">
        <f aca="false">M27-SUM(M28:M31)-M32</f>
        <v>2249.275</v>
      </c>
      <c r="N33" s="177" t="n">
        <f aca="false">N27-SUM(N28:N31)-N32</f>
        <v>2249.275</v>
      </c>
      <c r="O33" s="173"/>
      <c r="Q33" s="128"/>
      <c r="AA33" s="128"/>
    </row>
    <row r="34" s="165" customFormat="true" ht="6" hidden="false" customHeight="true" outlineLevel="0" collapsed="false">
      <c r="A34" s="162"/>
      <c r="B34" s="178"/>
      <c r="C34" s="179"/>
      <c r="D34" s="179"/>
      <c r="E34" s="179"/>
      <c r="F34" s="179"/>
      <c r="G34" s="179"/>
      <c r="H34" s="179"/>
      <c r="I34" s="179"/>
      <c r="J34" s="179"/>
      <c r="K34" s="179"/>
      <c r="L34" s="179"/>
      <c r="M34" s="179"/>
      <c r="N34" s="179"/>
      <c r="O34" s="164"/>
      <c r="Q34" s="128"/>
      <c r="AA34" s="128"/>
    </row>
    <row r="35" s="180" customFormat="true" ht="12.75" hidden="false" customHeight="false" outlineLevel="0" collapsed="false">
      <c r="B35" s="181"/>
      <c r="C35" s="181"/>
      <c r="D35" s="181"/>
      <c r="E35" s="181"/>
      <c r="F35" s="181"/>
      <c r="G35" s="181"/>
      <c r="H35" s="181"/>
      <c r="I35" s="181"/>
      <c r="J35" s="181"/>
      <c r="K35" s="181"/>
      <c r="L35" s="181"/>
      <c r="M35" s="181"/>
      <c r="N35" s="181"/>
      <c r="O35" s="181"/>
      <c r="Q35" s="128"/>
      <c r="AA35" s="128"/>
    </row>
  </sheetData>
  <mergeCells count="15">
    <mergeCell ref="D1:H1"/>
    <mergeCell ref="K1:N1"/>
    <mergeCell ref="A2:A3"/>
    <mergeCell ref="C2:C3"/>
    <mergeCell ref="D2:D3"/>
    <mergeCell ref="E2:E3"/>
    <mergeCell ref="F2:F3"/>
    <mergeCell ref="G2:G3"/>
    <mergeCell ref="H2:H3"/>
    <mergeCell ref="I2:I3"/>
    <mergeCell ref="J2:J3"/>
    <mergeCell ref="K2:K3"/>
    <mergeCell ref="L2:L3"/>
    <mergeCell ref="M2:M3"/>
    <mergeCell ref="N2:N3"/>
  </mergeCells>
  <printOptions headings="false" gridLines="true" gridLinesSet="true" horizontalCentered="true" verticalCentered="true"/>
  <pageMargins left="0.196527777777778" right="0.196527777777778" top="0.629861111111111" bottom="0.747916666666667" header="0.196527777777778" footer="0.354166666666667"/>
  <pageSetup paperSize="9" scale="100" fitToWidth="1" fitToHeight="1" pageOrder="downThenOver" orientation="landscape" blackAndWhite="false" draft="false" cellComments="none" horizontalDpi="300" verticalDpi="300" copies="1"/>
  <headerFooter differentFirst="false" differentOddEven="false">
    <oddHeader>&amp;C&amp;"Arial,Bold"&amp;11Financial accounts for the period
6 April 2017 to 5 April 2018</oddHeader>
    <oddFooter>&amp;L&amp;D  &amp;T&amp;C&amp;P  of  &amp;N&amp;R&amp;F  &amp;A</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8" width="1.66"/>
    <col collapsed="false" customWidth="true" hidden="false" outlineLevel="0" max="2" min="2" style="128" width="22.32"/>
    <col collapsed="false" customWidth="false" hidden="false" outlineLevel="0" max="3" min="3" style="128" width="9.15"/>
    <col collapsed="false" customWidth="true" hidden="false" outlineLevel="0" max="4" min="4" style="128" width="10.15"/>
    <col collapsed="false" customWidth="false" hidden="false" outlineLevel="0" max="7" min="5" style="128" width="9.15"/>
    <col collapsed="false" customWidth="true" hidden="false" outlineLevel="0" max="8" min="8" style="128" width="23.66"/>
    <col collapsed="false" customWidth="true" hidden="false" outlineLevel="0" max="9" min="9" style="128" width="1.66"/>
    <col collapsed="false" customWidth="false" hidden="false" outlineLevel="0" max="257" min="19" style="128" width="9.15"/>
  </cols>
  <sheetData>
    <row r="1" customFormat="false" ht="4.5" hidden="false" customHeight="true" outlineLevel="0" collapsed="false">
      <c r="A1" s="182"/>
      <c r="B1" s="182"/>
      <c r="C1" s="182"/>
      <c r="D1" s="182"/>
      <c r="E1" s="182"/>
      <c r="F1" s="182"/>
      <c r="G1" s="182"/>
      <c r="H1" s="182"/>
      <c r="I1" s="182"/>
    </row>
    <row r="2" s="136" customFormat="true" ht="12.75" hidden="false" customHeight="false" outlineLevel="0" collapsed="false">
      <c r="A2" s="182"/>
      <c r="B2" s="183" t="s">
        <v>138</v>
      </c>
      <c r="C2" s="183" t="s">
        <v>139</v>
      </c>
      <c r="D2" s="183" t="s">
        <v>140</v>
      </c>
      <c r="E2" s="183" t="s">
        <v>141</v>
      </c>
      <c r="F2" s="183" t="s">
        <v>142</v>
      </c>
      <c r="G2" s="183" t="s">
        <v>143</v>
      </c>
      <c r="H2" s="183" t="s">
        <v>144</v>
      </c>
      <c r="I2" s="182"/>
    </row>
    <row r="3" customFormat="false" ht="12.75" hidden="false" customHeight="false" outlineLevel="0" collapsed="false">
      <c r="A3" s="182"/>
      <c r="B3" s="183"/>
      <c r="C3" s="183"/>
      <c r="D3" s="183"/>
      <c r="E3" s="183"/>
      <c r="F3" s="183"/>
      <c r="G3" s="183"/>
      <c r="H3" s="183"/>
      <c r="I3" s="182"/>
    </row>
    <row r="4" s="143" customFormat="true" ht="12.75" hidden="false" customHeight="false" outlineLevel="0" collapsed="false">
      <c r="A4" s="182"/>
      <c r="B4" s="182"/>
      <c r="C4" s="182"/>
      <c r="D4" s="182"/>
      <c r="E4" s="182"/>
      <c r="F4" s="182"/>
      <c r="G4" s="182"/>
      <c r="H4" s="182"/>
      <c r="I4" s="182"/>
    </row>
    <row r="5" customFormat="false" ht="12.75" hidden="false" customHeight="false" outlineLevel="0" collapsed="false">
      <c r="A5" s="182"/>
      <c r="B5" s="182" t="s">
        <v>145</v>
      </c>
      <c r="C5" s="184" t="n">
        <f aca="false">SUM('Profit &amp; Loss Acc'!C5:E5)</f>
        <v>9045</v>
      </c>
      <c r="D5" s="184" t="n">
        <f aca="false">SUM('Profit &amp; Loss Acc'!F5:H5)</f>
        <v>9000</v>
      </c>
      <c r="E5" s="184" t="n">
        <f aca="false">SUM('Profit &amp; Loss Acc'!I5:K5)</f>
        <v>9000</v>
      </c>
      <c r="F5" s="184" t="n">
        <f aca="false">SUM('Profit &amp; Loss Acc'!L5:N5)</f>
        <v>9000</v>
      </c>
      <c r="G5" s="185" t="n">
        <f aca="false">SUM(C5:F5)</f>
        <v>36045</v>
      </c>
      <c r="H5" s="182"/>
      <c r="I5" s="182"/>
    </row>
    <row r="6" customFormat="false" ht="12.75" hidden="false" customHeight="false" outlineLevel="0" collapsed="false">
      <c r="A6" s="182"/>
      <c r="B6" s="182" t="s">
        <v>146</v>
      </c>
      <c r="C6" s="184" t="n">
        <f aca="false">SUM('Profit &amp; Loss Acc'!C24:E24)</f>
        <v>0</v>
      </c>
      <c r="D6" s="184" t="n">
        <f aca="false">SUM('Profit &amp; Loss Acc'!F24:H24)</f>
        <v>500</v>
      </c>
      <c r="E6" s="184" t="n">
        <f aca="false">SUM('Profit &amp; Loss Acc'!I24:K24)</f>
        <v>0</v>
      </c>
      <c r="F6" s="184" t="n">
        <f aca="false">SUM('Profit &amp; Loss Acc'!L24:N24)</f>
        <v>0</v>
      </c>
      <c r="G6" s="185" t="n">
        <f aca="false">SUM(C6:F6)</f>
        <v>500</v>
      </c>
      <c r="H6" s="182"/>
      <c r="I6" s="182"/>
    </row>
    <row r="7" customFormat="false" ht="12.75" hidden="false" customHeight="false" outlineLevel="0" collapsed="false">
      <c r="A7" s="182"/>
      <c r="B7" s="182" t="s">
        <v>147</v>
      </c>
      <c r="C7" s="184" t="n">
        <f aca="false">SUM('Profit &amp; Loss Acc'!C11:E11)</f>
        <v>0</v>
      </c>
      <c r="D7" s="184" t="n">
        <f aca="false">SUM('Profit &amp; Loss Acc'!F11:H11)</f>
        <v>0</v>
      </c>
      <c r="E7" s="184" t="n">
        <f aca="false">SUM('Profit &amp; Loss Acc'!I11:K11)</f>
        <v>0</v>
      </c>
      <c r="F7" s="184" t="n">
        <f aca="false">SUM('Profit &amp; Loss Acc'!L11:N11)</f>
        <v>0</v>
      </c>
      <c r="G7" s="185" t="n">
        <f aca="false">SUM(C7:F7)</f>
        <v>0</v>
      </c>
      <c r="H7" s="182"/>
      <c r="I7" s="182"/>
    </row>
    <row r="8" s="154" customFormat="true" ht="12.75" hidden="false" customHeight="false" outlineLevel="0" collapsed="false">
      <c r="A8" s="182"/>
      <c r="B8" s="182"/>
      <c r="C8" s="182"/>
      <c r="D8" s="182"/>
      <c r="E8" s="182"/>
      <c r="F8" s="182"/>
      <c r="G8" s="182"/>
      <c r="H8" s="182"/>
      <c r="I8" s="182"/>
    </row>
    <row r="9" customFormat="false" ht="12.75" hidden="false" customHeight="false" outlineLevel="0" collapsed="false">
      <c r="A9" s="182"/>
      <c r="B9" s="182"/>
      <c r="C9" s="182"/>
      <c r="D9" s="182"/>
      <c r="E9" s="182"/>
      <c r="F9" s="182"/>
      <c r="G9" s="182"/>
      <c r="H9" s="182"/>
      <c r="I9" s="182"/>
    </row>
    <row r="10" customFormat="false" ht="12.75" hidden="false" customHeight="false" outlineLevel="0" collapsed="false">
      <c r="A10" s="182"/>
      <c r="B10" s="186" t="s">
        <v>148</v>
      </c>
      <c r="C10" s="182"/>
      <c r="D10" s="182"/>
      <c r="E10" s="182"/>
      <c r="F10" s="182"/>
      <c r="G10" s="182"/>
      <c r="H10" s="182"/>
      <c r="I10" s="182"/>
    </row>
    <row r="11" customFormat="false" ht="12.75" hidden="false" customHeight="false" outlineLevel="0" collapsed="false">
      <c r="A11" s="182"/>
      <c r="B11" s="182"/>
      <c r="C11" s="182"/>
      <c r="D11" s="182"/>
      <c r="E11" s="182"/>
      <c r="F11" s="182"/>
      <c r="G11" s="182"/>
      <c r="H11" s="182"/>
      <c r="I11" s="182"/>
    </row>
    <row r="12" customFormat="false" ht="12.75" hidden="false" customHeight="false" outlineLevel="0" collapsed="false">
      <c r="A12" s="182"/>
      <c r="B12" s="182" t="s">
        <v>149</v>
      </c>
      <c r="C12" s="185" t="n">
        <f aca="false">SUM('Profit &amp; Loss Acc'!C14:E14)</f>
        <v>0</v>
      </c>
      <c r="D12" s="185" t="n">
        <f aca="false">SUM('Profit &amp; Loss Acc'!F14:H14)</f>
        <v>0</v>
      </c>
      <c r="E12" s="185" t="n">
        <f aca="false">SUM('Profit &amp; Loss Acc'!I14:K14)</f>
        <v>0</v>
      </c>
      <c r="F12" s="185" t="n">
        <f aca="false">SUM('Profit &amp; Loss Acc'!L14:N14)</f>
        <v>0</v>
      </c>
      <c r="G12" s="185" t="n">
        <f aca="false">SUM(C12:F12)</f>
        <v>0</v>
      </c>
      <c r="H12" s="182"/>
      <c r="I12" s="182"/>
    </row>
    <row r="13" customFormat="false" ht="12.75" hidden="false" customHeight="false" outlineLevel="0" collapsed="false">
      <c r="A13" s="182"/>
      <c r="B13" s="182" t="s">
        <v>150</v>
      </c>
      <c r="C13" s="185" t="n">
        <f aca="false">SUM('Profit &amp; Loss Acc'!C15:E15)</f>
        <v>0</v>
      </c>
      <c r="D13" s="185" t="n">
        <f aca="false">SUM('Profit &amp; Loss Acc'!F15:H15)</f>
        <v>0</v>
      </c>
      <c r="E13" s="185" t="n">
        <f aca="false">SUM('Profit &amp; Loss Acc'!I15:K15)</f>
        <v>0</v>
      </c>
      <c r="F13" s="185" t="n">
        <f aca="false">SUM('Profit &amp; Loss Acc'!L15:N15)</f>
        <v>0</v>
      </c>
      <c r="G13" s="185" t="n">
        <f aca="false">SUM(C13:F13)</f>
        <v>0</v>
      </c>
      <c r="H13" s="182"/>
      <c r="I13" s="182"/>
    </row>
    <row r="14" customFormat="false" ht="12.75" hidden="false" customHeight="false" outlineLevel="0" collapsed="false">
      <c r="A14" s="182"/>
      <c r="B14" s="182" t="s">
        <v>151</v>
      </c>
      <c r="C14" s="185" t="n">
        <f aca="false">SUM('Profit &amp; Loss Acc'!C8:E9)</f>
        <v>1380</v>
      </c>
      <c r="D14" s="185" t="n">
        <f aca="false">SUM('Profit &amp; Loss Acc'!F8:H9)</f>
        <v>0</v>
      </c>
      <c r="E14" s="185" t="n">
        <f aca="false">SUM('Profit &amp; Loss Acc'!I8:K9)</f>
        <v>0</v>
      </c>
      <c r="F14" s="185" t="n">
        <f aca="false">SUM('Profit &amp; Loss Acc'!L8:N9)</f>
        <v>0</v>
      </c>
      <c r="G14" s="185" t="n">
        <f aca="false">SUM(C14:F14)</f>
        <v>1380</v>
      </c>
      <c r="H14" s="182"/>
      <c r="I14" s="182"/>
    </row>
    <row r="15" customFormat="false" ht="12.75" hidden="false" customHeight="false" outlineLevel="0" collapsed="false">
      <c r="A15" s="182"/>
      <c r="B15" s="182" t="s">
        <v>152</v>
      </c>
      <c r="C15" s="185" t="n">
        <f aca="false">SUM('Profit &amp; Loss Acc'!C16:E16)</f>
        <v>120</v>
      </c>
      <c r="D15" s="185" t="n">
        <f aca="false">SUM('Profit &amp; Loss Acc'!F16:H16)</f>
        <v>120</v>
      </c>
      <c r="E15" s="185" t="n">
        <f aca="false">SUM('Profit &amp; Loss Acc'!I16:K16)</f>
        <v>120</v>
      </c>
      <c r="F15" s="185" t="n">
        <f aca="false">SUM('Profit &amp; Loss Acc'!L16:N16)</f>
        <v>120</v>
      </c>
      <c r="G15" s="185" t="n">
        <f aca="false">SUM(C15:F15)</f>
        <v>480</v>
      </c>
      <c r="H15" s="182"/>
      <c r="I15" s="182"/>
    </row>
    <row r="16" customFormat="false" ht="12.75" hidden="false" customHeight="false" outlineLevel="0" collapsed="false">
      <c r="A16" s="182"/>
      <c r="B16" s="182" t="s">
        <v>153</v>
      </c>
      <c r="C16" s="185" t="n">
        <f aca="false">SUM('Profit &amp; Loss Acc'!C20:E20)</f>
        <v>0</v>
      </c>
      <c r="D16" s="185" t="n">
        <f aca="false">SUM('Profit &amp; Loss Acc'!F20:H20)</f>
        <v>0</v>
      </c>
      <c r="E16" s="185" t="n">
        <f aca="false">SUM('Profit &amp; Loss Acc'!I20:K20)</f>
        <v>0</v>
      </c>
      <c r="F16" s="185" t="n">
        <f aca="false">SUM('Profit &amp; Loss Acc'!L20:N20)</f>
        <v>0</v>
      </c>
      <c r="G16" s="185" t="n">
        <f aca="false">SUM(C16:F16)</f>
        <v>0</v>
      </c>
      <c r="H16" s="182"/>
      <c r="I16" s="182"/>
    </row>
    <row r="17" customFormat="false" ht="12.75" hidden="false" customHeight="false" outlineLevel="0" collapsed="false">
      <c r="A17" s="182"/>
      <c r="B17" s="182" t="s">
        <v>154</v>
      </c>
      <c r="C17" s="185" t="n">
        <f aca="false">SUM('Profit &amp; Loss Acc'!C6:E7)</f>
        <v>900</v>
      </c>
      <c r="D17" s="185" t="n">
        <f aca="false">SUM('Profit &amp; Loss Acc'!F6:H7)</f>
        <v>900</v>
      </c>
      <c r="E17" s="185" t="n">
        <f aca="false">SUM('Profit &amp; Loss Acc'!I6:K7)</f>
        <v>900</v>
      </c>
      <c r="F17" s="185" t="n">
        <f aca="false">SUM('Profit &amp; Loss Acc'!L6:N7)</f>
        <v>900</v>
      </c>
      <c r="G17" s="185" t="n">
        <f aca="false">SUM(C17:F17)</f>
        <v>3600</v>
      </c>
      <c r="H17" s="182"/>
      <c r="I17" s="182"/>
    </row>
    <row r="18" customFormat="false" ht="12.75" hidden="false" customHeight="false" outlineLevel="0" collapsed="false">
      <c r="A18" s="182"/>
      <c r="B18" s="182" t="s">
        <v>155</v>
      </c>
      <c r="C18" s="185" t="n">
        <f aca="false">SUM('Profit &amp; Loss Acc'!C17:E17)</f>
        <v>0</v>
      </c>
      <c r="D18" s="185" t="n">
        <f aca="false">SUM('Profit &amp; Loss Acc'!F17:H17)</f>
        <v>0</v>
      </c>
      <c r="E18" s="185" t="n">
        <f aca="false">SUM('Profit &amp; Loss Acc'!I17:K17)</f>
        <v>0</v>
      </c>
      <c r="F18" s="185" t="n">
        <f aca="false">SUM('Profit &amp; Loss Acc'!L17:N17)</f>
        <v>0</v>
      </c>
      <c r="G18" s="185" t="n">
        <f aca="false">SUM(C18:F18)</f>
        <v>0</v>
      </c>
      <c r="H18" s="182"/>
      <c r="I18" s="182"/>
    </row>
    <row r="19" customFormat="false" ht="12.75" hidden="false" customHeight="false" outlineLevel="0" collapsed="false">
      <c r="A19" s="182"/>
      <c r="B19" s="182" t="s">
        <v>156</v>
      </c>
      <c r="C19" s="185" t="n">
        <f aca="false">SUM('Profit &amp; Loss Acc'!C18:E18)</f>
        <v>400</v>
      </c>
      <c r="D19" s="185" t="n">
        <f aca="false">SUM('Profit &amp; Loss Acc'!F18:H18)</f>
        <v>0</v>
      </c>
      <c r="E19" s="185" t="n">
        <f aca="false">SUM('Profit &amp; Loss Acc'!I18:K18)</f>
        <v>0</v>
      </c>
      <c r="F19" s="185" t="n">
        <f aca="false">SUM('Profit &amp; Loss Acc'!L18:N18)</f>
        <v>500</v>
      </c>
      <c r="G19" s="185" t="n">
        <f aca="false">SUM(C19:F19)</f>
        <v>900</v>
      </c>
      <c r="H19" s="182"/>
      <c r="I19" s="182"/>
    </row>
    <row r="20" customFormat="false" ht="12.75" hidden="false" customHeight="false" outlineLevel="0" collapsed="false">
      <c r="A20" s="182"/>
      <c r="B20" s="182" t="s">
        <v>157</v>
      </c>
      <c r="C20" s="185" t="n">
        <v>0</v>
      </c>
      <c r="D20" s="185" t="n">
        <v>0</v>
      </c>
      <c r="E20" s="185" t="n">
        <v>0</v>
      </c>
      <c r="F20" s="185" t="n">
        <v>0</v>
      </c>
      <c r="G20" s="185" t="n">
        <f aca="false">SUM(C20:F20)</f>
        <v>0</v>
      </c>
      <c r="H20" s="182" t="s">
        <v>158</v>
      </c>
      <c r="I20" s="182"/>
    </row>
    <row r="21" customFormat="false" ht="12.75" hidden="false" customHeight="false" outlineLevel="0" collapsed="false">
      <c r="A21" s="182"/>
      <c r="B21" s="182" t="s">
        <v>124</v>
      </c>
      <c r="C21" s="185" t="n">
        <f aca="false">SUM('Profit &amp; Loss Acc'!C19:E19)</f>
        <v>0</v>
      </c>
      <c r="D21" s="185" t="n">
        <f aca="false">SUM('Profit &amp; Loss Acc'!F19:H19)</f>
        <v>0</v>
      </c>
      <c r="E21" s="185" t="n">
        <f aca="false">SUM('Profit &amp; Loss Acc'!I19:K19)</f>
        <v>0</v>
      </c>
      <c r="F21" s="185" t="n">
        <f aca="false">SUM('Profit &amp; Loss Acc'!L19:N19)</f>
        <v>0</v>
      </c>
      <c r="G21" s="185" t="n">
        <f aca="false">SUM(C21:F21)</f>
        <v>0</v>
      </c>
      <c r="H21" s="182"/>
      <c r="I21" s="182"/>
    </row>
    <row r="22" customFormat="false" ht="12.75" hidden="false" customHeight="false" outlineLevel="0" collapsed="false">
      <c r="A22" s="182"/>
      <c r="B22" s="182" t="s">
        <v>159</v>
      </c>
      <c r="C22" s="185" t="n">
        <f aca="false">SUM('Profit &amp; Loss Acc'!C21:E21)</f>
        <v>0</v>
      </c>
      <c r="D22" s="185" t="n">
        <f aca="false">SUM('Profit &amp; Loss Acc'!F21:H21)</f>
        <v>0</v>
      </c>
      <c r="E22" s="185" t="n">
        <f aca="false">SUM('Profit &amp; Loss Acc'!I21:K21)</f>
        <v>0</v>
      </c>
      <c r="F22" s="185" t="n">
        <f aca="false">SUM('Profit &amp; Loss Acc'!L21:N21)</f>
        <v>0</v>
      </c>
      <c r="G22" s="185" t="n">
        <f aca="false">SUM(C22:F22)</f>
        <v>0</v>
      </c>
      <c r="H22" s="182"/>
      <c r="I22" s="182"/>
    </row>
    <row r="23" customFormat="false" ht="12.75" hidden="false" customHeight="false" outlineLevel="0" collapsed="false">
      <c r="A23" s="182"/>
      <c r="B23" s="182"/>
      <c r="C23" s="182"/>
      <c r="D23" s="182"/>
      <c r="E23" s="182"/>
      <c r="F23" s="182"/>
      <c r="G23" s="182"/>
      <c r="H23" s="182"/>
      <c r="I23" s="182"/>
    </row>
    <row r="24" customFormat="false" ht="12.75" hidden="false" customHeight="false" outlineLevel="0" collapsed="false">
      <c r="A24" s="182"/>
      <c r="B24" s="182" t="s">
        <v>160</v>
      </c>
      <c r="C24" s="185" t="n">
        <v>0</v>
      </c>
      <c r="D24" s="185" t="n">
        <v>0</v>
      </c>
      <c r="E24" s="185" t="n">
        <v>0</v>
      </c>
      <c r="F24" s="185" t="n">
        <v>0</v>
      </c>
      <c r="G24" s="185" t="n">
        <f aca="false">SUM(C24:F24)</f>
        <v>0</v>
      </c>
      <c r="H24" s="182" t="s">
        <v>158</v>
      </c>
      <c r="I24" s="182"/>
    </row>
    <row r="25" customFormat="false" ht="12.75" hidden="false" customHeight="false" outlineLevel="0" collapsed="false">
      <c r="A25" s="182"/>
      <c r="B25" s="182" t="s">
        <v>161</v>
      </c>
      <c r="C25" s="185" t="n">
        <v>0</v>
      </c>
      <c r="D25" s="185" t="n">
        <v>0</v>
      </c>
      <c r="E25" s="185" t="n">
        <v>0</v>
      </c>
      <c r="F25" s="185" t="n">
        <v>0</v>
      </c>
      <c r="G25" s="185" t="n">
        <f aca="false">SUM(C25:F25)</f>
        <v>0</v>
      </c>
      <c r="H25" s="182" t="s">
        <v>158</v>
      </c>
      <c r="I25" s="182"/>
    </row>
    <row r="26" customFormat="false" ht="12.75" hidden="false" customHeight="false" outlineLevel="0" collapsed="false">
      <c r="A26" s="182"/>
      <c r="B26" s="182" t="s">
        <v>162</v>
      </c>
      <c r="C26" s="185" t="n">
        <f aca="false">SUM('Profit &amp; Loss Acc'!C10:E10)</f>
        <v>280</v>
      </c>
      <c r="D26" s="185" t="n">
        <f aca="false">SUM('Profit &amp; Loss Acc'!F10:H10)</f>
        <v>280</v>
      </c>
      <c r="E26" s="185" t="n">
        <f aca="false">SUM('Profit &amp; Loss Acc'!I10:K10)</f>
        <v>280</v>
      </c>
      <c r="F26" s="185" t="n">
        <f aca="false">SUM('Profit &amp; Loss Acc'!L10:N10)</f>
        <v>280</v>
      </c>
      <c r="G26" s="185" t="n">
        <f aca="false">SUM(C26:F26)</f>
        <v>1120</v>
      </c>
      <c r="H26" s="182"/>
      <c r="I26" s="182"/>
    </row>
    <row r="27" customFormat="false" ht="12.75" hidden="false" customHeight="false" outlineLevel="0" collapsed="false">
      <c r="A27" s="182"/>
      <c r="B27" s="182"/>
      <c r="C27" s="182"/>
      <c r="D27" s="182"/>
      <c r="E27" s="182"/>
      <c r="F27" s="182"/>
      <c r="G27" s="182"/>
      <c r="H27" s="182"/>
      <c r="I27" s="182"/>
    </row>
    <row r="28" customFormat="false" ht="12.75" hidden="false" customHeight="false" outlineLevel="0" collapsed="false">
      <c r="A28" s="182"/>
      <c r="B28" s="182"/>
      <c r="C28" s="182"/>
      <c r="D28" s="182"/>
      <c r="E28" s="182"/>
      <c r="F28" s="182"/>
      <c r="G28" s="182"/>
      <c r="H28" s="182"/>
      <c r="I28" s="182"/>
    </row>
    <row r="29" customFormat="false" ht="12.75" hidden="false" customHeight="false" outlineLevel="0" collapsed="false">
      <c r="A29" s="182"/>
      <c r="B29" s="186" t="s">
        <v>163</v>
      </c>
      <c r="C29" s="187" t="n">
        <f aca="false">SUM(C7,C12,C13,C14,C15,C16,C17,C18,C19,C20,C21,C22,C24,C25,C26)</f>
        <v>3080</v>
      </c>
      <c r="D29" s="187" t="n">
        <f aca="false">SUM(D7,D12,D13,D14,D15,D16,D17,D18,D19,D20,D21,D22,D24,D25,D26)</f>
        <v>1300</v>
      </c>
      <c r="E29" s="187" t="n">
        <f aca="false">SUM(E7,E12,E13,E14,E15,E16,E17,E18,E19,E20,E21,E22,E24,E25,E26)</f>
        <v>1300</v>
      </c>
      <c r="F29" s="187" t="n">
        <f aca="false">SUM(F7,F12,F13,F14,F15,F16,F17,F18,F19,F20,F21,F22,F24,F25,F26)</f>
        <v>1800</v>
      </c>
      <c r="G29" s="187" t="n">
        <f aca="false">SUM(G7,G12,G13,G14,G15,G16,G17,G18,G19,G20,G21,G22,G24,G25,G26)</f>
        <v>7480</v>
      </c>
      <c r="H29" s="188"/>
      <c r="I29" s="182"/>
    </row>
    <row r="30" customFormat="false" ht="12.75" hidden="false" customHeight="false" outlineLevel="0" collapsed="false">
      <c r="A30" s="182"/>
      <c r="B30" s="182"/>
      <c r="C30" s="182"/>
      <c r="D30" s="182"/>
      <c r="E30" s="182"/>
      <c r="F30" s="182"/>
      <c r="G30" s="182"/>
      <c r="H30" s="182"/>
      <c r="I30" s="182"/>
    </row>
    <row r="31" customFormat="false" ht="12.75" hidden="false" customHeight="false" outlineLevel="0" collapsed="false">
      <c r="A31" s="182"/>
      <c r="B31" s="182"/>
      <c r="C31" s="182"/>
      <c r="D31" s="182"/>
      <c r="E31" s="182"/>
      <c r="F31" s="182"/>
      <c r="G31" s="182"/>
      <c r="H31" s="182"/>
      <c r="I31" s="182"/>
    </row>
    <row r="32" customFormat="false" ht="12.75" hidden="false" customHeight="false" outlineLevel="0" collapsed="false">
      <c r="A32" s="182"/>
      <c r="B32" s="182"/>
      <c r="C32" s="182"/>
      <c r="D32" s="182"/>
      <c r="E32" s="182"/>
      <c r="F32" s="182"/>
      <c r="G32" s="182"/>
      <c r="H32" s="182"/>
      <c r="I32" s="182"/>
    </row>
    <row r="33" customFormat="false" ht="12.75" hidden="false" customHeight="false" outlineLevel="0" collapsed="false">
      <c r="A33" s="182"/>
      <c r="B33" s="182"/>
      <c r="C33" s="182"/>
      <c r="D33" s="182"/>
      <c r="E33" s="182"/>
      <c r="F33" s="182"/>
      <c r="G33" s="182"/>
      <c r="H33" s="182"/>
      <c r="I33" s="182"/>
    </row>
    <row r="34" customFormat="false" ht="12.75" hidden="false" customHeight="false" outlineLevel="0" collapsed="false">
      <c r="A34" s="182"/>
      <c r="B34" s="186" t="s">
        <v>164</v>
      </c>
      <c r="C34" s="182"/>
      <c r="D34" s="182"/>
      <c r="E34" s="182"/>
      <c r="F34" s="182"/>
      <c r="G34" s="182"/>
      <c r="H34" s="182"/>
      <c r="I34" s="182"/>
    </row>
    <row r="35" customFormat="false" ht="12.75" hidden="false" customHeight="false" outlineLevel="0" collapsed="false">
      <c r="A35" s="182"/>
      <c r="B35" s="182"/>
      <c r="C35" s="182"/>
      <c r="D35" s="182"/>
      <c r="E35" s="182"/>
      <c r="F35" s="182"/>
      <c r="G35" s="182"/>
      <c r="H35" s="182"/>
      <c r="I35" s="182"/>
    </row>
    <row r="36" customFormat="false" ht="12.75" hidden="false" customHeight="false" outlineLevel="0" collapsed="false">
      <c r="A36" s="182"/>
      <c r="B36" s="182" t="s">
        <v>147</v>
      </c>
      <c r="C36" s="185" t="n">
        <v>0</v>
      </c>
      <c r="D36" s="185" t="n">
        <v>0</v>
      </c>
      <c r="E36" s="185" t="n">
        <v>0</v>
      </c>
      <c r="F36" s="185" t="n">
        <v>0</v>
      </c>
      <c r="G36" s="185" t="n">
        <f aca="false">SUM(C36:F36)</f>
        <v>0</v>
      </c>
      <c r="H36" s="182" t="s">
        <v>158</v>
      </c>
      <c r="I36" s="182"/>
    </row>
    <row r="37" customFormat="false" ht="12.75" hidden="false" customHeight="false" outlineLevel="0" collapsed="false">
      <c r="A37" s="182"/>
      <c r="B37" s="182" t="s">
        <v>160</v>
      </c>
      <c r="C37" s="185" t="n">
        <v>0</v>
      </c>
      <c r="D37" s="185" t="n">
        <v>0</v>
      </c>
      <c r="E37" s="185" t="n">
        <v>0</v>
      </c>
      <c r="F37" s="185" t="n">
        <v>0</v>
      </c>
      <c r="G37" s="185" t="n">
        <f aca="false">SUM(C37:F37)</f>
        <v>0</v>
      </c>
      <c r="H37" s="182" t="s">
        <v>158</v>
      </c>
      <c r="I37" s="182"/>
    </row>
    <row r="38" customFormat="false" ht="12.75" hidden="false" customHeight="false" outlineLevel="0" collapsed="false">
      <c r="A38" s="182"/>
      <c r="B38" s="182" t="s">
        <v>149</v>
      </c>
      <c r="C38" s="185" t="n">
        <v>0</v>
      </c>
      <c r="D38" s="185" t="n">
        <v>0</v>
      </c>
      <c r="E38" s="185" t="n">
        <v>0</v>
      </c>
      <c r="F38" s="185" t="n">
        <v>0</v>
      </c>
      <c r="G38" s="185" t="n">
        <f aca="false">SUM(C38:F38)</f>
        <v>0</v>
      </c>
      <c r="H38" s="182" t="s">
        <v>158</v>
      </c>
      <c r="I38" s="182"/>
    </row>
    <row r="39" customFormat="false" ht="12.75" hidden="false" customHeight="false" outlineLevel="0" collapsed="false">
      <c r="A39" s="182"/>
      <c r="B39" s="182" t="s">
        <v>165</v>
      </c>
      <c r="C39" s="185" t="n">
        <v>0</v>
      </c>
      <c r="D39" s="185" t="n">
        <v>0</v>
      </c>
      <c r="E39" s="185" t="n">
        <v>0</v>
      </c>
      <c r="F39" s="185" t="n">
        <v>0</v>
      </c>
      <c r="G39" s="185" t="n">
        <f aca="false">SUM(C39:F39)</f>
        <v>0</v>
      </c>
      <c r="H39" s="182" t="s">
        <v>158</v>
      </c>
      <c r="I39" s="182"/>
    </row>
    <row r="40" customFormat="false" ht="12.75" hidden="false" customHeight="false" outlineLevel="0" collapsed="false">
      <c r="A40" s="182"/>
      <c r="B40" s="182" t="s">
        <v>150</v>
      </c>
      <c r="C40" s="185" t="n">
        <v>0</v>
      </c>
      <c r="D40" s="185" t="n">
        <v>0</v>
      </c>
      <c r="E40" s="185" t="n">
        <v>0</v>
      </c>
      <c r="F40" s="185" t="n">
        <v>0</v>
      </c>
      <c r="G40" s="185" t="n">
        <f aca="false">SUM(C40:F40)</f>
        <v>0</v>
      </c>
      <c r="H40" s="182" t="s">
        <v>158</v>
      </c>
      <c r="I40" s="182"/>
    </row>
    <row r="41" customFormat="false" ht="12.75" hidden="false" customHeight="false" outlineLevel="0" collapsed="false">
      <c r="A41" s="182"/>
      <c r="B41" s="182" t="s">
        <v>151</v>
      </c>
      <c r="C41" s="185" t="n">
        <v>0</v>
      </c>
      <c r="D41" s="185" t="n">
        <v>0</v>
      </c>
      <c r="E41" s="185" t="n">
        <v>0</v>
      </c>
      <c r="F41" s="185" t="n">
        <v>0</v>
      </c>
      <c r="G41" s="185" t="n">
        <f aca="false">SUM(C41:F41)</f>
        <v>0</v>
      </c>
      <c r="H41" s="182" t="s">
        <v>158</v>
      </c>
      <c r="I41" s="182"/>
    </row>
    <row r="42" customFormat="false" ht="12.75" hidden="false" customHeight="false" outlineLevel="0" collapsed="false">
      <c r="A42" s="182"/>
      <c r="B42" s="182" t="s">
        <v>152</v>
      </c>
      <c r="C42" s="185" t="n">
        <v>0</v>
      </c>
      <c r="D42" s="185" t="n">
        <v>0</v>
      </c>
      <c r="E42" s="185" t="n">
        <v>0</v>
      </c>
      <c r="F42" s="185" t="n">
        <v>0</v>
      </c>
      <c r="G42" s="185" t="n">
        <f aca="false">SUM(C42:F42)</f>
        <v>0</v>
      </c>
      <c r="H42" s="182" t="s">
        <v>158</v>
      </c>
      <c r="I42" s="182"/>
    </row>
    <row r="43" customFormat="false" ht="12.75" hidden="false" customHeight="false" outlineLevel="0" collapsed="false">
      <c r="A43" s="182"/>
      <c r="B43" s="182" t="s">
        <v>155</v>
      </c>
      <c r="C43" s="185" t="n">
        <v>0</v>
      </c>
      <c r="D43" s="185" t="n">
        <v>0</v>
      </c>
      <c r="E43" s="185" t="n">
        <v>0</v>
      </c>
      <c r="F43" s="185" t="n">
        <v>0</v>
      </c>
      <c r="G43" s="185" t="n">
        <f aca="false">SUM(C43:F43)</f>
        <v>0</v>
      </c>
      <c r="H43" s="182" t="s">
        <v>158</v>
      </c>
      <c r="I43" s="182"/>
    </row>
    <row r="44" customFormat="false" ht="12.75" hidden="false" customHeight="false" outlineLevel="0" collapsed="false">
      <c r="A44" s="182"/>
      <c r="B44" s="182" t="s">
        <v>161</v>
      </c>
      <c r="C44" s="185" t="n">
        <v>0</v>
      </c>
      <c r="D44" s="185" t="n">
        <v>0</v>
      </c>
      <c r="E44" s="185" t="n">
        <v>0</v>
      </c>
      <c r="F44" s="185" t="n">
        <v>0</v>
      </c>
      <c r="G44" s="185" t="n">
        <f aca="false">SUM(C44:F44)</f>
        <v>0</v>
      </c>
      <c r="H44" s="182" t="s">
        <v>158</v>
      </c>
      <c r="I44" s="182"/>
    </row>
    <row r="45" customFormat="false" ht="12.75" hidden="false" customHeight="false" outlineLevel="0" collapsed="false">
      <c r="A45" s="182"/>
      <c r="B45" s="182" t="s">
        <v>124</v>
      </c>
      <c r="C45" s="185" t="n">
        <v>0</v>
      </c>
      <c r="D45" s="185" t="n">
        <v>0</v>
      </c>
      <c r="E45" s="185" t="n">
        <v>0</v>
      </c>
      <c r="F45" s="185" t="n">
        <v>0</v>
      </c>
      <c r="G45" s="185" t="n">
        <f aca="false">SUM(C45:F45)</f>
        <v>0</v>
      </c>
      <c r="H45" s="182" t="s">
        <v>158</v>
      </c>
      <c r="I45" s="182"/>
    </row>
    <row r="46" customFormat="false" ht="12.75" hidden="false" customHeight="false" outlineLevel="0" collapsed="false">
      <c r="A46" s="182"/>
      <c r="B46" s="182" t="s">
        <v>166</v>
      </c>
      <c r="C46" s="185" t="n">
        <v>0</v>
      </c>
      <c r="D46" s="185" t="n">
        <v>0</v>
      </c>
      <c r="E46" s="185" t="n">
        <v>0</v>
      </c>
      <c r="F46" s="185" t="n">
        <v>0</v>
      </c>
      <c r="G46" s="185" t="n">
        <f aca="false">SUM(C46:F46)</f>
        <v>0</v>
      </c>
      <c r="H46" s="182" t="s">
        <v>158</v>
      </c>
      <c r="I46" s="182"/>
    </row>
    <row r="47" customFormat="false" ht="12.75" hidden="false" customHeight="false" outlineLevel="0" collapsed="false">
      <c r="A47" s="182"/>
      <c r="B47" s="182" t="s">
        <v>167</v>
      </c>
      <c r="C47" s="185" t="n">
        <v>0</v>
      </c>
      <c r="D47" s="185" t="n">
        <v>0</v>
      </c>
      <c r="E47" s="185" t="n">
        <v>0</v>
      </c>
      <c r="F47" s="185" t="n">
        <v>0</v>
      </c>
      <c r="G47" s="185" t="n">
        <f aca="false">SUM(C47:F47)</f>
        <v>0</v>
      </c>
      <c r="H47" s="182" t="s">
        <v>158</v>
      </c>
      <c r="I47" s="182"/>
    </row>
    <row r="48" customFormat="false" ht="12.75" hidden="false" customHeight="false" outlineLevel="0" collapsed="false">
      <c r="A48" s="182"/>
      <c r="B48" s="182" t="s">
        <v>156</v>
      </c>
      <c r="C48" s="185" t="n">
        <v>0</v>
      </c>
      <c r="D48" s="185" t="n">
        <v>0</v>
      </c>
      <c r="E48" s="185" t="n">
        <v>0</v>
      </c>
      <c r="F48" s="185" t="n">
        <v>0</v>
      </c>
      <c r="G48" s="185" t="n">
        <f aca="false">SUM(C48:F48)</f>
        <v>0</v>
      </c>
      <c r="H48" s="182" t="s">
        <v>158</v>
      </c>
      <c r="I48" s="182"/>
    </row>
    <row r="49" customFormat="false" ht="12.75" hidden="false" customHeight="false" outlineLevel="0" collapsed="false">
      <c r="A49" s="182"/>
      <c r="B49" s="182" t="s">
        <v>162</v>
      </c>
      <c r="C49" s="185" t="n">
        <v>0</v>
      </c>
      <c r="D49" s="185" t="n">
        <v>0</v>
      </c>
      <c r="E49" s="185" t="n">
        <v>0</v>
      </c>
      <c r="F49" s="185" t="n">
        <v>0</v>
      </c>
      <c r="G49" s="185" t="n">
        <f aca="false">SUM(C49:F49)</f>
        <v>0</v>
      </c>
      <c r="H49" s="182" t="s">
        <v>158</v>
      </c>
      <c r="I49" s="182"/>
    </row>
    <row r="50" customFormat="false" ht="12.75" hidden="false" customHeight="false" outlineLevel="0" collapsed="false">
      <c r="A50" s="182"/>
      <c r="B50" s="182" t="s">
        <v>159</v>
      </c>
      <c r="C50" s="185" t="n">
        <v>0</v>
      </c>
      <c r="D50" s="185" t="n">
        <v>0</v>
      </c>
      <c r="E50" s="185" t="n">
        <v>0</v>
      </c>
      <c r="F50" s="185" t="n">
        <v>0</v>
      </c>
      <c r="G50" s="185" t="n">
        <f aca="false">SUM(C50:F50)</f>
        <v>0</v>
      </c>
      <c r="H50" s="182" t="s">
        <v>158</v>
      </c>
      <c r="I50" s="182"/>
    </row>
    <row r="51" customFormat="false" ht="12.75" hidden="false" customHeight="false" outlineLevel="0" collapsed="false">
      <c r="A51" s="182"/>
      <c r="B51" s="182"/>
      <c r="C51" s="182"/>
      <c r="D51" s="182"/>
      <c r="E51" s="182"/>
      <c r="F51" s="182"/>
      <c r="G51" s="182"/>
      <c r="H51" s="182"/>
      <c r="I51" s="182"/>
    </row>
    <row r="52" customFormat="false" ht="12.75" hidden="false" customHeight="false" outlineLevel="0" collapsed="false">
      <c r="A52" s="189"/>
    </row>
  </sheetData>
  <mergeCells count="7">
    <mergeCell ref="B2:B3"/>
    <mergeCell ref="C2:C3"/>
    <mergeCell ref="D2:D3"/>
    <mergeCell ref="E2:E3"/>
    <mergeCell ref="F2:F3"/>
    <mergeCell ref="G2:G3"/>
    <mergeCell ref="H2:H3"/>
  </mergeCells>
  <printOptions headings="false" gridLines="true" gridLinesSet="true" horizontalCentered="false" verticalCentered="false"/>
  <pageMargins left="0.275694444444444" right="0.472222222222222" top="0.747916666666667" bottom="0.786805555555556" header="0.275694444444444" footer="0.354166666666667"/>
  <pageSetup paperSize="9" scale="100" fitToWidth="1" fitToHeight="1" pageOrder="downThenOver" orientation="landscape" blackAndWhite="false" draft="false" cellComments="none" horizontalDpi="300" verticalDpi="300" copies="1"/>
  <headerFooter differentFirst="false" differentOddEven="false">
    <oddHeader>&amp;C&amp;"Arial,Bold"&amp;11Financial accounts for the period
6 April 2020 to 5 April 2021</oddHeader>
    <oddFooter>&amp;L&amp;D  &amp;T&amp;C&amp;P  of  &amp;N&amp;R&amp;F  &amp;A</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6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190" width="8.49"/>
    <col collapsed="false" customWidth="true" hidden="false" outlineLevel="0" max="2" min="2" style="165" width="26.82"/>
    <col collapsed="false" customWidth="true" hidden="false" outlineLevel="0" max="3" min="3" style="165" width="19.66"/>
    <col collapsed="false" customWidth="true" hidden="false" outlineLevel="0" max="4" min="4" style="191" width="10.82"/>
    <col collapsed="false" customWidth="true" hidden="false" outlineLevel="0" max="5" min="5" style="191" width="1.32"/>
    <col collapsed="false" customWidth="true" hidden="false" outlineLevel="0" max="6" min="6" style="192" width="6.99"/>
    <col collapsed="false" customWidth="true" hidden="false" outlineLevel="0" max="7" min="7" style="193" width="1.32"/>
    <col collapsed="false" customWidth="true" hidden="false" outlineLevel="0" max="8" min="8" style="191" width="8.49"/>
    <col collapsed="false" customWidth="true" hidden="false" outlineLevel="0" max="9" min="9" style="194" width="8.66"/>
    <col collapsed="false" customWidth="false" hidden="false" outlineLevel="0" max="10" min="10" style="194" width="9.15"/>
    <col collapsed="false" customWidth="true" hidden="false" outlineLevel="0" max="11" min="11" style="194" width="8.49"/>
    <col collapsed="false" customWidth="true" hidden="false" outlineLevel="0" max="12" min="12" style="193" width="1.32"/>
    <col collapsed="false" customWidth="true" hidden="false" outlineLevel="0" max="13" min="13" style="190" width="8.66"/>
    <col collapsed="false" customWidth="true" hidden="false" outlineLevel="0" max="14" min="14" style="191" width="8.66"/>
    <col collapsed="false" customWidth="true" hidden="false" outlineLevel="0" max="15" min="15" style="193" width="1.32"/>
    <col collapsed="false" customWidth="true" hidden="false" outlineLevel="0" max="17" min="16" style="194" width="8.66"/>
    <col collapsed="false" customWidth="false" hidden="false" outlineLevel="0" max="257" min="18" style="165" width="9.15"/>
  </cols>
  <sheetData>
    <row r="1" s="204" customFormat="true" ht="13.5" hidden="false" customHeight="true" outlineLevel="0" collapsed="false">
      <c r="A1" s="195" t="s">
        <v>168</v>
      </c>
      <c r="B1" s="196" t="s">
        <v>169</v>
      </c>
      <c r="C1" s="197" t="n">
        <f aca="false">Admin!B17</f>
        <v>46482</v>
      </c>
      <c r="D1" s="198" t="n">
        <f aca="false">D33+D62</f>
        <v>8000</v>
      </c>
      <c r="E1" s="199"/>
      <c r="F1" s="200" t="s">
        <v>170</v>
      </c>
      <c r="G1" s="201"/>
      <c r="H1" s="202" t="n">
        <f aca="false">H33+H62</f>
        <v>0</v>
      </c>
      <c r="I1" s="202" t="n">
        <f aca="false">I33+I62</f>
        <v>0</v>
      </c>
      <c r="J1" s="202" t="n">
        <f aca="false">J33+J62</f>
        <v>1120</v>
      </c>
      <c r="K1" s="202" t="n">
        <f aca="false">K33+K62</f>
        <v>6880</v>
      </c>
      <c r="L1" s="201"/>
      <c r="M1" s="203" t="s">
        <v>171</v>
      </c>
      <c r="N1" s="202" t="n">
        <f aca="false">N33+N62</f>
        <v>0</v>
      </c>
      <c r="O1" s="201"/>
      <c r="P1" s="202" t="n">
        <f aca="false">P33+P62</f>
        <v>0</v>
      </c>
      <c r="Q1" s="202" t="n">
        <f aca="false">Q33+Q62</f>
        <v>0</v>
      </c>
    </row>
    <row r="2" customFormat="false" ht="12" hidden="false" customHeight="true" outlineLevel="0" collapsed="false">
      <c r="A2" s="195"/>
      <c r="B2" s="205" t="s">
        <v>172</v>
      </c>
      <c r="C2" s="206" t="s">
        <v>173</v>
      </c>
      <c r="D2" s="207" t="s">
        <v>174</v>
      </c>
      <c r="E2" s="199"/>
      <c r="F2" s="200"/>
      <c r="G2" s="201"/>
      <c r="H2" s="207" t="s">
        <v>175</v>
      </c>
      <c r="I2" s="207" t="s">
        <v>71</v>
      </c>
      <c r="J2" s="207" t="s">
        <v>176</v>
      </c>
      <c r="K2" s="207" t="s">
        <v>175</v>
      </c>
      <c r="L2" s="201"/>
      <c r="M2" s="203"/>
      <c r="N2" s="207" t="s">
        <v>177</v>
      </c>
      <c r="O2" s="201"/>
      <c r="P2" s="207" t="s">
        <v>178</v>
      </c>
      <c r="Q2" s="207" t="s">
        <v>179</v>
      </c>
    </row>
    <row r="3" customFormat="false" ht="24.75" hidden="false" customHeight="true" outlineLevel="0" collapsed="false">
      <c r="A3" s="195"/>
      <c r="B3" s="205"/>
      <c r="C3" s="205"/>
      <c r="D3" s="207"/>
      <c r="E3" s="199"/>
      <c r="F3" s="200"/>
      <c r="G3" s="201"/>
      <c r="H3" s="207"/>
      <c r="I3" s="207"/>
      <c r="J3" s="207"/>
      <c r="K3" s="207"/>
      <c r="L3" s="201"/>
      <c r="M3" s="203"/>
      <c r="N3" s="207"/>
      <c r="O3" s="201"/>
      <c r="P3" s="207"/>
      <c r="Q3" s="207"/>
    </row>
    <row r="4" s="210" customFormat="true" ht="12" hidden="false" customHeight="true" outlineLevel="0" collapsed="false">
      <c r="A4" s="195"/>
      <c r="B4" s="205"/>
      <c r="C4" s="205"/>
      <c r="D4" s="207"/>
      <c r="E4" s="199"/>
      <c r="F4" s="200"/>
      <c r="G4" s="201"/>
      <c r="H4" s="208" t="n">
        <f aca="false">Admin!B$4</f>
        <v>46118</v>
      </c>
      <c r="I4" s="209" t="n">
        <f aca="false">Admin!G$4</f>
        <v>1</v>
      </c>
      <c r="J4" s="209" t="n">
        <f aca="false">Admin!G$5</f>
        <v>0.14</v>
      </c>
      <c r="K4" s="208" t="n">
        <f aca="false">Admin!B$17</f>
        <v>46482</v>
      </c>
      <c r="L4" s="201"/>
      <c r="M4" s="203"/>
      <c r="N4" s="207"/>
      <c r="O4" s="201"/>
      <c r="P4" s="207"/>
      <c r="Q4" s="207"/>
    </row>
    <row r="5" s="219" customFormat="true" ht="12.75" hidden="false" customHeight="true" outlineLevel="0" collapsed="false">
      <c r="A5" s="211"/>
      <c r="B5" s="212"/>
      <c r="C5" s="213"/>
      <c r="D5" s="214"/>
      <c r="E5" s="215"/>
      <c r="F5" s="216"/>
      <c r="G5" s="217"/>
      <c r="H5" s="218"/>
      <c r="I5" s="215"/>
      <c r="J5" s="215"/>
      <c r="K5" s="215"/>
      <c r="L5" s="217"/>
      <c r="M5" s="211"/>
      <c r="N5" s="218"/>
      <c r="O5" s="217"/>
      <c r="P5" s="215"/>
      <c r="Q5" s="215"/>
    </row>
    <row r="6" customFormat="false" ht="13.5" hidden="false" customHeight="true" outlineLevel="0" collapsed="false">
      <c r="A6" s="220" t="s">
        <v>180</v>
      </c>
      <c r="B6" s="220"/>
      <c r="C6" s="220"/>
      <c r="D6" s="221" t="n">
        <f aca="false">Admin!B$4</f>
        <v>46118</v>
      </c>
      <c r="E6" s="222"/>
      <c r="F6" s="223"/>
      <c r="G6" s="217"/>
      <c r="H6" s="218"/>
      <c r="I6" s="215"/>
      <c r="J6" s="215"/>
      <c r="K6" s="215"/>
      <c r="L6" s="217"/>
      <c r="M6" s="224"/>
      <c r="N6" s="218"/>
      <c r="O6" s="217"/>
      <c r="P6" s="215"/>
      <c r="Q6" s="215"/>
    </row>
    <row r="7" customFormat="false" ht="12.65" hidden="false" customHeight="false" outlineLevel="0" collapsed="false">
      <c r="A7" s="225"/>
      <c r="B7" s="226"/>
      <c r="C7" s="226"/>
      <c r="D7" s="227"/>
      <c r="E7" s="218"/>
      <c r="F7" s="216"/>
      <c r="G7" s="217"/>
      <c r="H7" s="228"/>
      <c r="I7" s="175" t="n">
        <v>0</v>
      </c>
      <c r="J7" s="229" t="str">
        <f aca="false">IF((H7&gt;0),H7*J$4," ")</f>
        <v> </v>
      </c>
      <c r="K7" s="215" t="str">
        <f aca="false">IF(H7&gt;0,H7-H7*J$4," ")</f>
        <v> </v>
      </c>
      <c r="L7" s="217"/>
      <c r="M7" s="230"/>
      <c r="N7" s="231"/>
      <c r="O7" s="217"/>
      <c r="P7" s="215" t="str">
        <f aca="false">IF((M7+N7)&gt;0,IF(N7&lt;K7,(K7-N7)," ")," ")</f>
        <v> </v>
      </c>
      <c r="Q7" s="215" t="str">
        <f aca="false">IF((M7+N7)&gt;0,IF(N7&gt;K7,(N7-K7)," ")," ")</f>
        <v> </v>
      </c>
    </row>
    <row r="8" customFormat="false" ht="12.65" hidden="false" customHeight="false" outlineLevel="0" collapsed="false">
      <c r="A8" s="230"/>
      <c r="B8" s="232"/>
      <c r="C8" s="232"/>
      <c r="D8" s="231"/>
      <c r="E8" s="218"/>
      <c r="F8" s="216"/>
      <c r="G8" s="217"/>
      <c r="H8" s="228"/>
      <c r="I8" s="175" t="n">
        <v>0</v>
      </c>
      <c r="J8" s="229" t="str">
        <f aca="false">IF((H8&gt;0),H8*J$4," ")</f>
        <v> </v>
      </c>
      <c r="K8" s="215" t="str">
        <f aca="false">IF(H8&gt;0,H8-H8*J$4," ")</f>
        <v> </v>
      </c>
      <c r="L8" s="217"/>
      <c r="M8" s="230"/>
      <c r="N8" s="231"/>
      <c r="O8" s="217"/>
      <c r="P8" s="215" t="str">
        <f aca="false">IF((M8+N8)&gt;0,IF(N8&lt;K8,(K8-N8)," ")," ")</f>
        <v> </v>
      </c>
      <c r="Q8" s="215" t="str">
        <f aca="false">IF((M8+N8)&gt;0,IF(N8&gt;K8,(N8-K8)," ")," ")</f>
        <v> </v>
      </c>
    </row>
    <row r="9" customFormat="false" ht="12.65" hidden="false" customHeight="false" outlineLevel="0" collapsed="false">
      <c r="A9" s="230"/>
      <c r="B9" s="232"/>
      <c r="C9" s="232"/>
      <c r="D9" s="231"/>
      <c r="E9" s="218"/>
      <c r="F9" s="216"/>
      <c r="G9" s="217"/>
      <c r="H9" s="228"/>
      <c r="I9" s="175" t="n">
        <v>0</v>
      </c>
      <c r="J9" s="229" t="str">
        <f aca="false">IF((H9&gt;0),H9*J$4," ")</f>
        <v> </v>
      </c>
      <c r="K9" s="215" t="str">
        <f aca="false">IF(H9&gt;0,H9-H9*J$4," ")</f>
        <v> </v>
      </c>
      <c r="L9" s="217"/>
      <c r="M9" s="230"/>
      <c r="N9" s="231"/>
      <c r="O9" s="217"/>
      <c r="P9" s="215" t="str">
        <f aca="false">IF((M9+N9)&gt;0,IF(N9&lt;K9,(K9-N9)," ")," ")</f>
        <v> </v>
      </c>
      <c r="Q9" s="215" t="str">
        <f aca="false">IF((M9+N9)&gt;0,IF(N9&gt;K9,(N9-K9)," ")," ")</f>
        <v> </v>
      </c>
    </row>
    <row r="10" customFormat="false" ht="12.65" hidden="false" customHeight="false" outlineLevel="0" collapsed="false">
      <c r="A10" s="230"/>
      <c r="B10" s="232"/>
      <c r="C10" s="232"/>
      <c r="D10" s="231"/>
      <c r="E10" s="218"/>
      <c r="F10" s="216"/>
      <c r="G10" s="217"/>
      <c r="H10" s="228"/>
      <c r="I10" s="175" t="n">
        <v>0</v>
      </c>
      <c r="J10" s="229" t="str">
        <f aca="false">IF((H10&gt;0),H10*J$4," ")</f>
        <v> </v>
      </c>
      <c r="K10" s="215" t="str">
        <f aca="false">IF(H10&gt;0,H10-H10*J$4," ")</f>
        <v> </v>
      </c>
      <c r="L10" s="217"/>
      <c r="M10" s="230"/>
      <c r="N10" s="231"/>
      <c r="O10" s="217"/>
      <c r="P10" s="215" t="str">
        <f aca="false">IF((M10+N10)&gt;0,IF(N10&lt;K10,(K10-N10)," ")," ")</f>
        <v> </v>
      </c>
      <c r="Q10" s="215" t="str">
        <f aca="false">IF((M10+N10)&gt;0,IF(N10&gt;K10,(N10-K10)," ")," ")</f>
        <v> </v>
      </c>
    </row>
    <row r="11" customFormat="false" ht="12.65" hidden="false" customHeight="false" outlineLevel="0" collapsed="false">
      <c r="A11" s="230"/>
      <c r="B11" s="232"/>
      <c r="C11" s="232"/>
      <c r="D11" s="231"/>
      <c r="E11" s="218"/>
      <c r="F11" s="216"/>
      <c r="G11" s="217"/>
      <c r="H11" s="228"/>
      <c r="I11" s="175" t="n">
        <v>0</v>
      </c>
      <c r="J11" s="229" t="str">
        <f aca="false">IF((H11&gt;0),H11*J$4," ")</f>
        <v> </v>
      </c>
      <c r="K11" s="215" t="str">
        <f aca="false">IF(H11&gt;0,H11-H11*J$4," ")</f>
        <v> </v>
      </c>
      <c r="L11" s="217"/>
      <c r="M11" s="230"/>
      <c r="N11" s="231"/>
      <c r="O11" s="217"/>
      <c r="P11" s="215" t="str">
        <f aca="false">IF((M11+N11)&gt;0,IF(N11&lt;K11,(K11-N11)," ")," ")</f>
        <v> </v>
      </c>
      <c r="Q11" s="215" t="str">
        <f aca="false">IF((M11+N11)&gt;0,IF(N11&gt;K11,(N11-K11)," ")," ")</f>
        <v> </v>
      </c>
    </row>
    <row r="12" customFormat="false" ht="12.65" hidden="false" customHeight="false" outlineLevel="0" collapsed="false">
      <c r="A12" s="230"/>
      <c r="B12" s="232"/>
      <c r="C12" s="232"/>
      <c r="D12" s="231"/>
      <c r="E12" s="218"/>
      <c r="F12" s="216"/>
      <c r="G12" s="217"/>
      <c r="H12" s="228"/>
      <c r="I12" s="175" t="n">
        <v>0</v>
      </c>
      <c r="J12" s="229" t="str">
        <f aca="false">IF((H12&gt;0),H12*J$4," ")</f>
        <v> </v>
      </c>
      <c r="K12" s="215" t="str">
        <f aca="false">IF(H12&gt;0,H12-H12*J$4," ")</f>
        <v> </v>
      </c>
      <c r="L12" s="217"/>
      <c r="M12" s="230"/>
      <c r="N12" s="231"/>
      <c r="O12" s="217"/>
      <c r="P12" s="215" t="str">
        <f aca="false">IF((M12+N12)&gt;0,IF(N12&lt;K12,(K12-N12)," ")," ")</f>
        <v> </v>
      </c>
      <c r="Q12" s="215" t="str">
        <f aca="false">IF((M12+N12)&gt;0,IF(N12&gt;K12,(N12-K12)," ")," ")</f>
        <v> </v>
      </c>
    </row>
    <row r="13" customFormat="false" ht="12.65" hidden="false" customHeight="false" outlineLevel="0" collapsed="false">
      <c r="A13" s="230"/>
      <c r="B13" s="232"/>
      <c r="C13" s="232"/>
      <c r="D13" s="231"/>
      <c r="E13" s="218"/>
      <c r="F13" s="216"/>
      <c r="G13" s="217"/>
      <c r="H13" s="228"/>
      <c r="I13" s="175" t="n">
        <v>0</v>
      </c>
      <c r="J13" s="229" t="str">
        <f aca="false">IF((H13&gt;0),H13*J$4," ")</f>
        <v> </v>
      </c>
      <c r="K13" s="215" t="str">
        <f aca="false">IF(H13&gt;0,H13-H13*J$4," ")</f>
        <v> </v>
      </c>
      <c r="L13" s="217"/>
      <c r="M13" s="230"/>
      <c r="N13" s="231"/>
      <c r="O13" s="217"/>
      <c r="P13" s="215" t="str">
        <f aca="false">IF((M13+N13)&gt;0,IF(N13&lt;K13,(K13-N13)," ")," ")</f>
        <v> </v>
      </c>
      <c r="Q13" s="215" t="str">
        <f aca="false">IF((M13+N13)&gt;0,IF(N13&gt;K13,(N13-K13)," ")," ")</f>
        <v> </v>
      </c>
    </row>
    <row r="14" customFormat="false" ht="12.65" hidden="false" customHeight="false" outlineLevel="0" collapsed="false">
      <c r="A14" s="233"/>
      <c r="B14" s="234"/>
      <c r="C14" s="234"/>
      <c r="D14" s="235"/>
      <c r="E14" s="218"/>
      <c r="F14" s="216"/>
      <c r="G14" s="217"/>
      <c r="H14" s="228"/>
      <c r="I14" s="175" t="n">
        <v>0</v>
      </c>
      <c r="J14" s="229" t="str">
        <f aca="false">IF((H14&gt;0),H14*J$4," ")</f>
        <v> </v>
      </c>
      <c r="K14" s="215" t="str">
        <f aca="false">IF(H14&gt;0,H14-H14*J$4," ")</f>
        <v> </v>
      </c>
      <c r="L14" s="217"/>
      <c r="M14" s="230"/>
      <c r="N14" s="231"/>
      <c r="O14" s="217"/>
      <c r="P14" s="215" t="str">
        <f aca="false">IF((M14+N14)&gt;0,IF(N14&lt;K14,(K14-N14)," ")," ")</f>
        <v> </v>
      </c>
      <c r="Q14" s="215" t="str">
        <f aca="false">IF((M14+N14)&gt;0,IF(N14&gt;K14,(N14-K14)," ")," ")</f>
        <v> </v>
      </c>
    </row>
    <row r="15" customFormat="false" ht="12.65" hidden="false" customHeight="false" outlineLevel="0" collapsed="false">
      <c r="A15" s="236" t="s">
        <v>181</v>
      </c>
      <c r="B15" s="236"/>
      <c r="C15" s="237" t="n">
        <f aca="false">Admin!B$4</f>
        <v>46118</v>
      </c>
      <c r="D15" s="238" t="n">
        <f aca="false">SUM(D7:D14)</f>
        <v>0</v>
      </c>
      <c r="E15" s="218"/>
      <c r="F15" s="216"/>
      <c r="G15" s="217"/>
      <c r="H15" s="239" t="n">
        <f aca="false">SUM(H7:H14)</f>
        <v>0</v>
      </c>
      <c r="I15" s="240" t="n">
        <f aca="false">SUM(I7:I14)</f>
        <v>0</v>
      </c>
      <c r="J15" s="239" t="n">
        <f aca="false">SUM(J7:J14)</f>
        <v>0</v>
      </c>
      <c r="K15" s="238" t="n">
        <f aca="false">SUM(K7:K14)</f>
        <v>0</v>
      </c>
      <c r="L15" s="217"/>
      <c r="M15" s="224"/>
      <c r="N15" s="238" t="n">
        <f aca="false">SUM(N7:N14)</f>
        <v>0</v>
      </c>
      <c r="O15" s="217"/>
      <c r="P15" s="238" t="n">
        <f aca="false">SUM(P7:P14)</f>
        <v>0</v>
      </c>
      <c r="Q15" s="238" t="n">
        <f aca="false">SUM(Q7:Q14)</f>
        <v>0</v>
      </c>
    </row>
    <row r="16" customFormat="false" ht="12.65" hidden="false" customHeight="false" outlineLevel="0" collapsed="false">
      <c r="A16" s="224"/>
      <c r="B16" s="241"/>
      <c r="C16" s="241"/>
      <c r="D16" s="218"/>
      <c r="E16" s="218"/>
      <c r="F16" s="216"/>
      <c r="G16" s="217"/>
      <c r="H16" s="175"/>
      <c r="I16" s="215"/>
      <c r="J16" s="229"/>
      <c r="K16" s="215"/>
      <c r="L16" s="217"/>
      <c r="M16" s="224"/>
      <c r="N16" s="218"/>
      <c r="O16" s="217"/>
      <c r="P16" s="215"/>
      <c r="Q16" s="215"/>
    </row>
    <row r="17" customFormat="false" ht="12.65" hidden="false" customHeight="false" outlineLevel="0" collapsed="false">
      <c r="A17" s="236" t="s">
        <v>182</v>
      </c>
      <c r="B17" s="236"/>
      <c r="C17" s="237" t="n">
        <f aca="false">Admin!B$4</f>
        <v>46118</v>
      </c>
      <c r="D17" s="242"/>
      <c r="E17" s="222"/>
      <c r="F17" s="223"/>
      <c r="G17" s="217"/>
      <c r="H17" s="175"/>
      <c r="I17" s="215"/>
      <c r="J17" s="229"/>
      <c r="K17" s="215"/>
      <c r="L17" s="217"/>
      <c r="M17" s="224"/>
      <c r="N17" s="218"/>
      <c r="O17" s="217"/>
      <c r="P17" s="215"/>
      <c r="Q17" s="215"/>
    </row>
    <row r="18" customFormat="false" ht="12.65" hidden="false" customHeight="false" outlineLevel="0" collapsed="false">
      <c r="A18" s="225"/>
      <c r="B18" s="226"/>
      <c r="C18" s="226"/>
      <c r="D18" s="227"/>
      <c r="E18" s="218"/>
      <c r="F18" s="243"/>
      <c r="G18" s="217"/>
      <c r="H18" s="228"/>
      <c r="I18" s="175" t="n">
        <v>0</v>
      </c>
      <c r="J18" s="215" t="str">
        <f aca="false">IF(H18&gt;0,H18*J$4*(1-F18)," ")</f>
        <v> </v>
      </c>
      <c r="K18" s="215" t="str">
        <f aca="false">IF(H18&gt;0,H18-J18," ")</f>
        <v> </v>
      </c>
      <c r="L18" s="217"/>
      <c r="M18" s="230"/>
      <c r="N18" s="231"/>
      <c r="O18" s="217"/>
      <c r="P18" s="215" t="str">
        <f aca="false">IF((M18+N18)&gt;0,IF(N18&lt;K18,(K18-N18)*(1-F18)," ")," ")</f>
        <v> </v>
      </c>
      <c r="Q18" s="215" t="str">
        <f aca="false">IF((M18+N18)&gt;0,IF(N18&gt;K18,(N18-K18)*(1-F18)," ")," ")</f>
        <v> </v>
      </c>
    </row>
    <row r="19" customFormat="false" ht="12.65" hidden="false" customHeight="false" outlineLevel="0" collapsed="false">
      <c r="A19" s="230"/>
      <c r="B19" s="232"/>
      <c r="C19" s="232"/>
      <c r="D19" s="231"/>
      <c r="E19" s="218"/>
      <c r="F19" s="243"/>
      <c r="G19" s="217"/>
      <c r="H19" s="228"/>
      <c r="I19" s="175" t="n">
        <v>0</v>
      </c>
      <c r="J19" s="215" t="str">
        <f aca="false">IF(H19&gt;0,H19*J$4*(1-F19)," ")</f>
        <v> </v>
      </c>
      <c r="K19" s="215" t="str">
        <f aca="false">IF(H19&gt;0,H19-J19," ")</f>
        <v> </v>
      </c>
      <c r="L19" s="217"/>
      <c r="M19" s="230"/>
      <c r="N19" s="231"/>
      <c r="O19" s="217"/>
      <c r="P19" s="215" t="str">
        <f aca="false">IF((M19+N19)&gt;0,IF(N19&lt;K19,(K19-N19)*(1-F19)," ")," ")</f>
        <v> </v>
      </c>
      <c r="Q19" s="215" t="str">
        <f aca="false">IF((M19+N19)&gt;0,IF(N19&gt;K19,(N19-K19)*(1-F19)," ")," ")</f>
        <v> </v>
      </c>
    </row>
    <row r="20" customFormat="false" ht="12.65" hidden="false" customHeight="false" outlineLevel="0" collapsed="false">
      <c r="A20" s="230"/>
      <c r="B20" s="232"/>
      <c r="C20" s="232"/>
      <c r="D20" s="231"/>
      <c r="E20" s="218"/>
      <c r="F20" s="243"/>
      <c r="G20" s="217"/>
      <c r="H20" s="228"/>
      <c r="I20" s="175" t="n">
        <v>0</v>
      </c>
      <c r="J20" s="215" t="str">
        <f aca="false">IF(H20&gt;0,H20*J$4*(1-F20)," ")</f>
        <v> </v>
      </c>
      <c r="K20" s="215" t="str">
        <f aca="false">IF(H20&gt;0,H20-J20," ")</f>
        <v> </v>
      </c>
      <c r="L20" s="217"/>
      <c r="M20" s="230"/>
      <c r="N20" s="231"/>
      <c r="O20" s="217"/>
      <c r="P20" s="215" t="str">
        <f aca="false">IF((M20+N20)&gt;0,IF(N20&lt;K20,(K20-N20)*(1-F20)," ")," ")</f>
        <v> </v>
      </c>
      <c r="Q20" s="215" t="str">
        <f aca="false">IF((M20+N20)&gt;0,IF(N20&gt;K20,(N20-K20)*(1-F20)," ")," ")</f>
        <v> </v>
      </c>
    </row>
    <row r="21" customFormat="false" ht="12.65" hidden="false" customHeight="false" outlineLevel="0" collapsed="false">
      <c r="A21" s="230"/>
      <c r="B21" s="232"/>
      <c r="C21" s="232"/>
      <c r="D21" s="231"/>
      <c r="E21" s="218"/>
      <c r="F21" s="243"/>
      <c r="G21" s="217"/>
      <c r="H21" s="228"/>
      <c r="I21" s="175" t="n">
        <v>0</v>
      </c>
      <c r="J21" s="215" t="str">
        <f aca="false">IF(H21&gt;0,H21*J$4*(1-F21)," ")</f>
        <v> </v>
      </c>
      <c r="K21" s="215" t="str">
        <f aca="false">IF(H21&gt;0,H21-J21," ")</f>
        <v> </v>
      </c>
      <c r="L21" s="217"/>
      <c r="M21" s="230"/>
      <c r="N21" s="231"/>
      <c r="O21" s="217"/>
      <c r="P21" s="215" t="str">
        <f aca="false">IF((M21+N21)&gt;0,IF(N21&lt;K21,(K21-N21)*(1-F21)," ")," ")</f>
        <v> </v>
      </c>
      <c r="Q21" s="215" t="str">
        <f aca="false">IF((M21+N21)&gt;0,IF(N21&gt;K21,(N21-K21)*(1-F21)," ")," ")</f>
        <v> </v>
      </c>
    </row>
    <row r="22" customFormat="false" ht="12.65" hidden="false" customHeight="false" outlineLevel="0" collapsed="false">
      <c r="A22" s="233"/>
      <c r="B22" s="234"/>
      <c r="C22" s="234"/>
      <c r="D22" s="231"/>
      <c r="E22" s="218"/>
      <c r="F22" s="243"/>
      <c r="G22" s="217"/>
      <c r="H22" s="228"/>
      <c r="I22" s="175" t="n">
        <v>0</v>
      </c>
      <c r="J22" s="215" t="str">
        <f aca="false">IF(H22&gt;0,H22*J$4*(1-F22)," ")</f>
        <v> </v>
      </c>
      <c r="K22" s="215" t="str">
        <f aca="false">IF(H22&gt;0,H22-J22," ")</f>
        <v> </v>
      </c>
      <c r="L22" s="217"/>
      <c r="M22" s="230"/>
      <c r="N22" s="231"/>
      <c r="O22" s="217"/>
      <c r="P22" s="215" t="str">
        <f aca="false">IF((M22+N22)&gt;0,IF(N22&lt;K22,(K22-N22)*(1-F22)," ")," ")</f>
        <v> </v>
      </c>
      <c r="Q22" s="215" t="str">
        <f aca="false">IF((M22+N22)&gt;0,IF(N22&gt;K22,(N22-K22)*(1-F22)," ")," ")</f>
        <v> </v>
      </c>
    </row>
    <row r="23" customFormat="false" ht="12.65" hidden="false" customHeight="true" outlineLevel="0" collapsed="false">
      <c r="A23" s="244" t="s">
        <v>183</v>
      </c>
      <c r="B23" s="244"/>
      <c r="C23" s="245" t="n">
        <f aca="false">Admin!B$4</f>
        <v>46118</v>
      </c>
      <c r="D23" s="246" t="n">
        <f aca="false">SUM(D18:D22)</f>
        <v>0</v>
      </c>
      <c r="E23" s="218"/>
      <c r="F23" s="216"/>
      <c r="G23" s="217"/>
      <c r="H23" s="239" t="n">
        <f aca="false">SUM(H18:H22)</f>
        <v>0</v>
      </c>
      <c r="I23" s="240" t="n">
        <f aca="false">SUM(I18:I22)</f>
        <v>0</v>
      </c>
      <c r="J23" s="239" t="n">
        <f aca="false">SUM(J18:J22)</f>
        <v>0</v>
      </c>
      <c r="K23" s="238" t="n">
        <f aca="false">SUM(K18:K22)</f>
        <v>0</v>
      </c>
      <c r="L23" s="217"/>
      <c r="M23" s="224"/>
      <c r="N23" s="238" t="n">
        <f aca="false">SUM(N18:N22)</f>
        <v>0</v>
      </c>
      <c r="O23" s="217"/>
      <c r="P23" s="238" t="n">
        <f aca="false">SUM(P18:P22)</f>
        <v>0</v>
      </c>
      <c r="Q23" s="238" t="n">
        <f aca="false">SUM(Q18:Q22)</f>
        <v>0</v>
      </c>
    </row>
    <row r="24" customFormat="false" ht="12.65" hidden="false" customHeight="false" outlineLevel="0" collapsed="false">
      <c r="A24" s="224"/>
      <c r="B24" s="241"/>
      <c r="C24" s="241"/>
      <c r="D24" s="218"/>
      <c r="E24" s="218"/>
      <c r="F24" s="216"/>
      <c r="G24" s="217"/>
      <c r="H24" s="175"/>
      <c r="I24" s="175"/>
      <c r="J24" s="175"/>
      <c r="K24" s="215"/>
      <c r="L24" s="217"/>
      <c r="M24" s="224"/>
      <c r="N24" s="218"/>
      <c r="O24" s="217"/>
      <c r="P24" s="215"/>
      <c r="Q24" s="215"/>
    </row>
    <row r="25" customFormat="false" ht="12.65" hidden="false" customHeight="false" outlineLevel="0" collapsed="false">
      <c r="A25" s="236" t="s">
        <v>184</v>
      </c>
      <c r="B25" s="236"/>
      <c r="C25" s="237" t="n">
        <f aca="false">Admin!B$4</f>
        <v>46118</v>
      </c>
      <c r="D25" s="242"/>
      <c r="E25" s="222"/>
      <c r="F25" s="223"/>
      <c r="G25" s="217"/>
      <c r="H25" s="175"/>
      <c r="I25" s="175"/>
      <c r="J25" s="175"/>
      <c r="K25" s="215"/>
      <c r="L25" s="217"/>
      <c r="M25" s="224"/>
      <c r="N25" s="218"/>
      <c r="O25" s="217"/>
      <c r="P25" s="215"/>
      <c r="Q25" s="215"/>
    </row>
    <row r="26" customFormat="false" ht="12.65" hidden="false" customHeight="false" outlineLevel="0" collapsed="false">
      <c r="A26" s="225"/>
      <c r="B26" s="226"/>
      <c r="C26" s="226"/>
      <c r="D26" s="227"/>
      <c r="E26" s="218"/>
      <c r="F26" s="243"/>
      <c r="G26" s="217"/>
      <c r="H26" s="228"/>
      <c r="I26" s="175" t="n">
        <v>0</v>
      </c>
      <c r="J26" s="215" t="str">
        <f aca="false">IF(H26&gt;0,H26*J$4*(1-F26)," ")</f>
        <v> </v>
      </c>
      <c r="K26" s="215" t="str">
        <f aca="false">IF(H26&gt;0,H26-J26," ")</f>
        <v> </v>
      </c>
      <c r="L26" s="217"/>
      <c r="M26" s="230"/>
      <c r="N26" s="231"/>
      <c r="O26" s="217"/>
      <c r="P26" s="215" t="str">
        <f aca="false">IF((M26+N26)&gt;0,IF(N26&lt;K26,(K26-N26)*(1-F26)," ")," ")</f>
        <v> </v>
      </c>
      <c r="Q26" s="215" t="str">
        <f aca="false">IF((M26+N26)&gt;0,IF(N26&gt;K26,(N26-K26)*(1-F26)," ")," ")</f>
        <v> </v>
      </c>
    </row>
    <row r="27" customFormat="false" ht="12.65" hidden="false" customHeight="false" outlineLevel="0" collapsed="false">
      <c r="A27" s="230"/>
      <c r="B27" s="232"/>
      <c r="C27" s="232"/>
      <c r="D27" s="231"/>
      <c r="E27" s="218"/>
      <c r="F27" s="243"/>
      <c r="G27" s="217"/>
      <c r="H27" s="228"/>
      <c r="I27" s="175" t="n">
        <v>0</v>
      </c>
      <c r="J27" s="215" t="str">
        <f aca="false">IF(H27&gt;0,H27*J$4*(1-F27)," ")</f>
        <v> </v>
      </c>
      <c r="K27" s="215" t="str">
        <f aca="false">IF(H27&gt;0,H27-J27," ")</f>
        <v> </v>
      </c>
      <c r="L27" s="217"/>
      <c r="M27" s="230"/>
      <c r="N27" s="231"/>
      <c r="O27" s="217"/>
      <c r="P27" s="215" t="str">
        <f aca="false">IF((M27+N27)&gt;0,IF(N27&lt;K27,(K27-N27)*(1-F27)," ")," ")</f>
        <v> </v>
      </c>
      <c r="Q27" s="215" t="str">
        <f aca="false">IF((M27+N27)&gt;0,IF(N27&gt;K27,(N27-K27)*(1-F27)," ")," ")</f>
        <v> </v>
      </c>
    </row>
    <row r="28" customFormat="false" ht="12.65" hidden="false" customHeight="false" outlineLevel="0" collapsed="false">
      <c r="A28" s="230"/>
      <c r="B28" s="232"/>
      <c r="C28" s="232"/>
      <c r="D28" s="231"/>
      <c r="E28" s="218"/>
      <c r="F28" s="243"/>
      <c r="G28" s="217"/>
      <c r="H28" s="228"/>
      <c r="I28" s="175" t="n">
        <v>0</v>
      </c>
      <c r="J28" s="215" t="str">
        <f aca="false">IF(H28&gt;0,H28*J$4*(1-F28)," ")</f>
        <v> </v>
      </c>
      <c r="K28" s="215" t="str">
        <f aca="false">IF(H28&gt;0,H28-J28," ")</f>
        <v> </v>
      </c>
      <c r="L28" s="217"/>
      <c r="M28" s="230"/>
      <c r="N28" s="231"/>
      <c r="O28" s="217"/>
      <c r="P28" s="215" t="str">
        <f aca="false">IF((M28+N28)&gt;0,IF(N28&lt;K28,(K28-N28)*(1-F28)," ")," ")</f>
        <v> </v>
      </c>
      <c r="Q28" s="215" t="str">
        <f aca="false">IF((M28+N28)&gt;0,IF(N28&gt;K28,(N28-K28)*(1-F28)," ")," ")</f>
        <v> </v>
      </c>
    </row>
    <row r="29" customFormat="false" ht="12.65" hidden="false" customHeight="false" outlineLevel="0" collapsed="false">
      <c r="A29" s="230"/>
      <c r="B29" s="232"/>
      <c r="C29" s="232"/>
      <c r="D29" s="231"/>
      <c r="E29" s="218"/>
      <c r="F29" s="243"/>
      <c r="G29" s="217"/>
      <c r="H29" s="228"/>
      <c r="I29" s="175" t="n">
        <v>0</v>
      </c>
      <c r="J29" s="215" t="str">
        <f aca="false">IF(H29&gt;0,H29*J$4*(1-F29)," ")</f>
        <v> </v>
      </c>
      <c r="K29" s="215" t="str">
        <f aca="false">IF(H29&gt;0,H29-J29," ")</f>
        <v> </v>
      </c>
      <c r="L29" s="217"/>
      <c r="M29" s="230"/>
      <c r="N29" s="231"/>
      <c r="O29" s="217"/>
      <c r="P29" s="215" t="str">
        <f aca="false">IF((M29+N29)&gt;0,IF(N29&lt;K29,(K29-N29)*(1-F29)," ")," ")</f>
        <v> </v>
      </c>
      <c r="Q29" s="215" t="str">
        <f aca="false">IF((M29+N29)&gt;0,IF(N29&gt;K29,(N29-K29)*(1-F29)," ")," ")</f>
        <v> </v>
      </c>
    </row>
    <row r="30" customFormat="false" ht="12.65" hidden="false" customHeight="false" outlineLevel="0" collapsed="false">
      <c r="A30" s="230"/>
      <c r="B30" s="232"/>
      <c r="C30" s="232"/>
      <c r="D30" s="231"/>
      <c r="E30" s="218"/>
      <c r="F30" s="243"/>
      <c r="G30" s="217"/>
      <c r="H30" s="228"/>
      <c r="I30" s="175" t="n">
        <v>0</v>
      </c>
      <c r="J30" s="215" t="str">
        <f aca="false">IF(H30&gt;0,H30*J$4*(1-F30)," ")</f>
        <v> </v>
      </c>
      <c r="K30" s="215" t="str">
        <f aca="false">IF(H30&gt;0,H30-J30," ")</f>
        <v> </v>
      </c>
      <c r="L30" s="217"/>
      <c r="M30" s="230"/>
      <c r="N30" s="231"/>
      <c r="O30" s="217"/>
      <c r="P30" s="215" t="str">
        <f aca="false">IF((M30+N30)&gt;0,IF(N30&lt;K30,(K30-N30)*(1-F30)," ")," ")</f>
        <v> </v>
      </c>
      <c r="Q30" s="215" t="str">
        <f aca="false">IF((M30+N30)&gt;0,IF(N30&gt;K30,(N30-K30)*(1-F30)," ")," ")</f>
        <v> </v>
      </c>
    </row>
    <row r="31" customFormat="false" ht="12.65" hidden="false" customHeight="true" outlineLevel="0" collapsed="false">
      <c r="A31" s="244" t="s">
        <v>185</v>
      </c>
      <c r="B31" s="244"/>
      <c r="C31" s="245" t="n">
        <f aca="false">Admin!B$4</f>
        <v>46118</v>
      </c>
      <c r="D31" s="238" t="n">
        <f aca="false">SUM(D26:D30)</f>
        <v>0</v>
      </c>
      <c r="E31" s="218"/>
      <c r="F31" s="216"/>
      <c r="G31" s="217"/>
      <c r="H31" s="239" t="n">
        <f aca="false">SUM(H26:H30)</f>
        <v>0</v>
      </c>
      <c r="I31" s="240" t="n">
        <f aca="false">SUM(I26:I30)</f>
        <v>0</v>
      </c>
      <c r="J31" s="239" t="n">
        <f aca="false">SUM(J26:J30)</f>
        <v>0</v>
      </c>
      <c r="K31" s="238" t="n">
        <f aca="false">SUM(K26:K30)</f>
        <v>0</v>
      </c>
      <c r="L31" s="217"/>
      <c r="M31" s="224"/>
      <c r="N31" s="238" t="n">
        <f aca="false">SUM(N26:N30)</f>
        <v>0</v>
      </c>
      <c r="O31" s="217"/>
      <c r="P31" s="238" t="n">
        <f aca="false">SUM(P26:P30)</f>
        <v>0</v>
      </c>
      <c r="Q31" s="238" t="n">
        <f aca="false">SUM(Q26:Q30)</f>
        <v>0</v>
      </c>
    </row>
    <row r="32" customFormat="false" ht="12.65" hidden="false" customHeight="false" outlineLevel="0" collapsed="false">
      <c r="A32" s="224"/>
      <c r="B32" s="241"/>
      <c r="C32" s="241"/>
      <c r="D32" s="218"/>
      <c r="E32" s="218"/>
      <c r="F32" s="216"/>
      <c r="G32" s="217"/>
      <c r="H32" s="175"/>
      <c r="I32" s="175"/>
      <c r="J32" s="175"/>
      <c r="K32" s="215"/>
      <c r="L32" s="217"/>
      <c r="M32" s="224"/>
      <c r="N32" s="218"/>
      <c r="O32" s="217"/>
      <c r="P32" s="215"/>
      <c r="Q32" s="215"/>
    </row>
    <row r="33" customFormat="false" ht="12.65" hidden="false" customHeight="false" outlineLevel="0" collapsed="false">
      <c r="A33" s="247" t="s">
        <v>186</v>
      </c>
      <c r="B33" s="247"/>
      <c r="C33" s="248" t="n">
        <f aca="false">Admin!B4</f>
        <v>46118</v>
      </c>
      <c r="D33" s="249" t="n">
        <f aca="false">D15+D23+D31</f>
        <v>0</v>
      </c>
      <c r="E33" s="218"/>
      <c r="F33" s="216"/>
      <c r="G33" s="217"/>
      <c r="H33" s="250" t="n">
        <f aca="false">H15+H23+H31</f>
        <v>0</v>
      </c>
      <c r="I33" s="251" t="n">
        <f aca="false">I15+I23+I31</f>
        <v>0</v>
      </c>
      <c r="J33" s="250" t="n">
        <f aca="false">J15+J23+J31</f>
        <v>0</v>
      </c>
      <c r="K33" s="249" t="n">
        <f aca="false">K15+K23+K31</f>
        <v>0</v>
      </c>
      <c r="L33" s="217"/>
      <c r="M33" s="224"/>
      <c r="N33" s="249" t="n">
        <f aca="false">N15+N23+N31</f>
        <v>0</v>
      </c>
      <c r="O33" s="217"/>
      <c r="P33" s="249" t="n">
        <f aca="false">P15+P23+P31</f>
        <v>0</v>
      </c>
      <c r="Q33" s="249" t="n">
        <f aca="false">Q15+Q23+Q31</f>
        <v>0</v>
      </c>
    </row>
    <row r="34" customFormat="false" ht="12.65" hidden="false" customHeight="false" outlineLevel="0" collapsed="false">
      <c r="A34" s="252"/>
      <c r="B34" s="253"/>
      <c r="C34" s="254"/>
      <c r="D34" s="218"/>
      <c r="E34" s="218"/>
      <c r="F34" s="216"/>
      <c r="G34" s="217"/>
      <c r="H34" s="218"/>
      <c r="I34" s="215"/>
      <c r="J34" s="215"/>
      <c r="K34" s="215"/>
      <c r="L34" s="217"/>
      <c r="M34" s="224"/>
      <c r="N34" s="218"/>
      <c r="O34" s="217"/>
      <c r="P34" s="215"/>
      <c r="Q34" s="215"/>
    </row>
    <row r="35" customFormat="false" ht="12.65" hidden="false" customHeight="false" outlineLevel="0" collapsed="false">
      <c r="A35" s="255" t="s">
        <v>187</v>
      </c>
      <c r="B35" s="255"/>
      <c r="C35" s="255"/>
      <c r="D35" s="256" t="n">
        <f aca="false">Admin!B$4</f>
        <v>46118</v>
      </c>
      <c r="E35" s="222"/>
      <c r="F35" s="223"/>
      <c r="G35" s="217"/>
      <c r="H35" s="218"/>
      <c r="I35" s="215"/>
      <c r="J35" s="215"/>
      <c r="K35" s="215"/>
      <c r="L35" s="217"/>
      <c r="M35" s="224"/>
      <c r="N35" s="218"/>
      <c r="O35" s="217"/>
      <c r="P35" s="215"/>
      <c r="Q35" s="215"/>
    </row>
    <row r="36" customFormat="false" ht="12.65" hidden="false" customHeight="false" outlineLevel="0" collapsed="false">
      <c r="A36" s="225"/>
      <c r="B36" s="226"/>
      <c r="C36" s="257"/>
      <c r="D36" s="227"/>
      <c r="E36" s="218"/>
      <c r="F36" s="216"/>
      <c r="G36" s="217"/>
      <c r="H36" s="175" t="n">
        <v>0</v>
      </c>
      <c r="I36" s="258" t="str">
        <f aca="false">IF((D36&gt;0),D36*I$4," ")</f>
        <v> </v>
      </c>
      <c r="J36" s="175" t="n">
        <v>0</v>
      </c>
      <c r="K36" s="215" t="str">
        <f aca="false">IF(D36&gt;0,D36-D36*I$4," ")</f>
        <v> </v>
      </c>
      <c r="L36" s="217"/>
      <c r="M36" s="230"/>
      <c r="N36" s="231"/>
      <c r="O36" s="217"/>
      <c r="P36" s="215" t="str">
        <f aca="false">IF((M36+N36)&gt;0,IF(N36&lt;K36,(K36-N36)," ")," ")</f>
        <v> </v>
      </c>
      <c r="Q36" s="215" t="str">
        <f aca="false">IF((M36+N36)&gt;0,IF(N36&gt;K36,(N36-K36)," ")," ")</f>
        <v> </v>
      </c>
    </row>
    <row r="37" customFormat="false" ht="12.65" hidden="false" customHeight="false" outlineLevel="0" collapsed="false">
      <c r="A37" s="230"/>
      <c r="B37" s="232"/>
      <c r="C37" s="259"/>
      <c r="D37" s="231"/>
      <c r="E37" s="218"/>
      <c r="F37" s="216"/>
      <c r="G37" s="217"/>
      <c r="H37" s="175" t="n">
        <v>0</v>
      </c>
      <c r="I37" s="258" t="str">
        <f aca="false">IF((D37&gt;0),D37*I$4," ")</f>
        <v> </v>
      </c>
      <c r="J37" s="175" t="n">
        <v>0</v>
      </c>
      <c r="K37" s="215" t="str">
        <f aca="false">IF(D37&gt;0,D37-D37*I$4," ")</f>
        <v> </v>
      </c>
      <c r="L37" s="217"/>
      <c r="M37" s="230"/>
      <c r="N37" s="231"/>
      <c r="O37" s="217"/>
      <c r="P37" s="215" t="str">
        <f aca="false">IF((M37+N37)&gt;0,IF(N37&lt;K37,(K37-N37)," ")," ")</f>
        <v> </v>
      </c>
      <c r="Q37" s="215" t="str">
        <f aca="false">IF((M37+N37)&gt;0,IF(N37&gt;K37,(N37-K37)," ")," ")</f>
        <v> </v>
      </c>
    </row>
    <row r="38" customFormat="false" ht="12.65" hidden="false" customHeight="false" outlineLevel="0" collapsed="false">
      <c r="A38" s="230"/>
      <c r="B38" s="232"/>
      <c r="C38" s="259"/>
      <c r="D38" s="231"/>
      <c r="E38" s="218"/>
      <c r="F38" s="216"/>
      <c r="G38" s="217"/>
      <c r="H38" s="175" t="n">
        <v>0</v>
      </c>
      <c r="I38" s="258" t="str">
        <f aca="false">IF((D38&gt;0),D38*I$4," ")</f>
        <v> </v>
      </c>
      <c r="J38" s="175" t="n">
        <v>0</v>
      </c>
      <c r="K38" s="215" t="str">
        <f aca="false">IF(D38&gt;0,D38-D38*I$4," ")</f>
        <v> </v>
      </c>
      <c r="L38" s="217"/>
      <c r="M38" s="230"/>
      <c r="N38" s="231"/>
      <c r="O38" s="217"/>
      <c r="P38" s="215" t="str">
        <f aca="false">IF((M38+N38)&gt;0,IF(N38&lt;K38,(K38-N38)," ")," ")</f>
        <v> </v>
      </c>
      <c r="Q38" s="215" t="str">
        <f aca="false">IF((M38+N38)&gt;0,IF(N38&gt;K38,(N38-K38)," ")," ")</f>
        <v> </v>
      </c>
    </row>
    <row r="39" customFormat="false" ht="12.65" hidden="false" customHeight="false" outlineLevel="0" collapsed="false">
      <c r="A39" s="230"/>
      <c r="B39" s="232"/>
      <c r="C39" s="259"/>
      <c r="D39" s="231"/>
      <c r="E39" s="218"/>
      <c r="F39" s="216"/>
      <c r="G39" s="217"/>
      <c r="H39" s="175" t="n">
        <v>0</v>
      </c>
      <c r="I39" s="258" t="str">
        <f aca="false">IF((D39&gt;0),D39*I$4," ")</f>
        <v> </v>
      </c>
      <c r="J39" s="175" t="n">
        <v>0</v>
      </c>
      <c r="K39" s="215" t="str">
        <f aca="false">IF(D39&gt;0,D39-D39*I$4," ")</f>
        <v> </v>
      </c>
      <c r="L39" s="217"/>
      <c r="M39" s="230"/>
      <c r="N39" s="231"/>
      <c r="O39" s="217"/>
      <c r="P39" s="215" t="str">
        <f aca="false">IF((M39+N39)&gt;0,IF(N39&lt;K39,(K39-N39)," ")," ")</f>
        <v> </v>
      </c>
      <c r="Q39" s="215" t="str">
        <f aca="false">IF((M39+N39)&gt;0,IF(N39&gt;K39,(N39-K39)," ")," ")</f>
        <v> </v>
      </c>
    </row>
    <row r="40" customFormat="false" ht="12.65" hidden="false" customHeight="false" outlineLevel="0" collapsed="false">
      <c r="A40" s="230"/>
      <c r="B40" s="232"/>
      <c r="C40" s="259"/>
      <c r="D40" s="231"/>
      <c r="E40" s="218"/>
      <c r="F40" s="216"/>
      <c r="G40" s="217"/>
      <c r="H40" s="175" t="n">
        <v>0</v>
      </c>
      <c r="I40" s="258" t="str">
        <f aca="false">IF((D40&gt;0),D40*I$4," ")</f>
        <v> </v>
      </c>
      <c r="J40" s="175" t="n">
        <v>0</v>
      </c>
      <c r="K40" s="215" t="str">
        <f aca="false">IF(D40&gt;0,D40-D40*I$4," ")</f>
        <v> </v>
      </c>
      <c r="L40" s="217"/>
      <c r="M40" s="230"/>
      <c r="N40" s="231"/>
      <c r="O40" s="217"/>
      <c r="P40" s="215" t="str">
        <f aca="false">IF((M40+N40)&gt;0,IF(N40&lt;K40,(K40-N40)," ")," ")</f>
        <v> </v>
      </c>
      <c r="Q40" s="215" t="str">
        <f aca="false">IF((M40+N40)&gt;0,IF(N40&gt;K40,(N40-K40)," ")," ")</f>
        <v> </v>
      </c>
    </row>
    <row r="41" customFormat="false" ht="12.65" hidden="false" customHeight="false" outlineLevel="0" collapsed="false">
      <c r="A41" s="230"/>
      <c r="B41" s="232"/>
      <c r="C41" s="259"/>
      <c r="D41" s="231"/>
      <c r="E41" s="218"/>
      <c r="F41" s="216"/>
      <c r="G41" s="217"/>
      <c r="H41" s="175" t="n">
        <v>0</v>
      </c>
      <c r="I41" s="258" t="str">
        <f aca="false">IF((D41&gt;0),D41*I$4," ")</f>
        <v> </v>
      </c>
      <c r="J41" s="175" t="n">
        <v>0</v>
      </c>
      <c r="K41" s="215" t="str">
        <f aca="false">IF(D41&gt;0,D41-D41*I$4," ")</f>
        <v> </v>
      </c>
      <c r="L41" s="217"/>
      <c r="M41" s="230"/>
      <c r="N41" s="231"/>
      <c r="O41" s="217"/>
      <c r="P41" s="215" t="str">
        <f aca="false">IF((M41+N41)&gt;0,IF(N41&lt;K41,(K41-N41)," ")," ")</f>
        <v> </v>
      </c>
      <c r="Q41" s="215" t="str">
        <f aca="false">IF((M41+N41)&gt;0,IF(N41&gt;K41,(N41-K41)," ")," ")</f>
        <v> </v>
      </c>
    </row>
    <row r="42" customFormat="false" ht="12.65" hidden="false" customHeight="false" outlineLevel="0" collapsed="false">
      <c r="A42" s="230"/>
      <c r="B42" s="232"/>
      <c r="C42" s="259"/>
      <c r="D42" s="231"/>
      <c r="E42" s="218"/>
      <c r="F42" s="216"/>
      <c r="G42" s="217"/>
      <c r="H42" s="175" t="n">
        <v>0</v>
      </c>
      <c r="I42" s="258" t="str">
        <f aca="false">IF((D42&gt;0),D42*I$4," ")</f>
        <v> </v>
      </c>
      <c r="J42" s="175" t="n">
        <v>0</v>
      </c>
      <c r="K42" s="215" t="str">
        <f aca="false">IF(D42&gt;0,D42-D42*I$4," ")</f>
        <v> </v>
      </c>
      <c r="L42" s="217"/>
      <c r="M42" s="230"/>
      <c r="N42" s="231"/>
      <c r="O42" s="217"/>
      <c r="P42" s="215" t="str">
        <f aca="false">IF((M42+N42)&gt;0,IF(N42&lt;K42,(K42-N42)," ")," ")</f>
        <v> </v>
      </c>
      <c r="Q42" s="215" t="str">
        <f aca="false">IF((M42+N42)&gt;0,IF(N42&gt;K42,(N42-K42)," ")," ")</f>
        <v> </v>
      </c>
    </row>
    <row r="43" customFormat="false" ht="12.65" hidden="false" customHeight="false" outlineLevel="0" collapsed="false">
      <c r="A43" s="233"/>
      <c r="B43" s="234"/>
      <c r="C43" s="260"/>
      <c r="D43" s="235"/>
      <c r="E43" s="218"/>
      <c r="F43" s="216"/>
      <c r="G43" s="217"/>
      <c r="H43" s="175" t="n">
        <v>0</v>
      </c>
      <c r="I43" s="258" t="str">
        <f aca="false">IF((D43&gt;0),D43*I$4," ")</f>
        <v> </v>
      </c>
      <c r="J43" s="175" t="n">
        <v>0</v>
      </c>
      <c r="K43" s="215" t="str">
        <f aca="false">IF(D43&gt;0,D43-D43*I$4," ")</f>
        <v> </v>
      </c>
      <c r="L43" s="217"/>
      <c r="M43" s="230"/>
      <c r="N43" s="231"/>
      <c r="O43" s="217"/>
      <c r="P43" s="215" t="str">
        <f aca="false">IF((M43+N43)&gt;0,IF(N43&lt;K43,(K43-N43)," ")," ")</f>
        <v> </v>
      </c>
      <c r="Q43" s="215" t="str">
        <f aca="false">IF((M43+N43)&gt;0,IF(N43&gt;K43,(N43-K43)," ")," ")</f>
        <v> </v>
      </c>
    </row>
    <row r="44" customFormat="false" ht="12.75" hidden="false" customHeight="true" outlineLevel="0" collapsed="false">
      <c r="A44" s="261" t="s">
        <v>188</v>
      </c>
      <c r="B44" s="261"/>
      <c r="C44" s="262" t="n">
        <f aca="false">Admin!B$4</f>
        <v>46118</v>
      </c>
      <c r="D44" s="238" t="n">
        <f aca="false">SUM(D36:D43)</f>
        <v>0</v>
      </c>
      <c r="E44" s="218"/>
      <c r="F44" s="216"/>
      <c r="G44" s="217"/>
      <c r="H44" s="239" t="n">
        <f aca="false">SUM(H36:H43)</f>
        <v>0</v>
      </c>
      <c r="I44" s="240" t="n">
        <f aca="false">SUM(I36:I43)</f>
        <v>0</v>
      </c>
      <c r="J44" s="239" t="n">
        <f aca="false">SUM(J36:J43)</f>
        <v>0</v>
      </c>
      <c r="K44" s="238" t="n">
        <f aca="false">SUM(K36:K43)</f>
        <v>0</v>
      </c>
      <c r="L44" s="217"/>
      <c r="M44" s="224"/>
      <c r="N44" s="238" t="n">
        <f aca="false">SUM(N36:N43)</f>
        <v>0</v>
      </c>
      <c r="O44" s="217"/>
      <c r="P44" s="238" t="n">
        <f aca="false">SUM(P36:P43)</f>
        <v>0</v>
      </c>
      <c r="Q44" s="238" t="n">
        <f aca="false">SUM(Q36:Q43)</f>
        <v>0</v>
      </c>
    </row>
    <row r="45" customFormat="false" ht="12.65" hidden="false" customHeight="false" outlineLevel="0" collapsed="false">
      <c r="A45" s="224"/>
      <c r="B45" s="241"/>
      <c r="C45" s="263"/>
      <c r="D45" s="218"/>
      <c r="E45" s="218"/>
      <c r="F45" s="216"/>
      <c r="G45" s="217"/>
      <c r="H45" s="175"/>
      <c r="I45" s="258"/>
      <c r="J45" s="175"/>
      <c r="K45" s="215"/>
      <c r="L45" s="217"/>
      <c r="M45" s="224"/>
      <c r="N45" s="218"/>
      <c r="O45" s="217"/>
      <c r="P45" s="215"/>
      <c r="Q45" s="215"/>
    </row>
    <row r="46" customFormat="false" ht="12.65" hidden="false" customHeight="false" outlineLevel="0" collapsed="false">
      <c r="A46" s="261" t="s">
        <v>189</v>
      </c>
      <c r="B46" s="261"/>
      <c r="C46" s="262" t="n">
        <f aca="false">Admin!B$4</f>
        <v>46118</v>
      </c>
      <c r="D46" s="264"/>
      <c r="E46" s="222"/>
      <c r="F46" s="223"/>
      <c r="G46" s="217"/>
      <c r="H46" s="175"/>
      <c r="I46" s="258"/>
      <c r="J46" s="175"/>
      <c r="K46" s="215"/>
      <c r="L46" s="217"/>
      <c r="M46" s="224"/>
      <c r="N46" s="218"/>
      <c r="O46" s="217"/>
      <c r="P46" s="215"/>
      <c r="Q46" s="215"/>
    </row>
    <row r="47" customFormat="false" ht="12.65" hidden="false" customHeight="false" outlineLevel="0" collapsed="false">
      <c r="A47" s="225" t="n">
        <v>45809</v>
      </c>
      <c r="B47" s="226" t="s">
        <v>190</v>
      </c>
      <c r="C47" s="257" t="s">
        <v>191</v>
      </c>
      <c r="D47" s="227" t="n">
        <v>8000</v>
      </c>
      <c r="E47" s="218"/>
      <c r="F47" s="243"/>
      <c r="G47" s="217"/>
      <c r="H47" s="175" t="n">
        <v>0</v>
      </c>
      <c r="I47" s="175" t="n">
        <v>0</v>
      </c>
      <c r="J47" s="215" t="n">
        <f aca="false">IF(D47&gt;0,D47*J$4*(1-F47)," ")</f>
        <v>1120</v>
      </c>
      <c r="K47" s="215" t="n">
        <f aca="false">IF(D47&gt;0,D47-J47," ")</f>
        <v>6880</v>
      </c>
      <c r="L47" s="217"/>
      <c r="M47" s="230"/>
      <c r="N47" s="231"/>
      <c r="O47" s="217"/>
      <c r="P47" s="215" t="str">
        <f aca="false">IF((M47+N47)&gt;0,IF(N47&lt;K47,(K47-N47)*(1-F47)," ")," ")</f>
        <v> </v>
      </c>
      <c r="Q47" s="215" t="str">
        <f aca="false">IF((M47+N47)&gt;0,IF(N47&gt;K47,(N47-K47)*(1-F47)," ")," ")</f>
        <v> </v>
      </c>
    </row>
    <row r="48" customFormat="false" ht="12.65" hidden="false" customHeight="false" outlineLevel="0" collapsed="false">
      <c r="A48" s="230"/>
      <c r="B48" s="232"/>
      <c r="C48" s="259"/>
      <c r="D48" s="231"/>
      <c r="E48" s="218"/>
      <c r="F48" s="243"/>
      <c r="G48" s="217"/>
      <c r="H48" s="175" t="n">
        <v>0</v>
      </c>
      <c r="I48" s="175" t="n">
        <v>0</v>
      </c>
      <c r="J48" s="215" t="str">
        <f aca="false">IF(D48&gt;0,D48*J$4*(1-F48)," ")</f>
        <v> </v>
      </c>
      <c r="K48" s="215" t="str">
        <f aca="false">IF(D48&gt;0,D48-J48," ")</f>
        <v> </v>
      </c>
      <c r="L48" s="217"/>
      <c r="M48" s="230"/>
      <c r="N48" s="231"/>
      <c r="O48" s="217"/>
      <c r="P48" s="215" t="str">
        <f aca="false">IF((M48+N48)&gt;0,IF(N48&lt;K48,(K48-N48)*(1-F48)," ")," ")</f>
        <v> </v>
      </c>
      <c r="Q48" s="215" t="str">
        <f aca="false">IF((M48+N48)&gt;0,IF(N48&gt;K48,(N48-K48)*(1-F48)," ")," ")</f>
        <v> </v>
      </c>
    </row>
    <row r="49" customFormat="false" ht="12.65" hidden="false" customHeight="false" outlineLevel="0" collapsed="false">
      <c r="A49" s="230"/>
      <c r="B49" s="232"/>
      <c r="C49" s="259"/>
      <c r="D49" s="231"/>
      <c r="E49" s="218"/>
      <c r="F49" s="243"/>
      <c r="G49" s="217"/>
      <c r="H49" s="175" t="n">
        <v>0</v>
      </c>
      <c r="I49" s="175" t="n">
        <v>0</v>
      </c>
      <c r="J49" s="215" t="str">
        <f aca="false">IF(D49&gt;0,D49*J$4*(1-F49)," ")</f>
        <v> </v>
      </c>
      <c r="K49" s="215" t="str">
        <f aca="false">IF(D49&gt;0,D49-J49," ")</f>
        <v> </v>
      </c>
      <c r="L49" s="217"/>
      <c r="M49" s="230"/>
      <c r="N49" s="231"/>
      <c r="O49" s="217"/>
      <c r="P49" s="215" t="str">
        <f aca="false">IF((M49+N49)&gt;0,IF(N49&lt;K49,(K49-N49)*(1-F49)," ")," ")</f>
        <v> </v>
      </c>
      <c r="Q49" s="215" t="str">
        <f aca="false">IF((M49+N49)&gt;0,IF(N49&gt;K49,(N49-K49)*(1-F49)," ")," ")</f>
        <v> </v>
      </c>
    </row>
    <row r="50" customFormat="false" ht="12.65" hidden="false" customHeight="false" outlineLevel="0" collapsed="false">
      <c r="A50" s="230"/>
      <c r="B50" s="232"/>
      <c r="C50" s="259"/>
      <c r="D50" s="231"/>
      <c r="E50" s="218"/>
      <c r="F50" s="243"/>
      <c r="G50" s="217"/>
      <c r="H50" s="175" t="n">
        <v>0</v>
      </c>
      <c r="I50" s="175" t="n">
        <v>0</v>
      </c>
      <c r="J50" s="215" t="str">
        <f aca="false">IF(D50&gt;0,D50*J$4*(1-F50)," ")</f>
        <v> </v>
      </c>
      <c r="K50" s="215" t="str">
        <f aca="false">IF(D50&gt;0,D50-J50," ")</f>
        <v> </v>
      </c>
      <c r="L50" s="217"/>
      <c r="M50" s="230"/>
      <c r="N50" s="231"/>
      <c r="O50" s="217"/>
      <c r="P50" s="215" t="str">
        <f aca="false">IF((M50+N50)&gt;0,IF(N50&lt;K50,(K50-N50)*(1-F50)," ")," ")</f>
        <v> </v>
      </c>
      <c r="Q50" s="215" t="str">
        <f aca="false">IF((M50+N50)&gt;0,IF(N50&gt;K50,(N50-K50)*(1-F50)," ")," ")</f>
        <v> </v>
      </c>
    </row>
    <row r="51" customFormat="false" ht="12.65" hidden="false" customHeight="false" outlineLevel="0" collapsed="false">
      <c r="A51" s="230"/>
      <c r="B51" s="232"/>
      <c r="C51" s="259"/>
      <c r="D51" s="231"/>
      <c r="E51" s="218"/>
      <c r="F51" s="243"/>
      <c r="G51" s="217"/>
      <c r="H51" s="175" t="n">
        <v>0</v>
      </c>
      <c r="I51" s="175" t="n">
        <v>0</v>
      </c>
      <c r="J51" s="215" t="str">
        <f aca="false">IF(D51&gt;0,D51*J$4*(1-F51)," ")</f>
        <v> </v>
      </c>
      <c r="K51" s="215" t="str">
        <f aca="false">IF(D51&gt;0,D51-J51," ")</f>
        <v> </v>
      </c>
      <c r="L51" s="217"/>
      <c r="M51" s="230"/>
      <c r="N51" s="231"/>
      <c r="O51" s="217"/>
      <c r="P51" s="215" t="str">
        <f aca="false">IF((M51+N51)&gt;0,IF(N51&lt;K51,(K51-N51)*(1-F51)," ")," ")</f>
        <v> </v>
      </c>
      <c r="Q51" s="215" t="str">
        <f aca="false">IF((M51+N51)&gt;0,IF(N51&gt;K51,(N51-K51)*(1-F51)," ")," ")</f>
        <v> </v>
      </c>
    </row>
    <row r="52" customFormat="false" ht="12.75" hidden="false" customHeight="true" outlineLevel="0" collapsed="false">
      <c r="A52" s="265" t="s">
        <v>192</v>
      </c>
      <c r="B52" s="265"/>
      <c r="C52" s="266" t="n">
        <f aca="false">Admin!B$4</f>
        <v>46118</v>
      </c>
      <c r="D52" s="238" t="n">
        <f aca="false">SUM(D47:D51)</f>
        <v>8000</v>
      </c>
      <c r="E52" s="218"/>
      <c r="F52" s="216"/>
      <c r="G52" s="217"/>
      <c r="H52" s="239" t="n">
        <f aca="false">SUM(H47:H51)</f>
        <v>0</v>
      </c>
      <c r="I52" s="240" t="n">
        <f aca="false">SUM(I47:I51)</f>
        <v>0</v>
      </c>
      <c r="J52" s="239" t="n">
        <f aca="false">SUM(J47:J51)</f>
        <v>1120</v>
      </c>
      <c r="K52" s="238" t="n">
        <f aca="false">SUM(K47:K51)</f>
        <v>6880</v>
      </c>
      <c r="L52" s="217"/>
      <c r="M52" s="224"/>
      <c r="N52" s="238" t="n">
        <f aca="false">SUM(N47:N51)</f>
        <v>0</v>
      </c>
      <c r="O52" s="217"/>
      <c r="P52" s="238" t="n">
        <f aca="false">SUM(P47:P51)</f>
        <v>0</v>
      </c>
      <c r="Q52" s="238" t="n">
        <f aca="false">SUM(Q47:Q51)</f>
        <v>0</v>
      </c>
    </row>
    <row r="53" customFormat="false" ht="12.65" hidden="false" customHeight="false" outlineLevel="0" collapsed="false">
      <c r="A53" s="224"/>
      <c r="B53" s="241"/>
      <c r="C53" s="241"/>
      <c r="D53" s="218"/>
      <c r="E53" s="218"/>
      <c r="F53" s="216"/>
      <c r="G53" s="217"/>
      <c r="H53" s="218"/>
      <c r="I53" s="175"/>
      <c r="J53" s="215"/>
      <c r="K53" s="215"/>
      <c r="L53" s="217"/>
      <c r="M53" s="224"/>
      <c r="N53" s="218"/>
      <c r="O53" s="217"/>
      <c r="P53" s="215"/>
      <c r="Q53" s="215"/>
    </row>
    <row r="54" customFormat="false" ht="12.65" hidden="false" customHeight="false" outlineLevel="0" collapsed="false">
      <c r="A54" s="261" t="s">
        <v>193</v>
      </c>
      <c r="B54" s="261"/>
      <c r="C54" s="262" t="n">
        <f aca="false">Admin!B$4</f>
        <v>46118</v>
      </c>
      <c r="D54" s="264"/>
      <c r="E54" s="222"/>
      <c r="F54" s="223"/>
      <c r="G54" s="217"/>
      <c r="H54" s="175"/>
      <c r="I54" s="215"/>
      <c r="J54" s="175"/>
      <c r="K54" s="215"/>
      <c r="L54" s="217"/>
      <c r="M54" s="224"/>
      <c r="N54" s="218"/>
      <c r="O54" s="217"/>
      <c r="P54" s="215"/>
      <c r="Q54" s="215"/>
    </row>
    <row r="55" customFormat="false" ht="12.65" hidden="false" customHeight="false" outlineLevel="0" collapsed="false">
      <c r="A55" s="225"/>
      <c r="B55" s="226"/>
      <c r="C55" s="257"/>
      <c r="D55" s="227"/>
      <c r="E55" s="218"/>
      <c r="F55" s="243"/>
      <c r="G55" s="217"/>
      <c r="H55" s="175" t="n">
        <v>0</v>
      </c>
      <c r="I55" s="175" t="n">
        <v>0</v>
      </c>
      <c r="J55" s="215" t="str">
        <f aca="false">IF(D55&gt;0,D55*J$4*(1-F55)," ")</f>
        <v> </v>
      </c>
      <c r="K55" s="215" t="str">
        <f aca="false">IF(D55&gt;0,D55-J55," ")</f>
        <v> </v>
      </c>
      <c r="L55" s="217"/>
      <c r="M55" s="230"/>
      <c r="N55" s="231"/>
      <c r="O55" s="217"/>
      <c r="P55" s="215" t="str">
        <f aca="false">IF((M55+N55)&gt;0,IF(N55&lt;K55,(K55-N55)*(1-F55)," ")," ")</f>
        <v> </v>
      </c>
      <c r="Q55" s="215" t="str">
        <f aca="false">IF((M55+N55)&gt;0,IF(N55&gt;K55,(N55-K55)*(1-F55)," ")," ")</f>
        <v> </v>
      </c>
    </row>
    <row r="56" customFormat="false" ht="12.65" hidden="false" customHeight="false" outlineLevel="0" collapsed="false">
      <c r="A56" s="230"/>
      <c r="B56" s="232"/>
      <c r="C56" s="259"/>
      <c r="D56" s="231"/>
      <c r="E56" s="218"/>
      <c r="F56" s="243"/>
      <c r="G56" s="217"/>
      <c r="H56" s="175" t="n">
        <v>0</v>
      </c>
      <c r="I56" s="175" t="n">
        <v>0</v>
      </c>
      <c r="J56" s="215" t="str">
        <f aca="false">IF(D56&gt;0,D56*J$4*(1-F56)," ")</f>
        <v> </v>
      </c>
      <c r="K56" s="215" t="str">
        <f aca="false">IF(D56&gt;0,D56-J56," ")</f>
        <v> </v>
      </c>
      <c r="L56" s="217"/>
      <c r="M56" s="230"/>
      <c r="N56" s="231"/>
      <c r="O56" s="217"/>
      <c r="P56" s="215" t="str">
        <f aca="false">IF((M56+N56)&gt;0,IF(N56&lt;K56,(K56-N56)*(1-F56)," ")," ")</f>
        <v> </v>
      </c>
      <c r="Q56" s="215" t="str">
        <f aca="false">IF((M56+N56)&gt;0,IF(N56&gt;K56,(N56-K56)*(1-F56)," ")," ")</f>
        <v> </v>
      </c>
    </row>
    <row r="57" customFormat="false" ht="12.65" hidden="false" customHeight="false" outlineLevel="0" collapsed="false">
      <c r="A57" s="230"/>
      <c r="B57" s="232"/>
      <c r="C57" s="259"/>
      <c r="D57" s="231"/>
      <c r="E57" s="218"/>
      <c r="F57" s="243"/>
      <c r="G57" s="217"/>
      <c r="H57" s="175" t="n">
        <v>0</v>
      </c>
      <c r="I57" s="175" t="n">
        <v>0</v>
      </c>
      <c r="J57" s="215" t="str">
        <f aca="false">IF(D57&gt;0,D57*J$4*(1-F57)," ")</f>
        <v> </v>
      </c>
      <c r="K57" s="215" t="str">
        <f aca="false">IF(D57&gt;0,D57-J57," ")</f>
        <v> </v>
      </c>
      <c r="L57" s="217"/>
      <c r="M57" s="230"/>
      <c r="N57" s="231"/>
      <c r="O57" s="217"/>
      <c r="P57" s="215" t="str">
        <f aca="false">IF((M57+N57)&gt;0,IF(N57&lt;K57,(K57-N57)*(1-F57)," ")," ")</f>
        <v> </v>
      </c>
      <c r="Q57" s="215" t="str">
        <f aca="false">IF((M57+N57)&gt;0,IF(N57&gt;K57,(N57-K57)*(1-F57)," ")," ")</f>
        <v> </v>
      </c>
    </row>
    <row r="58" customFormat="false" ht="12.65" hidden="false" customHeight="false" outlineLevel="0" collapsed="false">
      <c r="A58" s="230"/>
      <c r="B58" s="232"/>
      <c r="C58" s="259"/>
      <c r="D58" s="231"/>
      <c r="E58" s="218"/>
      <c r="F58" s="243"/>
      <c r="G58" s="217"/>
      <c r="H58" s="175" t="n">
        <v>0</v>
      </c>
      <c r="I58" s="175" t="n">
        <v>0</v>
      </c>
      <c r="J58" s="215" t="str">
        <f aca="false">IF(D58&gt;0,D58*J$4*(1-F58)," ")</f>
        <v> </v>
      </c>
      <c r="K58" s="215" t="str">
        <f aca="false">IF(D58&gt;0,D58-J58," ")</f>
        <v> </v>
      </c>
      <c r="L58" s="217"/>
      <c r="M58" s="230"/>
      <c r="N58" s="231"/>
      <c r="O58" s="217"/>
      <c r="P58" s="215" t="str">
        <f aca="false">IF((M58+N58)&gt;0,IF(N58&lt;K58,(K58-N58)*(1-F58)," ")," ")</f>
        <v> </v>
      </c>
      <c r="Q58" s="215" t="str">
        <f aca="false">IF((M58+N58)&gt;0,IF(N58&gt;K58,(N58-K58)*(1-F58)," ")," ")</f>
        <v> </v>
      </c>
    </row>
    <row r="59" customFormat="false" ht="12.65" hidden="false" customHeight="false" outlineLevel="0" collapsed="false">
      <c r="A59" s="230"/>
      <c r="B59" s="232"/>
      <c r="C59" s="259"/>
      <c r="D59" s="231"/>
      <c r="E59" s="218"/>
      <c r="F59" s="243"/>
      <c r="G59" s="217"/>
      <c r="H59" s="175" t="n">
        <v>0</v>
      </c>
      <c r="I59" s="175" t="n">
        <v>0</v>
      </c>
      <c r="J59" s="215" t="str">
        <f aca="false">IF(D59&gt;0,D59*J$4*(1-F59)," ")</f>
        <v> </v>
      </c>
      <c r="K59" s="215" t="str">
        <f aca="false">IF(D59&gt;0,D59-J59," ")</f>
        <v> </v>
      </c>
      <c r="L59" s="217"/>
      <c r="M59" s="230"/>
      <c r="N59" s="231"/>
      <c r="O59" s="217"/>
      <c r="P59" s="215" t="str">
        <f aca="false">IF((M59+N59)&gt;0,IF(N59&lt;K59,(K59-N59)*(1-F59)," ")," ")</f>
        <v> </v>
      </c>
      <c r="Q59" s="215" t="str">
        <f aca="false">IF((M59+N59)&gt;0,IF(N59&gt;K59,(N59-K59)*(1-F59)," ")," ")</f>
        <v> </v>
      </c>
    </row>
    <row r="60" customFormat="false" ht="12.65" hidden="false" customHeight="true" outlineLevel="0" collapsed="false">
      <c r="A60" s="265" t="s">
        <v>194</v>
      </c>
      <c r="B60" s="265"/>
      <c r="C60" s="266" t="n">
        <f aca="false">Admin!B$4</f>
        <v>46118</v>
      </c>
      <c r="D60" s="267" t="n">
        <f aca="false">SUM(D55:D59)</f>
        <v>0</v>
      </c>
      <c r="E60" s="218"/>
      <c r="F60" s="216"/>
      <c r="G60" s="217"/>
      <c r="H60" s="239" t="n">
        <f aca="false">SUM(H55:H59)</f>
        <v>0</v>
      </c>
      <c r="I60" s="240" t="n">
        <f aca="false">SUM(I55:I59)</f>
        <v>0</v>
      </c>
      <c r="J60" s="239" t="n">
        <f aca="false">SUM(J55:J59)</f>
        <v>0</v>
      </c>
      <c r="K60" s="238" t="n">
        <f aca="false">SUM(K55:K59)</f>
        <v>0</v>
      </c>
      <c r="L60" s="217"/>
      <c r="M60" s="224"/>
      <c r="N60" s="238" t="n">
        <f aca="false">SUM(N55:N59)</f>
        <v>0</v>
      </c>
      <c r="O60" s="217"/>
      <c r="P60" s="238" t="n">
        <f aca="false">SUM(P55:P59)</f>
        <v>0</v>
      </c>
      <c r="Q60" s="238" t="n">
        <f aca="false">SUM(Q55:Q59)</f>
        <v>0</v>
      </c>
    </row>
    <row r="61" customFormat="false" ht="12.65" hidden="false" customHeight="false" outlineLevel="0" collapsed="false">
      <c r="A61" s="224"/>
      <c r="B61" s="241"/>
      <c r="C61" s="263"/>
      <c r="D61" s="218"/>
      <c r="E61" s="218"/>
      <c r="F61" s="216"/>
      <c r="G61" s="217"/>
      <c r="H61" s="175"/>
      <c r="I61" s="215"/>
      <c r="J61" s="175"/>
      <c r="K61" s="215"/>
      <c r="L61" s="217"/>
      <c r="M61" s="224"/>
      <c r="N61" s="218"/>
      <c r="O61" s="217"/>
      <c r="P61" s="215"/>
      <c r="Q61" s="215"/>
    </row>
    <row r="62" customFormat="false" ht="12.65" hidden="false" customHeight="false" outlineLevel="0" collapsed="false">
      <c r="A62" s="268" t="s">
        <v>195</v>
      </c>
      <c r="B62" s="268"/>
      <c r="C62" s="269" t="str">
        <f aca="false">Admin!G$2</f>
        <v>2026-27</v>
      </c>
      <c r="D62" s="249" t="n">
        <f aca="false">D44+D52+D60</f>
        <v>8000</v>
      </c>
      <c r="E62" s="218"/>
      <c r="F62" s="216"/>
      <c r="G62" s="217"/>
      <c r="H62" s="250" t="n">
        <f aca="false">H44+H52+H60</f>
        <v>0</v>
      </c>
      <c r="I62" s="251" t="n">
        <f aca="false">I44+I52+I60</f>
        <v>0</v>
      </c>
      <c r="J62" s="250" t="n">
        <f aca="false">J44+J52+J60</f>
        <v>1120</v>
      </c>
      <c r="K62" s="249" t="n">
        <f aca="false">K44+K52+K60</f>
        <v>6880</v>
      </c>
      <c r="L62" s="217"/>
      <c r="M62" s="224"/>
      <c r="N62" s="249" t="n">
        <f aca="false">N44+N52+N60</f>
        <v>0</v>
      </c>
      <c r="O62" s="217"/>
      <c r="P62" s="249" t="n">
        <f aca="false">P44+P52+P60</f>
        <v>0</v>
      </c>
      <c r="Q62" s="249" t="n">
        <f aca="false">Q44+Q52+Q60</f>
        <v>0</v>
      </c>
    </row>
    <row r="63" customFormat="false" ht="12" hidden="false" customHeight="false" outlineLevel="0" collapsed="false">
      <c r="A63" s="224"/>
      <c r="B63" s="241"/>
      <c r="C63" s="241"/>
      <c r="D63" s="218"/>
      <c r="E63" s="218"/>
      <c r="F63" s="216"/>
      <c r="G63" s="270"/>
      <c r="H63" s="218"/>
      <c r="I63" s="215"/>
      <c r="J63" s="215"/>
      <c r="K63" s="215"/>
      <c r="L63" s="270"/>
      <c r="M63" s="224"/>
      <c r="N63" s="218"/>
      <c r="O63" s="270"/>
      <c r="P63" s="215"/>
      <c r="Q63" s="215"/>
    </row>
  </sheetData>
  <mergeCells count="31">
    <mergeCell ref="A1:A4"/>
    <mergeCell ref="E1:E4"/>
    <mergeCell ref="F1:F4"/>
    <mergeCell ref="G1:G4"/>
    <mergeCell ref="L1:L4"/>
    <mergeCell ref="M1:M4"/>
    <mergeCell ref="O1:O4"/>
    <mergeCell ref="B2:B4"/>
    <mergeCell ref="C2:C4"/>
    <mergeCell ref="D2:D4"/>
    <mergeCell ref="H2:H3"/>
    <mergeCell ref="I2:I3"/>
    <mergeCell ref="J2:J3"/>
    <mergeCell ref="K2:K3"/>
    <mergeCell ref="N2:N4"/>
    <mergeCell ref="P2:P4"/>
    <mergeCell ref="Q2:Q4"/>
    <mergeCell ref="A6:C6"/>
    <mergeCell ref="A15:B15"/>
    <mergeCell ref="A17:B17"/>
    <mergeCell ref="A23:B23"/>
    <mergeCell ref="A25:B25"/>
    <mergeCell ref="A31:B31"/>
    <mergeCell ref="A33:B33"/>
    <mergeCell ref="A35:C35"/>
    <mergeCell ref="A44:B44"/>
    <mergeCell ref="A46:B46"/>
    <mergeCell ref="A52:B52"/>
    <mergeCell ref="A54:B54"/>
    <mergeCell ref="A60:B60"/>
    <mergeCell ref="A62:B62"/>
  </mergeCells>
  <printOptions headings="false" gridLines="false" gridLinesSet="true" horizontalCentered="true" verticalCentered="true"/>
  <pageMargins left="0.157638888888889" right="0.157638888888889" top="0.550694444444445" bottom="0.432638888888889" header="0.196527777777778" footer="0.118055555555556"/>
  <pageSetup paperSize="9" scale="100" fitToWidth="1" fitToHeight="1" pageOrder="downThenOver" orientation="landscape" blackAndWhite="false" draft="false" cellComments="none" horizontalDpi="300" verticalDpi="300" copies="1"/>
  <headerFooter differentFirst="false" differentOddEven="false">
    <oddHeader>&amp;C&amp;"Arial,Bold"&amp;11Fixed Assets Capital Allowances
&amp;"Arial,Regular"&amp;10 6 April 2015 - 5 April 216</oddHeader>
    <oddFooter>&amp;L&amp;D  &amp;T&amp;C&amp;P  of  &amp;N&amp;R&amp;F  &amp;A</oddFooter>
  </headerFooter>
  <rowBreaks count="1" manualBreakCount="1">
    <brk id="31" man="true" max="16383" min="0"/>
  </rowBreak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6" width="2.66"/>
    <col collapsed="false" customWidth="true" hidden="false" outlineLevel="0" max="2" min="2" style="126" width="25.99"/>
    <col collapsed="false" customWidth="true" hidden="false" outlineLevel="0" max="3" min="3" style="126" width="11.32"/>
    <col collapsed="false" customWidth="true" hidden="false" outlineLevel="0" max="4" min="4" style="271" width="13.49"/>
    <col collapsed="false" customWidth="true" hidden="false" outlineLevel="0" max="5" min="5" style="272" width="12.66"/>
    <col collapsed="false" customWidth="true" hidden="false" outlineLevel="0" max="6" min="6" style="273" width="4.15"/>
    <col collapsed="false" customWidth="true" hidden="false" outlineLevel="0" max="7" min="7" style="127" width="2.66"/>
    <col collapsed="false" customWidth="false" hidden="false" outlineLevel="0" max="257" min="8" style="126" width="9.15"/>
  </cols>
  <sheetData>
    <row r="1" customFormat="false" ht="12.75" hidden="false" customHeight="false" outlineLevel="0" collapsed="false">
      <c r="A1" s="135"/>
      <c r="B1" s="135"/>
      <c r="C1" s="135"/>
      <c r="D1" s="274"/>
      <c r="E1" s="275"/>
      <c r="F1" s="276"/>
      <c r="G1" s="135"/>
    </row>
    <row r="2" customFormat="false" ht="18" hidden="false" customHeight="true" outlineLevel="0" collapsed="false">
      <c r="A2" s="135"/>
      <c r="B2" s="277" t="s">
        <v>196</v>
      </c>
      <c r="C2" s="278" t="str">
        <f aca="false">Admin!K$2</f>
        <v>2026-27</v>
      </c>
      <c r="D2" s="279" t="s">
        <v>197</v>
      </c>
      <c r="E2" s="279"/>
      <c r="F2" s="279"/>
      <c r="G2" s="280"/>
    </row>
    <row r="3" customFormat="false" ht="18.75" hidden="false" customHeight="true" outlineLevel="0" collapsed="false">
      <c r="A3" s="135"/>
      <c r="B3" s="281"/>
      <c r="C3" s="281"/>
      <c r="D3" s="279"/>
      <c r="E3" s="279"/>
      <c r="F3" s="279"/>
      <c r="G3" s="280"/>
    </row>
    <row r="4" customFormat="false" ht="12.75" hidden="false" customHeight="false" outlineLevel="0" collapsed="false">
      <c r="A4" s="135"/>
      <c r="B4" s="144"/>
      <c r="C4" s="144"/>
      <c r="D4" s="282"/>
      <c r="E4" s="275"/>
      <c r="F4" s="276"/>
      <c r="G4" s="280"/>
    </row>
    <row r="5" customFormat="false" ht="12.75" hidden="false" customHeight="false" outlineLevel="0" collapsed="false">
      <c r="A5" s="135"/>
      <c r="B5" s="283" t="s">
        <v>198</v>
      </c>
      <c r="C5" s="283"/>
      <c r="D5" s="283"/>
      <c r="E5" s="284" t="n">
        <f aca="false">'SE Short'!D106</f>
        <v>29065</v>
      </c>
      <c r="F5" s="276"/>
      <c r="G5" s="280"/>
      <c r="K5" s="285"/>
    </row>
    <row r="6" customFormat="false" ht="12.75" hidden="false" customHeight="false" outlineLevel="0" collapsed="false">
      <c r="A6" s="135"/>
      <c r="B6" s="144" t="s">
        <v>199</v>
      </c>
      <c r="C6" s="144" t="str">
        <f aca="false">C2</f>
        <v>2026-27</v>
      </c>
      <c r="D6" s="286"/>
      <c r="E6" s="280" t="n">
        <f aca="false">IF(E5&lt;=0,0,MAX(0,Admin!N$4-MAX(0,E5-Admin!N$5)/2))</f>
        <v>12570</v>
      </c>
      <c r="F6" s="276"/>
      <c r="G6" s="280"/>
      <c r="K6" s="285"/>
    </row>
    <row r="7" customFormat="false" ht="12.75" hidden="false" customHeight="false" outlineLevel="0" collapsed="false">
      <c r="A7" s="135"/>
      <c r="B7" s="283" t="s">
        <v>200</v>
      </c>
      <c r="C7" s="283"/>
      <c r="D7" s="283"/>
      <c r="E7" s="284" t="n">
        <f aca="false">IF((E5&gt;E6),(E5-E6),0)</f>
        <v>16495</v>
      </c>
      <c r="F7" s="276"/>
      <c r="G7" s="280"/>
      <c r="K7" s="285"/>
    </row>
    <row r="8" customFormat="false" ht="12.75" hidden="false" customHeight="false" outlineLevel="0" collapsed="false">
      <c r="A8" s="135"/>
      <c r="B8" s="144" t="s">
        <v>201</v>
      </c>
      <c r="C8" s="144" t="n">
        <f aca="false">Admin!N$11</f>
        <v>0</v>
      </c>
      <c r="D8" s="287" t="n">
        <f aca="false">Admin!N$6</f>
        <v>0.2</v>
      </c>
      <c r="E8" s="275" t="n">
        <f aca="false">IF((E7&gt;0),(IF((E7&lt;C9),E7*D8,C9*D8)),0)</f>
        <v>3299</v>
      </c>
      <c r="F8" s="276"/>
      <c r="G8" s="280"/>
      <c r="H8" s="288"/>
      <c r="K8" s="285"/>
    </row>
    <row r="9" customFormat="false" ht="12.75" hidden="false" customHeight="false" outlineLevel="0" collapsed="false">
      <c r="A9" s="135"/>
      <c r="B9" s="144" t="s">
        <v>202</v>
      </c>
      <c r="C9" s="144" t="n">
        <f aca="false">Admin!M$11</f>
        <v>37700</v>
      </c>
      <c r="D9" s="287" t="n">
        <f aca="false">Admin!N$7</f>
        <v>0.4</v>
      </c>
      <c r="E9" s="275" t="n">
        <f aca="false">IF(E7&gt;C9,(MIN(E7,C10)-C9)*D9,0)</f>
        <v>0</v>
      </c>
      <c r="F9" s="276"/>
      <c r="G9" s="280"/>
      <c r="K9" s="285"/>
    </row>
    <row r="10" customFormat="false" ht="12.75" hidden="false" customHeight="false" outlineLevel="0" collapsed="false">
      <c r="A10" s="135"/>
      <c r="B10" s="144" t="s">
        <v>203</v>
      </c>
      <c r="C10" s="144" t="n">
        <f aca="false">Admin!N$13</f>
        <v>125140</v>
      </c>
      <c r="D10" s="287" t="n">
        <f aca="false">Admin!N$8</f>
        <v>0.45</v>
      </c>
      <c r="E10" s="275" t="n">
        <f aca="false">IF(E7&gt;C10,(E7-C10)*D10,0)</f>
        <v>0</v>
      </c>
      <c r="F10" s="276"/>
      <c r="G10" s="280"/>
      <c r="K10" s="285"/>
    </row>
    <row r="11" customFormat="false" ht="12.75" hidden="false" customHeight="false" outlineLevel="0" collapsed="false">
      <c r="A11" s="135"/>
      <c r="B11" s="289" t="s">
        <v>204</v>
      </c>
      <c r="C11" s="290"/>
      <c r="D11" s="291"/>
      <c r="E11" s="292" t="n">
        <f aca="false">SUM(E8:E10)</f>
        <v>3299</v>
      </c>
      <c r="F11" s="293"/>
      <c r="G11" s="294"/>
      <c r="K11" s="285"/>
    </row>
    <row r="12" customFormat="false" ht="12.75" hidden="false" customHeight="false" outlineLevel="0" collapsed="false">
      <c r="A12" s="135"/>
      <c r="B12" s="295" t="s">
        <v>205</v>
      </c>
      <c r="C12" s="296" t="n">
        <f aca="false">Admin!B$21</f>
        <v>46783</v>
      </c>
      <c r="D12" s="296"/>
      <c r="E12" s="275"/>
      <c r="F12" s="293"/>
      <c r="G12" s="294"/>
      <c r="K12" s="285"/>
    </row>
    <row r="13" customFormat="false" ht="9.75" hidden="false" customHeight="true" outlineLevel="0" collapsed="false">
      <c r="A13" s="135"/>
      <c r="B13" s="144"/>
      <c r="C13" s="144"/>
      <c r="D13" s="297"/>
      <c r="E13" s="298"/>
      <c r="F13" s="276"/>
      <c r="G13" s="294"/>
      <c r="K13" s="285"/>
    </row>
    <row r="14" customFormat="false" ht="12.75" hidden="false" customHeight="false" outlineLevel="0" collapsed="false">
      <c r="A14" s="135"/>
      <c r="B14" s="299" t="s">
        <v>206</v>
      </c>
      <c r="C14" s="299"/>
      <c r="D14" s="287" t="n">
        <f aca="false">Admin!L$20</f>
        <v>0.06</v>
      </c>
      <c r="E14" s="300" t="n">
        <f aca="false">IF(E5&gt;Admin!N20,IF(E5&lt;Admin!N$23,(E5-Admin!N20)*D14,(Admin!N$23-Admin!N20)*D14),0)</f>
        <v>989.7</v>
      </c>
      <c r="F14" s="276"/>
      <c r="G14" s="294"/>
      <c r="K14" s="285"/>
    </row>
    <row r="15" customFormat="false" ht="12.75" hidden="false" customHeight="false" outlineLevel="0" collapsed="false">
      <c r="A15" s="135"/>
      <c r="B15" s="299" t="s">
        <v>207</v>
      </c>
      <c r="C15" s="299"/>
      <c r="D15" s="287" t="n">
        <f aca="false">Admin!L$23</f>
        <v>0.02</v>
      </c>
      <c r="E15" s="300" t="n">
        <f aca="false">IF((E5&gt;Admin!N$23),((E5-Admin!N$23)*D15),0)</f>
        <v>0</v>
      </c>
      <c r="F15" s="276"/>
      <c r="G15" s="294"/>
      <c r="K15" s="285"/>
    </row>
    <row r="16" customFormat="false" ht="12.75" hidden="false" customHeight="false" outlineLevel="0" collapsed="false">
      <c r="A16" s="135"/>
      <c r="B16" s="144"/>
      <c r="C16" s="144"/>
      <c r="D16" s="297"/>
      <c r="E16" s="298"/>
      <c r="F16" s="276"/>
      <c r="G16" s="294"/>
      <c r="K16" s="285"/>
    </row>
    <row r="17" customFormat="false" ht="12.75" hidden="false" customHeight="false" outlineLevel="0" collapsed="false">
      <c r="A17" s="135"/>
      <c r="B17" s="301" t="s">
        <v>208</v>
      </c>
      <c r="C17" s="301"/>
      <c r="D17" s="297"/>
      <c r="E17" s="292" t="n">
        <f aca="false">SUM(E11:E16)</f>
        <v>4288.7</v>
      </c>
      <c r="F17" s="276"/>
      <c r="G17" s="280"/>
      <c r="K17" s="285"/>
    </row>
    <row r="18" customFormat="false" ht="12.75" hidden="false" customHeight="false" outlineLevel="0" collapsed="false">
      <c r="A18" s="135"/>
      <c r="B18" s="302"/>
      <c r="C18" s="302"/>
      <c r="D18" s="297"/>
      <c r="E18" s="298"/>
      <c r="F18" s="276"/>
      <c r="G18" s="280"/>
    </row>
    <row r="19" customFormat="false" ht="12.75" hidden="false" customHeight="false" outlineLevel="0" collapsed="false">
      <c r="A19" s="135"/>
      <c r="B19" s="302"/>
      <c r="C19" s="302"/>
      <c r="D19" s="297"/>
      <c r="E19" s="298"/>
      <c r="F19" s="276"/>
      <c r="G19" s="280"/>
    </row>
    <row r="20" customFormat="false" ht="18" hidden="false" customHeight="true" outlineLevel="0" collapsed="false">
      <c r="A20" s="135"/>
      <c r="B20" s="289" t="s">
        <v>209</v>
      </c>
      <c r="C20" s="303"/>
      <c r="D20" s="304" t="s">
        <v>210</v>
      </c>
      <c r="E20" s="304"/>
      <c r="F20" s="304"/>
      <c r="G20" s="135"/>
    </row>
    <row r="21" customFormat="false" ht="12.75" hidden="false" customHeight="true" outlineLevel="0" collapsed="false">
      <c r="A21" s="135"/>
      <c r="B21" s="144"/>
      <c r="C21" s="144"/>
      <c r="D21" s="297"/>
      <c r="E21" s="298"/>
      <c r="F21" s="276"/>
      <c r="G21" s="294"/>
    </row>
    <row r="22" s="309" customFormat="true" ht="12.75" hidden="false" customHeight="true" outlineLevel="0" collapsed="false">
      <c r="A22" s="305"/>
      <c r="B22" s="144"/>
      <c r="C22" s="144"/>
      <c r="D22" s="306" t="s">
        <v>211</v>
      </c>
      <c r="E22" s="307" t="s">
        <v>212</v>
      </c>
      <c r="F22" s="308"/>
      <c r="G22" s="280"/>
    </row>
    <row r="23" s="309" customFormat="true" ht="12.75" hidden="false" customHeight="false" outlineLevel="0" collapsed="false">
      <c r="A23" s="305"/>
      <c r="B23" s="144"/>
      <c r="C23" s="144"/>
      <c r="D23" s="306"/>
      <c r="E23" s="306"/>
      <c r="F23" s="308"/>
      <c r="G23" s="280"/>
    </row>
    <row r="24" customFormat="false" ht="12.75" hidden="false" customHeight="false" outlineLevel="0" collapsed="false">
      <c r="A24" s="135"/>
      <c r="B24" s="144" t="s">
        <v>213</v>
      </c>
      <c r="C24" s="310" t="str">
        <f aca="false">Admin!B$24</f>
        <v>2027-28</v>
      </c>
      <c r="D24" s="311" t="s">
        <v>214</v>
      </c>
      <c r="E24" s="300" t="n">
        <f aca="false">E17</f>
        <v>4288.7</v>
      </c>
      <c r="F24" s="276"/>
      <c r="G24" s="280"/>
    </row>
    <row r="25" customFormat="false" ht="12.75" hidden="false" customHeight="false" outlineLevel="0" collapsed="false">
      <c r="A25" s="135"/>
      <c r="B25" s="144" t="s">
        <v>215</v>
      </c>
      <c r="C25" s="144"/>
      <c r="D25" s="312" t="n">
        <f aca="false">Admin!B$21</f>
        <v>46783</v>
      </c>
      <c r="E25" s="284" t="n">
        <f aca="false">E24/2</f>
        <v>2144.35</v>
      </c>
      <c r="F25" s="276"/>
      <c r="G25" s="280"/>
    </row>
    <row r="26" customFormat="false" ht="12.75" hidden="false" customHeight="false" outlineLevel="0" collapsed="false">
      <c r="A26" s="135"/>
      <c r="B26" s="144" t="s">
        <v>215</v>
      </c>
      <c r="C26" s="144"/>
      <c r="D26" s="312" t="n">
        <f aca="false">Admin!B$22</f>
        <v>46965</v>
      </c>
      <c r="E26" s="284" t="n">
        <f aca="false">E24/2</f>
        <v>2144.35</v>
      </c>
      <c r="F26" s="276"/>
      <c r="G26" s="280"/>
    </row>
    <row r="27" customFormat="false" ht="12.75" hidden="false" customHeight="false" outlineLevel="0" collapsed="false">
      <c r="A27" s="135"/>
      <c r="B27" s="135"/>
      <c r="C27" s="135"/>
      <c r="D27" s="297"/>
      <c r="E27" s="275"/>
      <c r="F27" s="276"/>
      <c r="G27" s="280"/>
    </row>
    <row r="28" customFormat="false" ht="12.75" hidden="false" customHeight="false" outlineLevel="0" collapsed="false">
      <c r="A28" s="135"/>
      <c r="B28" s="313" t="s">
        <v>216</v>
      </c>
      <c r="C28" s="160"/>
      <c r="D28" s="297"/>
      <c r="E28" s="275"/>
      <c r="F28" s="276"/>
      <c r="G28" s="280"/>
    </row>
    <row r="29" customFormat="false" ht="12.75" hidden="false" customHeight="false" outlineLevel="0" collapsed="false">
      <c r="A29" s="135"/>
      <c r="B29" s="314" t="s">
        <v>217</v>
      </c>
      <c r="C29" s="314"/>
      <c r="D29" s="135"/>
      <c r="E29" s="315"/>
      <c r="F29" s="276"/>
      <c r="G29" s="316"/>
    </row>
    <row r="30" customFormat="false" ht="12.75" hidden="false" customHeight="false" outlineLevel="0" collapsed="false">
      <c r="A30" s="135"/>
      <c r="B30" s="317" t="s">
        <v>218</v>
      </c>
      <c r="C30" s="317"/>
      <c r="D30" s="318"/>
      <c r="E30" s="315"/>
      <c r="F30" s="276"/>
      <c r="G30" s="316"/>
    </row>
    <row r="31" customFormat="false" ht="12.75" hidden="false" customHeight="false" outlineLevel="0" collapsed="false">
      <c r="A31" s="135"/>
      <c r="B31" s="319" t="s">
        <v>219</v>
      </c>
      <c r="C31" s="317"/>
      <c r="D31" s="318"/>
      <c r="E31" s="315"/>
      <c r="F31" s="276"/>
      <c r="G31" s="316"/>
    </row>
    <row r="32" customFormat="false" ht="12.75" hidden="false" customHeight="false" outlineLevel="0" collapsed="false">
      <c r="A32" s="135"/>
      <c r="B32" s="160" t="s">
        <v>220</v>
      </c>
      <c r="C32" s="160"/>
      <c r="D32" s="318"/>
      <c r="E32" s="320"/>
      <c r="F32" s="276"/>
      <c r="G32" s="316"/>
    </row>
    <row r="33" customFormat="false" ht="12.75" hidden="false" customHeight="false" outlineLevel="0" collapsed="false">
      <c r="A33" s="135"/>
      <c r="B33" s="160" t="s">
        <v>221</v>
      </c>
      <c r="C33" s="160"/>
      <c r="D33" s="318"/>
      <c r="E33" s="320"/>
      <c r="F33" s="276"/>
      <c r="G33" s="316"/>
    </row>
    <row r="34" customFormat="false" ht="12.75" hidden="false" customHeight="false" outlineLevel="0" collapsed="false">
      <c r="A34" s="135"/>
      <c r="B34" s="160" t="s">
        <v>222</v>
      </c>
      <c r="C34" s="160"/>
      <c r="D34" s="318"/>
      <c r="E34" s="320"/>
      <c r="F34" s="276"/>
      <c r="G34" s="316"/>
    </row>
    <row r="35" customFormat="false" ht="12.75" hidden="false" customHeight="false" outlineLevel="0" collapsed="false">
      <c r="A35" s="135"/>
      <c r="B35" s="135"/>
      <c r="C35" s="135"/>
      <c r="D35" s="318"/>
      <c r="E35" s="320"/>
      <c r="F35" s="276"/>
      <c r="G35" s="316"/>
    </row>
  </sheetData>
  <mergeCells count="10">
    <mergeCell ref="D2:F3"/>
    <mergeCell ref="B5:D5"/>
    <mergeCell ref="B7:D7"/>
    <mergeCell ref="C12:D12"/>
    <mergeCell ref="B14:C14"/>
    <mergeCell ref="B15:C15"/>
    <mergeCell ref="B17:C17"/>
    <mergeCell ref="D20:F20"/>
    <mergeCell ref="D22:D23"/>
    <mergeCell ref="E22:E23"/>
  </mergeCells>
  <printOptions headings="false" gridLines="false" gridLinesSet="true" horizontalCentered="false" verticalCentered="false"/>
  <pageMargins left="0.747916666666667" right="0.747916666666667" top="0.984027777777778" bottom="0.984027777777778" header="0.511805555555556" footer="0.511805555555556"/>
  <pageSetup paperSize="9" scale="100" fitToWidth="1" fitToHeight="1" pageOrder="downThenOver" orientation="portrait" blackAndWhite="false" draft="false" cellComments="none" horizontalDpi="300" verticalDpi="300" copies="1"/>
  <headerFooter differentFirst="false" differentOddEven="false">
    <oddHeader>&amp;C&amp;"Arial,Bold"&amp;11Provisional tax calculation
&amp;"Arial,Regular"&amp;10precise figures will depend upon personal circumstances</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4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165" width="1.66"/>
    <col collapsed="false" customWidth="true" hidden="false" outlineLevel="0" max="2" min="2" style="165" width="19.66"/>
    <col collapsed="false" customWidth="true" hidden="false" outlineLevel="0" max="15" min="3" style="165" width="8.66"/>
    <col collapsed="false" customWidth="true" hidden="false" outlineLevel="0" max="16" min="16" style="165" width="1.66"/>
    <col collapsed="false" customWidth="false" hidden="false" outlineLevel="0" max="257" min="17" style="165" width="9.15"/>
  </cols>
  <sheetData>
    <row r="1" customFormat="false" ht="6" hidden="false" customHeight="true" outlineLevel="0" collapsed="false">
      <c r="A1" s="241"/>
      <c r="B1" s="321"/>
      <c r="C1" s="178"/>
      <c r="D1" s="241"/>
      <c r="E1" s="241"/>
      <c r="F1" s="241"/>
      <c r="G1" s="241"/>
      <c r="H1" s="241"/>
      <c r="I1" s="241"/>
      <c r="J1" s="241"/>
      <c r="K1" s="241"/>
      <c r="L1" s="241"/>
      <c r="M1" s="241"/>
      <c r="N1" s="241"/>
      <c r="O1" s="241"/>
      <c r="P1" s="241"/>
    </row>
    <row r="2" customFormat="false" ht="12" hidden="false" customHeight="true" outlineLevel="0" collapsed="false">
      <c r="A2" s="241"/>
      <c r="B2" s="322" t="s">
        <v>223</v>
      </c>
      <c r="C2" s="323" t="s">
        <v>224</v>
      </c>
      <c r="D2" s="324" t="n">
        <f aca="false">Admin!B$5</f>
        <v>46142</v>
      </c>
      <c r="E2" s="325" t="n">
        <f aca="false">Admin!B$6</f>
        <v>46173</v>
      </c>
      <c r="F2" s="325" t="n">
        <f aca="false">Admin!B$7</f>
        <v>46203</v>
      </c>
      <c r="G2" s="325" t="n">
        <f aca="false">Admin!B$8</f>
        <v>46234</v>
      </c>
      <c r="H2" s="325" t="n">
        <f aca="false">Admin!B$9</f>
        <v>46265</v>
      </c>
      <c r="I2" s="325" t="n">
        <f aca="false">Admin!B$10</f>
        <v>46295</v>
      </c>
      <c r="J2" s="325" t="n">
        <f aca="false">Admin!B$11</f>
        <v>46326</v>
      </c>
      <c r="K2" s="325" t="n">
        <f aca="false">Admin!B$12</f>
        <v>46356</v>
      </c>
      <c r="L2" s="325" t="n">
        <f aca="false">Admin!B$13</f>
        <v>46387</v>
      </c>
      <c r="M2" s="325" t="n">
        <f aca="false">Admin!B$14</f>
        <v>46418</v>
      </c>
      <c r="N2" s="325" t="n">
        <f aca="false">Admin!B$15</f>
        <v>46446</v>
      </c>
      <c r="O2" s="325" t="n">
        <f aca="false">Admin!B$16</f>
        <v>46477</v>
      </c>
      <c r="P2" s="241"/>
    </row>
    <row r="3" customFormat="false" ht="12" hidden="false" customHeight="true" outlineLevel="0" collapsed="false">
      <c r="A3" s="241"/>
      <c r="B3" s="322"/>
      <c r="C3" s="326" t="n">
        <f aca="false">Admin!B$17</f>
        <v>46482</v>
      </c>
      <c r="D3" s="324"/>
      <c r="E3" s="325"/>
      <c r="F3" s="325"/>
      <c r="G3" s="325"/>
      <c r="H3" s="325"/>
      <c r="I3" s="325"/>
      <c r="J3" s="325"/>
      <c r="K3" s="325"/>
      <c r="L3" s="325"/>
      <c r="M3" s="325"/>
      <c r="N3" s="325"/>
      <c r="O3" s="325"/>
      <c r="P3" s="241"/>
    </row>
    <row r="4" customFormat="false" ht="12" hidden="false" customHeight="false" outlineLevel="0" collapsed="false">
      <c r="A4" s="241"/>
      <c r="B4" s="322"/>
      <c r="C4" s="327" t="s">
        <v>31</v>
      </c>
      <c r="D4" s="328" t="s">
        <v>31</v>
      </c>
      <c r="E4" s="328" t="s">
        <v>31</v>
      </c>
      <c r="F4" s="328" t="s">
        <v>31</v>
      </c>
      <c r="G4" s="328" t="s">
        <v>31</v>
      </c>
      <c r="H4" s="328" t="s">
        <v>31</v>
      </c>
      <c r="I4" s="328" t="s">
        <v>31</v>
      </c>
      <c r="J4" s="328" t="s">
        <v>31</v>
      </c>
      <c r="K4" s="328" t="s">
        <v>31</v>
      </c>
      <c r="L4" s="328" t="s">
        <v>31</v>
      </c>
      <c r="M4" s="328" t="s">
        <v>31</v>
      </c>
      <c r="N4" s="329" t="s">
        <v>31</v>
      </c>
      <c r="O4" s="328" t="s">
        <v>31</v>
      </c>
      <c r="P4" s="241"/>
    </row>
    <row r="5" s="204" customFormat="true" ht="12" hidden="false" customHeight="false" outlineLevel="0" collapsed="false">
      <c r="A5" s="263"/>
      <c r="B5" s="330" t="s">
        <v>110</v>
      </c>
      <c r="C5" s="176" t="n">
        <f aca="false">SUM(D5:O5)</f>
        <v>36045</v>
      </c>
      <c r="D5" s="176" t="n">
        <f aca="false">'Profit &amp; Loss Acc'!C5</f>
        <v>3045</v>
      </c>
      <c r="E5" s="176" t="n">
        <f aca="false">'Profit &amp; Loss Acc'!D5</f>
        <v>3000</v>
      </c>
      <c r="F5" s="176" t="n">
        <f aca="false">'Profit &amp; Loss Acc'!E5</f>
        <v>3000</v>
      </c>
      <c r="G5" s="176" t="n">
        <f aca="false">'Profit &amp; Loss Acc'!F5</f>
        <v>3000</v>
      </c>
      <c r="H5" s="176" t="n">
        <f aca="false">'Profit &amp; Loss Acc'!G5</f>
        <v>3000</v>
      </c>
      <c r="I5" s="176" t="n">
        <f aca="false">'Profit &amp; Loss Acc'!H5</f>
        <v>3000</v>
      </c>
      <c r="J5" s="176" t="n">
        <f aca="false">'Profit &amp; Loss Acc'!I5</f>
        <v>3000</v>
      </c>
      <c r="K5" s="176" t="n">
        <f aca="false">'Profit &amp; Loss Acc'!J5</f>
        <v>3000</v>
      </c>
      <c r="L5" s="176" t="n">
        <f aca="false">'Profit &amp; Loss Acc'!K5</f>
        <v>3000</v>
      </c>
      <c r="M5" s="176" t="n">
        <f aca="false">'Profit &amp; Loss Acc'!L5</f>
        <v>3000</v>
      </c>
      <c r="N5" s="176" t="n">
        <f aca="false">'Profit &amp; Loss Acc'!M5</f>
        <v>3000</v>
      </c>
      <c r="O5" s="176" t="n">
        <f aca="false">'Profit &amp; Loss Acc'!N5</f>
        <v>3000</v>
      </c>
      <c r="P5" s="263"/>
    </row>
    <row r="6" s="204" customFormat="true" ht="6" hidden="false" customHeight="true" outlineLevel="0" collapsed="false">
      <c r="A6" s="263"/>
      <c r="B6" s="330"/>
      <c r="C6" s="172"/>
      <c r="D6" s="172"/>
      <c r="E6" s="172"/>
      <c r="F6" s="172"/>
      <c r="G6" s="172"/>
      <c r="H6" s="172"/>
      <c r="I6" s="172"/>
      <c r="J6" s="172"/>
      <c r="K6" s="172"/>
      <c r="L6" s="172"/>
      <c r="M6" s="172"/>
      <c r="N6" s="172"/>
      <c r="O6" s="172"/>
      <c r="P6" s="263"/>
    </row>
    <row r="7" customFormat="false" ht="12" hidden="false" customHeight="false" outlineLevel="0" collapsed="false">
      <c r="A7" s="241"/>
      <c r="B7" s="331" t="s">
        <v>225</v>
      </c>
      <c r="C7" s="176" t="n">
        <f aca="false">SUM(D7:O7)</f>
        <v>500</v>
      </c>
      <c r="D7" s="332" t="n">
        <f aca="false">'Profit &amp; Loss Acc'!C24</f>
        <v>0</v>
      </c>
      <c r="E7" s="332" t="n">
        <f aca="false">'Profit &amp; Loss Acc'!D24</f>
        <v>0</v>
      </c>
      <c r="F7" s="332" t="n">
        <f aca="false">'Profit &amp; Loss Acc'!E24</f>
        <v>0</v>
      </c>
      <c r="G7" s="332" t="n">
        <f aca="false">'Profit &amp; Loss Acc'!F24</f>
        <v>0</v>
      </c>
      <c r="H7" s="332" t="n">
        <f aca="false">'Profit &amp; Loss Acc'!G24</f>
        <v>0</v>
      </c>
      <c r="I7" s="332" t="n">
        <f aca="false">'Profit &amp; Loss Acc'!H24</f>
        <v>500</v>
      </c>
      <c r="J7" s="332" t="n">
        <f aca="false">'Profit &amp; Loss Acc'!I24</f>
        <v>0</v>
      </c>
      <c r="K7" s="332" t="n">
        <f aca="false">'Profit &amp; Loss Acc'!J24</f>
        <v>0</v>
      </c>
      <c r="L7" s="332" t="n">
        <f aca="false">'Profit &amp; Loss Acc'!K24</f>
        <v>0</v>
      </c>
      <c r="M7" s="332" t="n">
        <f aca="false">'Profit &amp; Loss Acc'!L24</f>
        <v>0</v>
      </c>
      <c r="N7" s="332" t="n">
        <f aca="false">'Profit &amp; Loss Acc'!M24</f>
        <v>0</v>
      </c>
      <c r="O7" s="332" t="n">
        <f aca="false">'Profit &amp; Loss Acc'!N24</f>
        <v>0</v>
      </c>
      <c r="P7" s="241"/>
    </row>
    <row r="8" customFormat="false" ht="6" hidden="false" customHeight="true" outlineLevel="0" collapsed="false">
      <c r="A8" s="241"/>
      <c r="B8" s="331"/>
      <c r="C8" s="172"/>
      <c r="D8" s="172"/>
      <c r="E8" s="172"/>
      <c r="F8" s="172"/>
      <c r="G8" s="172"/>
      <c r="H8" s="172"/>
      <c r="I8" s="172"/>
      <c r="J8" s="172"/>
      <c r="K8" s="172"/>
      <c r="L8" s="172"/>
      <c r="M8" s="172"/>
      <c r="N8" s="172"/>
      <c r="O8" s="172"/>
      <c r="P8" s="241"/>
    </row>
    <row r="9" s="204" customFormat="true" ht="12" hidden="false" customHeight="false" outlineLevel="0" collapsed="false">
      <c r="A9" s="263"/>
      <c r="B9" s="330" t="s">
        <v>117</v>
      </c>
      <c r="C9" s="176" t="n">
        <f aca="false">SUM(D9:O9)</f>
        <v>6100</v>
      </c>
      <c r="D9" s="176" t="n">
        <f aca="false">'Profit &amp; Loss Acc'!C12</f>
        <v>1773.33333333333</v>
      </c>
      <c r="E9" s="176" t="n">
        <f aca="false">'Profit &amp; Loss Acc'!D12</f>
        <v>393.333333333333</v>
      </c>
      <c r="F9" s="176" t="n">
        <f aca="false">'Profit &amp; Loss Acc'!E12</f>
        <v>393.333333333333</v>
      </c>
      <c r="G9" s="176" t="n">
        <f aca="false">'Profit &amp; Loss Acc'!F12</f>
        <v>393.333333333333</v>
      </c>
      <c r="H9" s="176" t="n">
        <f aca="false">'Profit &amp; Loss Acc'!G12</f>
        <v>393.333333333333</v>
      </c>
      <c r="I9" s="176" t="n">
        <f aca="false">'Profit &amp; Loss Acc'!H12</f>
        <v>393.333333333333</v>
      </c>
      <c r="J9" s="176" t="n">
        <f aca="false">'Profit &amp; Loss Acc'!I12</f>
        <v>393.333333333333</v>
      </c>
      <c r="K9" s="176" t="n">
        <f aca="false">'Profit &amp; Loss Acc'!J12</f>
        <v>393.333333333333</v>
      </c>
      <c r="L9" s="176" t="n">
        <f aca="false">'Profit &amp; Loss Acc'!K12</f>
        <v>393.333333333333</v>
      </c>
      <c r="M9" s="176" t="n">
        <f aca="false">'Profit &amp; Loss Acc'!L12</f>
        <v>393.333333333333</v>
      </c>
      <c r="N9" s="176" t="n">
        <f aca="false">'Profit &amp; Loss Acc'!M12</f>
        <v>393.333333333333</v>
      </c>
      <c r="O9" s="176" t="n">
        <f aca="false">'Profit &amp; Loss Acc'!N12</f>
        <v>393.333333333333</v>
      </c>
      <c r="P9" s="263"/>
    </row>
    <row r="10" s="204" customFormat="true" ht="6" hidden="false" customHeight="true" outlineLevel="0" collapsed="false">
      <c r="A10" s="263"/>
      <c r="B10" s="330"/>
      <c r="C10" s="172"/>
      <c r="D10" s="172"/>
      <c r="E10" s="172"/>
      <c r="F10" s="172"/>
      <c r="G10" s="172"/>
      <c r="H10" s="172"/>
      <c r="I10" s="172"/>
      <c r="J10" s="172"/>
      <c r="K10" s="172"/>
      <c r="L10" s="172"/>
      <c r="M10" s="172"/>
      <c r="N10" s="172"/>
      <c r="O10" s="172"/>
      <c r="P10" s="263"/>
    </row>
    <row r="11" s="204" customFormat="true" ht="12" hidden="false" customHeight="false" outlineLevel="0" collapsed="false">
      <c r="A11" s="263"/>
      <c r="B11" s="330" t="s">
        <v>118</v>
      </c>
      <c r="C11" s="176" t="n">
        <f aca="false">SUM(D11:O11)</f>
        <v>30445</v>
      </c>
      <c r="D11" s="176" t="n">
        <f aca="false">D5+D7-D9</f>
        <v>1271.66666666667</v>
      </c>
      <c r="E11" s="176" t="n">
        <f aca="false">E5+E7-E9</f>
        <v>2606.66666666667</v>
      </c>
      <c r="F11" s="176" t="n">
        <f aca="false">F5+F7-F9</f>
        <v>2606.66666666667</v>
      </c>
      <c r="G11" s="176" t="n">
        <f aca="false">G5+G7-G9</f>
        <v>2606.66666666667</v>
      </c>
      <c r="H11" s="176" t="n">
        <f aca="false">H5+H7-H9</f>
        <v>2606.66666666667</v>
      </c>
      <c r="I11" s="176" t="n">
        <f aca="false">I5+I7-I9</f>
        <v>3106.66666666667</v>
      </c>
      <c r="J11" s="176" t="n">
        <f aca="false">J5+J7-J9</f>
        <v>2606.66666666667</v>
      </c>
      <c r="K11" s="176" t="n">
        <f aca="false">K5+K7-K9</f>
        <v>2606.66666666667</v>
      </c>
      <c r="L11" s="176" t="n">
        <f aca="false">L5+L7-L9</f>
        <v>2606.66666666667</v>
      </c>
      <c r="M11" s="176" t="n">
        <f aca="false">M5+M7-M9</f>
        <v>2606.66666666667</v>
      </c>
      <c r="N11" s="176" t="n">
        <f aca="false">N5+N7-N9</f>
        <v>2606.66666666667</v>
      </c>
      <c r="O11" s="176" t="n">
        <f aca="false">O5+O7-O9</f>
        <v>2606.66666666667</v>
      </c>
      <c r="P11" s="263"/>
    </row>
    <row r="12" s="204" customFormat="true" ht="6" hidden="false" customHeight="true" outlineLevel="0" collapsed="false">
      <c r="A12" s="263"/>
      <c r="B12" s="333"/>
      <c r="C12" s="172"/>
      <c r="D12" s="334"/>
      <c r="E12" s="334"/>
      <c r="F12" s="334"/>
      <c r="G12" s="334"/>
      <c r="H12" s="334"/>
      <c r="I12" s="334"/>
      <c r="J12" s="334"/>
      <c r="K12" s="334"/>
      <c r="L12" s="334"/>
      <c r="M12" s="334"/>
      <c r="N12" s="334"/>
      <c r="O12" s="334"/>
      <c r="P12" s="263"/>
    </row>
    <row r="13" customFormat="false" ht="12" hidden="false" customHeight="false" outlineLevel="0" collapsed="false">
      <c r="A13" s="241"/>
      <c r="B13" s="330" t="s">
        <v>226</v>
      </c>
      <c r="C13" s="176" t="n">
        <f aca="false">SUM(D13:O13)</f>
        <v>1380</v>
      </c>
      <c r="D13" s="176" t="n">
        <f aca="false">'Profit &amp; Loss Acc'!C22</f>
        <v>520</v>
      </c>
      <c r="E13" s="176" t="n">
        <f aca="false">'Profit &amp; Loss Acc'!D22</f>
        <v>0</v>
      </c>
      <c r="F13" s="176" t="n">
        <f aca="false">'Profit &amp; Loss Acc'!E22</f>
        <v>0</v>
      </c>
      <c r="G13" s="176" t="n">
        <f aca="false">'Profit &amp; Loss Acc'!F22</f>
        <v>120</v>
      </c>
      <c r="H13" s="176" t="n">
        <f aca="false">'Profit &amp; Loss Acc'!G22</f>
        <v>0</v>
      </c>
      <c r="I13" s="176" t="n">
        <f aca="false">'Profit &amp; Loss Acc'!H22</f>
        <v>0</v>
      </c>
      <c r="J13" s="176" t="n">
        <f aca="false">'Profit &amp; Loss Acc'!I22</f>
        <v>120</v>
      </c>
      <c r="K13" s="176" t="n">
        <f aca="false">'Profit &amp; Loss Acc'!J22</f>
        <v>0</v>
      </c>
      <c r="L13" s="176" t="n">
        <f aca="false">'Profit &amp; Loss Acc'!K22</f>
        <v>0</v>
      </c>
      <c r="M13" s="176" t="n">
        <f aca="false">'Profit &amp; Loss Acc'!L22</f>
        <v>620</v>
      </c>
      <c r="N13" s="176" t="n">
        <f aca="false">'Profit &amp; Loss Acc'!M22</f>
        <v>0</v>
      </c>
      <c r="O13" s="176" t="n">
        <f aca="false">'Profit &amp; Loss Acc'!N22</f>
        <v>0</v>
      </c>
      <c r="P13" s="241"/>
    </row>
    <row r="14" customFormat="false" ht="6" hidden="false" customHeight="true" outlineLevel="0" collapsed="false">
      <c r="A14" s="241"/>
      <c r="B14" s="330"/>
      <c r="C14" s="172"/>
      <c r="D14" s="172"/>
      <c r="E14" s="172"/>
      <c r="F14" s="172"/>
      <c r="G14" s="172"/>
      <c r="H14" s="172"/>
      <c r="I14" s="172"/>
      <c r="J14" s="172"/>
      <c r="K14" s="172"/>
      <c r="L14" s="172"/>
      <c r="M14" s="172"/>
      <c r="N14" s="172"/>
      <c r="O14" s="172"/>
      <c r="P14" s="241"/>
    </row>
    <row r="15" customFormat="false" ht="12" hidden="false" customHeight="false" outlineLevel="0" collapsed="false">
      <c r="A15" s="241"/>
      <c r="B15" s="335" t="s">
        <v>227</v>
      </c>
      <c r="C15" s="176" t="n">
        <f aca="false">SUM(D15:O15)</f>
        <v>29065</v>
      </c>
      <c r="D15" s="176" t="n">
        <f aca="false">D11-D13</f>
        <v>751.666666666667</v>
      </c>
      <c r="E15" s="176" t="n">
        <f aca="false">E11-E13</f>
        <v>2606.66666666667</v>
      </c>
      <c r="F15" s="176" t="n">
        <f aca="false">F11-F13</f>
        <v>2606.66666666667</v>
      </c>
      <c r="G15" s="176" t="n">
        <f aca="false">G11-G13</f>
        <v>2486.66666666667</v>
      </c>
      <c r="H15" s="176" t="n">
        <f aca="false">H11-H13</f>
        <v>2606.66666666667</v>
      </c>
      <c r="I15" s="176" t="n">
        <f aca="false">I11-I13</f>
        <v>3106.66666666667</v>
      </c>
      <c r="J15" s="176" t="n">
        <f aca="false">J11-J13</f>
        <v>2486.66666666667</v>
      </c>
      <c r="K15" s="176" t="n">
        <f aca="false">K11-K13</f>
        <v>2606.66666666667</v>
      </c>
      <c r="L15" s="176" t="n">
        <f aca="false">L11-L13</f>
        <v>2606.66666666667</v>
      </c>
      <c r="M15" s="176" t="n">
        <f aca="false">M11-M13</f>
        <v>1986.66666666667</v>
      </c>
      <c r="N15" s="176" t="n">
        <f aca="false">N11-N13</f>
        <v>2606.66666666667</v>
      </c>
      <c r="O15" s="176" t="n">
        <f aca="false">O11-O13</f>
        <v>2606.66666666667</v>
      </c>
      <c r="P15" s="241"/>
    </row>
    <row r="16" customFormat="false" ht="12" hidden="false" customHeight="false" outlineLevel="0" collapsed="false">
      <c r="A16" s="241"/>
      <c r="B16" s="241"/>
      <c r="C16" s="241"/>
      <c r="D16" s="241"/>
      <c r="E16" s="241"/>
      <c r="F16" s="241"/>
      <c r="G16" s="241"/>
      <c r="H16" s="241"/>
      <c r="I16" s="241"/>
      <c r="J16" s="241"/>
      <c r="K16" s="241"/>
      <c r="L16" s="241"/>
      <c r="M16" s="241"/>
      <c r="N16" s="241"/>
      <c r="O16" s="241"/>
      <c r="P16" s="241"/>
    </row>
    <row r="17" customFormat="false" ht="12" hidden="false" customHeight="true" outlineLevel="0" collapsed="false">
      <c r="A17" s="241"/>
      <c r="B17" s="336" t="s">
        <v>228</v>
      </c>
      <c r="C17" s="323" t="s">
        <v>224</v>
      </c>
      <c r="D17" s="337" t="n">
        <f aca="false">D2</f>
        <v>46142</v>
      </c>
      <c r="E17" s="337" t="n">
        <f aca="false">E2</f>
        <v>46173</v>
      </c>
      <c r="F17" s="337" t="n">
        <f aca="false">F2</f>
        <v>46203</v>
      </c>
      <c r="G17" s="337" t="n">
        <f aca="false">G2</f>
        <v>46234</v>
      </c>
      <c r="H17" s="337" t="n">
        <f aca="false">H2</f>
        <v>46265</v>
      </c>
      <c r="I17" s="337" t="n">
        <f aca="false">I2</f>
        <v>46295</v>
      </c>
      <c r="J17" s="337" t="n">
        <f aca="false">J2</f>
        <v>46326</v>
      </c>
      <c r="K17" s="337" t="n">
        <f aca="false">K2</f>
        <v>46356</v>
      </c>
      <c r="L17" s="337" t="n">
        <f aca="false">L2</f>
        <v>46387</v>
      </c>
      <c r="M17" s="337" t="n">
        <f aca="false">M2</f>
        <v>46418</v>
      </c>
      <c r="N17" s="337" t="n">
        <f aca="false">N2</f>
        <v>46446</v>
      </c>
      <c r="O17" s="337" t="n">
        <f aca="false">O2</f>
        <v>46477</v>
      </c>
      <c r="P17" s="241"/>
    </row>
    <row r="18" customFormat="false" ht="12" hidden="false" customHeight="true" outlineLevel="0" collapsed="false">
      <c r="A18" s="241"/>
      <c r="B18" s="336"/>
      <c r="C18" s="326" t="n">
        <f aca="false">C3</f>
        <v>46482</v>
      </c>
      <c r="D18" s="337"/>
      <c r="E18" s="337"/>
      <c r="F18" s="337"/>
      <c r="G18" s="337"/>
      <c r="H18" s="337"/>
      <c r="I18" s="337"/>
      <c r="J18" s="337"/>
      <c r="K18" s="337"/>
      <c r="L18" s="337"/>
      <c r="M18" s="337"/>
      <c r="N18" s="337"/>
      <c r="O18" s="337"/>
      <c r="P18" s="241"/>
    </row>
    <row r="19" customFormat="false" ht="12" hidden="false" customHeight="false" outlineLevel="0" collapsed="false">
      <c r="A19" s="241"/>
      <c r="B19" s="336"/>
      <c r="C19" s="338" t="n">
        <f aca="false">SUM(D19:O19)</f>
        <v>12</v>
      </c>
      <c r="D19" s="328" t="n">
        <f aca="false">IF(D5&gt;0,1," ")</f>
        <v>1</v>
      </c>
      <c r="E19" s="328" t="n">
        <f aca="false">IF(E5&gt;0,1," ")</f>
        <v>1</v>
      </c>
      <c r="F19" s="328" t="n">
        <f aca="false">IF(F5&gt;0,1," ")</f>
        <v>1</v>
      </c>
      <c r="G19" s="328" t="n">
        <f aca="false">IF(G5&gt;0,1," ")</f>
        <v>1</v>
      </c>
      <c r="H19" s="328" t="n">
        <f aca="false">IF(H5&gt;0,1," ")</f>
        <v>1</v>
      </c>
      <c r="I19" s="328" t="n">
        <f aca="false">IF(I5&gt;0,1," ")</f>
        <v>1</v>
      </c>
      <c r="J19" s="328" t="n">
        <f aca="false">IF(J5&gt;0,1," ")</f>
        <v>1</v>
      </c>
      <c r="K19" s="328" t="n">
        <f aca="false">IF(K5&gt;0,1," ")</f>
        <v>1</v>
      </c>
      <c r="L19" s="328" t="n">
        <f aca="false">IF(L5&gt;0,1," ")</f>
        <v>1</v>
      </c>
      <c r="M19" s="328" t="n">
        <f aca="false">IF(M5&gt;0,1," ")</f>
        <v>1</v>
      </c>
      <c r="N19" s="328" t="n">
        <f aca="false">IF(N5&gt;0,1," ")</f>
        <v>1</v>
      </c>
      <c r="O19" s="328" t="n">
        <f aca="false">IF(O5&gt;0,1," ")</f>
        <v>1</v>
      </c>
      <c r="P19" s="241"/>
    </row>
    <row r="20" s="204" customFormat="true" ht="12" hidden="false" customHeight="false" outlineLevel="0" collapsed="false">
      <c r="A20" s="263"/>
      <c r="B20" s="330" t="s">
        <v>110</v>
      </c>
      <c r="C20" s="176" t="n">
        <f aca="false">SUM(D20:O20)</f>
        <v>36045</v>
      </c>
      <c r="D20" s="176" t="n">
        <f aca="false">IF(C5&gt;0,IF(D5&gt;0,D5,C5/C19),0)</f>
        <v>3045</v>
      </c>
      <c r="E20" s="176" t="n">
        <f aca="false">IF(C5&gt;0,IF(E5&gt;0,E5,C5/C19),0)</f>
        <v>3000</v>
      </c>
      <c r="F20" s="176" t="n">
        <f aca="false">IF(C5&gt;0,IF(F5&gt;0,F5,C5/C19),0)</f>
        <v>3000</v>
      </c>
      <c r="G20" s="176" t="n">
        <f aca="false">IF(C5&gt;0,IF(G5&gt;0,G5,C5/C19),0)</f>
        <v>3000</v>
      </c>
      <c r="H20" s="176" t="n">
        <f aca="false">IF(C5&gt;0,IF(H5&gt;0,H5,C5/C19),0)</f>
        <v>3000</v>
      </c>
      <c r="I20" s="176" t="n">
        <f aca="false">IF(C5&gt;0,IF(I5&gt;0,I5,C5/C19),0)</f>
        <v>3000</v>
      </c>
      <c r="J20" s="176" t="n">
        <f aca="false">IF(C5&gt;0,IF(J5&gt;0,J5,C5/C19),0)</f>
        <v>3000</v>
      </c>
      <c r="K20" s="176" t="n">
        <f aca="false">IF(C5&gt;0,IF(K5&gt;0,K5,C5/C19),0)</f>
        <v>3000</v>
      </c>
      <c r="L20" s="176" t="n">
        <f aca="false">IF(C5&gt;0,IF(L5&gt;0,L5,C5/C19),0)</f>
        <v>3000</v>
      </c>
      <c r="M20" s="176" t="n">
        <f aca="false">IF(C5&gt;0,IF(M5&gt;0,M5,C5/C19),0)</f>
        <v>3000</v>
      </c>
      <c r="N20" s="176" t="n">
        <f aca="false">IF(C5&gt;0,IF(N5&gt;0,N5,C5/C19),0)</f>
        <v>3000</v>
      </c>
      <c r="O20" s="176" t="n">
        <f aca="false">IF(C5&gt;0,IF(O5&gt;0,O5,C5/C19),0)</f>
        <v>3000</v>
      </c>
      <c r="P20" s="263"/>
    </row>
    <row r="21" s="204" customFormat="true" ht="6" hidden="false" customHeight="true" outlineLevel="0" collapsed="false">
      <c r="A21" s="263"/>
      <c r="B21" s="330"/>
      <c r="C21" s="172"/>
      <c r="D21" s="172"/>
      <c r="E21" s="172"/>
      <c r="F21" s="172"/>
      <c r="G21" s="172"/>
      <c r="H21" s="172"/>
      <c r="I21" s="172"/>
      <c r="J21" s="172"/>
      <c r="K21" s="172"/>
      <c r="L21" s="172"/>
      <c r="M21" s="172"/>
      <c r="N21" s="172"/>
      <c r="O21" s="172"/>
      <c r="P21" s="263"/>
    </row>
    <row r="22" customFormat="false" ht="12" hidden="false" customHeight="false" outlineLevel="0" collapsed="false">
      <c r="A22" s="241"/>
      <c r="B22" s="331" t="s">
        <v>225</v>
      </c>
      <c r="C22" s="176" t="n">
        <f aca="false">SUM(D22:O22)</f>
        <v>500</v>
      </c>
      <c r="D22" s="332" t="n">
        <f aca="false">D7</f>
        <v>0</v>
      </c>
      <c r="E22" s="332" t="n">
        <f aca="false">E7</f>
        <v>0</v>
      </c>
      <c r="F22" s="332" t="n">
        <f aca="false">F7</f>
        <v>0</v>
      </c>
      <c r="G22" s="332" t="n">
        <f aca="false">G7</f>
        <v>0</v>
      </c>
      <c r="H22" s="332" t="n">
        <f aca="false">H7</f>
        <v>0</v>
      </c>
      <c r="I22" s="332" t="n">
        <f aca="false">I7</f>
        <v>500</v>
      </c>
      <c r="J22" s="332" t="n">
        <f aca="false">J7</f>
        <v>0</v>
      </c>
      <c r="K22" s="332" t="n">
        <f aca="false">K7</f>
        <v>0</v>
      </c>
      <c r="L22" s="332" t="n">
        <f aca="false">L7</f>
        <v>0</v>
      </c>
      <c r="M22" s="332" t="n">
        <f aca="false">M7</f>
        <v>0</v>
      </c>
      <c r="N22" s="332" t="n">
        <f aca="false">N7</f>
        <v>0</v>
      </c>
      <c r="O22" s="332" t="n">
        <f aca="false">O7</f>
        <v>0</v>
      </c>
      <c r="P22" s="241"/>
    </row>
    <row r="23" customFormat="false" ht="6" hidden="false" customHeight="true" outlineLevel="0" collapsed="false">
      <c r="A23" s="241"/>
      <c r="B23" s="331"/>
      <c r="C23" s="172"/>
      <c r="D23" s="172"/>
      <c r="E23" s="172"/>
      <c r="F23" s="172"/>
      <c r="G23" s="172"/>
      <c r="H23" s="172"/>
      <c r="I23" s="172"/>
      <c r="J23" s="172"/>
      <c r="K23" s="172"/>
      <c r="L23" s="172"/>
      <c r="M23" s="172"/>
      <c r="N23" s="172"/>
      <c r="O23" s="172"/>
      <c r="P23" s="241"/>
    </row>
    <row r="24" s="204" customFormat="true" ht="12" hidden="false" customHeight="false" outlineLevel="0" collapsed="false">
      <c r="A24" s="263"/>
      <c r="B24" s="330" t="s">
        <v>117</v>
      </c>
      <c r="C24" s="176" t="n">
        <f aca="false">SUM(D24:O24)</f>
        <v>6100</v>
      </c>
      <c r="D24" s="176" t="n">
        <f aca="false">IF($C5&gt;0,IF(D5&gt;0,D9,($C9-'Profit &amp; Loss Acc'!$B10)/$C19+'Profit &amp; Loss Acc'!$B10/12),0)</f>
        <v>1773.33333333333</v>
      </c>
      <c r="E24" s="176" t="n">
        <f aca="false">IF($C5&gt;0,IF(E5&gt;0,E9,($C9-'Profit &amp; Loss Acc'!$B10)/$C19+'Profit &amp; Loss Acc'!$B10/12),0)</f>
        <v>393.333333333333</v>
      </c>
      <c r="F24" s="176" t="n">
        <f aca="false">IF($C5&gt;0,IF(F5&gt;0,F9,($C9-'Profit &amp; Loss Acc'!$B10)/$C19+'Profit &amp; Loss Acc'!$B10/12),0)</f>
        <v>393.333333333333</v>
      </c>
      <c r="G24" s="176" t="n">
        <f aca="false">IF($C5&gt;0,IF(G5&gt;0,G9,($C9-'Profit &amp; Loss Acc'!$B10)/$C19+'Profit &amp; Loss Acc'!$B10/12),0)</f>
        <v>393.333333333333</v>
      </c>
      <c r="H24" s="176" t="n">
        <f aca="false">IF($C5&gt;0,IF(H5&gt;0,H9,($C9-'Profit &amp; Loss Acc'!$B10)/$C19+'Profit &amp; Loss Acc'!$B10/12),0)</f>
        <v>393.333333333333</v>
      </c>
      <c r="I24" s="176" t="n">
        <f aca="false">IF($C5&gt;0,IF(I5&gt;0,I9,($C9-'Profit &amp; Loss Acc'!$B10)/$C19+'Profit &amp; Loss Acc'!$B10/12),0)</f>
        <v>393.333333333333</v>
      </c>
      <c r="J24" s="176" t="n">
        <f aca="false">IF($C5&gt;0,IF(J5&gt;0,J9,($C9-'Profit &amp; Loss Acc'!$B10)/$C19+'Profit &amp; Loss Acc'!$B10/12),0)</f>
        <v>393.333333333333</v>
      </c>
      <c r="K24" s="176" t="n">
        <f aca="false">IF($C5&gt;0,IF(K5&gt;0,K9,($C9-'Profit &amp; Loss Acc'!$B10)/$C19+'Profit &amp; Loss Acc'!$B10/12),0)</f>
        <v>393.333333333333</v>
      </c>
      <c r="L24" s="176" t="n">
        <f aca="false">IF($C5&gt;0,IF(L5&gt;0,L9,($C9-'Profit &amp; Loss Acc'!$B10)/$C19+'Profit &amp; Loss Acc'!$B10/12),0)</f>
        <v>393.333333333333</v>
      </c>
      <c r="M24" s="176" t="n">
        <f aca="false">IF($C5&gt;0,IF(M5&gt;0,M9,($C9-'Profit &amp; Loss Acc'!$B10)/$C19+'Profit &amp; Loss Acc'!$B10/12),0)</f>
        <v>393.333333333333</v>
      </c>
      <c r="N24" s="176" t="n">
        <f aca="false">IF($C5&gt;0,IF(N5&gt;0,N9,($C9-'Profit &amp; Loss Acc'!$B10)/$C19+'Profit &amp; Loss Acc'!$B10/12),0)</f>
        <v>393.333333333333</v>
      </c>
      <c r="O24" s="176" t="n">
        <f aca="false">IF($C5&gt;0,IF(O5&gt;0,O9,($C9-'Profit &amp; Loss Acc'!$B10)/$C19+'Profit &amp; Loss Acc'!$B10/12),0)</f>
        <v>393.333333333333</v>
      </c>
      <c r="P24" s="263"/>
    </row>
    <row r="25" s="204" customFormat="true" ht="7.5" hidden="false" customHeight="true" outlineLevel="0" collapsed="false">
      <c r="A25" s="263"/>
      <c r="B25" s="330"/>
      <c r="C25" s="172"/>
      <c r="D25" s="172"/>
      <c r="E25" s="172"/>
      <c r="F25" s="172"/>
      <c r="G25" s="172"/>
      <c r="H25" s="172"/>
      <c r="I25" s="172"/>
      <c r="J25" s="172"/>
      <c r="K25" s="172"/>
      <c r="L25" s="172"/>
      <c r="M25" s="172"/>
      <c r="N25" s="172"/>
      <c r="O25" s="172"/>
      <c r="P25" s="263"/>
    </row>
    <row r="26" s="204" customFormat="true" ht="12" hidden="false" customHeight="false" outlineLevel="0" collapsed="false">
      <c r="A26" s="263"/>
      <c r="B26" s="330" t="s">
        <v>118</v>
      </c>
      <c r="C26" s="176" t="n">
        <f aca="false">SUM(D26:O26)</f>
        <v>30445</v>
      </c>
      <c r="D26" s="176" t="n">
        <f aca="false">D20+D22-D24</f>
        <v>1271.66666666667</v>
      </c>
      <c r="E26" s="176" t="n">
        <f aca="false">E20+E22-E24</f>
        <v>2606.66666666667</v>
      </c>
      <c r="F26" s="176" t="n">
        <f aca="false">F20+F22-F24</f>
        <v>2606.66666666667</v>
      </c>
      <c r="G26" s="176" t="n">
        <f aca="false">G20+G22-G24</f>
        <v>2606.66666666667</v>
      </c>
      <c r="H26" s="176" t="n">
        <f aca="false">H20+H22-H24</f>
        <v>2606.66666666667</v>
      </c>
      <c r="I26" s="176" t="n">
        <f aca="false">I20+I22-I24</f>
        <v>3106.66666666667</v>
      </c>
      <c r="J26" s="176" t="n">
        <f aca="false">J20+J22-J24</f>
        <v>2606.66666666667</v>
      </c>
      <c r="K26" s="176" t="n">
        <f aca="false">K20+K22-K24</f>
        <v>2606.66666666667</v>
      </c>
      <c r="L26" s="176" t="n">
        <f aca="false">L20+L22-L24</f>
        <v>2606.66666666667</v>
      </c>
      <c r="M26" s="176" t="n">
        <f aca="false">M20+M22-M24</f>
        <v>2606.66666666667</v>
      </c>
      <c r="N26" s="176" t="n">
        <f aca="false">N20+N22-N24</f>
        <v>2606.66666666667</v>
      </c>
      <c r="O26" s="176" t="n">
        <f aca="false">O20+O22-O24</f>
        <v>2606.66666666667</v>
      </c>
      <c r="P26" s="263"/>
    </row>
    <row r="27" s="204" customFormat="true" ht="6" hidden="false" customHeight="true" outlineLevel="0" collapsed="false">
      <c r="A27" s="263"/>
      <c r="B27" s="333"/>
      <c r="C27" s="172"/>
      <c r="D27" s="334"/>
      <c r="E27" s="334"/>
      <c r="F27" s="334"/>
      <c r="G27" s="334"/>
      <c r="H27" s="334"/>
      <c r="I27" s="334"/>
      <c r="J27" s="334"/>
      <c r="K27" s="334"/>
      <c r="L27" s="334"/>
      <c r="M27" s="334"/>
      <c r="N27" s="334"/>
      <c r="O27" s="334"/>
      <c r="P27" s="263"/>
    </row>
    <row r="28" customFormat="false" ht="12" hidden="false" customHeight="false" outlineLevel="0" collapsed="false">
      <c r="A28" s="241"/>
      <c r="B28" s="330" t="s">
        <v>226</v>
      </c>
      <c r="C28" s="176" t="n">
        <f aca="false">SUM(D28:O28)</f>
        <v>1380</v>
      </c>
      <c r="D28" s="176" t="n">
        <f aca="false">IF($C5&gt;0,IF(D5&gt;0,D13,$C13/$C19),0)</f>
        <v>520</v>
      </c>
      <c r="E28" s="176" t="n">
        <f aca="false">IF($C5&gt;0,IF(E5&gt;0,E13,$C13/$C19),0)</f>
        <v>0</v>
      </c>
      <c r="F28" s="176" t="n">
        <f aca="false">IF($C5&gt;0,IF(F5&gt;0,F13,$C13/$C19),0)</f>
        <v>0</v>
      </c>
      <c r="G28" s="176" t="n">
        <f aca="false">IF($C5&gt;0,IF(G5&gt;0,G13,$C13/$C19),0)</f>
        <v>120</v>
      </c>
      <c r="H28" s="176" t="n">
        <f aca="false">IF($C5&gt;0,IF(H5&gt;0,H13,$C13/$C19),0)</f>
        <v>0</v>
      </c>
      <c r="I28" s="176" t="n">
        <f aca="false">IF($C5&gt;0,IF(I5&gt;0,I13,$C13/$C19),0)</f>
        <v>0</v>
      </c>
      <c r="J28" s="176" t="n">
        <f aca="false">IF($C5&gt;0,IF(J5&gt;0,J13,$C13/$C19),0)</f>
        <v>120</v>
      </c>
      <c r="K28" s="176" t="n">
        <f aca="false">IF($C5&gt;0,IF(K5&gt;0,K13,$C13/$C19),0)</f>
        <v>0</v>
      </c>
      <c r="L28" s="176" t="n">
        <f aca="false">IF($C5&gt;0,IF(L5&gt;0,L13,$C13/$C19),0)</f>
        <v>0</v>
      </c>
      <c r="M28" s="176" t="n">
        <f aca="false">IF($C5&gt;0,IF(M5&gt;0,M13,$C13/$C19),0)</f>
        <v>620</v>
      </c>
      <c r="N28" s="176" t="n">
        <f aca="false">IF($C5&gt;0,IF(N5&gt;0,N13,$C13/$C19),0)</f>
        <v>0</v>
      </c>
      <c r="O28" s="176" t="n">
        <f aca="false">IF($C5&gt;0,IF(O5&gt;0,O13,$C13/$C19),0)</f>
        <v>0</v>
      </c>
      <c r="P28" s="241"/>
    </row>
    <row r="29" customFormat="false" ht="6" hidden="false" customHeight="true" outlineLevel="0" collapsed="false">
      <c r="A29" s="241"/>
      <c r="B29" s="330"/>
      <c r="C29" s="172"/>
      <c r="D29" s="172"/>
      <c r="E29" s="172"/>
      <c r="F29" s="172"/>
      <c r="G29" s="172"/>
      <c r="H29" s="172"/>
      <c r="I29" s="172"/>
      <c r="J29" s="172"/>
      <c r="K29" s="172"/>
      <c r="L29" s="172"/>
      <c r="M29" s="172"/>
      <c r="N29" s="172"/>
      <c r="O29" s="172"/>
      <c r="P29" s="241"/>
    </row>
    <row r="30" customFormat="false" ht="12" hidden="false" customHeight="false" outlineLevel="0" collapsed="false">
      <c r="A30" s="241"/>
      <c r="B30" s="335" t="s">
        <v>227</v>
      </c>
      <c r="C30" s="176" t="n">
        <f aca="false">SUM(D30:O30)</f>
        <v>29065</v>
      </c>
      <c r="D30" s="176" t="n">
        <f aca="false">D26-D28</f>
        <v>751.666666666667</v>
      </c>
      <c r="E30" s="176" t="n">
        <f aca="false">E26-E28</f>
        <v>2606.66666666667</v>
      </c>
      <c r="F30" s="176" t="n">
        <f aca="false">F26-F28</f>
        <v>2606.66666666667</v>
      </c>
      <c r="G30" s="176" t="n">
        <f aca="false">G26-G28</f>
        <v>2486.66666666667</v>
      </c>
      <c r="H30" s="176" t="n">
        <f aca="false">H26-H28</f>
        <v>2606.66666666667</v>
      </c>
      <c r="I30" s="176" t="n">
        <f aca="false">I26-I28</f>
        <v>3106.66666666667</v>
      </c>
      <c r="J30" s="176" t="n">
        <f aca="false">J26-J28</f>
        <v>2486.66666666667</v>
      </c>
      <c r="K30" s="176" t="n">
        <f aca="false">K26-K28</f>
        <v>2606.66666666667</v>
      </c>
      <c r="L30" s="176" t="n">
        <f aca="false">L26-L28</f>
        <v>2606.66666666667</v>
      </c>
      <c r="M30" s="176" t="n">
        <f aca="false">M26-M28</f>
        <v>1986.66666666667</v>
      </c>
      <c r="N30" s="176" t="n">
        <f aca="false">N26-N28</f>
        <v>2606.66666666667</v>
      </c>
      <c r="O30" s="176" t="n">
        <f aca="false">O26-O28</f>
        <v>2606.66666666667</v>
      </c>
      <c r="P30" s="241"/>
    </row>
    <row r="31" customFormat="false" ht="6" hidden="false" customHeight="true" outlineLevel="0" collapsed="false">
      <c r="A31" s="241"/>
      <c r="B31" s="330"/>
      <c r="C31" s="172"/>
      <c r="D31" s="172"/>
      <c r="E31" s="172"/>
      <c r="F31" s="172"/>
      <c r="G31" s="172"/>
      <c r="H31" s="172"/>
      <c r="I31" s="172"/>
      <c r="J31" s="172"/>
      <c r="K31" s="172"/>
      <c r="L31" s="172"/>
      <c r="M31" s="172"/>
      <c r="N31" s="172"/>
      <c r="O31" s="172"/>
      <c r="P31" s="241"/>
    </row>
    <row r="32" customFormat="false" ht="12" hidden="false" customHeight="true" outlineLevel="0" collapsed="false">
      <c r="A32" s="241"/>
      <c r="B32" s="339" t="s">
        <v>229</v>
      </c>
      <c r="C32" s="339"/>
      <c r="D32" s="241"/>
      <c r="E32" s="241"/>
      <c r="F32" s="241"/>
      <c r="G32" s="241"/>
      <c r="H32" s="241"/>
      <c r="I32" s="241"/>
      <c r="J32" s="241"/>
      <c r="K32" s="241"/>
      <c r="L32" s="241"/>
      <c r="M32" s="241"/>
      <c r="N32" s="241"/>
      <c r="O32" s="241"/>
      <c r="P32" s="241"/>
    </row>
    <row r="33" customFormat="false" ht="12" hidden="false" customHeight="false" outlineLevel="0" collapsed="false">
      <c r="A33" s="241"/>
      <c r="B33" s="340"/>
      <c r="C33" s="341"/>
      <c r="D33" s="241"/>
      <c r="E33" s="241"/>
      <c r="F33" s="241"/>
      <c r="G33" s="241"/>
      <c r="H33" s="241"/>
      <c r="I33" s="241"/>
      <c r="J33" s="241"/>
      <c r="K33" s="241"/>
      <c r="L33" s="241"/>
      <c r="M33" s="241"/>
      <c r="N33" s="241"/>
      <c r="O33" s="241"/>
      <c r="P33" s="241"/>
    </row>
    <row r="34" customFormat="false" ht="12" hidden="false" customHeight="false" outlineLevel="0" collapsed="false">
      <c r="A34" s="241"/>
      <c r="B34" s="340" t="s">
        <v>230</v>
      </c>
      <c r="C34" s="341" t="n">
        <f aca="false">C30-C33</f>
        <v>29065</v>
      </c>
      <c r="D34" s="342"/>
      <c r="E34" s="241"/>
      <c r="F34" s="241"/>
      <c r="G34" s="241"/>
      <c r="H34" s="241"/>
      <c r="I34" s="241"/>
      <c r="J34" s="241"/>
      <c r="K34" s="241"/>
      <c r="L34" s="241"/>
      <c r="M34" s="241"/>
      <c r="N34" s="241"/>
      <c r="O34" s="241"/>
      <c r="P34" s="241"/>
    </row>
    <row r="35" customFormat="false" ht="12" hidden="false" customHeight="false" outlineLevel="0" collapsed="false">
      <c r="A35" s="241"/>
      <c r="B35" s="174" t="s">
        <v>231</v>
      </c>
      <c r="C35" s="341" t="n">
        <f aca="false">IF(C34&lt;=0,0,MAX(0,Admin!N$4-MAX(0,C34-Admin!N$5)/2))</f>
        <v>12570</v>
      </c>
      <c r="D35" s="241"/>
      <c r="E35" s="241"/>
      <c r="F35" s="241"/>
      <c r="G35" s="241"/>
      <c r="H35" s="241"/>
      <c r="I35" s="241"/>
      <c r="J35" s="241"/>
      <c r="K35" s="241"/>
      <c r="L35" s="241"/>
      <c r="M35" s="241"/>
      <c r="N35" s="241"/>
      <c r="O35" s="241"/>
      <c r="P35" s="241"/>
    </row>
    <row r="36" customFormat="false" ht="12" hidden="false" customHeight="false" outlineLevel="0" collapsed="false">
      <c r="A36" s="241"/>
      <c r="B36" s="174" t="s">
        <v>232</v>
      </c>
      <c r="C36" s="341" t="n">
        <f aca="false">IF((C34&gt;C35),(C34-C35),0)</f>
        <v>16495</v>
      </c>
      <c r="D36" s="241"/>
      <c r="E36" s="241"/>
      <c r="F36" s="241"/>
      <c r="G36" s="241"/>
      <c r="H36" s="241"/>
      <c r="I36" s="241"/>
      <c r="J36" s="241"/>
      <c r="K36" s="241"/>
      <c r="L36" s="241"/>
      <c r="M36" s="241"/>
      <c r="N36" s="241"/>
      <c r="O36" s="241"/>
      <c r="P36" s="241"/>
    </row>
    <row r="37" customFormat="false" ht="12" hidden="false" customHeight="false" outlineLevel="0" collapsed="false">
      <c r="A37" s="241"/>
      <c r="B37" s="174" t="s">
        <v>233</v>
      </c>
      <c r="C37" s="341" t="n">
        <f aca="false">IF((C36&gt;0),(IF((C36&lt;Admin!M$11),C36*Admin!N$6,Admin!M$11*Admin!N$6)),0)</f>
        <v>3299</v>
      </c>
      <c r="D37" s="342"/>
      <c r="E37" s="241"/>
      <c r="F37" s="241"/>
      <c r="G37" s="241"/>
      <c r="H37" s="241"/>
      <c r="I37" s="241"/>
      <c r="J37" s="241"/>
      <c r="K37" s="241"/>
      <c r="L37" s="241"/>
      <c r="M37" s="241"/>
      <c r="N37" s="241"/>
      <c r="O37" s="241"/>
      <c r="P37" s="241"/>
    </row>
    <row r="38" customFormat="false" ht="12" hidden="false" customHeight="false" outlineLevel="0" collapsed="false">
      <c r="A38" s="241"/>
      <c r="B38" s="174" t="s">
        <v>234</v>
      </c>
      <c r="C38" s="341" t="n">
        <f aca="false">IF(C36&gt;Admin!M$11,(MIN(C36,Admin!N$13)-Admin!M$11)*Admin!N$7,0)</f>
        <v>0</v>
      </c>
      <c r="D38" s="241"/>
      <c r="E38" s="241"/>
      <c r="F38" s="241"/>
      <c r="G38" s="241"/>
      <c r="H38" s="241"/>
      <c r="I38" s="241"/>
      <c r="J38" s="241"/>
      <c r="K38" s="241"/>
      <c r="L38" s="241"/>
      <c r="M38" s="241"/>
      <c r="N38" s="241"/>
      <c r="O38" s="241"/>
      <c r="P38" s="241"/>
    </row>
    <row r="39" customFormat="false" ht="12" hidden="false" customHeight="false" outlineLevel="0" collapsed="false">
      <c r="A39" s="241"/>
      <c r="B39" s="174" t="s">
        <v>235</v>
      </c>
      <c r="C39" s="341" t="n">
        <f aca="false">IF(C36&gt;Admin!N$13,(C36-Admin!N$13)*Admin!N$8,0)</f>
        <v>0</v>
      </c>
      <c r="D39" s="241"/>
      <c r="E39" s="241"/>
      <c r="F39" s="241"/>
      <c r="G39" s="241"/>
      <c r="H39" s="241"/>
      <c r="I39" s="241"/>
      <c r="J39" s="241"/>
      <c r="K39" s="241"/>
      <c r="L39" s="241"/>
      <c r="M39" s="241"/>
      <c r="N39" s="241"/>
      <c r="O39" s="241"/>
      <c r="P39" s="241"/>
    </row>
    <row r="40" customFormat="false" ht="12" hidden="false" customHeight="false" outlineLevel="0" collapsed="false">
      <c r="A40" s="241"/>
      <c r="B40" s="174" t="s">
        <v>236</v>
      </c>
      <c r="C40" s="341" t="n">
        <f aca="false">IF(C34&gt;Admin!N$20,IF(C34&lt;Admin!N$23,(C34-Admin!N$20)*Admin!L$20,(Admin!N$23-Admin!N$20)*Admin!L$20),0)+IF(C34&gt;Admin!N$23,(C34-Admin!N$23)*Admin!L$23,0)</f>
        <v>989.7</v>
      </c>
      <c r="D40" s="241"/>
      <c r="E40" s="241"/>
      <c r="F40" s="241"/>
      <c r="G40" s="241"/>
      <c r="H40" s="241"/>
      <c r="I40" s="241"/>
      <c r="J40" s="241"/>
      <c r="K40" s="241"/>
      <c r="L40" s="241"/>
      <c r="M40" s="241"/>
      <c r="N40" s="241"/>
      <c r="O40" s="241"/>
      <c r="P40" s="241"/>
    </row>
    <row r="41" customFormat="false" ht="12" hidden="false" customHeight="false" outlineLevel="0" collapsed="false">
      <c r="A41" s="241"/>
      <c r="B41" s="174" t="s">
        <v>237</v>
      </c>
      <c r="C41" s="343" t="n">
        <f aca="false">C37+C38+C39+C40</f>
        <v>4288.7</v>
      </c>
      <c r="D41" s="241"/>
      <c r="E41" s="241"/>
      <c r="F41" s="241"/>
      <c r="G41" s="241"/>
      <c r="H41" s="241"/>
      <c r="I41" s="241"/>
      <c r="J41" s="241"/>
      <c r="K41" s="241"/>
      <c r="L41" s="241"/>
      <c r="M41" s="241"/>
      <c r="N41" s="241"/>
      <c r="O41" s="241"/>
      <c r="P41" s="241"/>
    </row>
    <row r="42" customFormat="false" ht="12" hidden="false" customHeight="false" outlineLevel="0" collapsed="false">
      <c r="A42" s="241"/>
      <c r="B42" s="344"/>
      <c r="C42" s="164"/>
      <c r="D42" s="241"/>
      <c r="E42" s="241"/>
      <c r="F42" s="241"/>
      <c r="G42" s="241"/>
      <c r="H42" s="241"/>
      <c r="I42" s="241"/>
      <c r="J42" s="241"/>
      <c r="K42" s="241"/>
      <c r="L42" s="241"/>
      <c r="M42" s="241"/>
      <c r="N42" s="241"/>
      <c r="O42" s="241"/>
      <c r="P42" s="241"/>
    </row>
  </sheetData>
  <mergeCells count="27">
    <mergeCell ref="B2:B4"/>
    <mergeCell ref="D2:D3"/>
    <mergeCell ref="E2:E3"/>
    <mergeCell ref="F2:F3"/>
    <mergeCell ref="G2:G3"/>
    <mergeCell ref="H2:H3"/>
    <mergeCell ref="I2:I3"/>
    <mergeCell ref="J2:J3"/>
    <mergeCell ref="K2:K3"/>
    <mergeCell ref="L2:L3"/>
    <mergeCell ref="M2:M3"/>
    <mergeCell ref="N2:N3"/>
    <mergeCell ref="O2:O3"/>
    <mergeCell ref="B17:B19"/>
    <mergeCell ref="D17:D18"/>
    <mergeCell ref="E17:E18"/>
    <mergeCell ref="F17:F18"/>
    <mergeCell ref="G17:G18"/>
    <mergeCell ref="H17:H18"/>
    <mergeCell ref="I17:I18"/>
    <mergeCell ref="J17:J18"/>
    <mergeCell ref="K17:K18"/>
    <mergeCell ref="L17:L18"/>
    <mergeCell ref="M17:M18"/>
    <mergeCell ref="N17:N18"/>
    <mergeCell ref="O17:O18"/>
    <mergeCell ref="B32:C32"/>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5" width="9.66"/>
    <col collapsed="false" customWidth="true" hidden="false" outlineLevel="0" max="2" min="2" style="346" width="14.66"/>
    <col collapsed="false" customWidth="true" hidden="false" outlineLevel="0" max="3" min="3" style="181" width="13.66"/>
    <col collapsed="false" customWidth="true" hidden="false" outlineLevel="0" max="4" min="4" style="347" width="12.66"/>
    <col collapsed="false" customWidth="true" hidden="false" outlineLevel="0" max="5" min="5" style="348" width="12.66"/>
    <col collapsed="false" customWidth="true" hidden="false" outlineLevel="0" max="6" min="6" style="181" width="12.66"/>
    <col collapsed="false" customWidth="false" hidden="false" outlineLevel="0" max="257" min="7" style="181" width="9.15"/>
  </cols>
  <sheetData>
    <row r="1" s="353" customFormat="true" ht="12.75" hidden="false" customHeight="true" outlineLevel="0" collapsed="false">
      <c r="A1" s="349" t="s">
        <v>238</v>
      </c>
      <c r="B1" s="350" t="s">
        <v>239</v>
      </c>
      <c r="C1" s="351" t="s">
        <v>240</v>
      </c>
      <c r="D1" s="352" t="n">
        <f aca="false">SUM(D4:D36)</f>
        <v>0</v>
      </c>
      <c r="E1" s="351" t="n">
        <f aca="false">SUM(E4:E36)/2</f>
        <v>3045</v>
      </c>
      <c r="F1" s="351" t="n">
        <f aca="false">SUM(F4:F36)/2</f>
        <v>0</v>
      </c>
    </row>
    <row r="2" s="353" customFormat="true" ht="12.75" hidden="false" customHeight="true" outlineLevel="0" collapsed="false">
      <c r="A2" s="349"/>
      <c r="B2" s="350"/>
      <c r="C2" s="354" t="s">
        <v>241</v>
      </c>
      <c r="D2" s="355" t="s">
        <v>242</v>
      </c>
      <c r="E2" s="354" t="s">
        <v>243</v>
      </c>
      <c r="F2" s="354" t="s">
        <v>244</v>
      </c>
    </row>
    <row r="3" s="356" customFormat="true" ht="24" hidden="false" customHeight="true" outlineLevel="0" collapsed="false">
      <c r="A3" s="349"/>
      <c r="B3" s="350"/>
      <c r="C3" s="354"/>
      <c r="D3" s="355"/>
      <c r="E3" s="354"/>
      <c r="F3" s="354"/>
    </row>
    <row r="5" customFormat="false" ht="12.75" hidden="false" customHeight="false" outlineLevel="0" collapsed="false">
      <c r="A5" s="357" t="n">
        <v>46118</v>
      </c>
      <c r="B5" s="358" t="n">
        <v>46118</v>
      </c>
      <c r="C5" s="359"/>
      <c r="D5" s="360"/>
      <c r="E5" s="361"/>
      <c r="F5" s="362"/>
    </row>
    <row r="6" customFormat="false" ht="12.75" hidden="false" customHeight="false" outlineLevel="0" collapsed="false">
      <c r="A6" s="363" t="n">
        <v>46119</v>
      </c>
      <c r="B6" s="346" t="n">
        <v>46119</v>
      </c>
      <c r="E6" s="348" t="n">
        <v>245</v>
      </c>
      <c r="F6" s="364"/>
    </row>
    <row r="7" customFormat="false" ht="12.75" hidden="false" customHeight="false" outlineLevel="0" collapsed="false">
      <c r="A7" s="363" t="n">
        <v>46120</v>
      </c>
      <c r="B7" s="346" t="n">
        <v>46120</v>
      </c>
      <c r="E7" s="348" t="n">
        <v>220</v>
      </c>
      <c r="F7" s="364"/>
    </row>
    <row r="8" customFormat="false" ht="12.75" hidden="false" customHeight="false" outlineLevel="0" collapsed="false">
      <c r="A8" s="363" t="n">
        <v>46121</v>
      </c>
      <c r="B8" s="346" t="n">
        <v>46121</v>
      </c>
      <c r="E8" s="348" t="n">
        <v>180</v>
      </c>
      <c r="F8" s="364"/>
    </row>
    <row r="9" customFormat="false" ht="12.75" hidden="false" customHeight="false" outlineLevel="0" collapsed="false">
      <c r="A9" s="363" t="n">
        <v>46122</v>
      </c>
      <c r="B9" s="346" t="n">
        <v>46122</v>
      </c>
      <c r="E9" s="348" t="n">
        <v>210</v>
      </c>
      <c r="F9" s="364"/>
    </row>
    <row r="10" customFormat="false" ht="12.75" hidden="false" customHeight="false" outlineLevel="0" collapsed="false">
      <c r="A10" s="363" t="n">
        <v>46123</v>
      </c>
      <c r="B10" s="346" t="n">
        <v>46123</v>
      </c>
      <c r="E10" s="348" t="n">
        <v>190</v>
      </c>
      <c r="F10" s="364"/>
    </row>
    <row r="11" customFormat="false" ht="12.75" hidden="false" customHeight="false" outlineLevel="0" collapsed="false">
      <c r="A11" s="363" t="n">
        <v>46124</v>
      </c>
      <c r="B11" s="346" t="n">
        <v>46124</v>
      </c>
      <c r="F11" s="364"/>
    </row>
    <row r="12" customFormat="false" ht="12.75" hidden="false" customHeight="false" outlineLevel="0" collapsed="false">
      <c r="A12" s="363" t="n">
        <v>46124</v>
      </c>
      <c r="B12" s="346" t="s">
        <v>245</v>
      </c>
      <c r="F12" s="364"/>
    </row>
    <row r="13" customFormat="false" ht="12.75" hidden="false" customHeight="false" outlineLevel="0" collapsed="false">
      <c r="A13" s="363" t="n">
        <v>46124</v>
      </c>
      <c r="B13" s="346" t="s">
        <v>246</v>
      </c>
      <c r="F13" s="364"/>
    </row>
    <row r="14" customFormat="false" ht="12.75" hidden="false" customHeight="false" outlineLevel="0" collapsed="false">
      <c r="A14" s="365"/>
      <c r="B14" s="366"/>
      <c r="C14" s="367"/>
      <c r="D14" s="368"/>
      <c r="E14" s="369" t="n">
        <f aca="false">SUM(E5:E13)</f>
        <v>1045</v>
      </c>
      <c r="F14" s="370" t="n">
        <f aca="false">SUM(F5:F13)</f>
        <v>0</v>
      </c>
    </row>
    <row r="16" customFormat="false" ht="12.75" hidden="false" customHeight="false" outlineLevel="0" collapsed="false">
      <c r="A16" s="357" t="n">
        <v>46125</v>
      </c>
      <c r="B16" s="358" t="n">
        <v>46125</v>
      </c>
      <c r="C16" s="359"/>
      <c r="D16" s="360"/>
      <c r="E16" s="361"/>
      <c r="F16" s="362"/>
    </row>
    <row r="17" customFormat="false" ht="12.75" hidden="false" customHeight="false" outlineLevel="0" collapsed="false">
      <c r="A17" s="363" t="n">
        <v>46126</v>
      </c>
      <c r="B17" s="346" t="n">
        <v>46126</v>
      </c>
      <c r="E17" s="348" t="n">
        <v>200</v>
      </c>
      <c r="F17" s="364"/>
    </row>
    <row r="18" customFormat="false" ht="12.75" hidden="false" customHeight="false" outlineLevel="0" collapsed="false">
      <c r="A18" s="363" t="n">
        <v>46127</v>
      </c>
      <c r="B18" s="346" t="n">
        <v>46127</v>
      </c>
      <c r="E18" s="348" t="n">
        <v>220</v>
      </c>
      <c r="F18" s="364"/>
    </row>
    <row r="19" customFormat="false" ht="12.75" hidden="false" customHeight="false" outlineLevel="0" collapsed="false">
      <c r="A19" s="363" t="n">
        <v>46128</v>
      </c>
      <c r="B19" s="346" t="n">
        <v>46128</v>
      </c>
      <c r="E19" s="348" t="n">
        <v>180</v>
      </c>
      <c r="F19" s="364"/>
    </row>
    <row r="20" customFormat="false" ht="12.75" hidden="false" customHeight="false" outlineLevel="0" collapsed="false">
      <c r="A20" s="363" t="n">
        <v>46129</v>
      </c>
      <c r="B20" s="346" t="n">
        <v>46129</v>
      </c>
      <c r="E20" s="348" t="n">
        <v>200</v>
      </c>
      <c r="F20" s="364"/>
    </row>
    <row r="21" customFormat="false" ht="12.75" hidden="false" customHeight="false" outlineLevel="0" collapsed="false">
      <c r="A21" s="363" t="n">
        <v>46130</v>
      </c>
      <c r="B21" s="346" t="n">
        <v>46130</v>
      </c>
      <c r="E21" s="348" t="n">
        <v>200</v>
      </c>
      <c r="F21" s="364"/>
    </row>
    <row r="22" customFormat="false" ht="12.75" hidden="false" customHeight="false" outlineLevel="0" collapsed="false">
      <c r="A22" s="363" t="n">
        <v>46131</v>
      </c>
      <c r="B22" s="346" t="n">
        <v>46131</v>
      </c>
      <c r="F22" s="364"/>
    </row>
    <row r="23" customFormat="false" ht="12.75" hidden="false" customHeight="false" outlineLevel="0" collapsed="false">
      <c r="A23" s="363" t="n">
        <v>46131</v>
      </c>
      <c r="B23" s="346" t="s">
        <v>245</v>
      </c>
      <c r="F23" s="364"/>
    </row>
    <row r="24" customFormat="false" ht="12.75" hidden="false" customHeight="false" outlineLevel="0" collapsed="false">
      <c r="A24" s="363" t="n">
        <v>46131</v>
      </c>
      <c r="B24" s="346" t="s">
        <v>246</v>
      </c>
      <c r="F24" s="364"/>
    </row>
    <row r="25" customFormat="false" ht="12.75" hidden="false" customHeight="false" outlineLevel="0" collapsed="false">
      <c r="A25" s="365"/>
      <c r="B25" s="366"/>
      <c r="C25" s="367"/>
      <c r="D25" s="368"/>
      <c r="E25" s="369" t="n">
        <f aca="false">SUM(E16:E24)</f>
        <v>1000</v>
      </c>
      <c r="F25" s="370" t="n">
        <f aca="false">SUM(F16:F24)</f>
        <v>0</v>
      </c>
    </row>
    <row r="27" customFormat="false" ht="12.75" hidden="false" customHeight="false" outlineLevel="0" collapsed="false">
      <c r="A27" s="357" t="n">
        <v>46132</v>
      </c>
      <c r="B27" s="358" t="n">
        <v>46132</v>
      </c>
      <c r="C27" s="359"/>
      <c r="D27" s="360"/>
      <c r="E27" s="361"/>
      <c r="F27" s="362"/>
    </row>
    <row r="28" customFormat="false" ht="12.75" hidden="false" customHeight="false" outlineLevel="0" collapsed="false">
      <c r="A28" s="363" t="n">
        <v>46133</v>
      </c>
      <c r="B28" s="346" t="n">
        <v>46133</v>
      </c>
      <c r="E28" s="348" t="n">
        <v>200</v>
      </c>
      <c r="F28" s="364"/>
    </row>
    <row r="29" customFormat="false" ht="12.75" hidden="false" customHeight="false" outlineLevel="0" collapsed="false">
      <c r="A29" s="363" t="n">
        <v>46134</v>
      </c>
      <c r="B29" s="346" t="n">
        <v>46134</v>
      </c>
      <c r="E29" s="348" t="n">
        <v>200</v>
      </c>
      <c r="F29" s="364"/>
    </row>
    <row r="30" customFormat="false" ht="12.75" hidden="false" customHeight="false" outlineLevel="0" collapsed="false">
      <c r="A30" s="363" t="n">
        <v>46135</v>
      </c>
      <c r="B30" s="346" t="n">
        <v>46135</v>
      </c>
      <c r="E30" s="348" t="n">
        <v>200</v>
      </c>
      <c r="F30" s="364"/>
    </row>
    <row r="31" customFormat="false" ht="12.75" hidden="false" customHeight="false" outlineLevel="0" collapsed="false">
      <c r="A31" s="363" t="n">
        <v>46136</v>
      </c>
      <c r="B31" s="346" t="n">
        <v>46136</v>
      </c>
      <c r="E31" s="348" t="n">
        <v>200</v>
      </c>
      <c r="F31" s="364"/>
    </row>
    <row r="32" customFormat="false" ht="12.75" hidden="false" customHeight="false" outlineLevel="0" collapsed="false">
      <c r="A32" s="363" t="n">
        <v>46137</v>
      </c>
      <c r="B32" s="346" t="n">
        <v>46137</v>
      </c>
      <c r="E32" s="348" t="n">
        <v>200</v>
      </c>
      <c r="F32" s="364"/>
    </row>
    <row r="33" customFormat="false" ht="12.75" hidden="false" customHeight="false" outlineLevel="0" collapsed="false">
      <c r="A33" s="363" t="n">
        <v>46138</v>
      </c>
      <c r="B33" s="346" t="n">
        <v>46138</v>
      </c>
      <c r="F33" s="364"/>
    </row>
    <row r="34" customFormat="false" ht="12.75" hidden="false" customHeight="false" outlineLevel="0" collapsed="false">
      <c r="A34" s="363" t="n">
        <v>46138</v>
      </c>
      <c r="B34" s="346" t="s">
        <v>245</v>
      </c>
      <c r="F34" s="364"/>
    </row>
    <row r="35" customFormat="false" ht="12.75" hidden="false" customHeight="false" outlineLevel="0" collapsed="false">
      <c r="A35" s="363" t="n">
        <v>46138</v>
      </c>
      <c r="B35" s="346" t="s">
        <v>246</v>
      </c>
      <c r="F35" s="364"/>
    </row>
    <row r="36" customFormat="false" ht="12.75" hidden="false" customHeight="false" outlineLevel="0" collapsed="false">
      <c r="A36" s="365"/>
      <c r="B36" s="366"/>
      <c r="C36" s="367"/>
      <c r="D36" s="368"/>
      <c r="E36" s="369" t="n">
        <f aca="false">SUM(E27:E35)</f>
        <v>1000</v>
      </c>
      <c r="F36" s="370" t="n">
        <f aca="false">SUM(F27:F35)</f>
        <v>0</v>
      </c>
    </row>
  </sheetData>
  <mergeCells count="6">
    <mergeCell ref="A1:A3"/>
    <mergeCell ref="B1:B3"/>
    <mergeCell ref="C2:C3"/>
    <mergeCell ref="D2:D3"/>
    <mergeCell ref="E2:E3"/>
    <mergeCell ref="F2:F3"/>
  </mergeCells>
  <printOptions headings="false" gridLines="true" gridLinesSet="true" horizontalCentered="true" verticalCentered="false"/>
  <pageMargins left="0.275694444444444" right="0.196527777777778"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1" width="9.33"/>
    <col collapsed="false" customWidth="true" hidden="false" outlineLevel="0" max="2" min="2" style="180" width="21.99"/>
    <col collapsed="false" customWidth="true" hidden="false" outlineLevel="0" max="3" min="3" style="180" width="15.5"/>
    <col collapsed="false" customWidth="false" hidden="false" outlineLevel="0" max="4" min="4" style="372" width="9.15"/>
    <col collapsed="false" customWidth="true" hidden="false" outlineLevel="0" max="5" min="5" style="372" width="8.49"/>
    <col collapsed="false" customWidth="true" hidden="false" outlineLevel="0" max="6" min="6" style="373" width="12.66"/>
    <col collapsed="false" customWidth="true" hidden="false" outlineLevel="0" max="7" min="7" style="181" width="9.49"/>
    <col collapsed="false" customWidth="true" hidden="false" outlineLevel="0" max="8" min="8" style="181" width="10.15"/>
    <col collapsed="false" customWidth="true" hidden="false" outlineLevel="0" max="10" min="9" style="181" width="8.66"/>
    <col collapsed="false" customWidth="true" hidden="false" outlineLevel="0" max="12" min="11" style="181" width="7.66"/>
    <col collapsed="false" customWidth="true" hidden="false" outlineLevel="0" max="13" min="13" style="181" width="11.66"/>
    <col collapsed="false" customWidth="true" hidden="false" outlineLevel="0" max="14" min="14" style="181" width="8.66"/>
    <col collapsed="false" customWidth="true" hidden="false" outlineLevel="0" max="15" min="15" style="181" width="11.99"/>
    <col collapsed="false" customWidth="true" hidden="false" outlineLevel="0" max="18" min="16" style="181" width="7.66"/>
    <col collapsed="false" customWidth="true" hidden="false" outlineLevel="0" max="19" min="19" style="181" width="8.49"/>
    <col collapsed="false" customWidth="true" hidden="false" outlineLevel="0" max="20" min="20" style="180" width="13.82"/>
    <col collapsed="false" customWidth="true" hidden="false" outlineLevel="0" max="21" min="21" style="181" width="8.66"/>
    <col collapsed="false" customWidth="false" hidden="false" outlineLevel="0" max="257" min="22" style="180" width="9.15"/>
  </cols>
  <sheetData>
    <row r="1" s="191" customFormat="true" ht="13.5" hidden="false" customHeight="true" outlineLevel="0" collapsed="false">
      <c r="A1" s="239" t="n">
        <f aca="false">E1+SalesApr!$D$1</f>
        <v>0</v>
      </c>
      <c r="B1" s="374" t="s">
        <v>247</v>
      </c>
      <c r="C1" s="375" t="s">
        <v>240</v>
      </c>
      <c r="D1" s="376" t="str">
        <f aca="false">IF((F1-SUM(G1:S1)&lt;&gt;0),(F1-SUM(G1:S1))," ")</f>
        <v> </v>
      </c>
      <c r="E1" s="352" t="n">
        <f aca="false">SUM(E5:E199)</f>
        <v>0</v>
      </c>
      <c r="F1" s="351" t="n">
        <f aca="false">SUM(F5:F199)</f>
        <v>2200</v>
      </c>
      <c r="G1" s="351" t="n">
        <f aca="false">SUM(G5:G199)</f>
        <v>300</v>
      </c>
      <c r="H1" s="351" t="n">
        <f aca="false">SUM(H5:H199)</f>
        <v>0</v>
      </c>
      <c r="I1" s="351" t="n">
        <f aca="false">SUM(I5:I199)</f>
        <v>0</v>
      </c>
      <c r="J1" s="351" t="n">
        <f aca="false">SUM(J5:J199)</f>
        <v>1380</v>
      </c>
      <c r="K1" s="351" t="n">
        <f aca="false">SUM(K5:K199)</f>
        <v>0</v>
      </c>
      <c r="L1" s="351" t="n">
        <f aca="false">SUM(L5:L199)</f>
        <v>0</v>
      </c>
      <c r="M1" s="351" t="n">
        <f aca="false">SUM(M5:M199)</f>
        <v>120</v>
      </c>
      <c r="N1" s="351" t="n">
        <f aca="false">SUM(N5:N199)</f>
        <v>0</v>
      </c>
      <c r="O1" s="351" t="n">
        <f aca="false">SUM(O5:O199)</f>
        <v>400</v>
      </c>
      <c r="P1" s="351" t="n">
        <f aca="false">SUM(P5:P199)</f>
        <v>0</v>
      </c>
      <c r="Q1" s="351" t="n">
        <f aca="false">SUM(Q5:Q199)</f>
        <v>0</v>
      </c>
      <c r="R1" s="351" t="n">
        <f aca="false">SUM(R5:R199)</f>
        <v>0</v>
      </c>
      <c r="S1" s="377" t="n">
        <f aca="false">SUM(S5:S199)</f>
        <v>0</v>
      </c>
      <c r="T1" s="378" t="n">
        <f aca="false">S1</f>
        <v>0</v>
      </c>
      <c r="U1" s="377" t="n">
        <f aca="false">SUM(U4:U199)</f>
        <v>0</v>
      </c>
    </row>
    <row r="2" s="191" customFormat="true" ht="13.5" hidden="false" customHeight="true" outlineLevel="0" collapsed="false">
      <c r="A2" s="240" t="n">
        <f aca="false">U1</f>
        <v>0</v>
      </c>
      <c r="B2" s="240" t="s">
        <v>248</v>
      </c>
      <c r="C2" s="379" t="s">
        <v>249</v>
      </c>
      <c r="D2" s="379" t="s">
        <v>250</v>
      </c>
      <c r="E2" s="379" t="s">
        <v>251</v>
      </c>
      <c r="F2" s="207" t="s">
        <v>252</v>
      </c>
      <c r="G2" s="380" t="s">
        <v>253</v>
      </c>
      <c r="H2" s="380"/>
      <c r="I2" s="381" t="n">
        <f aca="false">G1+H1+I1+J1</f>
        <v>1680</v>
      </c>
      <c r="J2" s="381"/>
      <c r="K2" s="207" t="s">
        <v>254</v>
      </c>
      <c r="L2" s="207" t="s">
        <v>255</v>
      </c>
      <c r="M2" s="207" t="s">
        <v>256</v>
      </c>
      <c r="N2" s="207" t="s">
        <v>257</v>
      </c>
      <c r="O2" s="207" t="s">
        <v>258</v>
      </c>
      <c r="P2" s="207" t="s">
        <v>259</v>
      </c>
      <c r="Q2" s="207" t="s">
        <v>260</v>
      </c>
      <c r="R2" s="207" t="s">
        <v>261</v>
      </c>
      <c r="S2" s="382" t="s">
        <v>262</v>
      </c>
      <c r="T2" s="383" t="str">
        <f aca="false">IF(T1&gt;'Fixed Assets'!$D$74,"ENTER VEHICLE CHANGES        on Fixed Asset schedule","Motor Vehicles: make, model, date reg. and reg. Mark")</f>
        <v>Motor Vehicles: make, model, date reg. and reg. Mark</v>
      </c>
      <c r="U2" s="382" t="s">
        <v>116</v>
      </c>
    </row>
    <row r="3" s="385" customFormat="true" ht="45" hidden="false" customHeight="true" outlineLevel="0" collapsed="false">
      <c r="A3" s="384" t="s">
        <v>263</v>
      </c>
      <c r="B3" s="207" t="s">
        <v>264</v>
      </c>
      <c r="C3" s="379"/>
      <c r="D3" s="379"/>
      <c r="E3" s="379"/>
      <c r="F3" s="379"/>
      <c r="G3" s="207" t="s">
        <v>111</v>
      </c>
      <c r="H3" s="207" t="s">
        <v>265</v>
      </c>
      <c r="I3" s="207" t="s">
        <v>113</v>
      </c>
      <c r="J3" s="207" t="s">
        <v>114</v>
      </c>
      <c r="K3" s="207"/>
      <c r="L3" s="207"/>
      <c r="M3" s="207"/>
      <c r="N3" s="207"/>
      <c r="O3" s="207"/>
      <c r="P3" s="207"/>
      <c r="Q3" s="207"/>
      <c r="R3" s="207"/>
      <c r="S3" s="382"/>
      <c r="T3" s="383"/>
      <c r="U3" s="382"/>
    </row>
    <row r="4" s="388" customFormat="true" ht="12.75" hidden="false" customHeight="false" outlineLevel="0" collapsed="false">
      <c r="A4" s="386" t="str">
        <f aca="false">IF((E1&lt;&gt;0),Admin!$B$5," ")</f>
        <v> </v>
      </c>
      <c r="B4" s="207"/>
      <c r="C4" s="207"/>
      <c r="D4" s="207"/>
      <c r="E4" s="207"/>
      <c r="F4" s="207"/>
      <c r="G4" s="375" t="s">
        <v>266</v>
      </c>
      <c r="H4" s="375" t="s">
        <v>267</v>
      </c>
      <c r="I4" s="375" t="s">
        <v>268</v>
      </c>
      <c r="J4" s="375" t="s">
        <v>269</v>
      </c>
      <c r="K4" s="375" t="s">
        <v>270</v>
      </c>
      <c r="L4" s="375" t="s">
        <v>271</v>
      </c>
      <c r="M4" s="375" t="s">
        <v>272</v>
      </c>
      <c r="N4" s="375" t="s">
        <v>273</v>
      </c>
      <c r="O4" s="375" t="s">
        <v>274</v>
      </c>
      <c r="P4" s="375" t="s">
        <v>275</v>
      </c>
      <c r="Q4" s="375" t="s">
        <v>276</v>
      </c>
      <c r="R4" s="375" t="s">
        <v>277</v>
      </c>
      <c r="S4" s="387" t="s">
        <v>278</v>
      </c>
      <c r="T4" s="383"/>
      <c r="U4" s="378" t="n">
        <f aca="false">IF((A1&lt;Admin!$F$22),((A1)*Admin!$G$21),(A1*Admin!$G$21-(A1-Admin!$F$21)*(Admin!$G$21-Admin!$G$22)))</f>
        <v>0</v>
      </c>
    </row>
    <row r="5" s="372" customFormat="true" ht="12.75" hidden="false" customHeight="false" outlineLevel="0" collapsed="false">
      <c r="A5" s="371" t="n">
        <v>46118</v>
      </c>
      <c r="B5" s="389" t="s">
        <v>279</v>
      </c>
      <c r="D5" s="372" t="s">
        <v>280</v>
      </c>
      <c r="F5" s="372" t="n">
        <v>180</v>
      </c>
      <c r="G5" s="181" t="str">
        <f aca="false">IF((D5="d"),F5," ")</f>
        <v> </v>
      </c>
      <c r="H5" s="181" t="str">
        <f aca="false">IF((D5="h"),F5," ")</f>
        <v> </v>
      </c>
      <c r="I5" s="181" t="str">
        <f aca="false">IF((D5="r"),F5," ")</f>
        <v> </v>
      </c>
      <c r="J5" s="181" t="n">
        <f aca="false">IF((D5="t"),F5," ")</f>
        <v>180</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A6" s="371" t="n">
        <v>46120</v>
      </c>
      <c r="B6" s="180" t="s">
        <v>281</v>
      </c>
      <c r="D6" s="372" t="s">
        <v>282</v>
      </c>
      <c r="F6" s="373" t="n">
        <v>400</v>
      </c>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n">
        <f aca="false">IF((D6="l"),F6," ")</f>
        <v>400</v>
      </c>
      <c r="P6" s="181" t="str">
        <f aca="false">IF((D6="i"),F6," ")</f>
        <v> </v>
      </c>
      <c r="Q6" s="181" t="str">
        <f aca="false">IF((D6="b"),F6," ")</f>
        <v> </v>
      </c>
      <c r="R6" s="181" t="str">
        <f aca="false">IF((D6="o"),F6," ")</f>
        <v> </v>
      </c>
      <c r="S6" s="181" t="str">
        <f aca="false">IF((D6="f"),F6," ")</f>
        <v> </v>
      </c>
      <c r="U6" s="372"/>
    </row>
    <row r="7" customFormat="false" ht="12.75" hidden="false" customHeight="false" outlineLevel="0" collapsed="false">
      <c r="A7" s="371" t="n">
        <v>46122</v>
      </c>
      <c r="B7" s="180" t="s">
        <v>283</v>
      </c>
      <c r="D7" s="372" t="s">
        <v>280</v>
      </c>
      <c r="F7" s="373" t="n">
        <v>1200</v>
      </c>
      <c r="G7" s="181" t="str">
        <f aca="false">IF((D7="d"),F7," ")</f>
        <v> </v>
      </c>
      <c r="H7" s="181" t="str">
        <f aca="false">IF((D7="h"),F7," ")</f>
        <v> </v>
      </c>
      <c r="I7" s="181" t="str">
        <f aca="false">IF((D7="r"),F7," ")</f>
        <v> </v>
      </c>
      <c r="J7" s="181" t="n">
        <f aca="false">IF((D7="t"),F7," ")</f>
        <v>1200</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2"/>
    </row>
    <row r="8" customFormat="false" ht="12.75" hidden="false" customHeight="false" outlineLevel="0" collapsed="false">
      <c r="A8" s="371" t="n">
        <v>46127</v>
      </c>
      <c r="B8" s="180" t="s">
        <v>284</v>
      </c>
      <c r="D8" s="372" t="s">
        <v>285</v>
      </c>
      <c r="F8" s="373" t="n">
        <v>300</v>
      </c>
      <c r="G8" s="181" t="n">
        <f aca="false">IF((D8="d"),F8," ")</f>
        <v>300</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2"/>
    </row>
    <row r="9" customFormat="false" ht="12.75" hidden="false" customHeight="false" outlineLevel="0" collapsed="false">
      <c r="A9" s="371" t="n">
        <v>46132</v>
      </c>
      <c r="B9" s="180" t="s">
        <v>286</v>
      </c>
      <c r="D9" s="372" t="s">
        <v>287</v>
      </c>
      <c r="F9" s="373" t="n">
        <v>120</v>
      </c>
      <c r="G9" s="181" t="str">
        <f aca="false">IF((D9="d"),F9," ")</f>
        <v> </v>
      </c>
      <c r="H9" s="181" t="str">
        <f aca="false">IF((D9="h"),F9," ")</f>
        <v> </v>
      </c>
      <c r="I9" s="181" t="str">
        <f aca="false">IF((D9="r"),F9," ")</f>
        <v> </v>
      </c>
      <c r="J9" s="181" t="str">
        <f aca="false">IF((D9="t"),F9," ")</f>
        <v> </v>
      </c>
      <c r="K9" s="181" t="str">
        <f aca="false">IF((D9="e"),F9," ")</f>
        <v> </v>
      </c>
      <c r="L9" s="181" t="str">
        <f aca="false">IF((D9="p"),F9," ")</f>
        <v> </v>
      </c>
      <c r="M9" s="181" t="n">
        <f aca="false">IF((D9="g"),F9," ")</f>
        <v>120</v>
      </c>
      <c r="N9" s="181" t="str">
        <f aca="false">IF((D9="a"),F9," ")</f>
        <v> </v>
      </c>
      <c r="O9" s="181" t="str">
        <f aca="false">IF((D9="l"),F9," ")</f>
        <v> </v>
      </c>
      <c r="P9" s="181" t="str">
        <f aca="false">IF((D9="i"),F9," ")</f>
        <v> </v>
      </c>
      <c r="Q9" s="181" t="str">
        <f aca="false">IF((D9="b"),F9," ")</f>
        <v> </v>
      </c>
      <c r="R9" s="181" t="str">
        <f aca="false">IF((D9="o"),F9," ")</f>
        <v> </v>
      </c>
      <c r="S9" s="181" t="str">
        <f aca="false">IF((D9="f"),F9," ")</f>
        <v> </v>
      </c>
      <c r="U9" s="372"/>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2"/>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2"/>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2"/>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2"/>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2"/>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2"/>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2"/>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2"/>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2"/>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2"/>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2"/>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2"/>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2"/>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2"/>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2"/>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2"/>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2"/>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2"/>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2"/>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2"/>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2"/>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2"/>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2"/>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2"/>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2"/>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2"/>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2"/>
    </row>
    <row r="37" customFormat="false" ht="12.75" hidden="false" customHeight="false" outlineLevel="0" collapsed="false">
      <c r="D37" s="372"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2"/>
    </row>
    <row r="38" customFormat="false" ht="12.75" hidden="false" customHeight="false" outlineLevel="0" collapsed="false">
      <c r="D38" s="372"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2"/>
    </row>
    <row r="39" customFormat="false" ht="12.75" hidden="false" customHeight="false" outlineLevel="0" collapsed="false">
      <c r="D39" s="372"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2"/>
    </row>
    <row r="40" customFormat="false" ht="12.75" hidden="false" customHeight="false" outlineLevel="0" collapsed="false">
      <c r="D40" s="372"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2"/>
    </row>
    <row r="41" customFormat="false" ht="12.75" hidden="false" customHeight="false" outlineLevel="0" collapsed="false">
      <c r="D41" s="372"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2"/>
    </row>
    <row r="42" customFormat="false" ht="12.75" hidden="false" customHeight="false" outlineLevel="0" collapsed="false">
      <c r="D42" s="372"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2"/>
    </row>
    <row r="43" customFormat="false" ht="12.75" hidden="false" customHeight="false" outlineLevel="0" collapsed="false">
      <c r="D43" s="372"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2"/>
    </row>
    <row r="44" customFormat="false" ht="12.75" hidden="false" customHeight="false" outlineLevel="0" collapsed="false">
      <c r="D44" s="372"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2"/>
    </row>
    <row r="45" customFormat="false" ht="12.75" hidden="false" customHeight="false" outlineLevel="0" collapsed="false">
      <c r="D45" s="372"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2"/>
    </row>
    <row r="46" customFormat="false" ht="12.75" hidden="false" customHeight="false" outlineLevel="0" collapsed="false">
      <c r="D46" s="372"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2"/>
    </row>
    <row r="47" customFormat="false" ht="12.75" hidden="false" customHeight="false" outlineLevel="0" collapsed="false">
      <c r="D47" s="372"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2"/>
    </row>
    <row r="48" customFormat="false" ht="12.75" hidden="false" customHeight="false" outlineLevel="0" collapsed="false">
      <c r="D48" s="372"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2"/>
    </row>
    <row r="49" customFormat="false" ht="12.75" hidden="false" customHeight="false" outlineLevel="0" collapsed="false">
      <c r="D49" s="372"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2"/>
    </row>
    <row r="50" customFormat="false" ht="12.75" hidden="false" customHeight="false" outlineLevel="0" collapsed="false">
      <c r="D50" s="372"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2"/>
    </row>
    <row r="51" customFormat="false" ht="12.75" hidden="false" customHeight="false" outlineLevel="0" collapsed="false">
      <c r="D51" s="372"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2"/>
    </row>
    <row r="52" customFormat="false" ht="12.75" hidden="false" customHeight="false" outlineLevel="0" collapsed="false">
      <c r="D52" s="372"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2"/>
    </row>
    <row r="53" customFormat="false" ht="12.75" hidden="false" customHeight="false" outlineLevel="0" collapsed="false">
      <c r="D53" s="372"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2"/>
    </row>
    <row r="54" customFormat="false" ht="12.75" hidden="false" customHeight="false" outlineLevel="0" collapsed="false">
      <c r="D54" s="372"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2"/>
    </row>
    <row r="55" customFormat="false" ht="12.75" hidden="false" customHeight="false" outlineLevel="0" collapsed="false">
      <c r="D55" s="372"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2"/>
    </row>
    <row r="56" customFormat="false" ht="12.75" hidden="false" customHeight="false" outlineLevel="0" collapsed="false">
      <c r="D56" s="372"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2"/>
    </row>
    <row r="57" customFormat="false" ht="12.75" hidden="false" customHeight="false" outlineLevel="0" collapsed="false">
      <c r="D57" s="372"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2"/>
    </row>
    <row r="58" customFormat="false" ht="12.75" hidden="false" customHeight="false" outlineLevel="0" collapsed="false">
      <c r="D58" s="372"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2"/>
    </row>
    <row r="59" customFormat="false" ht="12.75" hidden="false" customHeight="false" outlineLevel="0" collapsed="false">
      <c r="D59" s="372"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2"/>
    </row>
    <row r="60" customFormat="false" ht="12.75" hidden="false" customHeight="false" outlineLevel="0" collapsed="false">
      <c r="D60" s="372"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2"/>
    </row>
    <row r="61" customFormat="false" ht="12.75" hidden="false" customHeight="false" outlineLevel="0" collapsed="false">
      <c r="D61" s="372"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2"/>
    </row>
    <row r="62" customFormat="false" ht="12.75" hidden="false" customHeight="false" outlineLevel="0" collapsed="false">
      <c r="D62" s="372"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2"/>
    </row>
    <row r="63" customFormat="false" ht="12.75" hidden="false" customHeight="false" outlineLevel="0" collapsed="false">
      <c r="D63" s="372"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2"/>
    </row>
    <row r="64" customFormat="false" ht="12.75" hidden="false" customHeight="false" outlineLevel="0" collapsed="false">
      <c r="D64" s="372"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2"/>
    </row>
    <row r="65" customFormat="false" ht="12.75" hidden="false" customHeight="false" outlineLevel="0" collapsed="false">
      <c r="D65" s="372"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2"/>
    </row>
    <row r="66" customFormat="false" ht="12.75" hidden="false" customHeight="false" outlineLevel="0" collapsed="false">
      <c r="D66" s="372"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2"/>
    </row>
    <row r="67" customFormat="false" ht="12.75" hidden="false" customHeight="false" outlineLevel="0" collapsed="false">
      <c r="D67" s="372"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2"/>
    </row>
    <row r="68" customFormat="false" ht="12.75" hidden="false" customHeight="false" outlineLevel="0" collapsed="false">
      <c r="D68" s="372"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2"/>
    </row>
    <row r="69" customFormat="false" ht="12.75" hidden="false" customHeight="false" outlineLevel="0" collapsed="false">
      <c r="D69" s="372"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2"/>
    </row>
    <row r="70" customFormat="false" ht="12.75" hidden="false" customHeight="false" outlineLevel="0" collapsed="false">
      <c r="D70" s="372"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2"/>
    </row>
    <row r="71" customFormat="false" ht="12.75" hidden="false" customHeight="false" outlineLevel="0" collapsed="false">
      <c r="D71" s="372"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2"/>
    </row>
    <row r="72" customFormat="false" ht="12.75" hidden="false" customHeight="false" outlineLevel="0" collapsed="false">
      <c r="D72" s="372"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2"/>
    </row>
    <row r="73" customFormat="false" ht="12.75" hidden="false" customHeight="false" outlineLevel="0" collapsed="false">
      <c r="D73" s="372"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2"/>
    </row>
    <row r="74" customFormat="false" ht="12.75" hidden="false" customHeight="false" outlineLevel="0" collapsed="false">
      <c r="D74" s="372"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2"/>
    </row>
    <row r="75" customFormat="false" ht="12.75" hidden="false" customHeight="false" outlineLevel="0" collapsed="false">
      <c r="D75" s="372"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2"/>
    </row>
    <row r="76" customFormat="false" ht="12.75" hidden="false" customHeight="false" outlineLevel="0" collapsed="false">
      <c r="D76" s="372"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2"/>
    </row>
    <row r="77" customFormat="false" ht="12.75" hidden="false" customHeight="false" outlineLevel="0" collapsed="false">
      <c r="D77" s="372"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2"/>
    </row>
    <row r="78" customFormat="false" ht="12.75" hidden="false" customHeight="false" outlineLevel="0" collapsed="false">
      <c r="D78" s="372"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2"/>
    </row>
    <row r="79" customFormat="false" ht="12.75" hidden="false" customHeight="false" outlineLevel="0" collapsed="false">
      <c r="D79" s="372"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2"/>
    </row>
    <row r="80" customFormat="false" ht="12.75" hidden="false" customHeight="false" outlineLevel="0" collapsed="false">
      <c r="D80" s="372"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2"/>
    </row>
    <row r="81" customFormat="false" ht="12.75" hidden="false" customHeight="false" outlineLevel="0" collapsed="false">
      <c r="D81" s="372"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2"/>
    </row>
    <row r="82" customFormat="false" ht="12.75" hidden="false" customHeight="false" outlineLevel="0" collapsed="false">
      <c r="D82" s="372"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2"/>
    </row>
    <row r="83" customFormat="false" ht="12.75" hidden="false" customHeight="false" outlineLevel="0" collapsed="false">
      <c r="D83" s="372"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2"/>
    </row>
    <row r="84" customFormat="false" ht="12.75" hidden="false" customHeight="false" outlineLevel="0" collapsed="false">
      <c r="D84" s="372"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2"/>
    </row>
    <row r="85" customFormat="false" ht="12.75" hidden="false" customHeight="false" outlineLevel="0" collapsed="false">
      <c r="D85" s="372"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2"/>
    </row>
    <row r="86" customFormat="false" ht="12.75" hidden="false" customHeight="false" outlineLevel="0" collapsed="false">
      <c r="D86" s="372"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2"/>
    </row>
    <row r="87" customFormat="false" ht="12.75" hidden="false" customHeight="false" outlineLevel="0" collapsed="false">
      <c r="D87" s="372"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2"/>
    </row>
    <row r="88" customFormat="false" ht="12.75" hidden="false" customHeight="false" outlineLevel="0" collapsed="false">
      <c r="D88" s="372"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2"/>
    </row>
    <row r="89" customFormat="false" ht="12.75" hidden="false" customHeight="false" outlineLevel="0" collapsed="false">
      <c r="D89" s="372"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2"/>
    </row>
    <row r="90" customFormat="false" ht="12.75" hidden="false" customHeight="false" outlineLevel="0" collapsed="false">
      <c r="D90" s="372"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2"/>
    </row>
    <row r="91" customFormat="false" ht="12.75" hidden="false" customHeight="false" outlineLevel="0" collapsed="false">
      <c r="D91" s="372"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2"/>
    </row>
    <row r="92" customFormat="false" ht="12.75" hidden="false" customHeight="false" outlineLevel="0" collapsed="false">
      <c r="D92" s="372"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2"/>
    </row>
    <row r="93" customFormat="false" ht="12.75" hidden="false" customHeight="false" outlineLevel="0" collapsed="false">
      <c r="D93" s="372"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2"/>
    </row>
    <row r="94" customFormat="false" ht="12.75" hidden="false" customHeight="false" outlineLevel="0" collapsed="false">
      <c r="D94" s="372"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2"/>
    </row>
    <row r="95" customFormat="false" ht="12.75" hidden="false" customHeight="false" outlineLevel="0" collapsed="false">
      <c r="D95" s="372"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2"/>
    </row>
    <row r="96" customFormat="false" ht="12.75" hidden="false" customHeight="false" outlineLevel="0" collapsed="false">
      <c r="D96" s="372"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2"/>
    </row>
    <row r="97" customFormat="false" ht="12.75" hidden="false" customHeight="false" outlineLevel="0" collapsed="false">
      <c r="D97" s="372"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2"/>
    </row>
    <row r="98" customFormat="false" ht="12.75" hidden="false" customHeight="false" outlineLevel="0" collapsed="false">
      <c r="D98" s="372"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2"/>
    </row>
    <row r="99" customFormat="false" ht="12.75" hidden="false" customHeight="false" outlineLevel="0" collapsed="false">
      <c r="D99" s="372"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2"/>
    </row>
    <row r="100" customFormat="false" ht="12.75" hidden="false" customHeight="false" outlineLevel="0" collapsed="false">
      <c r="D100" s="372"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2"/>
    </row>
    <row r="101" customFormat="false" ht="12.75" hidden="false" customHeight="false" outlineLevel="0" collapsed="false">
      <c r="D101" s="372"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2"/>
    </row>
    <row r="102" customFormat="false" ht="12.75" hidden="false" customHeight="false" outlineLevel="0" collapsed="false">
      <c r="D102" s="372"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2"/>
    </row>
    <row r="103" customFormat="false" ht="12.75" hidden="false" customHeight="false" outlineLevel="0" collapsed="false">
      <c r="D103" s="372"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2"/>
    </row>
    <row r="104" customFormat="false" ht="12.75" hidden="false" customHeight="false" outlineLevel="0" collapsed="false">
      <c r="D104" s="372"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2"/>
    </row>
    <row r="105" customFormat="false" ht="12.75" hidden="false" customHeight="false" outlineLevel="0" collapsed="false">
      <c r="D105" s="372"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2"/>
    </row>
    <row r="106" customFormat="false" ht="12.75" hidden="false" customHeight="false" outlineLevel="0" collapsed="false">
      <c r="D106" s="372"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2"/>
    </row>
    <row r="107" customFormat="false" ht="12.75" hidden="false" customHeight="false" outlineLevel="0" collapsed="false">
      <c r="D107" s="372"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2"/>
    </row>
    <row r="108" customFormat="false" ht="12.75" hidden="false" customHeight="false" outlineLevel="0" collapsed="false">
      <c r="D108" s="372"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2"/>
    </row>
    <row r="109" customFormat="false" ht="12.75" hidden="false" customHeight="false" outlineLevel="0" collapsed="false">
      <c r="D109" s="372"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2"/>
    </row>
    <row r="110" customFormat="false" ht="12.75" hidden="false" customHeight="false" outlineLevel="0" collapsed="false">
      <c r="D110" s="372"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2"/>
    </row>
    <row r="111" customFormat="false" ht="12.75" hidden="false" customHeight="false" outlineLevel="0" collapsed="false">
      <c r="D111" s="372"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2"/>
    </row>
    <row r="112" customFormat="false" ht="12.75" hidden="false" customHeight="false" outlineLevel="0" collapsed="false">
      <c r="D112" s="372"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2"/>
    </row>
    <row r="113" customFormat="false" ht="12.75" hidden="false" customHeight="false" outlineLevel="0" collapsed="false">
      <c r="D113" s="372"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2"/>
    </row>
    <row r="114" customFormat="false" ht="12.75" hidden="false" customHeight="false" outlineLevel="0" collapsed="false">
      <c r="D114" s="372"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2"/>
    </row>
    <row r="115" customFormat="false" ht="12.75" hidden="false" customHeight="false" outlineLevel="0" collapsed="false">
      <c r="D115" s="372"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2"/>
    </row>
    <row r="116" customFormat="false" ht="12.75" hidden="false" customHeight="false" outlineLevel="0" collapsed="false">
      <c r="D116" s="372"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2"/>
    </row>
    <row r="117" customFormat="false" ht="12.75" hidden="false" customHeight="false" outlineLevel="0" collapsed="false">
      <c r="D117" s="372"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2"/>
    </row>
    <row r="118" customFormat="false" ht="12.75" hidden="false" customHeight="false" outlineLevel="0" collapsed="false">
      <c r="D118" s="372"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2"/>
    </row>
    <row r="119" customFormat="false" ht="12.75" hidden="false" customHeight="false" outlineLevel="0" collapsed="false">
      <c r="D119" s="372"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2"/>
    </row>
    <row r="120" customFormat="false" ht="12.75" hidden="false" customHeight="false" outlineLevel="0" collapsed="false">
      <c r="D120" s="372"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2"/>
    </row>
    <row r="121" customFormat="false" ht="12.75" hidden="false" customHeight="false" outlineLevel="0" collapsed="false">
      <c r="D121" s="372"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2"/>
    </row>
    <row r="122" customFormat="false" ht="12.75" hidden="false" customHeight="false" outlineLevel="0" collapsed="false">
      <c r="D122" s="372"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2"/>
    </row>
    <row r="123" customFormat="false" ht="12.75" hidden="false" customHeight="false" outlineLevel="0" collapsed="false">
      <c r="D123" s="372"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2"/>
    </row>
    <row r="124" customFormat="false" ht="12.75" hidden="false" customHeight="false" outlineLevel="0" collapsed="false">
      <c r="D124" s="372"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2"/>
    </row>
    <row r="125" customFormat="false" ht="12.75" hidden="false" customHeight="false" outlineLevel="0" collapsed="false">
      <c r="D125" s="372"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2"/>
    </row>
    <row r="126" customFormat="false" ht="12.75" hidden="false" customHeight="false" outlineLevel="0" collapsed="false">
      <c r="D126" s="372"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2"/>
    </row>
    <row r="127" customFormat="false" ht="12.75" hidden="false" customHeight="false" outlineLevel="0" collapsed="false">
      <c r="D127" s="372"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2"/>
    </row>
    <row r="128" customFormat="false" ht="12.75" hidden="false" customHeight="false" outlineLevel="0" collapsed="false">
      <c r="D128" s="372"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2"/>
    </row>
    <row r="129" customFormat="false" ht="12.75" hidden="false" customHeight="false" outlineLevel="0" collapsed="false">
      <c r="D129" s="372"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2"/>
    </row>
    <row r="130" customFormat="false" ht="12.75" hidden="false" customHeight="false" outlineLevel="0" collapsed="false">
      <c r="D130" s="372"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2"/>
    </row>
    <row r="131" customFormat="false" ht="12.75" hidden="false" customHeight="false" outlineLevel="0" collapsed="false">
      <c r="D131" s="372"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2"/>
    </row>
    <row r="132" customFormat="false" ht="12.75" hidden="false" customHeight="false" outlineLevel="0" collapsed="false">
      <c r="D132" s="372"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2"/>
    </row>
    <row r="133" customFormat="false" ht="12.75" hidden="false" customHeight="false" outlineLevel="0" collapsed="false">
      <c r="D133" s="372"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2"/>
    </row>
    <row r="134" customFormat="false" ht="12.75" hidden="false" customHeight="false" outlineLevel="0" collapsed="false">
      <c r="D134" s="372"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2"/>
    </row>
    <row r="135" customFormat="false" ht="12.75" hidden="false" customHeight="false" outlineLevel="0" collapsed="false">
      <c r="D135" s="372"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2"/>
    </row>
    <row r="136" customFormat="false" ht="12.75" hidden="false" customHeight="false" outlineLevel="0" collapsed="false">
      <c r="D136" s="372"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2"/>
    </row>
    <row r="137" customFormat="false" ht="12.75" hidden="false" customHeight="false" outlineLevel="0" collapsed="false">
      <c r="D137" s="372"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2"/>
    </row>
    <row r="138" customFormat="false" ht="12.75" hidden="false" customHeight="false" outlineLevel="0" collapsed="false">
      <c r="D138" s="372"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2"/>
    </row>
    <row r="139" customFormat="false" ht="12.75" hidden="false" customHeight="false" outlineLevel="0" collapsed="false">
      <c r="D139" s="372"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2"/>
    </row>
    <row r="140" customFormat="false" ht="12.75" hidden="false" customHeight="false" outlineLevel="0" collapsed="false">
      <c r="D140" s="372"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2"/>
    </row>
    <row r="141" customFormat="false" ht="12.75" hidden="false" customHeight="false" outlineLevel="0" collapsed="false">
      <c r="D141" s="372"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2"/>
    </row>
    <row r="142" customFormat="false" ht="12.75" hidden="false" customHeight="false" outlineLevel="0" collapsed="false">
      <c r="D142" s="372"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2"/>
    </row>
    <row r="143" customFormat="false" ht="12.75" hidden="false" customHeight="false" outlineLevel="0" collapsed="false">
      <c r="D143" s="372"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2"/>
    </row>
    <row r="144" customFormat="false" ht="12.75" hidden="false" customHeight="false" outlineLevel="0" collapsed="false">
      <c r="D144" s="372"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2"/>
    </row>
    <row r="145" customFormat="false" ht="12.75" hidden="false" customHeight="false" outlineLevel="0" collapsed="false">
      <c r="D145" s="372"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2"/>
    </row>
    <row r="146" customFormat="false" ht="12.75" hidden="false" customHeight="false" outlineLevel="0" collapsed="false">
      <c r="D146" s="372"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2"/>
    </row>
    <row r="147" customFormat="false" ht="12.75" hidden="false" customHeight="false" outlineLevel="0" collapsed="false">
      <c r="D147" s="372"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2"/>
    </row>
    <row r="148" customFormat="false" ht="12.75" hidden="false" customHeight="false" outlineLevel="0" collapsed="false">
      <c r="D148" s="372"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2"/>
    </row>
    <row r="149" customFormat="false" ht="12.75" hidden="false" customHeight="false" outlineLevel="0" collapsed="false">
      <c r="D149" s="372"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2"/>
    </row>
    <row r="150" customFormat="false" ht="12.75" hidden="false" customHeight="false" outlineLevel="0" collapsed="false">
      <c r="D150" s="372"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2"/>
    </row>
    <row r="151" customFormat="false" ht="12.75" hidden="false" customHeight="false" outlineLevel="0" collapsed="false">
      <c r="D151" s="372"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2"/>
    </row>
    <row r="152" customFormat="false" ht="12.75" hidden="false" customHeight="false" outlineLevel="0" collapsed="false">
      <c r="D152" s="372"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2"/>
    </row>
    <row r="153" customFormat="false" ht="12.75" hidden="false" customHeight="false" outlineLevel="0" collapsed="false">
      <c r="D153" s="372"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2"/>
    </row>
    <row r="154" customFormat="false" ht="12.75" hidden="false" customHeight="false" outlineLevel="0" collapsed="false">
      <c r="D154" s="372"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2"/>
    </row>
    <row r="155" customFormat="false" ht="12.75" hidden="false" customHeight="false" outlineLevel="0" collapsed="false">
      <c r="D155" s="372"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2"/>
    </row>
    <row r="156" customFormat="false" ht="12.75" hidden="false" customHeight="false" outlineLevel="0" collapsed="false">
      <c r="D156" s="372"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2"/>
    </row>
    <row r="157" customFormat="false" ht="12.75" hidden="false" customHeight="false" outlineLevel="0" collapsed="false">
      <c r="D157" s="372"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2"/>
    </row>
    <row r="158" customFormat="false" ht="12.75" hidden="false" customHeight="false" outlineLevel="0" collapsed="false">
      <c r="D158" s="372"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2"/>
    </row>
    <row r="159" customFormat="false" ht="12.75" hidden="false" customHeight="false" outlineLevel="0" collapsed="false">
      <c r="D159" s="372"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2"/>
    </row>
    <row r="160" customFormat="false" ht="12.75" hidden="false" customHeight="false" outlineLevel="0" collapsed="false">
      <c r="D160" s="372"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2"/>
    </row>
    <row r="161" customFormat="false" ht="12.75" hidden="false" customHeight="false" outlineLevel="0" collapsed="false">
      <c r="D161" s="372"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2"/>
    </row>
    <row r="162" customFormat="false" ht="12.75" hidden="false" customHeight="false" outlineLevel="0" collapsed="false">
      <c r="D162" s="372"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2"/>
    </row>
    <row r="163" customFormat="false" ht="12.75" hidden="false" customHeight="false" outlineLevel="0" collapsed="false">
      <c r="D163" s="372"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2"/>
    </row>
    <row r="164" customFormat="false" ht="12.75" hidden="false" customHeight="false" outlineLevel="0" collapsed="false">
      <c r="D164" s="372"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2"/>
    </row>
    <row r="165" customFormat="false" ht="12.75" hidden="false" customHeight="false" outlineLevel="0" collapsed="false">
      <c r="D165" s="372"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2"/>
    </row>
    <row r="166" customFormat="false" ht="12.75" hidden="false" customHeight="false" outlineLevel="0" collapsed="false">
      <c r="D166" s="372"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2"/>
    </row>
    <row r="167" customFormat="false" ht="12.75" hidden="false" customHeight="false" outlineLevel="0" collapsed="false">
      <c r="D167" s="372"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2"/>
    </row>
    <row r="168" customFormat="false" ht="12.75" hidden="false" customHeight="false" outlineLevel="0" collapsed="false">
      <c r="D168" s="372"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2"/>
    </row>
    <row r="169" customFormat="false" ht="12.75" hidden="false" customHeight="false" outlineLevel="0" collapsed="false">
      <c r="D169" s="372"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2"/>
    </row>
    <row r="170" customFormat="false" ht="12.75" hidden="false" customHeight="false" outlineLevel="0" collapsed="false">
      <c r="D170" s="372"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2"/>
    </row>
    <row r="171" customFormat="false" ht="12.75" hidden="false" customHeight="false" outlineLevel="0" collapsed="false">
      <c r="D171" s="372"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2"/>
    </row>
    <row r="172" customFormat="false" ht="12.75" hidden="false" customHeight="false" outlineLevel="0" collapsed="false">
      <c r="D172" s="372"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2"/>
    </row>
    <row r="173" customFormat="false" ht="12.75" hidden="false" customHeight="false" outlineLevel="0" collapsed="false">
      <c r="D173" s="372"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2"/>
    </row>
    <row r="174" customFormat="false" ht="12.75" hidden="false" customHeight="false" outlineLevel="0" collapsed="false">
      <c r="D174" s="372"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2"/>
    </row>
    <row r="175" customFormat="false" ht="12.75" hidden="false" customHeight="false" outlineLevel="0" collapsed="false">
      <c r="D175" s="372"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2"/>
    </row>
    <row r="176" customFormat="false" ht="12.75" hidden="false" customHeight="false" outlineLevel="0" collapsed="false">
      <c r="D176" s="372"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2"/>
    </row>
    <row r="177" customFormat="false" ht="12.75" hidden="false" customHeight="false" outlineLevel="0" collapsed="false">
      <c r="D177" s="372"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2"/>
    </row>
    <row r="178" customFormat="false" ht="12.75" hidden="false" customHeight="false" outlineLevel="0" collapsed="false">
      <c r="D178" s="372"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2"/>
    </row>
    <row r="179" customFormat="false" ht="12.75" hidden="false" customHeight="false" outlineLevel="0" collapsed="false">
      <c r="D179" s="372"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2"/>
    </row>
    <row r="180" customFormat="false" ht="12.75" hidden="false" customHeight="false" outlineLevel="0" collapsed="false">
      <c r="D180" s="372"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2"/>
    </row>
    <row r="181" customFormat="false" ht="12.75" hidden="false" customHeight="false" outlineLevel="0" collapsed="false">
      <c r="D181" s="372"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2"/>
    </row>
    <row r="182" customFormat="false" ht="12.75" hidden="false" customHeight="false" outlineLevel="0" collapsed="false">
      <c r="D182" s="372"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2"/>
    </row>
    <row r="183" customFormat="false" ht="12.75" hidden="false" customHeight="false" outlineLevel="0" collapsed="false">
      <c r="D183" s="372"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2"/>
    </row>
    <row r="184" customFormat="false" ht="12.75" hidden="false" customHeight="false" outlineLevel="0" collapsed="false">
      <c r="D184" s="372"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2"/>
    </row>
    <row r="185" customFormat="false" ht="12.75" hidden="false" customHeight="false" outlineLevel="0" collapsed="false">
      <c r="D185" s="372"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2"/>
    </row>
    <row r="186" customFormat="false" ht="12.75" hidden="false" customHeight="false" outlineLevel="0" collapsed="false">
      <c r="D186" s="372"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2"/>
    </row>
    <row r="187" customFormat="false" ht="12.75" hidden="false" customHeight="false" outlineLevel="0" collapsed="false">
      <c r="D187" s="372"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2"/>
    </row>
    <row r="188" customFormat="false" ht="12.75" hidden="false" customHeight="false" outlineLevel="0" collapsed="false">
      <c r="D188" s="372"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2"/>
    </row>
    <row r="189" customFormat="false" ht="12.75" hidden="false" customHeight="false" outlineLevel="0" collapsed="false">
      <c r="D189" s="372"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2"/>
    </row>
    <row r="190" customFormat="false" ht="12.75" hidden="false" customHeight="false" outlineLevel="0" collapsed="false">
      <c r="D190" s="372"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2"/>
    </row>
    <row r="191" customFormat="false" ht="12.75" hidden="false" customHeight="false" outlineLevel="0" collapsed="false">
      <c r="D191" s="372"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2"/>
    </row>
    <row r="192" customFormat="false" ht="12.75" hidden="false" customHeight="false" outlineLevel="0" collapsed="false">
      <c r="D192" s="372"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2"/>
    </row>
    <row r="193" customFormat="false" ht="12.75" hidden="false" customHeight="false" outlineLevel="0" collapsed="false">
      <c r="D193" s="372"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2"/>
    </row>
    <row r="194" customFormat="false" ht="12.75" hidden="false" customHeight="false" outlineLevel="0" collapsed="false">
      <c r="D194" s="372"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2"/>
    </row>
    <row r="195" customFormat="false" ht="12.75" hidden="false" customHeight="false" outlineLevel="0" collapsed="false">
      <c r="D195" s="372"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2"/>
    </row>
    <row r="196" customFormat="false" ht="12.75" hidden="false" customHeight="false" outlineLevel="0" collapsed="false">
      <c r="D196" s="372"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2"/>
    </row>
    <row r="197" customFormat="false" ht="12.75" hidden="false" customHeight="false" outlineLevel="0" collapsed="false">
      <c r="D197" s="372"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2"/>
    </row>
    <row r="198" customFormat="false" ht="12.75" hidden="false" customHeight="false" outlineLevel="0" collapsed="false">
      <c r="D198" s="372"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2"/>
    </row>
    <row r="199" customFormat="false" ht="12.75" hidden="false" customHeight="false" outlineLevel="0" collapsed="false">
      <c r="D199" s="372"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2"/>
    </row>
    <row r="200" customFormat="false" ht="12.75" hidden="false" customHeight="false" outlineLevel="0" collapsed="false">
      <c r="D200" s="372"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2"/>
    </row>
    <row r="201" customFormat="false" ht="12.75" hidden="false" customHeight="false" outlineLevel="0" collapsed="false">
      <c r="D201" s="372"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2"/>
    </row>
    <row r="202" customFormat="false" ht="12.75" hidden="false" customHeight="false" outlineLevel="0" collapsed="false">
      <c r="D202" s="372"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2"/>
    </row>
    <row r="203" customFormat="false" ht="12.75" hidden="false" customHeight="false" outlineLevel="0" collapsed="false">
      <c r="D203" s="372"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2"/>
    </row>
    <row r="204" customFormat="false" ht="12.75" hidden="false" customHeight="false" outlineLevel="0" collapsed="false">
      <c r="D204" s="372"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2"/>
    </row>
    <row r="205" customFormat="false" ht="12.75" hidden="false" customHeight="false" outlineLevel="0" collapsed="false">
      <c r="U205" s="372"/>
    </row>
    <row r="206" customFormat="false" ht="12.75" hidden="false" customHeight="false" outlineLevel="0" collapsed="false">
      <c r="U206" s="372"/>
    </row>
    <row r="207" customFormat="false" ht="12.75" hidden="false" customHeight="false" outlineLevel="0" collapsed="false">
      <c r="U207" s="372"/>
    </row>
    <row r="208" customFormat="false" ht="12.75" hidden="false" customHeight="false" outlineLevel="0" collapsed="false">
      <c r="U208" s="372"/>
    </row>
    <row r="209" customFormat="false" ht="12.75" hidden="false" customHeight="false" outlineLevel="0" collapsed="false">
      <c r="U209" s="372"/>
    </row>
    <row r="210" customFormat="false" ht="12.75" hidden="false" customHeight="false" outlineLevel="0" collapsed="false">
      <c r="U210" s="372"/>
    </row>
    <row r="211" customFormat="false" ht="12.75" hidden="false" customHeight="false" outlineLevel="0" collapsed="false">
      <c r="U211" s="372"/>
    </row>
    <row r="212" customFormat="false" ht="12.75" hidden="false" customHeight="false" outlineLevel="0" collapsed="false">
      <c r="U212" s="372"/>
    </row>
    <row r="213" customFormat="false" ht="12.75" hidden="false" customHeight="false" outlineLevel="0" collapsed="false">
      <c r="U213" s="372"/>
    </row>
    <row r="214" customFormat="false" ht="12.75" hidden="false" customHeight="false" outlineLevel="0" collapsed="false">
      <c r="U214" s="372"/>
    </row>
    <row r="215" customFormat="false" ht="12.75" hidden="false" customHeight="false" outlineLevel="0" collapsed="false">
      <c r="U215" s="372"/>
    </row>
    <row r="216" customFormat="false" ht="12.75" hidden="false" customHeight="false" outlineLevel="0" collapsed="false">
      <c r="U216" s="372"/>
    </row>
    <row r="217" customFormat="false" ht="12.75" hidden="false" customHeight="false" outlineLevel="0" collapsed="false">
      <c r="U217" s="372"/>
    </row>
    <row r="218" customFormat="false" ht="12.75" hidden="false" customHeight="false" outlineLevel="0" collapsed="false">
      <c r="U218" s="372"/>
    </row>
    <row r="219" customFormat="false" ht="12.75" hidden="false" customHeight="false" outlineLevel="0" collapsed="false">
      <c r="U219" s="372"/>
    </row>
    <row r="220" customFormat="false" ht="12.75" hidden="false" customHeight="false" outlineLevel="0" collapsed="false">
      <c r="U220" s="372"/>
    </row>
    <row r="221" customFormat="false" ht="12.75" hidden="false" customHeight="false" outlineLevel="0" collapsed="false">
      <c r="U221" s="372"/>
    </row>
    <row r="222" customFormat="false" ht="12.75" hidden="false" customHeight="false" outlineLevel="0" collapsed="false">
      <c r="U222" s="372"/>
    </row>
    <row r="223" customFormat="false" ht="12.75" hidden="false" customHeight="false" outlineLevel="0" collapsed="false">
      <c r="U223" s="372"/>
    </row>
    <row r="224" customFormat="false" ht="12.75" hidden="false" customHeight="false" outlineLevel="0" collapsed="false">
      <c r="U224" s="372"/>
    </row>
    <row r="225" customFormat="false" ht="12.75" hidden="false" customHeight="false" outlineLevel="0" collapsed="false">
      <c r="U225" s="372"/>
    </row>
    <row r="226" customFormat="false" ht="12.75" hidden="false" customHeight="false" outlineLevel="0" collapsed="false">
      <c r="U226" s="372"/>
    </row>
    <row r="227" customFormat="false" ht="12.75" hidden="false" customHeight="false" outlineLevel="0" collapsed="false">
      <c r="U227" s="372"/>
    </row>
    <row r="228" customFormat="false" ht="12.75" hidden="false" customHeight="false" outlineLevel="0" collapsed="false">
      <c r="U228" s="372"/>
    </row>
    <row r="229" customFormat="false" ht="12.75" hidden="false" customHeight="false" outlineLevel="0" collapsed="false">
      <c r="U229" s="372"/>
    </row>
    <row r="230" customFormat="false" ht="12.75" hidden="false" customHeight="false" outlineLevel="0" collapsed="false">
      <c r="U230" s="372"/>
    </row>
    <row r="231" customFormat="false" ht="12.75" hidden="false" customHeight="false" outlineLevel="0" collapsed="false">
      <c r="U231" s="372"/>
    </row>
    <row r="232" customFormat="false" ht="12.75" hidden="false" customHeight="false" outlineLevel="0" collapsed="false">
      <c r="U232" s="372"/>
    </row>
    <row r="233" customFormat="false" ht="12.75" hidden="false" customHeight="false" outlineLevel="0" collapsed="false">
      <c r="U233" s="372"/>
    </row>
    <row r="234" customFormat="false" ht="12.75" hidden="false" customHeight="false" outlineLevel="0" collapsed="false">
      <c r="U234" s="372"/>
    </row>
    <row r="235" customFormat="false" ht="12.75" hidden="false" customHeight="false" outlineLevel="0" collapsed="false">
      <c r="U235" s="372"/>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5" width="9.66"/>
    <col collapsed="false" customWidth="true" hidden="false" outlineLevel="0" max="2" min="2" style="346" width="14.66"/>
    <col collapsed="false" customWidth="true" hidden="false" outlineLevel="0" max="3" min="3" style="181" width="13.66"/>
    <col collapsed="false" customWidth="true" hidden="false" outlineLevel="0" max="4" min="4" style="347" width="12.66"/>
    <col collapsed="false" customWidth="true" hidden="false" outlineLevel="0" max="5" min="5" style="348" width="12.66"/>
    <col collapsed="false" customWidth="true" hidden="false" outlineLevel="0" max="6" min="6" style="181" width="12.66"/>
    <col collapsed="false" customWidth="false" hidden="false" outlineLevel="0" max="257" min="7" style="181" width="9.15"/>
  </cols>
  <sheetData>
    <row r="1" s="353" customFormat="true" ht="12.75" hidden="false" customHeight="true" outlineLevel="0" collapsed="false">
      <c r="A1" s="349" t="s">
        <v>238</v>
      </c>
      <c r="B1" s="350" t="s">
        <v>239</v>
      </c>
      <c r="C1" s="351" t="s">
        <v>240</v>
      </c>
      <c r="D1" s="352" t="n">
        <f aca="false">SUM(D4:D58)</f>
        <v>0</v>
      </c>
      <c r="E1" s="351" t="n">
        <f aca="false">SUM(E4:E58)/2</f>
        <v>3000</v>
      </c>
      <c r="F1" s="351" t="n">
        <f aca="false">SUM(F4:F58)/2</f>
        <v>0</v>
      </c>
    </row>
    <row r="2" s="353" customFormat="true" ht="12.75" hidden="false" customHeight="true" outlineLevel="0" collapsed="false">
      <c r="A2" s="349"/>
      <c r="B2" s="350"/>
      <c r="C2" s="354" t="s">
        <v>241</v>
      </c>
      <c r="D2" s="355" t="s">
        <v>242</v>
      </c>
      <c r="E2" s="354" t="s">
        <v>243</v>
      </c>
      <c r="F2" s="354" t="s">
        <v>244</v>
      </c>
    </row>
    <row r="3" s="356" customFormat="true" ht="24" hidden="false" customHeight="true" outlineLevel="0" collapsed="false">
      <c r="A3" s="349"/>
      <c r="B3" s="350"/>
      <c r="C3" s="354"/>
      <c r="D3" s="355"/>
      <c r="E3" s="354"/>
      <c r="F3" s="354"/>
    </row>
    <row r="5" customFormat="false" ht="12.75" hidden="false" customHeight="false" outlineLevel="0" collapsed="false">
      <c r="A5" s="357" t="n">
        <v>46139</v>
      </c>
      <c r="B5" s="358" t="n">
        <v>46139</v>
      </c>
      <c r="C5" s="359"/>
      <c r="D5" s="360"/>
      <c r="E5" s="361"/>
      <c r="F5" s="362"/>
    </row>
    <row r="6" customFormat="false" ht="12.75" hidden="false" customHeight="false" outlineLevel="0" collapsed="false">
      <c r="A6" s="363" t="n">
        <v>46140</v>
      </c>
      <c r="B6" s="346" t="n">
        <v>46140</v>
      </c>
      <c r="F6" s="364"/>
    </row>
    <row r="7" customFormat="false" ht="12.75" hidden="false" customHeight="false" outlineLevel="0" collapsed="false">
      <c r="A7" s="363" t="n">
        <v>46141</v>
      </c>
      <c r="B7" s="346" t="n">
        <v>46141</v>
      </c>
      <c r="F7" s="364"/>
    </row>
    <row r="8" customFormat="false" ht="12.75" hidden="false" customHeight="false" outlineLevel="0" collapsed="false">
      <c r="A8" s="363" t="n">
        <v>46142</v>
      </c>
      <c r="B8" s="346" t="n">
        <v>46142</v>
      </c>
      <c r="F8" s="364"/>
    </row>
    <row r="9" customFormat="false" ht="12.75" hidden="false" customHeight="false" outlineLevel="0" collapsed="false">
      <c r="A9" s="363" t="n">
        <v>46143</v>
      </c>
      <c r="B9" s="346" t="n">
        <v>46143</v>
      </c>
      <c r="F9" s="364"/>
    </row>
    <row r="10" customFormat="false" ht="12.75" hidden="false" customHeight="false" outlineLevel="0" collapsed="false">
      <c r="A10" s="363" t="n">
        <v>46144</v>
      </c>
      <c r="B10" s="346" t="n">
        <v>46144</v>
      </c>
      <c r="F10" s="364"/>
    </row>
    <row r="11" customFormat="false" ht="12.75" hidden="false" customHeight="false" outlineLevel="0" collapsed="false">
      <c r="A11" s="363" t="n">
        <v>46145</v>
      </c>
      <c r="B11" s="346" t="n">
        <v>46145</v>
      </c>
      <c r="F11" s="364"/>
    </row>
    <row r="12" customFormat="false" ht="12.75" hidden="false" customHeight="false" outlineLevel="0" collapsed="false">
      <c r="A12" s="363" t="n">
        <v>46145</v>
      </c>
      <c r="B12" s="346" t="s">
        <v>245</v>
      </c>
      <c r="F12" s="364"/>
    </row>
    <row r="13" customFormat="false" ht="12.75" hidden="false" customHeight="false" outlineLevel="0" collapsed="false">
      <c r="A13" s="363" t="n">
        <v>46145</v>
      </c>
      <c r="B13" s="346" t="s">
        <v>246</v>
      </c>
      <c r="F13" s="364"/>
    </row>
    <row r="14" customFormat="false" ht="12.75" hidden="false" customHeight="false" outlineLevel="0" collapsed="false">
      <c r="A14" s="365"/>
      <c r="B14" s="366"/>
      <c r="C14" s="367"/>
      <c r="D14" s="368"/>
      <c r="E14" s="369" t="n">
        <f aca="false">SUM(E5:E13)</f>
        <v>0</v>
      </c>
      <c r="F14" s="370" t="n">
        <f aca="false">SUM(F5:F13)</f>
        <v>0</v>
      </c>
    </row>
    <row r="16" customFormat="false" ht="12.75" hidden="false" customHeight="false" outlineLevel="0" collapsed="false">
      <c r="A16" s="357" t="n">
        <v>46146</v>
      </c>
      <c r="B16" s="358" t="n">
        <v>46146</v>
      </c>
      <c r="C16" s="359"/>
      <c r="D16" s="360"/>
      <c r="E16" s="361"/>
      <c r="F16" s="362"/>
    </row>
    <row r="17" customFormat="false" ht="12.75" hidden="false" customHeight="false" outlineLevel="0" collapsed="false">
      <c r="A17" s="363" t="n">
        <v>46147</v>
      </c>
      <c r="B17" s="346" t="n">
        <v>46147</v>
      </c>
      <c r="E17" s="348" t="n">
        <v>200</v>
      </c>
      <c r="F17" s="364"/>
    </row>
    <row r="18" customFormat="false" ht="12.75" hidden="false" customHeight="false" outlineLevel="0" collapsed="false">
      <c r="A18" s="363" t="n">
        <v>46148</v>
      </c>
      <c r="B18" s="346" t="n">
        <v>46148</v>
      </c>
      <c r="E18" s="348" t="n">
        <v>200</v>
      </c>
      <c r="F18" s="364"/>
    </row>
    <row r="19" customFormat="false" ht="12.75" hidden="false" customHeight="false" outlineLevel="0" collapsed="false">
      <c r="A19" s="363" t="n">
        <v>46149</v>
      </c>
      <c r="B19" s="346" t="n">
        <v>46149</v>
      </c>
      <c r="E19" s="348" t="n">
        <v>200</v>
      </c>
      <c r="F19" s="364"/>
    </row>
    <row r="20" customFormat="false" ht="12.75" hidden="false" customHeight="false" outlineLevel="0" collapsed="false">
      <c r="A20" s="363" t="n">
        <v>46150</v>
      </c>
      <c r="B20" s="346" t="n">
        <v>46150</v>
      </c>
      <c r="E20" s="348" t="n">
        <v>200</v>
      </c>
      <c r="F20" s="364"/>
    </row>
    <row r="21" customFormat="false" ht="12.75" hidden="false" customHeight="false" outlineLevel="0" collapsed="false">
      <c r="A21" s="363" t="n">
        <v>46151</v>
      </c>
      <c r="B21" s="346" t="n">
        <v>46151</v>
      </c>
      <c r="E21" s="348" t="n">
        <v>200</v>
      </c>
      <c r="F21" s="364"/>
    </row>
    <row r="22" customFormat="false" ht="12.75" hidden="false" customHeight="false" outlineLevel="0" collapsed="false">
      <c r="A22" s="363" t="n">
        <v>46152</v>
      </c>
      <c r="B22" s="346" t="n">
        <v>46152</v>
      </c>
      <c r="F22" s="364"/>
    </row>
    <row r="23" customFormat="false" ht="12.75" hidden="false" customHeight="false" outlineLevel="0" collapsed="false">
      <c r="A23" s="363" t="n">
        <v>46152</v>
      </c>
      <c r="B23" s="346" t="s">
        <v>245</v>
      </c>
      <c r="F23" s="364"/>
    </row>
    <row r="24" customFormat="false" ht="12.75" hidden="false" customHeight="false" outlineLevel="0" collapsed="false">
      <c r="A24" s="363" t="n">
        <v>46152</v>
      </c>
      <c r="B24" s="346" t="s">
        <v>246</v>
      </c>
      <c r="F24" s="364"/>
    </row>
    <row r="25" customFormat="false" ht="12.75" hidden="false" customHeight="false" outlineLevel="0" collapsed="false">
      <c r="A25" s="365"/>
      <c r="B25" s="366"/>
      <c r="C25" s="367"/>
      <c r="D25" s="368"/>
      <c r="E25" s="369" t="n">
        <f aca="false">SUM(E16:E24)</f>
        <v>1000</v>
      </c>
      <c r="F25" s="370" t="n">
        <f aca="false">SUM(F16:F24)</f>
        <v>0</v>
      </c>
    </row>
    <row r="27" customFormat="false" ht="12.75" hidden="false" customHeight="false" outlineLevel="0" collapsed="false">
      <c r="A27" s="357" t="n">
        <v>46153</v>
      </c>
      <c r="B27" s="358" t="n">
        <v>46153</v>
      </c>
      <c r="C27" s="359"/>
      <c r="D27" s="360"/>
      <c r="E27" s="361"/>
      <c r="F27" s="362"/>
    </row>
    <row r="28" customFormat="false" ht="12.75" hidden="false" customHeight="false" outlineLevel="0" collapsed="false">
      <c r="A28" s="363" t="n">
        <v>46154</v>
      </c>
      <c r="B28" s="346" t="n">
        <v>46154</v>
      </c>
      <c r="E28" s="348" t="n">
        <v>200</v>
      </c>
      <c r="F28" s="364"/>
    </row>
    <row r="29" customFormat="false" ht="12.75" hidden="false" customHeight="false" outlineLevel="0" collapsed="false">
      <c r="A29" s="363" t="n">
        <v>46155</v>
      </c>
      <c r="B29" s="346" t="n">
        <v>46155</v>
      </c>
      <c r="E29" s="348" t="n">
        <v>200</v>
      </c>
      <c r="F29" s="364"/>
    </row>
    <row r="30" customFormat="false" ht="12.75" hidden="false" customHeight="false" outlineLevel="0" collapsed="false">
      <c r="A30" s="363" t="n">
        <v>46156</v>
      </c>
      <c r="B30" s="346" t="n">
        <v>46156</v>
      </c>
      <c r="E30" s="348" t="n">
        <v>200</v>
      </c>
      <c r="F30" s="364"/>
    </row>
    <row r="31" customFormat="false" ht="12.75" hidden="false" customHeight="false" outlineLevel="0" collapsed="false">
      <c r="A31" s="363" t="n">
        <v>46157</v>
      </c>
      <c r="B31" s="346" t="n">
        <v>46157</v>
      </c>
      <c r="E31" s="348" t="n">
        <v>200</v>
      </c>
      <c r="F31" s="364"/>
    </row>
    <row r="32" customFormat="false" ht="12.75" hidden="false" customHeight="false" outlineLevel="0" collapsed="false">
      <c r="A32" s="363" t="n">
        <v>46158</v>
      </c>
      <c r="B32" s="346" t="n">
        <v>46158</v>
      </c>
      <c r="E32" s="348" t="n">
        <v>200</v>
      </c>
      <c r="F32" s="364"/>
    </row>
    <row r="33" customFormat="false" ht="12.75" hidden="false" customHeight="false" outlineLevel="0" collapsed="false">
      <c r="A33" s="363" t="n">
        <v>46159</v>
      </c>
      <c r="B33" s="346" t="n">
        <v>46159</v>
      </c>
      <c r="F33" s="364"/>
    </row>
    <row r="34" customFormat="false" ht="12.75" hidden="false" customHeight="false" outlineLevel="0" collapsed="false">
      <c r="A34" s="363" t="n">
        <v>46159</v>
      </c>
      <c r="B34" s="346" t="s">
        <v>245</v>
      </c>
      <c r="F34" s="364"/>
    </row>
    <row r="35" customFormat="false" ht="12.75" hidden="false" customHeight="false" outlineLevel="0" collapsed="false">
      <c r="A35" s="363" t="n">
        <v>46159</v>
      </c>
      <c r="B35" s="346" t="s">
        <v>246</v>
      </c>
      <c r="F35" s="364"/>
    </row>
    <row r="36" customFormat="false" ht="12.75" hidden="false" customHeight="false" outlineLevel="0" collapsed="false">
      <c r="A36" s="365"/>
      <c r="B36" s="366"/>
      <c r="C36" s="367"/>
      <c r="D36" s="368"/>
      <c r="E36" s="369" t="n">
        <f aca="false">SUM(E27:E35)</f>
        <v>1000</v>
      </c>
      <c r="F36" s="370" t="n">
        <f aca="false">SUM(F27:F35)</f>
        <v>0</v>
      </c>
    </row>
    <row r="38" customFormat="false" ht="12.75" hidden="false" customHeight="false" outlineLevel="0" collapsed="false">
      <c r="A38" s="357" t="n">
        <v>46160</v>
      </c>
      <c r="B38" s="358" t="n">
        <v>46160</v>
      </c>
      <c r="C38" s="359"/>
      <c r="D38" s="360"/>
      <c r="E38" s="361"/>
      <c r="F38" s="362"/>
    </row>
    <row r="39" customFormat="false" ht="12.75" hidden="false" customHeight="false" outlineLevel="0" collapsed="false">
      <c r="A39" s="363" t="n">
        <v>46161</v>
      </c>
      <c r="B39" s="346" t="n">
        <v>46161</v>
      </c>
      <c r="E39" s="348" t="n">
        <v>200</v>
      </c>
      <c r="F39" s="364"/>
    </row>
    <row r="40" customFormat="false" ht="12.75" hidden="false" customHeight="false" outlineLevel="0" collapsed="false">
      <c r="A40" s="363" t="n">
        <v>46162</v>
      </c>
      <c r="B40" s="346" t="n">
        <v>46162</v>
      </c>
      <c r="E40" s="348" t="n">
        <v>200</v>
      </c>
      <c r="F40" s="364"/>
    </row>
    <row r="41" customFormat="false" ht="12.75" hidden="false" customHeight="false" outlineLevel="0" collapsed="false">
      <c r="A41" s="363" t="n">
        <v>46163</v>
      </c>
      <c r="B41" s="346" t="n">
        <v>46163</v>
      </c>
      <c r="E41" s="348" t="n">
        <v>200</v>
      </c>
      <c r="F41" s="364"/>
    </row>
    <row r="42" customFormat="false" ht="12.75" hidden="false" customHeight="false" outlineLevel="0" collapsed="false">
      <c r="A42" s="363" t="n">
        <v>46164</v>
      </c>
      <c r="B42" s="346" t="n">
        <v>46164</v>
      </c>
      <c r="E42" s="348" t="n">
        <v>200</v>
      </c>
      <c r="F42" s="364"/>
    </row>
    <row r="43" customFormat="false" ht="12.75" hidden="false" customHeight="false" outlineLevel="0" collapsed="false">
      <c r="A43" s="363" t="n">
        <v>46165</v>
      </c>
      <c r="B43" s="346" t="n">
        <v>46165</v>
      </c>
      <c r="E43" s="348" t="n">
        <v>200</v>
      </c>
      <c r="F43" s="364"/>
    </row>
    <row r="44" customFormat="false" ht="12.75" hidden="false" customHeight="false" outlineLevel="0" collapsed="false">
      <c r="A44" s="363" t="n">
        <v>46166</v>
      </c>
      <c r="B44" s="346" t="n">
        <v>46166</v>
      </c>
      <c r="F44" s="364"/>
    </row>
    <row r="45" customFormat="false" ht="12.75" hidden="false" customHeight="false" outlineLevel="0" collapsed="false">
      <c r="A45" s="363" t="n">
        <v>46166</v>
      </c>
      <c r="B45" s="346" t="s">
        <v>245</v>
      </c>
      <c r="F45" s="364"/>
    </row>
    <row r="46" customFormat="false" ht="12.75" hidden="false" customHeight="false" outlineLevel="0" collapsed="false">
      <c r="A46" s="363" t="n">
        <v>46166</v>
      </c>
      <c r="B46" s="346" t="s">
        <v>246</v>
      </c>
      <c r="F46" s="364"/>
    </row>
    <row r="47" customFormat="false" ht="12.75" hidden="false" customHeight="false" outlineLevel="0" collapsed="false">
      <c r="A47" s="365"/>
      <c r="B47" s="366"/>
      <c r="C47" s="367"/>
      <c r="D47" s="368"/>
      <c r="E47" s="369" t="n">
        <f aca="false">SUM(E38:E46)</f>
        <v>1000</v>
      </c>
      <c r="F47" s="370" t="n">
        <f aca="false">SUM(F38:F46)</f>
        <v>0</v>
      </c>
    </row>
    <row r="49" customFormat="false" ht="12.75" hidden="false" customHeight="false" outlineLevel="0" collapsed="false">
      <c r="A49" s="357" t="n">
        <v>46167</v>
      </c>
      <c r="B49" s="358" t="n">
        <v>46167</v>
      </c>
      <c r="C49" s="359"/>
      <c r="D49" s="360"/>
      <c r="E49" s="361"/>
      <c r="F49" s="362"/>
    </row>
    <row r="50" customFormat="false" ht="12.75" hidden="false" customHeight="false" outlineLevel="0" collapsed="false">
      <c r="A50" s="363" t="n">
        <v>46168</v>
      </c>
      <c r="B50" s="346" t="n">
        <v>46168</v>
      </c>
      <c r="F50" s="364"/>
    </row>
    <row r="51" customFormat="false" ht="12.75" hidden="false" customHeight="false" outlineLevel="0" collapsed="false">
      <c r="A51" s="363" t="n">
        <v>46169</v>
      </c>
      <c r="B51" s="346" t="n">
        <v>46169</v>
      </c>
      <c r="F51" s="364"/>
    </row>
    <row r="52" customFormat="false" ht="12.75" hidden="false" customHeight="false" outlineLevel="0" collapsed="false">
      <c r="A52" s="363" t="n">
        <v>46170</v>
      </c>
      <c r="B52" s="346" t="n">
        <v>46170</v>
      </c>
      <c r="F52" s="364"/>
    </row>
    <row r="53" customFormat="false" ht="12.75" hidden="false" customHeight="false" outlineLevel="0" collapsed="false">
      <c r="A53" s="363" t="n">
        <v>46171</v>
      </c>
      <c r="B53" s="346" t="n">
        <v>46171</v>
      </c>
      <c r="F53" s="364"/>
    </row>
    <row r="54" customFormat="false" ht="12.75" hidden="false" customHeight="false" outlineLevel="0" collapsed="false">
      <c r="A54" s="363" t="n">
        <v>46172</v>
      </c>
      <c r="B54" s="346" t="n">
        <v>46172</v>
      </c>
      <c r="F54" s="364"/>
    </row>
    <row r="55" customFormat="false" ht="12.75" hidden="false" customHeight="false" outlineLevel="0" collapsed="false">
      <c r="A55" s="363" t="n">
        <v>46173</v>
      </c>
      <c r="B55" s="346" t="n">
        <v>46173</v>
      </c>
      <c r="F55" s="364"/>
    </row>
    <row r="56" customFormat="false" ht="12.75" hidden="false" customHeight="false" outlineLevel="0" collapsed="false">
      <c r="A56" s="363" t="n">
        <v>46173</v>
      </c>
      <c r="B56" s="346" t="s">
        <v>245</v>
      </c>
      <c r="F56" s="364"/>
    </row>
    <row r="57" customFormat="false" ht="12.75" hidden="false" customHeight="false" outlineLevel="0" collapsed="false">
      <c r="A57" s="363" t="n">
        <v>46173</v>
      </c>
      <c r="B57" s="346" t="s">
        <v>246</v>
      </c>
      <c r="F57" s="364"/>
    </row>
    <row r="58" customFormat="false" ht="12.75" hidden="false" customHeight="false" outlineLevel="0" collapsed="false">
      <c r="A58" s="365"/>
      <c r="B58" s="366"/>
      <c r="C58" s="367"/>
      <c r="D58" s="368"/>
      <c r="E58" s="369" t="n">
        <f aca="false">SUM(E49:E57)</f>
        <v>0</v>
      </c>
      <c r="F58" s="370" t="n">
        <f aca="false">SUM(F49:F57)</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71" width="9.15"/>
    <col collapsed="false" customWidth="true" hidden="false" outlineLevel="0" max="2" min="2" style="180" width="23.99"/>
    <col collapsed="false" customWidth="true" hidden="false" outlineLevel="0" max="3" min="3" style="180" width="15.99"/>
    <col collapsed="false" customWidth="false" hidden="false" outlineLevel="0" max="5" min="4" style="372" width="9.15"/>
    <col collapsed="false" customWidth="true" hidden="false" outlineLevel="0" max="6" min="6" style="373" width="12.66"/>
    <col collapsed="false" customWidth="true" hidden="false" outlineLevel="0" max="7" min="7" style="181" width="9.99"/>
    <col collapsed="false" customWidth="true" hidden="false" outlineLevel="0" max="8" min="8" style="181" width="9.49"/>
    <col collapsed="false" customWidth="true" hidden="false" outlineLevel="0" max="10" min="9" style="181" width="8.66"/>
    <col collapsed="false" customWidth="true" hidden="false" outlineLevel="0" max="11" min="11" style="181" width="7.99"/>
    <col collapsed="false" customWidth="true" hidden="false" outlineLevel="0" max="12" min="12" style="181" width="7.66"/>
    <col collapsed="false" customWidth="true" hidden="false" outlineLevel="0" max="13" min="13" style="181" width="8.66"/>
    <col collapsed="false" customWidth="true" hidden="false" outlineLevel="0" max="14" min="14" style="181" width="8.82"/>
    <col collapsed="false" customWidth="true" hidden="false" outlineLevel="0" max="15" min="15" style="181" width="9.49"/>
    <col collapsed="false" customWidth="true" hidden="false" outlineLevel="0" max="18" min="16" style="181" width="7.66"/>
    <col collapsed="false" customWidth="true" hidden="false" outlineLevel="0" max="19" min="19" style="181" width="8.15"/>
    <col collapsed="false" customWidth="true" hidden="false" outlineLevel="0" max="20" min="20" style="180" width="12.82"/>
    <col collapsed="false" customWidth="true" hidden="false" outlineLevel="0" max="21" min="21" style="181" width="8.49"/>
    <col collapsed="false" customWidth="false" hidden="false" outlineLevel="0" max="257" min="22" style="180" width="9.15"/>
  </cols>
  <sheetData>
    <row r="1" s="181" customFormat="true" ht="13.5" hidden="false" customHeight="true" outlineLevel="0" collapsed="false">
      <c r="A1" s="390" t="n">
        <f aca="false">E1+SalesMay!$D$1+PurchasesApr!A1</f>
        <v>0</v>
      </c>
      <c r="B1" s="391" t="s">
        <v>247</v>
      </c>
      <c r="C1" s="392" t="s">
        <v>240</v>
      </c>
      <c r="D1" s="376" t="str">
        <f aca="false">IF((F1-SUM(G1:S1)&lt;&gt;0),(F1-SUM(G1:S1))," ")</f>
        <v> </v>
      </c>
      <c r="E1" s="352" t="n">
        <f aca="false">SUM(E5:E199)</f>
        <v>0</v>
      </c>
      <c r="F1" s="351" t="n">
        <f aca="false">SUM(F5:F199)</f>
        <v>300</v>
      </c>
      <c r="G1" s="351" t="n">
        <f aca="false">SUM(G5:G199)</f>
        <v>300</v>
      </c>
      <c r="H1" s="351" t="n">
        <f aca="false">SUM(H5:H199)</f>
        <v>0</v>
      </c>
      <c r="I1" s="351" t="n">
        <f aca="false">SUM(I5:I199)</f>
        <v>0</v>
      </c>
      <c r="J1" s="351" t="n">
        <f aca="false">SUM(J5:J199)</f>
        <v>0</v>
      </c>
      <c r="K1" s="351" t="n">
        <f aca="false">SUM(K5:K199)</f>
        <v>0</v>
      </c>
      <c r="L1" s="351" t="n">
        <f aca="false">SUM(L5:L199)</f>
        <v>0</v>
      </c>
      <c r="M1" s="351" t="n">
        <f aca="false">SUM(M5:M199)</f>
        <v>0</v>
      </c>
      <c r="N1" s="351" t="n">
        <f aca="false">SUM(N5:N199)</f>
        <v>0</v>
      </c>
      <c r="O1" s="351" t="n">
        <f aca="false">SUM(O5:O199)</f>
        <v>0</v>
      </c>
      <c r="P1" s="351" t="n">
        <f aca="false">SUM(P5:P199)</f>
        <v>0</v>
      </c>
      <c r="Q1" s="351" t="n">
        <f aca="false">SUM(Q5:Q199)</f>
        <v>0</v>
      </c>
      <c r="R1" s="351" t="n">
        <f aca="false">SUM(R5:R199)</f>
        <v>0</v>
      </c>
      <c r="S1" s="393" t="n">
        <f aca="false">SUM(S5:S199)</f>
        <v>0</v>
      </c>
      <c r="T1" s="394" t="n">
        <f aca="false">S1+PurchasesApr!T1</f>
        <v>0</v>
      </c>
      <c r="U1" s="393" t="n">
        <f aca="false">SUM(U4:U199)</f>
        <v>0</v>
      </c>
    </row>
    <row r="2" s="181" customFormat="true" ht="13.5" hidden="false" customHeight="true" outlineLevel="0" collapsed="false">
      <c r="A2" s="395" t="n">
        <f aca="false">U1+PurchasesApr!A2</f>
        <v>0</v>
      </c>
      <c r="B2" s="240" t="s">
        <v>248</v>
      </c>
      <c r="C2" s="379" t="s">
        <v>249</v>
      </c>
      <c r="D2" s="379" t="s">
        <v>250</v>
      </c>
      <c r="E2" s="379" t="s">
        <v>251</v>
      </c>
      <c r="F2" s="207" t="s">
        <v>252</v>
      </c>
      <c r="G2" s="380" t="s">
        <v>253</v>
      </c>
      <c r="H2" s="380"/>
      <c r="I2" s="381" t="n">
        <f aca="false">G1+H1+I1+J1+PurchasesApr!I2</f>
        <v>1980</v>
      </c>
      <c r="J2" s="381"/>
      <c r="K2" s="207" t="s">
        <v>254</v>
      </c>
      <c r="L2" s="207" t="s">
        <v>255</v>
      </c>
      <c r="M2" s="207" t="s">
        <v>256</v>
      </c>
      <c r="N2" s="207" t="s">
        <v>288</v>
      </c>
      <c r="O2" s="207" t="s">
        <v>258</v>
      </c>
      <c r="P2" s="207" t="s">
        <v>259</v>
      </c>
      <c r="Q2" s="207" t="s">
        <v>260</v>
      </c>
      <c r="R2" s="207" t="s">
        <v>261</v>
      </c>
      <c r="S2" s="382" t="s">
        <v>262</v>
      </c>
      <c r="T2" s="383" t="str">
        <f aca="false">IF(T1&gt;'Fixed Assets'!$D$74,"ENTER VEHICLE CHANGES        on Fixed Asset schedule","Motor Vehicles: make, model, date reg. and reg. Mark")</f>
        <v>Motor Vehicles: make, model, date reg. and reg. Mark</v>
      </c>
      <c r="U2" s="382" t="s">
        <v>116</v>
      </c>
    </row>
    <row r="3" s="385" customFormat="true" ht="45" hidden="false" customHeight="true" outlineLevel="0" collapsed="false">
      <c r="A3" s="384" t="s">
        <v>263</v>
      </c>
      <c r="B3" s="207" t="s">
        <v>264</v>
      </c>
      <c r="C3" s="379"/>
      <c r="D3" s="379"/>
      <c r="E3" s="379"/>
      <c r="F3" s="379"/>
      <c r="G3" s="207" t="s">
        <v>111</v>
      </c>
      <c r="H3" s="207" t="s">
        <v>265</v>
      </c>
      <c r="I3" s="207" t="s">
        <v>113</v>
      </c>
      <c r="J3" s="207" t="s">
        <v>114</v>
      </c>
      <c r="K3" s="207"/>
      <c r="L3" s="207"/>
      <c r="M3" s="207"/>
      <c r="N3" s="207"/>
      <c r="O3" s="207"/>
      <c r="P3" s="207"/>
      <c r="Q3" s="207"/>
      <c r="R3" s="207"/>
      <c r="S3" s="382"/>
      <c r="T3" s="383"/>
      <c r="U3" s="382"/>
    </row>
    <row r="4" s="388" customFormat="true" ht="12.75" hidden="false" customHeight="false" outlineLevel="0" collapsed="false">
      <c r="A4" s="386" t="str">
        <f aca="false">IF((E1&lt;&gt;0),Admin!$B$6," ")</f>
        <v> </v>
      </c>
      <c r="B4" s="207"/>
      <c r="C4" s="207"/>
      <c r="D4" s="207"/>
      <c r="E4" s="207"/>
      <c r="F4" s="207"/>
      <c r="G4" s="375" t="s">
        <v>266</v>
      </c>
      <c r="H4" s="375" t="s">
        <v>267</v>
      </c>
      <c r="I4" s="375" t="s">
        <v>268</v>
      </c>
      <c r="J4" s="375" t="s">
        <v>269</v>
      </c>
      <c r="K4" s="375" t="s">
        <v>270</v>
      </c>
      <c r="L4" s="375" t="s">
        <v>271</v>
      </c>
      <c r="M4" s="375" t="s">
        <v>272</v>
      </c>
      <c r="N4" s="375" t="s">
        <v>273</v>
      </c>
      <c r="O4" s="375" t="s">
        <v>274</v>
      </c>
      <c r="P4" s="375" t="s">
        <v>275</v>
      </c>
      <c r="Q4" s="375" t="s">
        <v>276</v>
      </c>
      <c r="R4" s="375" t="s">
        <v>277</v>
      </c>
      <c r="S4" s="387" t="s">
        <v>278</v>
      </c>
      <c r="T4" s="383"/>
      <c r="U4" s="394" t="n">
        <f aca="false">IF((A1&lt;Admin!$F$22),((A1-PurchasesApr!A1)*Admin!$G$21),(A1*Admin!$G$21-(A1-Admin!$F$21)*(Admin!$G$21-Admin!$G$22)-PurchasesApr!A2))</f>
        <v>0</v>
      </c>
    </row>
    <row r="5" s="372" customFormat="true" ht="12.75" hidden="false" customHeight="false" outlineLevel="0" collapsed="false">
      <c r="A5" s="371" t="n">
        <v>46157</v>
      </c>
      <c r="B5" s="389" t="s">
        <v>284</v>
      </c>
      <c r="D5" s="372" t="s">
        <v>285</v>
      </c>
      <c r="F5" s="372"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2"/>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2"/>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2"/>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2"/>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2"/>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2"/>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2"/>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2"/>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2"/>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2"/>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2"/>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2"/>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2"/>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2"/>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2"/>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2"/>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2"/>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2"/>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2"/>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2"/>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2"/>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2"/>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2"/>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2"/>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2"/>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2"/>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2"/>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2"/>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2"/>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2"/>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2"/>
    </row>
    <row r="37" customFormat="false" ht="12.75" hidden="false" customHeight="false" outlineLevel="0" collapsed="false">
      <c r="D37" s="372"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2"/>
    </row>
    <row r="38" customFormat="false" ht="12.75" hidden="false" customHeight="false" outlineLevel="0" collapsed="false">
      <c r="D38" s="372"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2"/>
    </row>
    <row r="39" customFormat="false" ht="12.75" hidden="false" customHeight="false" outlineLevel="0" collapsed="false">
      <c r="D39" s="372"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2"/>
    </row>
    <row r="40" customFormat="false" ht="12.75" hidden="false" customHeight="false" outlineLevel="0" collapsed="false">
      <c r="D40" s="372"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2"/>
    </row>
    <row r="41" customFormat="false" ht="12.75" hidden="false" customHeight="false" outlineLevel="0" collapsed="false">
      <c r="D41" s="372"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2"/>
    </row>
    <row r="42" customFormat="false" ht="12.75" hidden="false" customHeight="false" outlineLevel="0" collapsed="false">
      <c r="D42" s="372"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2"/>
    </row>
    <row r="43" customFormat="false" ht="12.75" hidden="false" customHeight="false" outlineLevel="0" collapsed="false">
      <c r="D43" s="372"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2"/>
    </row>
    <row r="44" customFormat="false" ht="12.75" hidden="false" customHeight="false" outlineLevel="0" collapsed="false">
      <c r="D44" s="372"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2"/>
    </row>
    <row r="45" customFormat="false" ht="12.75" hidden="false" customHeight="false" outlineLevel="0" collapsed="false">
      <c r="D45" s="372"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2"/>
    </row>
    <row r="46" customFormat="false" ht="12.75" hidden="false" customHeight="false" outlineLevel="0" collapsed="false">
      <c r="D46" s="372"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2"/>
    </row>
    <row r="47" customFormat="false" ht="12.75" hidden="false" customHeight="false" outlineLevel="0" collapsed="false">
      <c r="D47" s="372"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2"/>
    </row>
    <row r="48" customFormat="false" ht="12.75" hidden="false" customHeight="false" outlineLevel="0" collapsed="false">
      <c r="D48" s="372"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2"/>
    </row>
    <row r="49" customFormat="false" ht="12.75" hidden="false" customHeight="false" outlineLevel="0" collapsed="false">
      <c r="D49" s="372"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2"/>
    </row>
    <row r="50" customFormat="false" ht="12.75" hidden="false" customHeight="false" outlineLevel="0" collapsed="false">
      <c r="D50" s="372"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2"/>
    </row>
    <row r="51" customFormat="false" ht="12.75" hidden="false" customHeight="false" outlineLevel="0" collapsed="false">
      <c r="D51" s="372"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2"/>
    </row>
    <row r="52" customFormat="false" ht="12.75" hidden="false" customHeight="false" outlineLevel="0" collapsed="false">
      <c r="D52" s="372"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2"/>
    </row>
    <row r="53" customFormat="false" ht="12.75" hidden="false" customHeight="false" outlineLevel="0" collapsed="false">
      <c r="D53" s="372"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2"/>
    </row>
    <row r="54" customFormat="false" ht="12.75" hidden="false" customHeight="false" outlineLevel="0" collapsed="false">
      <c r="D54" s="372"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2"/>
    </row>
    <row r="55" customFormat="false" ht="12.75" hidden="false" customHeight="false" outlineLevel="0" collapsed="false">
      <c r="D55" s="372"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2"/>
    </row>
    <row r="56" customFormat="false" ht="12.75" hidden="false" customHeight="false" outlineLevel="0" collapsed="false">
      <c r="D56" s="372"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2"/>
    </row>
    <row r="57" customFormat="false" ht="12.75" hidden="false" customHeight="false" outlineLevel="0" collapsed="false">
      <c r="D57" s="372"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2"/>
    </row>
    <row r="58" customFormat="false" ht="12.75" hidden="false" customHeight="false" outlineLevel="0" collapsed="false">
      <c r="D58" s="372"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2"/>
    </row>
    <row r="59" customFormat="false" ht="12.75" hidden="false" customHeight="false" outlineLevel="0" collapsed="false">
      <c r="D59" s="372"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2"/>
    </row>
    <row r="60" customFormat="false" ht="12.75" hidden="false" customHeight="false" outlineLevel="0" collapsed="false">
      <c r="D60" s="372"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2"/>
    </row>
    <row r="61" customFormat="false" ht="12.75" hidden="false" customHeight="false" outlineLevel="0" collapsed="false">
      <c r="D61" s="372"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2"/>
    </row>
    <row r="62" customFormat="false" ht="12.75" hidden="false" customHeight="false" outlineLevel="0" collapsed="false">
      <c r="D62" s="372"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2"/>
    </row>
    <row r="63" customFormat="false" ht="12.75" hidden="false" customHeight="false" outlineLevel="0" collapsed="false">
      <c r="D63" s="372"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2"/>
    </row>
    <row r="64" customFormat="false" ht="12.75" hidden="false" customHeight="false" outlineLevel="0" collapsed="false">
      <c r="D64" s="372"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2"/>
    </row>
    <row r="65" customFormat="false" ht="12.75" hidden="false" customHeight="false" outlineLevel="0" collapsed="false">
      <c r="D65" s="372"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2"/>
    </row>
    <row r="66" customFormat="false" ht="12.75" hidden="false" customHeight="false" outlineLevel="0" collapsed="false">
      <c r="D66" s="372"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2"/>
    </row>
    <row r="67" customFormat="false" ht="12.75" hidden="false" customHeight="false" outlineLevel="0" collapsed="false">
      <c r="D67" s="372"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2"/>
    </row>
    <row r="68" customFormat="false" ht="12.75" hidden="false" customHeight="false" outlineLevel="0" collapsed="false">
      <c r="D68" s="372"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2"/>
    </row>
    <row r="69" customFormat="false" ht="12.75" hidden="false" customHeight="false" outlineLevel="0" collapsed="false">
      <c r="D69" s="372"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2"/>
    </row>
    <row r="70" customFormat="false" ht="12.75" hidden="false" customHeight="false" outlineLevel="0" collapsed="false">
      <c r="D70" s="372"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2"/>
    </row>
    <row r="71" customFormat="false" ht="12.75" hidden="false" customHeight="false" outlineLevel="0" collapsed="false">
      <c r="D71" s="372"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2"/>
    </row>
    <row r="72" customFormat="false" ht="12.75" hidden="false" customHeight="false" outlineLevel="0" collapsed="false">
      <c r="D72" s="372"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2"/>
    </row>
    <row r="73" customFormat="false" ht="12.75" hidden="false" customHeight="false" outlineLevel="0" collapsed="false">
      <c r="D73" s="372"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2"/>
    </row>
    <row r="74" customFormat="false" ht="12.75" hidden="false" customHeight="false" outlineLevel="0" collapsed="false">
      <c r="D74" s="372"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2"/>
    </row>
    <row r="75" customFormat="false" ht="12.75" hidden="false" customHeight="false" outlineLevel="0" collapsed="false">
      <c r="D75" s="372"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2"/>
    </row>
    <row r="76" customFormat="false" ht="12.75" hidden="false" customHeight="false" outlineLevel="0" collapsed="false">
      <c r="D76" s="372"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2"/>
    </row>
    <row r="77" customFormat="false" ht="12.75" hidden="false" customHeight="false" outlineLevel="0" collapsed="false">
      <c r="D77" s="372"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2"/>
    </row>
    <row r="78" customFormat="false" ht="12.75" hidden="false" customHeight="false" outlineLevel="0" collapsed="false">
      <c r="D78" s="372"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2"/>
    </row>
    <row r="79" customFormat="false" ht="12.75" hidden="false" customHeight="false" outlineLevel="0" collapsed="false">
      <c r="D79" s="372"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2"/>
    </row>
    <row r="80" customFormat="false" ht="12.75" hidden="false" customHeight="false" outlineLevel="0" collapsed="false">
      <c r="D80" s="372"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2"/>
    </row>
    <row r="81" customFormat="false" ht="12.75" hidden="false" customHeight="false" outlineLevel="0" collapsed="false">
      <c r="D81" s="372"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2"/>
    </row>
    <row r="82" customFormat="false" ht="12.75" hidden="false" customHeight="false" outlineLevel="0" collapsed="false">
      <c r="D82" s="372"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2"/>
    </row>
    <row r="83" customFormat="false" ht="12.75" hidden="false" customHeight="false" outlineLevel="0" collapsed="false">
      <c r="D83" s="372"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2"/>
    </row>
    <row r="84" customFormat="false" ht="12.75" hidden="false" customHeight="false" outlineLevel="0" collapsed="false">
      <c r="D84" s="372"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2"/>
    </row>
    <row r="85" customFormat="false" ht="12.75" hidden="false" customHeight="false" outlineLevel="0" collapsed="false">
      <c r="D85" s="372"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2"/>
    </row>
    <row r="86" customFormat="false" ht="12.75" hidden="false" customHeight="false" outlineLevel="0" collapsed="false">
      <c r="D86" s="372"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2"/>
    </row>
    <row r="87" customFormat="false" ht="12.75" hidden="false" customHeight="false" outlineLevel="0" collapsed="false">
      <c r="D87" s="372"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2"/>
    </row>
    <row r="88" customFormat="false" ht="12.75" hidden="false" customHeight="false" outlineLevel="0" collapsed="false">
      <c r="D88" s="372"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2"/>
    </row>
    <row r="89" customFormat="false" ht="12.75" hidden="false" customHeight="false" outlineLevel="0" collapsed="false">
      <c r="D89" s="372"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2"/>
    </row>
    <row r="90" customFormat="false" ht="12.75" hidden="false" customHeight="false" outlineLevel="0" collapsed="false">
      <c r="D90" s="372"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2"/>
    </row>
    <row r="91" customFormat="false" ht="12.75" hidden="false" customHeight="false" outlineLevel="0" collapsed="false">
      <c r="D91" s="372"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2"/>
    </row>
    <row r="92" customFormat="false" ht="12.75" hidden="false" customHeight="false" outlineLevel="0" collapsed="false">
      <c r="D92" s="372"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2"/>
    </row>
    <row r="93" customFormat="false" ht="12.75" hidden="false" customHeight="false" outlineLevel="0" collapsed="false">
      <c r="D93" s="372"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2"/>
    </row>
    <row r="94" customFormat="false" ht="12.75" hidden="false" customHeight="false" outlineLevel="0" collapsed="false">
      <c r="D94" s="372"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2"/>
    </row>
    <row r="95" customFormat="false" ht="12.75" hidden="false" customHeight="false" outlineLevel="0" collapsed="false">
      <c r="D95" s="372"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2"/>
    </row>
    <row r="96" customFormat="false" ht="12.75" hidden="false" customHeight="false" outlineLevel="0" collapsed="false">
      <c r="D96" s="372"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2"/>
    </row>
    <row r="97" customFormat="false" ht="12.75" hidden="false" customHeight="false" outlineLevel="0" collapsed="false">
      <c r="D97" s="372"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2"/>
    </row>
    <row r="98" customFormat="false" ht="12.75" hidden="false" customHeight="false" outlineLevel="0" collapsed="false">
      <c r="D98" s="372"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2"/>
    </row>
    <row r="99" customFormat="false" ht="12.75" hidden="false" customHeight="false" outlineLevel="0" collapsed="false">
      <c r="D99" s="372"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2"/>
    </row>
    <row r="100" customFormat="false" ht="12.75" hidden="false" customHeight="false" outlineLevel="0" collapsed="false">
      <c r="D100" s="372"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2"/>
    </row>
    <row r="101" customFormat="false" ht="12.75" hidden="false" customHeight="false" outlineLevel="0" collapsed="false">
      <c r="D101" s="372"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2"/>
    </row>
    <row r="102" customFormat="false" ht="12.75" hidden="false" customHeight="false" outlineLevel="0" collapsed="false">
      <c r="D102" s="372"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2"/>
    </row>
    <row r="103" customFormat="false" ht="12.75" hidden="false" customHeight="false" outlineLevel="0" collapsed="false">
      <c r="D103" s="372"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2"/>
    </row>
    <row r="104" customFormat="false" ht="12.75" hidden="false" customHeight="false" outlineLevel="0" collapsed="false">
      <c r="D104" s="372"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2"/>
    </row>
    <row r="105" customFormat="false" ht="12.75" hidden="false" customHeight="false" outlineLevel="0" collapsed="false">
      <c r="D105" s="372"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2"/>
    </row>
    <row r="106" customFormat="false" ht="12.75" hidden="false" customHeight="false" outlineLevel="0" collapsed="false">
      <c r="D106" s="372"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2"/>
    </row>
    <row r="107" customFormat="false" ht="12.75" hidden="false" customHeight="false" outlineLevel="0" collapsed="false">
      <c r="D107" s="372"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2"/>
    </row>
    <row r="108" customFormat="false" ht="12.75" hidden="false" customHeight="false" outlineLevel="0" collapsed="false">
      <c r="D108" s="372"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2"/>
    </row>
    <row r="109" customFormat="false" ht="12.75" hidden="false" customHeight="false" outlineLevel="0" collapsed="false">
      <c r="D109" s="372"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2"/>
    </row>
    <row r="110" customFormat="false" ht="12.75" hidden="false" customHeight="false" outlineLevel="0" collapsed="false">
      <c r="D110" s="372"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2"/>
    </row>
    <row r="111" customFormat="false" ht="12.75" hidden="false" customHeight="false" outlineLevel="0" collapsed="false">
      <c r="D111" s="372"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2"/>
    </row>
    <row r="112" customFormat="false" ht="12.75" hidden="false" customHeight="false" outlineLevel="0" collapsed="false">
      <c r="D112" s="372"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2"/>
    </row>
    <row r="113" customFormat="false" ht="12.75" hidden="false" customHeight="false" outlineLevel="0" collapsed="false">
      <c r="D113" s="372"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2"/>
    </row>
    <row r="114" customFormat="false" ht="12.75" hidden="false" customHeight="false" outlineLevel="0" collapsed="false">
      <c r="D114" s="372"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2"/>
    </row>
    <row r="115" customFormat="false" ht="12.75" hidden="false" customHeight="false" outlineLevel="0" collapsed="false">
      <c r="D115" s="372"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2"/>
    </row>
    <row r="116" customFormat="false" ht="12.75" hidden="false" customHeight="false" outlineLevel="0" collapsed="false">
      <c r="D116" s="372"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2"/>
    </row>
    <row r="117" customFormat="false" ht="12.75" hidden="false" customHeight="false" outlineLevel="0" collapsed="false">
      <c r="D117" s="372"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2"/>
    </row>
    <row r="118" customFormat="false" ht="12.75" hidden="false" customHeight="false" outlineLevel="0" collapsed="false">
      <c r="D118" s="372"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2"/>
    </row>
    <row r="119" customFormat="false" ht="12.75" hidden="false" customHeight="false" outlineLevel="0" collapsed="false">
      <c r="D119" s="372"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2"/>
    </row>
    <row r="120" customFormat="false" ht="12.75" hidden="false" customHeight="false" outlineLevel="0" collapsed="false">
      <c r="D120" s="372"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2"/>
    </row>
    <row r="121" customFormat="false" ht="12.75" hidden="false" customHeight="false" outlineLevel="0" collapsed="false">
      <c r="D121" s="372"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2"/>
    </row>
    <row r="122" customFormat="false" ht="12.75" hidden="false" customHeight="false" outlineLevel="0" collapsed="false">
      <c r="D122" s="372"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2"/>
    </row>
    <row r="123" customFormat="false" ht="12.75" hidden="false" customHeight="false" outlineLevel="0" collapsed="false">
      <c r="D123" s="372"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2"/>
    </row>
    <row r="124" customFormat="false" ht="12.75" hidden="false" customHeight="false" outlineLevel="0" collapsed="false">
      <c r="D124" s="372"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2"/>
    </row>
    <row r="125" customFormat="false" ht="12.75" hidden="false" customHeight="false" outlineLevel="0" collapsed="false">
      <c r="D125" s="372"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2"/>
    </row>
    <row r="126" customFormat="false" ht="12.75" hidden="false" customHeight="false" outlineLevel="0" collapsed="false">
      <c r="D126" s="372"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2"/>
    </row>
    <row r="127" customFormat="false" ht="12.75" hidden="false" customHeight="false" outlineLevel="0" collapsed="false">
      <c r="D127" s="372"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2"/>
    </row>
    <row r="128" customFormat="false" ht="12.75" hidden="false" customHeight="false" outlineLevel="0" collapsed="false">
      <c r="D128" s="372"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2"/>
    </row>
    <row r="129" customFormat="false" ht="12.75" hidden="false" customHeight="false" outlineLevel="0" collapsed="false">
      <c r="D129" s="372"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2"/>
    </row>
    <row r="130" customFormat="false" ht="12.75" hidden="false" customHeight="false" outlineLevel="0" collapsed="false">
      <c r="D130" s="372"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2"/>
    </row>
    <row r="131" customFormat="false" ht="12.75" hidden="false" customHeight="false" outlineLevel="0" collapsed="false">
      <c r="D131" s="372"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2"/>
    </row>
    <row r="132" customFormat="false" ht="12.75" hidden="false" customHeight="false" outlineLevel="0" collapsed="false">
      <c r="D132" s="372"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2"/>
    </row>
    <row r="133" customFormat="false" ht="12.75" hidden="false" customHeight="false" outlineLevel="0" collapsed="false">
      <c r="D133" s="372"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2"/>
    </row>
    <row r="134" customFormat="false" ht="12.75" hidden="false" customHeight="false" outlineLevel="0" collapsed="false">
      <c r="D134" s="372"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2"/>
    </row>
    <row r="135" customFormat="false" ht="12.75" hidden="false" customHeight="false" outlineLevel="0" collapsed="false">
      <c r="D135" s="372"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2"/>
    </row>
    <row r="136" customFormat="false" ht="12.75" hidden="false" customHeight="false" outlineLevel="0" collapsed="false">
      <c r="D136" s="372"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2"/>
    </row>
    <row r="137" customFormat="false" ht="12.75" hidden="false" customHeight="false" outlineLevel="0" collapsed="false">
      <c r="D137" s="372"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2"/>
    </row>
    <row r="138" customFormat="false" ht="12.75" hidden="false" customHeight="false" outlineLevel="0" collapsed="false">
      <c r="D138" s="372"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2"/>
    </row>
    <row r="139" customFormat="false" ht="12.75" hidden="false" customHeight="false" outlineLevel="0" collapsed="false">
      <c r="D139" s="372"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2"/>
    </row>
    <row r="140" customFormat="false" ht="12.75" hidden="false" customHeight="false" outlineLevel="0" collapsed="false">
      <c r="D140" s="372"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2"/>
    </row>
    <row r="141" customFormat="false" ht="12.75" hidden="false" customHeight="false" outlineLevel="0" collapsed="false">
      <c r="D141" s="372"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2"/>
    </row>
    <row r="142" customFormat="false" ht="12.75" hidden="false" customHeight="false" outlineLevel="0" collapsed="false">
      <c r="D142" s="372"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2"/>
    </row>
    <row r="143" customFormat="false" ht="12.75" hidden="false" customHeight="false" outlineLevel="0" collapsed="false">
      <c r="D143" s="372"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2"/>
    </row>
    <row r="144" customFormat="false" ht="12.75" hidden="false" customHeight="false" outlineLevel="0" collapsed="false">
      <c r="D144" s="372"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2"/>
    </row>
    <row r="145" customFormat="false" ht="12.75" hidden="false" customHeight="false" outlineLevel="0" collapsed="false">
      <c r="D145" s="372"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2"/>
    </row>
    <row r="146" customFormat="false" ht="12.75" hidden="false" customHeight="false" outlineLevel="0" collapsed="false">
      <c r="D146" s="372"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2"/>
    </row>
    <row r="147" customFormat="false" ht="12.75" hidden="false" customHeight="false" outlineLevel="0" collapsed="false">
      <c r="D147" s="372"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2"/>
    </row>
    <row r="148" customFormat="false" ht="12.75" hidden="false" customHeight="false" outlineLevel="0" collapsed="false">
      <c r="D148" s="372"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2"/>
    </row>
    <row r="149" customFormat="false" ht="12.75" hidden="false" customHeight="false" outlineLevel="0" collapsed="false">
      <c r="D149" s="372"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2"/>
    </row>
    <row r="150" customFormat="false" ht="12.75" hidden="false" customHeight="false" outlineLevel="0" collapsed="false">
      <c r="D150" s="372"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2"/>
    </row>
    <row r="151" customFormat="false" ht="12.75" hidden="false" customHeight="false" outlineLevel="0" collapsed="false">
      <c r="D151" s="372"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2"/>
    </row>
    <row r="152" customFormat="false" ht="12.75" hidden="false" customHeight="false" outlineLevel="0" collapsed="false">
      <c r="D152" s="372"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2"/>
    </row>
    <row r="153" customFormat="false" ht="12.75" hidden="false" customHeight="false" outlineLevel="0" collapsed="false">
      <c r="D153" s="372"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2"/>
    </row>
    <row r="154" customFormat="false" ht="12.75" hidden="false" customHeight="false" outlineLevel="0" collapsed="false">
      <c r="D154" s="372"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2"/>
    </row>
    <row r="155" customFormat="false" ht="12.75" hidden="false" customHeight="false" outlineLevel="0" collapsed="false">
      <c r="D155" s="372"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2"/>
    </row>
    <row r="156" customFormat="false" ht="12.75" hidden="false" customHeight="false" outlineLevel="0" collapsed="false">
      <c r="D156" s="372"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2"/>
    </row>
    <row r="157" customFormat="false" ht="12.75" hidden="false" customHeight="false" outlineLevel="0" collapsed="false">
      <c r="D157" s="372"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2"/>
    </row>
    <row r="158" customFormat="false" ht="12.75" hidden="false" customHeight="false" outlineLevel="0" collapsed="false">
      <c r="D158" s="372"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2"/>
    </row>
    <row r="159" customFormat="false" ht="12.75" hidden="false" customHeight="false" outlineLevel="0" collapsed="false">
      <c r="D159" s="372"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2"/>
    </row>
    <row r="160" customFormat="false" ht="12.75" hidden="false" customHeight="false" outlineLevel="0" collapsed="false">
      <c r="D160" s="372"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2"/>
    </row>
    <row r="161" customFormat="false" ht="12.75" hidden="false" customHeight="false" outlineLevel="0" collapsed="false">
      <c r="D161" s="372"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2"/>
    </row>
    <row r="162" customFormat="false" ht="12.75" hidden="false" customHeight="false" outlineLevel="0" collapsed="false">
      <c r="D162" s="372"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2"/>
    </row>
    <row r="163" customFormat="false" ht="12.75" hidden="false" customHeight="false" outlineLevel="0" collapsed="false">
      <c r="D163" s="372"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2"/>
    </row>
    <row r="164" customFormat="false" ht="12.75" hidden="false" customHeight="false" outlineLevel="0" collapsed="false">
      <c r="D164" s="372"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2"/>
    </row>
    <row r="165" customFormat="false" ht="12.75" hidden="false" customHeight="false" outlineLevel="0" collapsed="false">
      <c r="D165" s="372"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2"/>
    </row>
    <row r="166" customFormat="false" ht="12.75" hidden="false" customHeight="false" outlineLevel="0" collapsed="false">
      <c r="D166" s="372"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2"/>
    </row>
    <row r="167" customFormat="false" ht="12.75" hidden="false" customHeight="false" outlineLevel="0" collapsed="false">
      <c r="D167" s="372"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2"/>
    </row>
    <row r="168" customFormat="false" ht="12.75" hidden="false" customHeight="false" outlineLevel="0" collapsed="false">
      <c r="D168" s="372"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2"/>
    </row>
    <row r="169" customFormat="false" ht="12.75" hidden="false" customHeight="false" outlineLevel="0" collapsed="false">
      <c r="D169" s="372"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2"/>
    </row>
    <row r="170" customFormat="false" ht="12.75" hidden="false" customHeight="false" outlineLevel="0" collapsed="false">
      <c r="D170" s="372"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2"/>
    </row>
    <row r="171" customFormat="false" ht="12.75" hidden="false" customHeight="false" outlineLevel="0" collapsed="false">
      <c r="D171" s="372"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2"/>
    </row>
    <row r="172" customFormat="false" ht="12.75" hidden="false" customHeight="false" outlineLevel="0" collapsed="false">
      <c r="D172" s="372"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2"/>
    </row>
    <row r="173" customFormat="false" ht="12.75" hidden="false" customHeight="false" outlineLevel="0" collapsed="false">
      <c r="D173" s="372"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2"/>
    </row>
    <row r="174" customFormat="false" ht="12.75" hidden="false" customHeight="false" outlineLevel="0" collapsed="false">
      <c r="D174" s="372"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2"/>
    </row>
    <row r="175" customFormat="false" ht="12.75" hidden="false" customHeight="false" outlineLevel="0" collapsed="false">
      <c r="D175" s="372"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2"/>
    </row>
    <row r="176" customFormat="false" ht="12.75" hidden="false" customHeight="false" outlineLevel="0" collapsed="false">
      <c r="D176" s="372"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2"/>
    </row>
    <row r="177" customFormat="false" ht="12.75" hidden="false" customHeight="false" outlineLevel="0" collapsed="false">
      <c r="D177" s="372"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2"/>
    </row>
    <row r="178" customFormat="false" ht="12.75" hidden="false" customHeight="false" outlineLevel="0" collapsed="false">
      <c r="D178" s="372"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2"/>
    </row>
    <row r="179" customFormat="false" ht="12.75" hidden="false" customHeight="false" outlineLevel="0" collapsed="false">
      <c r="D179" s="372"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2"/>
    </row>
    <row r="180" customFormat="false" ht="12.75" hidden="false" customHeight="false" outlineLevel="0" collapsed="false">
      <c r="D180" s="372"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2"/>
    </row>
    <row r="181" customFormat="false" ht="12.75" hidden="false" customHeight="false" outlineLevel="0" collapsed="false">
      <c r="D181" s="372"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2"/>
    </row>
    <row r="182" customFormat="false" ht="12.75" hidden="false" customHeight="false" outlineLevel="0" collapsed="false">
      <c r="D182" s="372"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2"/>
    </row>
    <row r="183" customFormat="false" ht="12.75" hidden="false" customHeight="false" outlineLevel="0" collapsed="false">
      <c r="D183" s="372"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2"/>
    </row>
    <row r="184" customFormat="false" ht="12.75" hidden="false" customHeight="false" outlineLevel="0" collapsed="false">
      <c r="D184" s="372"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2"/>
    </row>
    <row r="185" customFormat="false" ht="12.75" hidden="false" customHeight="false" outlineLevel="0" collapsed="false">
      <c r="D185" s="372"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2"/>
    </row>
    <row r="186" customFormat="false" ht="12.75" hidden="false" customHeight="false" outlineLevel="0" collapsed="false">
      <c r="D186" s="372"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2"/>
    </row>
    <row r="187" customFormat="false" ht="12.75" hidden="false" customHeight="false" outlineLevel="0" collapsed="false">
      <c r="D187" s="372"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2"/>
    </row>
    <row r="188" customFormat="false" ht="12.75" hidden="false" customHeight="false" outlineLevel="0" collapsed="false">
      <c r="D188" s="372"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2"/>
    </row>
    <row r="189" customFormat="false" ht="12.75" hidden="false" customHeight="false" outlineLevel="0" collapsed="false">
      <c r="D189" s="372"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2"/>
    </row>
    <row r="190" customFormat="false" ht="12.75" hidden="false" customHeight="false" outlineLevel="0" collapsed="false">
      <c r="D190" s="372"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2"/>
    </row>
    <row r="191" customFormat="false" ht="12.75" hidden="false" customHeight="false" outlineLevel="0" collapsed="false">
      <c r="D191" s="372"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2"/>
    </row>
    <row r="192" customFormat="false" ht="12.75" hidden="false" customHeight="false" outlineLevel="0" collapsed="false">
      <c r="D192" s="372"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2"/>
    </row>
    <row r="193" customFormat="false" ht="12.75" hidden="false" customHeight="false" outlineLevel="0" collapsed="false">
      <c r="D193" s="372"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2"/>
    </row>
    <row r="194" customFormat="false" ht="12.75" hidden="false" customHeight="false" outlineLevel="0" collapsed="false">
      <c r="D194" s="372"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2"/>
    </row>
    <row r="195" customFormat="false" ht="12.75" hidden="false" customHeight="false" outlineLevel="0" collapsed="false">
      <c r="D195" s="372"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2"/>
    </row>
    <row r="196" customFormat="false" ht="12.75" hidden="false" customHeight="false" outlineLevel="0" collapsed="false">
      <c r="D196" s="372"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2"/>
    </row>
    <row r="197" customFormat="false" ht="12.75" hidden="false" customHeight="false" outlineLevel="0" collapsed="false">
      <c r="D197" s="372"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2"/>
    </row>
    <row r="198" customFormat="false" ht="12.75" hidden="false" customHeight="false" outlineLevel="0" collapsed="false">
      <c r="D198" s="372"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2"/>
    </row>
    <row r="199" customFormat="false" ht="12.75" hidden="false" customHeight="false" outlineLevel="0" collapsed="false">
      <c r="D199" s="372"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2"/>
    </row>
    <row r="200" customFormat="false" ht="12.75" hidden="false" customHeight="false" outlineLevel="0" collapsed="false">
      <c r="D200" s="372"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2"/>
    </row>
    <row r="201" customFormat="false" ht="12.75" hidden="false" customHeight="false" outlineLevel="0" collapsed="false">
      <c r="D201" s="372"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2"/>
    </row>
    <row r="202" customFormat="false" ht="12.75" hidden="false" customHeight="false" outlineLevel="0" collapsed="false">
      <c r="D202" s="372"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2"/>
    </row>
    <row r="203" customFormat="false" ht="12.75" hidden="false" customHeight="false" outlineLevel="0" collapsed="false">
      <c r="D203" s="372"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2"/>
    </row>
    <row r="204" customFormat="false" ht="12.75" hidden="false" customHeight="false" outlineLevel="0" collapsed="false">
      <c r="D204" s="372"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2"/>
    </row>
    <row r="205" customFormat="false" ht="12.75" hidden="false" customHeight="false" outlineLevel="0" collapsed="false">
      <c r="U205" s="372"/>
    </row>
    <row r="206" customFormat="false" ht="12.75" hidden="false" customHeight="false" outlineLevel="0" collapsed="false">
      <c r="U206" s="372"/>
    </row>
    <row r="207" customFormat="false" ht="12.75" hidden="false" customHeight="false" outlineLevel="0" collapsed="false">
      <c r="U207" s="372"/>
    </row>
    <row r="208" customFormat="false" ht="12.75" hidden="false" customHeight="false" outlineLevel="0" collapsed="false">
      <c r="U208" s="372"/>
    </row>
    <row r="209" customFormat="false" ht="12.75" hidden="false" customHeight="false" outlineLevel="0" collapsed="false">
      <c r="U209" s="372"/>
    </row>
    <row r="210" customFormat="false" ht="12.75" hidden="false" customHeight="false" outlineLevel="0" collapsed="false">
      <c r="U210" s="372"/>
    </row>
    <row r="211" customFormat="false" ht="12.75" hidden="false" customHeight="false" outlineLevel="0" collapsed="false">
      <c r="U211" s="372"/>
    </row>
    <row r="212" customFormat="false" ht="12.75" hidden="false" customHeight="false" outlineLevel="0" collapsed="false">
      <c r="U212" s="372"/>
    </row>
    <row r="213" customFormat="false" ht="12.75" hidden="false" customHeight="false" outlineLevel="0" collapsed="false">
      <c r="U213" s="372"/>
    </row>
    <row r="214" customFormat="false" ht="12.75" hidden="false" customHeight="false" outlineLevel="0" collapsed="false">
      <c r="U214" s="372"/>
    </row>
    <row r="215" customFormat="false" ht="12.75" hidden="false" customHeight="false" outlineLevel="0" collapsed="false">
      <c r="U215" s="372"/>
    </row>
    <row r="216" customFormat="false" ht="12.75" hidden="false" customHeight="false" outlineLevel="0" collapsed="false">
      <c r="U216" s="372"/>
    </row>
    <row r="217" customFormat="false" ht="12.75" hidden="false" customHeight="false" outlineLevel="0" collapsed="false">
      <c r="U217" s="372"/>
    </row>
    <row r="218" customFormat="false" ht="12.75" hidden="false" customHeight="false" outlineLevel="0" collapsed="false">
      <c r="U218" s="372"/>
    </row>
    <row r="219" customFormat="false" ht="12.75" hidden="false" customHeight="false" outlineLevel="0" collapsed="false">
      <c r="U219" s="372"/>
    </row>
    <row r="220" customFormat="false" ht="12.75" hidden="false" customHeight="false" outlineLevel="0" collapsed="false">
      <c r="U220" s="372"/>
    </row>
    <row r="221" customFormat="false" ht="12.75" hidden="false" customHeight="false" outlineLevel="0" collapsed="false">
      <c r="U221" s="372"/>
    </row>
    <row r="222" customFormat="false" ht="12.75" hidden="false" customHeight="false" outlineLevel="0" collapsed="false">
      <c r="U222" s="372"/>
    </row>
    <row r="223" customFormat="false" ht="12.75" hidden="false" customHeight="false" outlineLevel="0" collapsed="false">
      <c r="U223" s="372"/>
    </row>
    <row r="224" customFormat="false" ht="12.75" hidden="false" customHeight="false" outlineLevel="0" collapsed="false">
      <c r="U224" s="372"/>
    </row>
    <row r="225" customFormat="false" ht="12.75" hidden="false" customHeight="false" outlineLevel="0" collapsed="false">
      <c r="U225" s="372"/>
    </row>
    <row r="226" customFormat="false" ht="12.75" hidden="false" customHeight="false" outlineLevel="0" collapsed="false">
      <c r="U226" s="372"/>
    </row>
    <row r="227" customFormat="false" ht="12.75" hidden="false" customHeight="false" outlineLevel="0" collapsed="false">
      <c r="U227" s="372"/>
    </row>
    <row r="228" customFormat="false" ht="12.75" hidden="false" customHeight="false" outlineLevel="0" collapsed="false">
      <c r="U228" s="372"/>
    </row>
    <row r="229" customFormat="false" ht="12.75" hidden="false" customHeight="false" outlineLevel="0" collapsed="false">
      <c r="U229" s="372"/>
    </row>
    <row r="230" customFormat="false" ht="12.75" hidden="false" customHeight="false" outlineLevel="0" collapsed="false">
      <c r="U230" s="372"/>
    </row>
    <row r="231" customFormat="false" ht="12.75" hidden="false" customHeight="false" outlineLevel="0" collapsed="false">
      <c r="U231" s="372"/>
    </row>
    <row r="232" customFormat="false" ht="12.75" hidden="false" customHeight="false" outlineLevel="0" collapsed="false">
      <c r="U232" s="372"/>
    </row>
    <row r="233" customFormat="false" ht="12.75" hidden="false" customHeight="false" outlineLevel="0" collapsed="false">
      <c r="U233" s="372"/>
    </row>
    <row r="234" customFormat="false" ht="12.75" hidden="false" customHeight="false" outlineLevel="0" collapsed="false">
      <c r="U234" s="372"/>
    </row>
    <row r="235" customFormat="false" ht="12.75" hidden="false" customHeight="false" outlineLevel="0" collapsed="false">
      <c r="U235" s="372"/>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&amp;C&amp;"Arial,Bold"&amp;12Costs and Expenses</oddHeader>
    <oddFooter>&amp;L&amp;D  &amp;T&amp;C&amp;P  of  &amp;N&amp;R&amp;F  &amp;A</oddFooter>
  </headerFooter>
  <colBreaks count="1" manualBreakCount="1">
    <brk id="6" man="true" max="65535" min="0"/>
  </colBreak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5" width="9.66"/>
    <col collapsed="false" customWidth="true" hidden="false" outlineLevel="0" max="2" min="2" style="346" width="14.66"/>
    <col collapsed="false" customWidth="true" hidden="false" outlineLevel="0" max="3" min="3" style="181" width="13.66"/>
    <col collapsed="false" customWidth="true" hidden="false" outlineLevel="0" max="4" min="4" style="347" width="12.66"/>
    <col collapsed="false" customWidth="true" hidden="false" outlineLevel="0" max="5" min="5" style="348" width="12.66"/>
    <col collapsed="false" customWidth="true" hidden="false" outlineLevel="0" max="6" min="6" style="181" width="12.66"/>
    <col collapsed="false" customWidth="false" hidden="false" outlineLevel="0" max="257" min="7" style="181" width="9.15"/>
  </cols>
  <sheetData>
    <row r="1" s="353" customFormat="true" ht="12.75" hidden="false" customHeight="true" outlineLevel="0" collapsed="false">
      <c r="A1" s="349" t="s">
        <v>238</v>
      </c>
      <c r="B1" s="350" t="s">
        <v>239</v>
      </c>
      <c r="C1" s="351" t="s">
        <v>240</v>
      </c>
      <c r="D1" s="352" t="n">
        <f aca="false">SUM(D4:D47)</f>
        <v>0</v>
      </c>
      <c r="E1" s="351" t="n">
        <f aca="false">SUM(E4:E47)/2</f>
        <v>3000</v>
      </c>
      <c r="F1" s="351" t="n">
        <f aca="false">SUM(F4:F47)/2</f>
        <v>0</v>
      </c>
    </row>
    <row r="2" s="353" customFormat="true" ht="12.75" hidden="false" customHeight="true" outlineLevel="0" collapsed="false">
      <c r="A2" s="349"/>
      <c r="B2" s="350"/>
      <c r="C2" s="354" t="s">
        <v>241</v>
      </c>
      <c r="D2" s="355" t="s">
        <v>242</v>
      </c>
      <c r="E2" s="354" t="s">
        <v>243</v>
      </c>
      <c r="F2" s="354" t="s">
        <v>244</v>
      </c>
    </row>
    <row r="3" s="356" customFormat="true" ht="24" hidden="false" customHeight="true" outlineLevel="0" collapsed="false">
      <c r="A3" s="349"/>
      <c r="B3" s="350"/>
      <c r="C3" s="354"/>
      <c r="D3" s="355"/>
      <c r="E3" s="354"/>
      <c r="F3" s="354"/>
    </row>
    <row r="5" customFormat="false" ht="12.75" hidden="false" customHeight="false" outlineLevel="0" collapsed="false">
      <c r="A5" s="357" t="n">
        <v>46174</v>
      </c>
      <c r="B5" s="358" t="n">
        <v>46174</v>
      </c>
      <c r="C5" s="359"/>
      <c r="D5" s="360"/>
      <c r="E5" s="361"/>
      <c r="F5" s="362"/>
    </row>
    <row r="6" customFormat="false" ht="12.75" hidden="false" customHeight="false" outlineLevel="0" collapsed="false">
      <c r="A6" s="363" t="n">
        <v>46175</v>
      </c>
      <c r="B6" s="346" t="n">
        <v>46175</v>
      </c>
      <c r="E6" s="348" t="n">
        <v>200</v>
      </c>
      <c r="F6" s="364"/>
    </row>
    <row r="7" customFormat="false" ht="12.75" hidden="false" customHeight="false" outlineLevel="0" collapsed="false">
      <c r="A7" s="363" t="n">
        <v>46176</v>
      </c>
      <c r="B7" s="346" t="n">
        <v>46176</v>
      </c>
      <c r="E7" s="348" t="n">
        <v>200</v>
      </c>
      <c r="F7" s="364"/>
    </row>
    <row r="8" customFormat="false" ht="12.75" hidden="false" customHeight="false" outlineLevel="0" collapsed="false">
      <c r="A8" s="363" t="n">
        <v>46177</v>
      </c>
      <c r="B8" s="346" t="n">
        <v>46177</v>
      </c>
      <c r="E8" s="348" t="n">
        <v>200</v>
      </c>
      <c r="F8" s="364"/>
    </row>
    <row r="9" customFormat="false" ht="12.75" hidden="false" customHeight="false" outlineLevel="0" collapsed="false">
      <c r="A9" s="363" t="n">
        <v>46178</v>
      </c>
      <c r="B9" s="346" t="n">
        <v>46178</v>
      </c>
      <c r="E9" s="348" t="n">
        <v>200</v>
      </c>
      <c r="F9" s="364"/>
    </row>
    <row r="10" customFormat="false" ht="12.75" hidden="false" customHeight="false" outlineLevel="0" collapsed="false">
      <c r="A10" s="363" t="n">
        <v>46179</v>
      </c>
      <c r="B10" s="346" t="n">
        <v>46179</v>
      </c>
      <c r="E10" s="348" t="n">
        <v>200</v>
      </c>
      <c r="F10" s="364"/>
    </row>
    <row r="11" customFormat="false" ht="12.75" hidden="false" customHeight="false" outlineLevel="0" collapsed="false">
      <c r="A11" s="363" t="n">
        <v>46180</v>
      </c>
      <c r="B11" s="346" t="n">
        <v>46180</v>
      </c>
      <c r="F11" s="364"/>
    </row>
    <row r="12" customFormat="false" ht="12.75" hidden="false" customHeight="false" outlineLevel="0" collapsed="false">
      <c r="A12" s="363" t="n">
        <v>46180</v>
      </c>
      <c r="B12" s="346" t="s">
        <v>245</v>
      </c>
      <c r="F12" s="364"/>
    </row>
    <row r="13" customFormat="false" ht="12.75" hidden="false" customHeight="false" outlineLevel="0" collapsed="false">
      <c r="A13" s="363" t="n">
        <v>46180</v>
      </c>
      <c r="B13" s="346" t="s">
        <v>246</v>
      </c>
      <c r="F13" s="364"/>
    </row>
    <row r="14" customFormat="false" ht="12.75" hidden="false" customHeight="false" outlineLevel="0" collapsed="false">
      <c r="A14" s="365"/>
      <c r="B14" s="366"/>
      <c r="C14" s="367"/>
      <c r="D14" s="368"/>
      <c r="E14" s="369" t="n">
        <f aca="false">SUM(E5:E13)</f>
        <v>1000</v>
      </c>
      <c r="F14" s="370" t="n">
        <f aca="false">SUM(F5:F13)</f>
        <v>0</v>
      </c>
    </row>
    <row r="16" customFormat="false" ht="12.75" hidden="false" customHeight="false" outlineLevel="0" collapsed="false">
      <c r="A16" s="357" t="n">
        <v>46181</v>
      </c>
      <c r="B16" s="358" t="n">
        <v>46181</v>
      </c>
      <c r="C16" s="359"/>
      <c r="D16" s="360"/>
      <c r="E16" s="361"/>
      <c r="F16" s="362"/>
    </row>
    <row r="17" customFormat="false" ht="12.75" hidden="false" customHeight="false" outlineLevel="0" collapsed="false">
      <c r="A17" s="363" t="n">
        <v>46182</v>
      </c>
      <c r="B17" s="346" t="n">
        <v>46182</v>
      </c>
      <c r="E17" s="348" t="n">
        <v>200</v>
      </c>
      <c r="F17" s="364"/>
    </row>
    <row r="18" customFormat="false" ht="12.75" hidden="false" customHeight="false" outlineLevel="0" collapsed="false">
      <c r="A18" s="363" t="n">
        <v>46183</v>
      </c>
      <c r="B18" s="346" t="n">
        <v>46183</v>
      </c>
      <c r="E18" s="348" t="n">
        <v>200</v>
      </c>
      <c r="F18" s="364"/>
    </row>
    <row r="19" customFormat="false" ht="12.75" hidden="false" customHeight="false" outlineLevel="0" collapsed="false">
      <c r="A19" s="363" t="n">
        <v>46184</v>
      </c>
      <c r="B19" s="346" t="n">
        <v>46184</v>
      </c>
      <c r="E19" s="348" t="n">
        <v>200</v>
      </c>
      <c r="F19" s="364"/>
    </row>
    <row r="20" customFormat="false" ht="12.75" hidden="false" customHeight="false" outlineLevel="0" collapsed="false">
      <c r="A20" s="363" t="n">
        <v>46185</v>
      </c>
      <c r="B20" s="346" t="n">
        <v>46185</v>
      </c>
      <c r="E20" s="348" t="n">
        <v>200</v>
      </c>
      <c r="F20" s="364"/>
    </row>
    <row r="21" customFormat="false" ht="12.75" hidden="false" customHeight="false" outlineLevel="0" collapsed="false">
      <c r="A21" s="363" t="n">
        <v>46186</v>
      </c>
      <c r="B21" s="346" t="n">
        <v>46186</v>
      </c>
      <c r="E21" s="348" t="n">
        <v>200</v>
      </c>
      <c r="F21" s="364"/>
    </row>
    <row r="22" customFormat="false" ht="12.75" hidden="false" customHeight="false" outlineLevel="0" collapsed="false">
      <c r="A22" s="363" t="n">
        <v>46187</v>
      </c>
      <c r="B22" s="346" t="n">
        <v>46187</v>
      </c>
      <c r="F22" s="364"/>
    </row>
    <row r="23" customFormat="false" ht="12.75" hidden="false" customHeight="false" outlineLevel="0" collapsed="false">
      <c r="A23" s="363" t="n">
        <v>46187</v>
      </c>
      <c r="B23" s="346" t="s">
        <v>245</v>
      </c>
      <c r="F23" s="364"/>
    </row>
    <row r="24" customFormat="false" ht="12.75" hidden="false" customHeight="false" outlineLevel="0" collapsed="false">
      <c r="A24" s="363" t="n">
        <v>46187</v>
      </c>
      <c r="B24" s="346" t="s">
        <v>246</v>
      </c>
      <c r="F24" s="364"/>
    </row>
    <row r="25" customFormat="false" ht="12.75" hidden="false" customHeight="false" outlineLevel="0" collapsed="false">
      <c r="A25" s="365"/>
      <c r="B25" s="366"/>
      <c r="C25" s="367"/>
      <c r="D25" s="368"/>
      <c r="E25" s="369" t="n">
        <f aca="false">SUM(E16:E24)</f>
        <v>1000</v>
      </c>
      <c r="F25" s="370" t="n">
        <f aca="false">SUM(F16:F24)</f>
        <v>0</v>
      </c>
    </row>
    <row r="27" customFormat="false" ht="12.75" hidden="false" customHeight="false" outlineLevel="0" collapsed="false">
      <c r="A27" s="357" t="n">
        <v>46188</v>
      </c>
      <c r="B27" s="358" t="n">
        <v>46188</v>
      </c>
      <c r="C27" s="359"/>
      <c r="D27" s="360"/>
      <c r="E27" s="361"/>
      <c r="F27" s="362"/>
    </row>
    <row r="28" customFormat="false" ht="12.75" hidden="false" customHeight="false" outlineLevel="0" collapsed="false">
      <c r="A28" s="363" t="n">
        <v>46189</v>
      </c>
      <c r="B28" s="346" t="n">
        <v>46189</v>
      </c>
      <c r="E28" s="348" t="n">
        <v>200</v>
      </c>
      <c r="F28" s="364"/>
    </row>
    <row r="29" customFormat="false" ht="12.75" hidden="false" customHeight="false" outlineLevel="0" collapsed="false">
      <c r="A29" s="363" t="n">
        <v>46190</v>
      </c>
      <c r="B29" s="346" t="n">
        <v>46190</v>
      </c>
      <c r="E29" s="348" t="n">
        <v>200</v>
      </c>
      <c r="F29" s="364"/>
    </row>
    <row r="30" customFormat="false" ht="12.75" hidden="false" customHeight="false" outlineLevel="0" collapsed="false">
      <c r="A30" s="363" t="n">
        <v>46191</v>
      </c>
      <c r="B30" s="346" t="n">
        <v>46191</v>
      </c>
      <c r="E30" s="348" t="n">
        <v>200</v>
      </c>
      <c r="F30" s="364"/>
    </row>
    <row r="31" customFormat="false" ht="12.75" hidden="false" customHeight="false" outlineLevel="0" collapsed="false">
      <c r="A31" s="363" t="n">
        <v>46192</v>
      </c>
      <c r="B31" s="346" t="n">
        <v>46192</v>
      </c>
      <c r="E31" s="348" t="n">
        <v>200</v>
      </c>
      <c r="F31" s="364"/>
    </row>
    <row r="32" customFormat="false" ht="12.75" hidden="false" customHeight="false" outlineLevel="0" collapsed="false">
      <c r="A32" s="363" t="n">
        <v>46193</v>
      </c>
      <c r="B32" s="346" t="n">
        <v>46193</v>
      </c>
      <c r="E32" s="348" t="n">
        <v>200</v>
      </c>
      <c r="F32" s="364"/>
    </row>
    <row r="33" customFormat="false" ht="12.75" hidden="false" customHeight="false" outlineLevel="0" collapsed="false">
      <c r="A33" s="363" t="n">
        <v>46194</v>
      </c>
      <c r="B33" s="346" t="n">
        <v>46194</v>
      </c>
      <c r="F33" s="364"/>
    </row>
    <row r="34" customFormat="false" ht="12.75" hidden="false" customHeight="false" outlineLevel="0" collapsed="false">
      <c r="A34" s="363" t="n">
        <v>46194</v>
      </c>
      <c r="B34" s="346" t="s">
        <v>245</v>
      </c>
      <c r="F34" s="364"/>
    </row>
    <row r="35" customFormat="false" ht="12.75" hidden="false" customHeight="false" outlineLevel="0" collapsed="false">
      <c r="A35" s="363" t="n">
        <v>46194</v>
      </c>
      <c r="B35" s="346" t="s">
        <v>246</v>
      </c>
      <c r="F35" s="364"/>
    </row>
    <row r="36" customFormat="false" ht="12.75" hidden="false" customHeight="false" outlineLevel="0" collapsed="false">
      <c r="A36" s="365"/>
      <c r="B36" s="366"/>
      <c r="C36" s="367"/>
      <c r="D36" s="368"/>
      <c r="E36" s="369" t="n">
        <f aca="false">SUM(E27:E35)</f>
        <v>1000</v>
      </c>
      <c r="F36" s="370" t="n">
        <f aca="false">SUM(F27:F35)</f>
        <v>0</v>
      </c>
    </row>
    <row r="38" customFormat="false" ht="12.75" hidden="false" customHeight="false" outlineLevel="0" collapsed="false">
      <c r="A38" s="357" t="n">
        <v>46195</v>
      </c>
      <c r="B38" s="358" t="n">
        <v>46195</v>
      </c>
      <c r="C38" s="359"/>
      <c r="D38" s="360"/>
      <c r="E38" s="361"/>
      <c r="F38" s="362"/>
    </row>
    <row r="39" customFormat="false" ht="12.75" hidden="false" customHeight="false" outlineLevel="0" collapsed="false">
      <c r="A39" s="363" t="n">
        <v>46196</v>
      </c>
      <c r="B39" s="346" t="n">
        <v>46196</v>
      </c>
      <c r="F39" s="364"/>
    </row>
    <row r="40" customFormat="false" ht="12.75" hidden="false" customHeight="false" outlineLevel="0" collapsed="false">
      <c r="A40" s="363" t="n">
        <v>46197</v>
      </c>
      <c r="B40" s="346" t="n">
        <v>46197</v>
      </c>
      <c r="F40" s="364"/>
    </row>
    <row r="41" customFormat="false" ht="12.75" hidden="false" customHeight="false" outlineLevel="0" collapsed="false">
      <c r="A41" s="363" t="n">
        <v>46198</v>
      </c>
      <c r="B41" s="346" t="n">
        <v>46198</v>
      </c>
      <c r="F41" s="364"/>
    </row>
    <row r="42" customFormat="false" ht="12.75" hidden="false" customHeight="false" outlineLevel="0" collapsed="false">
      <c r="A42" s="363" t="n">
        <v>46199</v>
      </c>
      <c r="B42" s="346" t="n">
        <v>46199</v>
      </c>
      <c r="F42" s="364"/>
    </row>
    <row r="43" customFormat="false" ht="12.75" hidden="false" customHeight="false" outlineLevel="0" collapsed="false">
      <c r="A43" s="363" t="n">
        <v>46200</v>
      </c>
      <c r="B43" s="346" t="n">
        <v>46200</v>
      </c>
      <c r="F43" s="364"/>
    </row>
    <row r="44" customFormat="false" ht="12.75" hidden="false" customHeight="false" outlineLevel="0" collapsed="false">
      <c r="A44" s="363" t="n">
        <v>46201</v>
      </c>
      <c r="B44" s="346" t="n">
        <v>46201</v>
      </c>
      <c r="F44" s="364"/>
    </row>
    <row r="45" customFormat="false" ht="12.75" hidden="false" customHeight="false" outlineLevel="0" collapsed="false">
      <c r="A45" s="363" t="n">
        <v>46201</v>
      </c>
      <c r="B45" s="346" t="s">
        <v>245</v>
      </c>
      <c r="F45" s="364"/>
    </row>
    <row r="46" customFormat="false" ht="12.75" hidden="false" customHeight="false" outlineLevel="0" collapsed="false">
      <c r="A46" s="363" t="n">
        <v>46201</v>
      </c>
      <c r="B46" s="346" t="s">
        <v>246</v>
      </c>
      <c r="F46" s="364"/>
    </row>
    <row r="47" customFormat="false" ht="12.75" hidden="false" customHeight="false" outlineLevel="0" collapsed="false">
      <c r="A47" s="365"/>
      <c r="B47" s="366"/>
      <c r="C47" s="367"/>
      <c r="D47" s="368"/>
      <c r="E47" s="369" t="n">
        <f aca="false">SUM(E38:E46)</f>
        <v>0</v>
      </c>
      <c r="F47" s="370"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1" width="9.49"/>
    <col collapsed="false" customWidth="true" hidden="false" outlineLevel="0" max="2" min="2" style="180" width="23.99"/>
    <col collapsed="false" customWidth="true" hidden="false" outlineLevel="0" max="3" min="3" style="180" width="15.99"/>
    <col collapsed="false" customWidth="false" hidden="false" outlineLevel="0" max="5" min="4" style="372" width="9.15"/>
    <col collapsed="false" customWidth="true" hidden="false" outlineLevel="0" max="6" min="6" style="373" width="12.66"/>
    <col collapsed="false" customWidth="true" hidden="false" outlineLevel="0" max="8" min="7" style="181" width="9.82"/>
    <col collapsed="false" customWidth="true" hidden="false" outlineLevel="0" max="10" min="9" style="181" width="8.66"/>
    <col collapsed="false" customWidth="true" hidden="false" outlineLevel="0" max="12" min="11" style="181" width="7.66"/>
    <col collapsed="false" customWidth="true" hidden="false" outlineLevel="0" max="14" min="13" style="181" width="9.33"/>
    <col collapsed="false" customWidth="true" hidden="false" outlineLevel="0" max="15" min="15" style="181" width="9.49"/>
    <col collapsed="false" customWidth="true" hidden="false" outlineLevel="0" max="18" min="16" style="181" width="7.66"/>
    <col collapsed="false" customWidth="true" hidden="false" outlineLevel="0" max="19" min="19" style="181" width="8.66"/>
    <col collapsed="false" customWidth="true" hidden="false" outlineLevel="0" max="20" min="20" style="180" width="12.99"/>
    <col collapsed="false" customWidth="true" hidden="false" outlineLevel="0" max="21" min="21" style="181" width="8.33"/>
    <col collapsed="false" customWidth="false" hidden="false" outlineLevel="0" max="257" min="22" style="180" width="9.15"/>
  </cols>
  <sheetData>
    <row r="1" s="181" customFormat="true" ht="13.5" hidden="false" customHeight="true" outlineLevel="0" collapsed="false">
      <c r="A1" s="390" t="n">
        <f aca="false">E1+SalesJun!$D$1+PurchasesMay!A1</f>
        <v>0</v>
      </c>
      <c r="B1" s="391" t="s">
        <v>247</v>
      </c>
      <c r="C1" s="392" t="s">
        <v>240</v>
      </c>
      <c r="D1" s="376" t="str">
        <f aca="false">IF((F1-SUM(G1:S1)&lt;&gt;0),(F1-SUM(G1:S1))," ")</f>
        <v> </v>
      </c>
      <c r="E1" s="352" t="n">
        <f aca="false">SUM(E5:E199)</f>
        <v>0</v>
      </c>
      <c r="F1" s="351" t="n">
        <f aca="false">SUM(F5:F199)</f>
        <v>8300</v>
      </c>
      <c r="G1" s="351" t="n">
        <f aca="false">SUM(G5:G199)</f>
        <v>300</v>
      </c>
      <c r="H1" s="351" t="n">
        <f aca="false">SUM(H5:H199)</f>
        <v>0</v>
      </c>
      <c r="I1" s="351" t="n">
        <f aca="false">SUM(I5:I199)</f>
        <v>0</v>
      </c>
      <c r="J1" s="351" t="n">
        <f aca="false">SUM(J5:J199)</f>
        <v>0</v>
      </c>
      <c r="K1" s="351" t="n">
        <f aca="false">SUM(K5:K199)</f>
        <v>0</v>
      </c>
      <c r="L1" s="351" t="n">
        <f aca="false">SUM(L5:L199)</f>
        <v>0</v>
      </c>
      <c r="M1" s="351" t="n">
        <f aca="false">SUM(M5:M199)</f>
        <v>0</v>
      </c>
      <c r="N1" s="351" t="n">
        <f aca="false">SUM(N5:N199)</f>
        <v>0</v>
      </c>
      <c r="O1" s="351" t="n">
        <f aca="false">SUM(O5:O199)</f>
        <v>0</v>
      </c>
      <c r="P1" s="351" t="n">
        <f aca="false">SUM(P5:P199)</f>
        <v>0</v>
      </c>
      <c r="Q1" s="351" t="n">
        <f aca="false">SUM(Q5:Q199)</f>
        <v>0</v>
      </c>
      <c r="R1" s="351" t="n">
        <f aca="false">SUM(R5:R199)</f>
        <v>0</v>
      </c>
      <c r="S1" s="393" t="n">
        <f aca="false">SUM(S5:S199)</f>
        <v>8000</v>
      </c>
      <c r="T1" s="394" t="n">
        <f aca="false">S1+PurchasesMay!T1</f>
        <v>8000</v>
      </c>
      <c r="U1" s="393" t="n">
        <f aca="false">SUM(U4:U199)</f>
        <v>0</v>
      </c>
    </row>
    <row r="2" s="181" customFormat="true" ht="13.5" hidden="false" customHeight="true" outlineLevel="0" collapsed="false">
      <c r="A2" s="395" t="n">
        <f aca="false">U1+PurchasesMay!A2</f>
        <v>0</v>
      </c>
      <c r="B2" s="240" t="s">
        <v>248</v>
      </c>
      <c r="C2" s="379" t="s">
        <v>249</v>
      </c>
      <c r="D2" s="379" t="s">
        <v>250</v>
      </c>
      <c r="E2" s="379" t="s">
        <v>251</v>
      </c>
      <c r="F2" s="207" t="s">
        <v>252</v>
      </c>
      <c r="G2" s="380" t="s">
        <v>253</v>
      </c>
      <c r="H2" s="380"/>
      <c r="I2" s="381" t="n">
        <f aca="false">G1+H1+I1+J1+PurchasesMay!I2</f>
        <v>2280</v>
      </c>
      <c r="J2" s="381"/>
      <c r="K2" s="207" t="s">
        <v>254</v>
      </c>
      <c r="L2" s="207" t="s">
        <v>255</v>
      </c>
      <c r="M2" s="207" t="s">
        <v>256</v>
      </c>
      <c r="N2" s="207" t="s">
        <v>288</v>
      </c>
      <c r="O2" s="207" t="s">
        <v>258</v>
      </c>
      <c r="P2" s="207" t="s">
        <v>259</v>
      </c>
      <c r="Q2" s="207" t="s">
        <v>260</v>
      </c>
      <c r="R2" s="207" t="s">
        <v>261</v>
      </c>
      <c r="S2" s="382" t="s">
        <v>262</v>
      </c>
      <c r="T2" s="383" t="str">
        <f aca="false">IF(T1&gt;'Fixed Assets'!$D$74,"ENTER VEHICLE CHANGES        on Fixed Asset schedule","Motor Vehicles: make, model, date reg. and reg. Mark")</f>
        <v>ENTER VEHICLE CHANGES        on Fixed Asset schedule</v>
      </c>
      <c r="U2" s="382" t="s">
        <v>116</v>
      </c>
    </row>
    <row r="3" s="385" customFormat="true" ht="45" hidden="false" customHeight="true" outlineLevel="0" collapsed="false">
      <c r="A3" s="384" t="s">
        <v>263</v>
      </c>
      <c r="B3" s="207" t="s">
        <v>264</v>
      </c>
      <c r="C3" s="379"/>
      <c r="D3" s="379"/>
      <c r="E3" s="379"/>
      <c r="F3" s="379"/>
      <c r="G3" s="207" t="s">
        <v>111</v>
      </c>
      <c r="H3" s="207" t="s">
        <v>265</v>
      </c>
      <c r="I3" s="207" t="s">
        <v>113</v>
      </c>
      <c r="J3" s="207" t="s">
        <v>114</v>
      </c>
      <c r="K3" s="207"/>
      <c r="L3" s="207"/>
      <c r="M3" s="207"/>
      <c r="N3" s="207"/>
      <c r="O3" s="207"/>
      <c r="P3" s="207"/>
      <c r="Q3" s="207"/>
      <c r="R3" s="207"/>
      <c r="S3" s="382"/>
      <c r="T3" s="383"/>
      <c r="U3" s="382"/>
    </row>
    <row r="4" s="388" customFormat="true" ht="12.75" hidden="false" customHeight="false" outlineLevel="0" collapsed="false">
      <c r="A4" s="386" t="str">
        <f aca="false">IF((E1&lt;&gt;0),Admin!$B$7," ")</f>
        <v> </v>
      </c>
      <c r="B4" s="207"/>
      <c r="C4" s="207"/>
      <c r="D4" s="207"/>
      <c r="E4" s="207"/>
      <c r="F4" s="207"/>
      <c r="G4" s="375" t="s">
        <v>266</v>
      </c>
      <c r="H4" s="375" t="s">
        <v>267</v>
      </c>
      <c r="I4" s="375" t="s">
        <v>268</v>
      </c>
      <c r="J4" s="375" t="s">
        <v>269</v>
      </c>
      <c r="K4" s="375" t="s">
        <v>270</v>
      </c>
      <c r="L4" s="375" t="s">
        <v>271</v>
      </c>
      <c r="M4" s="375" t="s">
        <v>272</v>
      </c>
      <c r="N4" s="375" t="s">
        <v>273</v>
      </c>
      <c r="O4" s="375" t="s">
        <v>274</v>
      </c>
      <c r="P4" s="375" t="s">
        <v>275</v>
      </c>
      <c r="Q4" s="375" t="s">
        <v>276</v>
      </c>
      <c r="R4" s="375" t="s">
        <v>277</v>
      </c>
      <c r="S4" s="387" t="s">
        <v>278</v>
      </c>
      <c r="T4" s="383"/>
      <c r="U4" s="394" t="n">
        <f aca="false">IF((A1&lt;Admin!$F$22),((A1-PurchasesMay!A1)*Admin!$G$21),(A1*Admin!$G$21-(A1-Admin!$F$21)*(Admin!$G$21-Admin!$G$22)-PurchasesMay!A2))</f>
        <v>0</v>
      </c>
    </row>
    <row r="5" s="372" customFormat="true" ht="12.75" hidden="false" customHeight="false" outlineLevel="0" collapsed="false">
      <c r="A5" s="371" t="n">
        <v>46174</v>
      </c>
      <c r="B5" s="389" t="s">
        <v>289</v>
      </c>
      <c r="C5" s="372" t="s">
        <v>191</v>
      </c>
      <c r="D5" s="372" t="s">
        <v>290</v>
      </c>
      <c r="F5" s="372" t="n">
        <v>8000</v>
      </c>
      <c r="G5" s="181" t="str">
        <f aca="false">IF((D5="d"),F5," ")</f>
        <v> </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n">
        <f aca="false">IF((D5="f"),F5," ")</f>
        <v>8000</v>
      </c>
    </row>
    <row r="6" customFormat="false" ht="12.75" hidden="false" customHeight="false" outlineLevel="0" collapsed="false">
      <c r="A6" s="371" t="n">
        <v>46188</v>
      </c>
      <c r="B6" s="180" t="s">
        <v>284</v>
      </c>
      <c r="D6" s="372" t="s">
        <v>285</v>
      </c>
      <c r="F6" s="373" t="n">
        <v>300</v>
      </c>
      <c r="G6" s="181" t="n">
        <f aca="false">IF((D6="d"),F6," ")</f>
        <v>300</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2"/>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2"/>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2"/>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2"/>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2"/>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2"/>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2"/>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2"/>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2"/>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2"/>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2"/>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2"/>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2"/>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2"/>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2"/>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2"/>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2"/>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2"/>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2"/>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2"/>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2"/>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2"/>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2"/>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2"/>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2"/>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2"/>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2"/>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2"/>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2"/>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2"/>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2"/>
    </row>
    <row r="37" customFormat="false" ht="12.75" hidden="false" customHeight="false" outlineLevel="0" collapsed="false">
      <c r="D37" s="372"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2"/>
    </row>
    <row r="38" customFormat="false" ht="12.75" hidden="false" customHeight="false" outlineLevel="0" collapsed="false">
      <c r="D38" s="372"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2"/>
    </row>
    <row r="39" customFormat="false" ht="12.75" hidden="false" customHeight="false" outlineLevel="0" collapsed="false">
      <c r="D39" s="372"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2"/>
    </row>
    <row r="40" customFormat="false" ht="12.75" hidden="false" customHeight="false" outlineLevel="0" collapsed="false">
      <c r="D40" s="372"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2"/>
    </row>
    <row r="41" customFormat="false" ht="12.75" hidden="false" customHeight="false" outlineLevel="0" collapsed="false">
      <c r="D41" s="372"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2"/>
    </row>
    <row r="42" customFormat="false" ht="12.75" hidden="false" customHeight="false" outlineLevel="0" collapsed="false">
      <c r="D42" s="372"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2"/>
    </row>
    <row r="43" customFormat="false" ht="12.75" hidden="false" customHeight="false" outlineLevel="0" collapsed="false">
      <c r="D43" s="372"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2"/>
    </row>
    <row r="44" customFormat="false" ht="12.75" hidden="false" customHeight="false" outlineLevel="0" collapsed="false">
      <c r="D44" s="372"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2"/>
    </row>
    <row r="45" customFormat="false" ht="12.75" hidden="false" customHeight="false" outlineLevel="0" collapsed="false">
      <c r="D45" s="372"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2"/>
    </row>
    <row r="46" customFormat="false" ht="12.75" hidden="false" customHeight="false" outlineLevel="0" collapsed="false">
      <c r="D46" s="372"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2"/>
    </row>
    <row r="47" customFormat="false" ht="12.75" hidden="false" customHeight="false" outlineLevel="0" collapsed="false">
      <c r="D47" s="372"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2"/>
    </row>
    <row r="48" customFormat="false" ht="12.75" hidden="false" customHeight="false" outlineLevel="0" collapsed="false">
      <c r="D48" s="372"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2"/>
    </row>
    <row r="49" customFormat="false" ht="12.75" hidden="false" customHeight="false" outlineLevel="0" collapsed="false">
      <c r="D49" s="372"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2"/>
    </row>
    <row r="50" customFormat="false" ht="12.75" hidden="false" customHeight="false" outlineLevel="0" collapsed="false">
      <c r="D50" s="372"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2"/>
    </row>
    <row r="51" customFormat="false" ht="12.75" hidden="false" customHeight="false" outlineLevel="0" collapsed="false">
      <c r="D51" s="372"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2"/>
    </row>
    <row r="52" customFormat="false" ht="12.75" hidden="false" customHeight="false" outlineLevel="0" collapsed="false">
      <c r="D52" s="372"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2"/>
    </row>
    <row r="53" customFormat="false" ht="12.75" hidden="false" customHeight="false" outlineLevel="0" collapsed="false">
      <c r="D53" s="372"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2"/>
    </row>
    <row r="54" customFormat="false" ht="12.75" hidden="false" customHeight="false" outlineLevel="0" collapsed="false">
      <c r="D54" s="372"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2"/>
    </row>
    <row r="55" customFormat="false" ht="12.75" hidden="false" customHeight="false" outlineLevel="0" collapsed="false">
      <c r="D55" s="372"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2"/>
    </row>
    <row r="56" customFormat="false" ht="12.75" hidden="false" customHeight="false" outlineLevel="0" collapsed="false">
      <c r="D56" s="372"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2"/>
    </row>
    <row r="57" customFormat="false" ht="12.75" hidden="false" customHeight="false" outlineLevel="0" collapsed="false">
      <c r="D57" s="372"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2"/>
    </row>
    <row r="58" customFormat="false" ht="12.75" hidden="false" customHeight="false" outlineLevel="0" collapsed="false">
      <c r="D58" s="372"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2"/>
    </row>
    <row r="59" customFormat="false" ht="12.75" hidden="false" customHeight="false" outlineLevel="0" collapsed="false">
      <c r="D59" s="372"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2"/>
    </row>
    <row r="60" customFormat="false" ht="12.75" hidden="false" customHeight="false" outlineLevel="0" collapsed="false">
      <c r="D60" s="372"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2"/>
    </row>
    <row r="61" customFormat="false" ht="12.75" hidden="false" customHeight="false" outlineLevel="0" collapsed="false">
      <c r="D61" s="372"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2"/>
    </row>
    <row r="62" customFormat="false" ht="12.75" hidden="false" customHeight="false" outlineLevel="0" collapsed="false">
      <c r="D62" s="372"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2"/>
    </row>
    <row r="63" customFormat="false" ht="12.75" hidden="false" customHeight="false" outlineLevel="0" collapsed="false">
      <c r="D63" s="372"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2"/>
    </row>
    <row r="64" customFormat="false" ht="12.75" hidden="false" customHeight="false" outlineLevel="0" collapsed="false">
      <c r="D64" s="372"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2"/>
    </row>
    <row r="65" customFormat="false" ht="12.75" hidden="false" customHeight="false" outlineLevel="0" collapsed="false">
      <c r="D65" s="372"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2"/>
    </row>
    <row r="66" customFormat="false" ht="12.75" hidden="false" customHeight="false" outlineLevel="0" collapsed="false">
      <c r="D66" s="372"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2"/>
    </row>
    <row r="67" customFormat="false" ht="12.75" hidden="false" customHeight="false" outlineLevel="0" collapsed="false">
      <c r="D67" s="372"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2"/>
    </row>
    <row r="68" customFormat="false" ht="12.75" hidden="false" customHeight="false" outlineLevel="0" collapsed="false">
      <c r="D68" s="372"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2"/>
    </row>
    <row r="69" customFormat="false" ht="12.75" hidden="false" customHeight="false" outlineLevel="0" collapsed="false">
      <c r="D69" s="372"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2"/>
    </row>
    <row r="70" customFormat="false" ht="12.75" hidden="false" customHeight="false" outlineLevel="0" collapsed="false">
      <c r="D70" s="372"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2"/>
    </row>
    <row r="71" customFormat="false" ht="12.75" hidden="false" customHeight="false" outlineLevel="0" collapsed="false">
      <c r="D71" s="372"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2"/>
    </row>
    <row r="72" customFormat="false" ht="12.75" hidden="false" customHeight="false" outlineLevel="0" collapsed="false">
      <c r="D72" s="372"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2"/>
    </row>
    <row r="73" customFormat="false" ht="12.75" hidden="false" customHeight="false" outlineLevel="0" collapsed="false">
      <c r="D73" s="372"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2"/>
    </row>
    <row r="74" customFormat="false" ht="12.75" hidden="false" customHeight="false" outlineLevel="0" collapsed="false">
      <c r="D74" s="372"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2"/>
    </row>
    <row r="75" customFormat="false" ht="12.75" hidden="false" customHeight="false" outlineLevel="0" collapsed="false">
      <c r="D75" s="372"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2"/>
    </row>
    <row r="76" customFormat="false" ht="12.75" hidden="false" customHeight="false" outlineLevel="0" collapsed="false">
      <c r="D76" s="372"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2"/>
    </row>
    <row r="77" customFormat="false" ht="12.75" hidden="false" customHeight="false" outlineLevel="0" collapsed="false">
      <c r="D77" s="372"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2"/>
    </row>
    <row r="78" customFormat="false" ht="12.75" hidden="false" customHeight="false" outlineLevel="0" collapsed="false">
      <c r="D78" s="372"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2"/>
    </row>
    <row r="79" customFormat="false" ht="12.75" hidden="false" customHeight="false" outlineLevel="0" collapsed="false">
      <c r="D79" s="372"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2"/>
    </row>
    <row r="80" customFormat="false" ht="12.75" hidden="false" customHeight="false" outlineLevel="0" collapsed="false">
      <c r="D80" s="372"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2"/>
    </row>
    <row r="81" customFormat="false" ht="12.75" hidden="false" customHeight="false" outlineLevel="0" collapsed="false">
      <c r="D81" s="372"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2"/>
    </row>
    <row r="82" customFormat="false" ht="12.75" hidden="false" customHeight="false" outlineLevel="0" collapsed="false">
      <c r="D82" s="372"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2"/>
    </row>
    <row r="83" customFormat="false" ht="12.75" hidden="false" customHeight="false" outlineLevel="0" collapsed="false">
      <c r="D83" s="372"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2"/>
    </row>
    <row r="84" customFormat="false" ht="12.75" hidden="false" customHeight="false" outlineLevel="0" collapsed="false">
      <c r="D84" s="372"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2"/>
    </row>
    <row r="85" customFormat="false" ht="12.75" hidden="false" customHeight="false" outlineLevel="0" collapsed="false">
      <c r="D85" s="372"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2"/>
    </row>
    <row r="86" customFormat="false" ht="12.75" hidden="false" customHeight="false" outlineLevel="0" collapsed="false">
      <c r="D86" s="372"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2"/>
    </row>
    <row r="87" customFormat="false" ht="12.75" hidden="false" customHeight="false" outlineLevel="0" collapsed="false">
      <c r="D87" s="372"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2"/>
    </row>
    <row r="88" customFormat="false" ht="12.75" hidden="false" customHeight="false" outlineLevel="0" collapsed="false">
      <c r="D88" s="372"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2"/>
    </row>
    <row r="89" customFormat="false" ht="12.75" hidden="false" customHeight="false" outlineLevel="0" collapsed="false">
      <c r="D89" s="372"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2"/>
    </row>
    <row r="90" customFormat="false" ht="12.75" hidden="false" customHeight="false" outlineLevel="0" collapsed="false">
      <c r="D90" s="372"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2"/>
    </row>
    <row r="91" customFormat="false" ht="12.75" hidden="false" customHeight="false" outlineLevel="0" collapsed="false">
      <c r="D91" s="372"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2"/>
    </row>
    <row r="92" customFormat="false" ht="12.75" hidden="false" customHeight="false" outlineLevel="0" collapsed="false">
      <c r="D92" s="372"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2"/>
    </row>
    <row r="93" customFormat="false" ht="12.75" hidden="false" customHeight="false" outlineLevel="0" collapsed="false">
      <c r="D93" s="372"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2"/>
    </row>
    <row r="94" customFormat="false" ht="12.75" hidden="false" customHeight="false" outlineLevel="0" collapsed="false">
      <c r="D94" s="372"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2"/>
    </row>
    <row r="95" customFormat="false" ht="12.75" hidden="false" customHeight="false" outlineLevel="0" collapsed="false">
      <c r="D95" s="372"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2"/>
    </row>
    <row r="96" customFormat="false" ht="12.75" hidden="false" customHeight="false" outlineLevel="0" collapsed="false">
      <c r="D96" s="372"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2"/>
    </row>
    <row r="97" customFormat="false" ht="12.75" hidden="false" customHeight="false" outlineLevel="0" collapsed="false">
      <c r="D97" s="372"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2"/>
    </row>
    <row r="98" customFormat="false" ht="12.75" hidden="false" customHeight="false" outlineLevel="0" collapsed="false">
      <c r="D98" s="372"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2"/>
    </row>
    <row r="99" customFormat="false" ht="12.75" hidden="false" customHeight="false" outlineLevel="0" collapsed="false">
      <c r="D99" s="372"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2"/>
    </row>
    <row r="100" customFormat="false" ht="12.75" hidden="false" customHeight="false" outlineLevel="0" collapsed="false">
      <c r="D100" s="372"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2"/>
    </row>
    <row r="101" customFormat="false" ht="12.75" hidden="false" customHeight="false" outlineLevel="0" collapsed="false">
      <c r="D101" s="372"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2"/>
    </row>
    <row r="102" customFormat="false" ht="12.75" hidden="false" customHeight="false" outlineLevel="0" collapsed="false">
      <c r="D102" s="372"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2"/>
    </row>
    <row r="103" customFormat="false" ht="12.75" hidden="false" customHeight="false" outlineLevel="0" collapsed="false">
      <c r="D103" s="372"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2"/>
    </row>
    <row r="104" customFormat="false" ht="12.75" hidden="false" customHeight="false" outlineLevel="0" collapsed="false">
      <c r="D104" s="372"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2"/>
    </row>
    <row r="105" customFormat="false" ht="12.75" hidden="false" customHeight="false" outlineLevel="0" collapsed="false">
      <c r="D105" s="372"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2"/>
    </row>
    <row r="106" customFormat="false" ht="12.75" hidden="false" customHeight="false" outlineLevel="0" collapsed="false">
      <c r="D106" s="372"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2"/>
    </row>
    <row r="107" customFormat="false" ht="12.75" hidden="false" customHeight="false" outlineLevel="0" collapsed="false">
      <c r="D107" s="372"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2"/>
    </row>
    <row r="108" customFormat="false" ht="12.75" hidden="false" customHeight="false" outlineLevel="0" collapsed="false">
      <c r="D108" s="372"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2"/>
    </row>
    <row r="109" customFormat="false" ht="12.75" hidden="false" customHeight="false" outlineLevel="0" collapsed="false">
      <c r="D109" s="372"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2"/>
    </row>
    <row r="110" customFormat="false" ht="12.75" hidden="false" customHeight="false" outlineLevel="0" collapsed="false">
      <c r="D110" s="372"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2"/>
    </row>
    <row r="111" customFormat="false" ht="12.75" hidden="false" customHeight="false" outlineLevel="0" collapsed="false">
      <c r="D111" s="372"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2"/>
    </row>
    <row r="112" customFormat="false" ht="12.75" hidden="false" customHeight="false" outlineLevel="0" collapsed="false">
      <c r="D112" s="372"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2"/>
    </row>
    <row r="113" customFormat="false" ht="12.75" hidden="false" customHeight="false" outlineLevel="0" collapsed="false">
      <c r="D113" s="372"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2"/>
    </row>
    <row r="114" customFormat="false" ht="12.75" hidden="false" customHeight="false" outlineLevel="0" collapsed="false">
      <c r="D114" s="372"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2"/>
    </row>
    <row r="115" customFormat="false" ht="12.75" hidden="false" customHeight="false" outlineLevel="0" collapsed="false">
      <c r="D115" s="372"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2"/>
    </row>
    <row r="116" customFormat="false" ht="12.75" hidden="false" customHeight="false" outlineLevel="0" collapsed="false">
      <c r="D116" s="372"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2"/>
    </row>
    <row r="117" customFormat="false" ht="12.75" hidden="false" customHeight="false" outlineLevel="0" collapsed="false">
      <c r="D117" s="372"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2"/>
    </row>
    <row r="118" customFormat="false" ht="12.75" hidden="false" customHeight="false" outlineLevel="0" collapsed="false">
      <c r="D118" s="372"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2"/>
    </row>
    <row r="119" customFormat="false" ht="12.75" hidden="false" customHeight="false" outlineLevel="0" collapsed="false">
      <c r="D119" s="372"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2"/>
    </row>
    <row r="120" customFormat="false" ht="12.75" hidden="false" customHeight="false" outlineLevel="0" collapsed="false">
      <c r="D120" s="372"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2"/>
    </row>
    <row r="121" customFormat="false" ht="12.75" hidden="false" customHeight="false" outlineLevel="0" collapsed="false">
      <c r="D121" s="372"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2"/>
    </row>
    <row r="122" customFormat="false" ht="12.75" hidden="false" customHeight="false" outlineLevel="0" collapsed="false">
      <c r="D122" s="372"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2"/>
    </row>
    <row r="123" customFormat="false" ht="12.75" hidden="false" customHeight="false" outlineLevel="0" collapsed="false">
      <c r="D123" s="372"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2"/>
    </row>
    <row r="124" customFormat="false" ht="12.75" hidden="false" customHeight="false" outlineLevel="0" collapsed="false">
      <c r="D124" s="372"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2"/>
    </row>
    <row r="125" customFormat="false" ht="12.75" hidden="false" customHeight="false" outlineLevel="0" collapsed="false">
      <c r="D125" s="372"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2"/>
    </row>
    <row r="126" customFormat="false" ht="12.75" hidden="false" customHeight="false" outlineLevel="0" collapsed="false">
      <c r="D126" s="372"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2"/>
    </row>
    <row r="127" customFormat="false" ht="12.75" hidden="false" customHeight="false" outlineLevel="0" collapsed="false">
      <c r="D127" s="372"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2"/>
    </row>
    <row r="128" customFormat="false" ht="12.75" hidden="false" customHeight="false" outlineLevel="0" collapsed="false">
      <c r="D128" s="372"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2"/>
    </row>
    <row r="129" customFormat="false" ht="12.75" hidden="false" customHeight="false" outlineLevel="0" collapsed="false">
      <c r="D129" s="372"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2"/>
    </row>
    <row r="130" customFormat="false" ht="12.75" hidden="false" customHeight="false" outlineLevel="0" collapsed="false">
      <c r="D130" s="372"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2"/>
    </row>
    <row r="131" customFormat="false" ht="12.75" hidden="false" customHeight="false" outlineLevel="0" collapsed="false">
      <c r="D131" s="372"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2"/>
    </row>
    <row r="132" customFormat="false" ht="12.75" hidden="false" customHeight="false" outlineLevel="0" collapsed="false">
      <c r="D132" s="372"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2"/>
    </row>
    <row r="133" customFormat="false" ht="12.75" hidden="false" customHeight="false" outlineLevel="0" collapsed="false">
      <c r="D133" s="372"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2"/>
    </row>
    <row r="134" customFormat="false" ht="12.75" hidden="false" customHeight="false" outlineLevel="0" collapsed="false">
      <c r="D134" s="372"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2"/>
    </row>
    <row r="135" customFormat="false" ht="12.75" hidden="false" customHeight="false" outlineLevel="0" collapsed="false">
      <c r="D135" s="372"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2"/>
    </row>
    <row r="136" customFormat="false" ht="12.75" hidden="false" customHeight="false" outlineLevel="0" collapsed="false">
      <c r="D136" s="372"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2"/>
    </row>
    <row r="137" customFormat="false" ht="12.75" hidden="false" customHeight="false" outlineLevel="0" collapsed="false">
      <c r="D137" s="372"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2"/>
    </row>
    <row r="138" customFormat="false" ht="12.75" hidden="false" customHeight="false" outlineLevel="0" collapsed="false">
      <c r="D138" s="372"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2"/>
    </row>
    <row r="139" customFormat="false" ht="12.75" hidden="false" customHeight="false" outlineLevel="0" collapsed="false">
      <c r="D139" s="372"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2"/>
    </row>
    <row r="140" customFormat="false" ht="12.75" hidden="false" customHeight="false" outlineLevel="0" collapsed="false">
      <c r="D140" s="372"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2"/>
    </row>
    <row r="141" customFormat="false" ht="12.75" hidden="false" customHeight="false" outlineLevel="0" collapsed="false">
      <c r="D141" s="372"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2"/>
    </row>
    <row r="142" customFormat="false" ht="12.75" hidden="false" customHeight="false" outlineLevel="0" collapsed="false">
      <c r="D142" s="372"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2"/>
    </row>
    <row r="143" customFormat="false" ht="12.75" hidden="false" customHeight="false" outlineLevel="0" collapsed="false">
      <c r="D143" s="372"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2"/>
    </row>
    <row r="144" customFormat="false" ht="12.75" hidden="false" customHeight="false" outlineLevel="0" collapsed="false">
      <c r="D144" s="372"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2"/>
    </row>
    <row r="145" customFormat="false" ht="12.75" hidden="false" customHeight="false" outlineLevel="0" collapsed="false">
      <c r="D145" s="372"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2"/>
    </row>
    <row r="146" customFormat="false" ht="12.75" hidden="false" customHeight="false" outlineLevel="0" collapsed="false">
      <c r="D146" s="372"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2"/>
    </row>
    <row r="147" customFormat="false" ht="12.75" hidden="false" customHeight="false" outlineLevel="0" collapsed="false">
      <c r="D147" s="372"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2"/>
    </row>
    <row r="148" customFormat="false" ht="12.75" hidden="false" customHeight="false" outlineLevel="0" collapsed="false">
      <c r="D148" s="372"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2"/>
    </row>
    <row r="149" customFormat="false" ht="12.75" hidden="false" customHeight="false" outlineLevel="0" collapsed="false">
      <c r="D149" s="372"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2"/>
    </row>
    <row r="150" customFormat="false" ht="12.75" hidden="false" customHeight="false" outlineLevel="0" collapsed="false">
      <c r="D150" s="372"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2"/>
    </row>
    <row r="151" customFormat="false" ht="12.75" hidden="false" customHeight="false" outlineLevel="0" collapsed="false">
      <c r="D151" s="372"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2"/>
    </row>
    <row r="152" customFormat="false" ht="12.75" hidden="false" customHeight="false" outlineLevel="0" collapsed="false">
      <c r="D152" s="372"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2"/>
    </row>
    <row r="153" customFormat="false" ht="12.75" hidden="false" customHeight="false" outlineLevel="0" collapsed="false">
      <c r="D153" s="372"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2"/>
    </row>
    <row r="154" customFormat="false" ht="12.75" hidden="false" customHeight="false" outlineLevel="0" collapsed="false">
      <c r="D154" s="372"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2"/>
    </row>
    <row r="155" customFormat="false" ht="12.75" hidden="false" customHeight="false" outlineLevel="0" collapsed="false">
      <c r="D155" s="372"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2"/>
    </row>
    <row r="156" customFormat="false" ht="12.75" hidden="false" customHeight="false" outlineLevel="0" collapsed="false">
      <c r="D156" s="372"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2"/>
    </row>
    <row r="157" customFormat="false" ht="12.75" hidden="false" customHeight="false" outlineLevel="0" collapsed="false">
      <c r="D157" s="372"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2"/>
    </row>
    <row r="158" customFormat="false" ht="12.75" hidden="false" customHeight="false" outlineLevel="0" collapsed="false">
      <c r="D158" s="372"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2"/>
    </row>
    <row r="159" customFormat="false" ht="12.75" hidden="false" customHeight="false" outlineLevel="0" collapsed="false">
      <c r="D159" s="372"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2"/>
    </row>
    <row r="160" customFormat="false" ht="12.75" hidden="false" customHeight="false" outlineLevel="0" collapsed="false">
      <c r="D160" s="372"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2"/>
    </row>
    <row r="161" customFormat="false" ht="12.75" hidden="false" customHeight="false" outlineLevel="0" collapsed="false">
      <c r="D161" s="372"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2"/>
    </row>
    <row r="162" customFormat="false" ht="12.75" hidden="false" customHeight="false" outlineLevel="0" collapsed="false">
      <c r="D162" s="372"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2"/>
    </row>
    <row r="163" customFormat="false" ht="12.75" hidden="false" customHeight="false" outlineLevel="0" collapsed="false">
      <c r="D163" s="372"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2"/>
    </row>
    <row r="164" customFormat="false" ht="12.75" hidden="false" customHeight="false" outlineLevel="0" collapsed="false">
      <c r="D164" s="372"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2"/>
    </row>
    <row r="165" customFormat="false" ht="12.75" hidden="false" customHeight="false" outlineLevel="0" collapsed="false">
      <c r="D165" s="372"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2"/>
    </row>
    <row r="166" customFormat="false" ht="12.75" hidden="false" customHeight="false" outlineLevel="0" collapsed="false">
      <c r="D166" s="372"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2"/>
    </row>
    <row r="167" customFormat="false" ht="12.75" hidden="false" customHeight="false" outlineLevel="0" collapsed="false">
      <c r="D167" s="372"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2"/>
    </row>
    <row r="168" customFormat="false" ht="12.75" hidden="false" customHeight="false" outlineLevel="0" collapsed="false">
      <c r="D168" s="372"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2"/>
    </row>
    <row r="169" customFormat="false" ht="12.75" hidden="false" customHeight="false" outlineLevel="0" collapsed="false">
      <c r="D169" s="372"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2"/>
    </row>
    <row r="170" customFormat="false" ht="12.75" hidden="false" customHeight="false" outlineLevel="0" collapsed="false">
      <c r="D170" s="372"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2"/>
    </row>
    <row r="171" customFormat="false" ht="12.75" hidden="false" customHeight="false" outlineLevel="0" collapsed="false">
      <c r="D171" s="372"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2"/>
    </row>
    <row r="172" customFormat="false" ht="12.75" hidden="false" customHeight="false" outlineLevel="0" collapsed="false">
      <c r="D172" s="372"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2"/>
    </row>
    <row r="173" customFormat="false" ht="12.75" hidden="false" customHeight="false" outlineLevel="0" collapsed="false">
      <c r="D173" s="372"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2"/>
    </row>
    <row r="174" customFormat="false" ht="12.75" hidden="false" customHeight="false" outlineLevel="0" collapsed="false">
      <c r="D174" s="372"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2"/>
    </row>
    <row r="175" customFormat="false" ht="12.75" hidden="false" customHeight="false" outlineLevel="0" collapsed="false">
      <c r="D175" s="372"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2"/>
    </row>
    <row r="176" customFormat="false" ht="12.75" hidden="false" customHeight="false" outlineLevel="0" collapsed="false">
      <c r="D176" s="372"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2"/>
    </row>
    <row r="177" customFormat="false" ht="12.75" hidden="false" customHeight="false" outlineLevel="0" collapsed="false">
      <c r="D177" s="372"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2"/>
    </row>
    <row r="178" customFormat="false" ht="12.75" hidden="false" customHeight="false" outlineLevel="0" collapsed="false">
      <c r="D178" s="372"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2"/>
    </row>
    <row r="179" customFormat="false" ht="12.75" hidden="false" customHeight="false" outlineLevel="0" collapsed="false">
      <c r="D179" s="372"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2"/>
    </row>
    <row r="180" customFormat="false" ht="12.75" hidden="false" customHeight="false" outlineLevel="0" collapsed="false">
      <c r="D180" s="372"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2"/>
    </row>
    <row r="181" customFormat="false" ht="12.75" hidden="false" customHeight="false" outlineLevel="0" collapsed="false">
      <c r="D181" s="372"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2"/>
    </row>
    <row r="182" customFormat="false" ht="12.75" hidden="false" customHeight="false" outlineLevel="0" collapsed="false">
      <c r="D182" s="372"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2"/>
    </row>
    <row r="183" customFormat="false" ht="12.75" hidden="false" customHeight="false" outlineLevel="0" collapsed="false">
      <c r="D183" s="372"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2"/>
    </row>
    <row r="184" customFormat="false" ht="12.75" hidden="false" customHeight="false" outlineLevel="0" collapsed="false">
      <c r="D184" s="372"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2"/>
    </row>
    <row r="185" customFormat="false" ht="12.75" hidden="false" customHeight="false" outlineLevel="0" collapsed="false">
      <c r="D185" s="372"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2"/>
    </row>
    <row r="186" customFormat="false" ht="12.75" hidden="false" customHeight="false" outlineLevel="0" collapsed="false">
      <c r="D186" s="372"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2"/>
    </row>
    <row r="187" customFormat="false" ht="12.75" hidden="false" customHeight="false" outlineLevel="0" collapsed="false">
      <c r="D187" s="372"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2"/>
    </row>
    <row r="188" customFormat="false" ht="12.75" hidden="false" customHeight="false" outlineLevel="0" collapsed="false">
      <c r="D188" s="372"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2"/>
    </row>
    <row r="189" customFormat="false" ht="12.75" hidden="false" customHeight="false" outlineLevel="0" collapsed="false">
      <c r="D189" s="372"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2"/>
    </row>
    <row r="190" customFormat="false" ht="12.75" hidden="false" customHeight="false" outlineLevel="0" collapsed="false">
      <c r="D190" s="372"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2"/>
    </row>
    <row r="191" customFormat="false" ht="12.75" hidden="false" customHeight="false" outlineLevel="0" collapsed="false">
      <c r="D191" s="372"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2"/>
    </row>
    <row r="192" customFormat="false" ht="12.75" hidden="false" customHeight="false" outlineLevel="0" collapsed="false">
      <c r="D192" s="372"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2"/>
    </row>
    <row r="193" customFormat="false" ht="12.75" hidden="false" customHeight="false" outlineLevel="0" collapsed="false">
      <c r="D193" s="372"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2"/>
    </row>
    <row r="194" customFormat="false" ht="12.75" hidden="false" customHeight="false" outlineLevel="0" collapsed="false">
      <c r="D194" s="372"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2"/>
    </row>
    <row r="195" customFormat="false" ht="12.75" hidden="false" customHeight="false" outlineLevel="0" collapsed="false">
      <c r="D195" s="372"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2"/>
    </row>
    <row r="196" customFormat="false" ht="12.75" hidden="false" customHeight="false" outlineLevel="0" collapsed="false">
      <c r="D196" s="372"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2"/>
    </row>
    <row r="197" customFormat="false" ht="12.75" hidden="false" customHeight="false" outlineLevel="0" collapsed="false">
      <c r="D197" s="372"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2"/>
    </row>
    <row r="198" customFormat="false" ht="12.75" hidden="false" customHeight="false" outlineLevel="0" collapsed="false">
      <c r="D198" s="372"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2"/>
    </row>
    <row r="199" customFormat="false" ht="12.75" hidden="false" customHeight="false" outlineLevel="0" collapsed="false">
      <c r="D199" s="372"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2"/>
    </row>
    <row r="200" customFormat="false" ht="12.75" hidden="false" customHeight="false" outlineLevel="0" collapsed="false">
      <c r="D200" s="372"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2"/>
    </row>
    <row r="201" customFormat="false" ht="12.75" hidden="false" customHeight="false" outlineLevel="0" collapsed="false">
      <c r="D201" s="372"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2"/>
    </row>
    <row r="202" customFormat="false" ht="12.75" hidden="false" customHeight="false" outlineLevel="0" collapsed="false">
      <c r="D202" s="372"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2"/>
    </row>
    <row r="203" customFormat="false" ht="12.75" hidden="false" customHeight="false" outlineLevel="0" collapsed="false">
      <c r="D203" s="372"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2"/>
    </row>
    <row r="204" customFormat="false" ht="12.75" hidden="false" customHeight="false" outlineLevel="0" collapsed="false">
      <c r="D204" s="372"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2"/>
    </row>
    <row r="205" customFormat="false" ht="12.75" hidden="false" customHeight="false" outlineLevel="0" collapsed="false">
      <c r="U205" s="372"/>
    </row>
    <row r="206" customFormat="false" ht="12.75" hidden="false" customHeight="false" outlineLevel="0" collapsed="false">
      <c r="U206" s="372"/>
    </row>
    <row r="207" customFormat="false" ht="12.75" hidden="false" customHeight="false" outlineLevel="0" collapsed="false">
      <c r="U207" s="372"/>
    </row>
    <row r="208" customFormat="false" ht="12.75" hidden="false" customHeight="false" outlineLevel="0" collapsed="false">
      <c r="U208" s="372"/>
    </row>
    <row r="209" customFormat="false" ht="12.75" hidden="false" customHeight="false" outlineLevel="0" collapsed="false">
      <c r="U209" s="372"/>
    </row>
    <row r="210" customFormat="false" ht="12.75" hidden="false" customHeight="false" outlineLevel="0" collapsed="false">
      <c r="U210" s="372"/>
    </row>
    <row r="211" customFormat="false" ht="12.75" hidden="false" customHeight="false" outlineLevel="0" collapsed="false">
      <c r="U211" s="372"/>
    </row>
    <row r="212" customFormat="false" ht="12.75" hidden="false" customHeight="false" outlineLevel="0" collapsed="false">
      <c r="U212" s="372"/>
    </row>
    <row r="213" customFormat="false" ht="12.75" hidden="false" customHeight="false" outlineLevel="0" collapsed="false">
      <c r="U213" s="372"/>
    </row>
    <row r="214" customFormat="false" ht="12.75" hidden="false" customHeight="false" outlineLevel="0" collapsed="false">
      <c r="U214" s="372"/>
    </row>
    <row r="215" customFormat="false" ht="12.75" hidden="false" customHeight="false" outlineLevel="0" collapsed="false">
      <c r="U215" s="372"/>
    </row>
    <row r="216" customFormat="false" ht="12.75" hidden="false" customHeight="false" outlineLevel="0" collapsed="false">
      <c r="U216" s="372"/>
    </row>
    <row r="217" customFormat="false" ht="12.75" hidden="false" customHeight="false" outlineLevel="0" collapsed="false">
      <c r="U217" s="372"/>
    </row>
    <row r="218" customFormat="false" ht="12.75" hidden="false" customHeight="false" outlineLevel="0" collapsed="false">
      <c r="U218" s="372"/>
    </row>
    <row r="219" customFormat="false" ht="12.75" hidden="false" customHeight="false" outlineLevel="0" collapsed="false">
      <c r="U219" s="372"/>
    </row>
    <row r="220" customFormat="false" ht="12.75" hidden="false" customHeight="false" outlineLevel="0" collapsed="false">
      <c r="U220" s="372"/>
    </row>
    <row r="221" customFormat="false" ht="12.75" hidden="false" customHeight="false" outlineLevel="0" collapsed="false">
      <c r="U221" s="372"/>
    </row>
    <row r="222" customFormat="false" ht="12.75" hidden="false" customHeight="false" outlineLevel="0" collapsed="false">
      <c r="U222" s="372"/>
    </row>
    <row r="223" customFormat="false" ht="12.75" hidden="false" customHeight="false" outlineLevel="0" collapsed="false">
      <c r="U223" s="372"/>
    </row>
    <row r="224" customFormat="false" ht="12.75" hidden="false" customHeight="false" outlineLevel="0" collapsed="false">
      <c r="U224" s="372"/>
    </row>
    <row r="225" customFormat="false" ht="12.75" hidden="false" customHeight="false" outlineLevel="0" collapsed="false">
      <c r="U225" s="372"/>
    </row>
    <row r="226" customFormat="false" ht="12.75" hidden="false" customHeight="false" outlineLevel="0" collapsed="false">
      <c r="U226" s="372"/>
    </row>
    <row r="227" customFormat="false" ht="12.75" hidden="false" customHeight="false" outlineLevel="0" collapsed="false">
      <c r="U227" s="372"/>
    </row>
    <row r="228" customFormat="false" ht="12.75" hidden="false" customHeight="false" outlineLevel="0" collapsed="false">
      <c r="U228" s="372"/>
    </row>
    <row r="229" customFormat="false" ht="12.75" hidden="false" customHeight="false" outlineLevel="0" collapsed="false">
      <c r="U229" s="372"/>
    </row>
    <row r="230" customFormat="false" ht="12.75" hidden="false" customHeight="false" outlineLevel="0" collapsed="false">
      <c r="U230" s="372"/>
    </row>
    <row r="231" customFormat="false" ht="12.75" hidden="false" customHeight="false" outlineLevel="0" collapsed="false">
      <c r="U231" s="372"/>
    </row>
    <row r="232" customFormat="false" ht="12.75" hidden="false" customHeight="false" outlineLevel="0" collapsed="false">
      <c r="U232" s="372"/>
    </row>
    <row r="233" customFormat="false" ht="12.75" hidden="false" customHeight="false" outlineLevel="0" collapsed="false">
      <c r="U233" s="372"/>
    </row>
    <row r="234" customFormat="false" ht="12.75" hidden="false" customHeight="false" outlineLevel="0" collapsed="false">
      <c r="U234" s="372"/>
    </row>
    <row r="235" customFormat="false" ht="12.75" hidden="false" customHeight="false" outlineLevel="0" collapsed="false">
      <c r="U235" s="372"/>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5" width="9.66"/>
    <col collapsed="false" customWidth="true" hidden="false" outlineLevel="0" max="2" min="2" style="346" width="14.66"/>
    <col collapsed="false" customWidth="true" hidden="false" outlineLevel="0" max="3" min="3" style="181" width="13.66"/>
    <col collapsed="false" customWidth="true" hidden="false" outlineLevel="0" max="4" min="4" style="347" width="12.66"/>
    <col collapsed="false" customWidth="true" hidden="false" outlineLevel="0" max="5" min="5" style="348" width="12.66"/>
    <col collapsed="false" customWidth="true" hidden="false" outlineLevel="0" max="6" min="6" style="181" width="12.66"/>
    <col collapsed="false" customWidth="false" hidden="false" outlineLevel="0" max="257" min="7" style="181" width="9.15"/>
  </cols>
  <sheetData>
    <row r="1" s="353" customFormat="true" ht="12.75" hidden="false" customHeight="true" outlineLevel="0" collapsed="false">
      <c r="A1" s="349" t="s">
        <v>238</v>
      </c>
      <c r="B1" s="350" t="s">
        <v>239</v>
      </c>
      <c r="C1" s="351" t="s">
        <v>240</v>
      </c>
      <c r="D1" s="352" t="n">
        <f aca="false">SUM(D4:D47)</f>
        <v>0</v>
      </c>
      <c r="E1" s="351" t="n">
        <f aca="false">SUM(E4:E47)/2</f>
        <v>3000</v>
      </c>
      <c r="F1" s="351" t="n">
        <f aca="false">SUM(F4:F47)/2</f>
        <v>0</v>
      </c>
    </row>
    <row r="2" s="353" customFormat="true" ht="12.75" hidden="false" customHeight="true" outlineLevel="0" collapsed="false">
      <c r="A2" s="349"/>
      <c r="B2" s="350"/>
      <c r="C2" s="354" t="s">
        <v>241</v>
      </c>
      <c r="D2" s="355" t="s">
        <v>242</v>
      </c>
      <c r="E2" s="354" t="s">
        <v>243</v>
      </c>
      <c r="F2" s="354" t="s">
        <v>244</v>
      </c>
    </row>
    <row r="3" s="356" customFormat="true" ht="24" hidden="false" customHeight="true" outlineLevel="0" collapsed="false">
      <c r="A3" s="349"/>
      <c r="B3" s="350"/>
      <c r="C3" s="354"/>
      <c r="D3" s="355"/>
      <c r="E3" s="354"/>
      <c r="F3" s="354"/>
    </row>
    <row r="5" customFormat="false" ht="12.75" hidden="false" customHeight="false" outlineLevel="0" collapsed="false">
      <c r="A5" s="357" t="n">
        <v>46202</v>
      </c>
      <c r="B5" s="358" t="n">
        <v>46202</v>
      </c>
      <c r="C5" s="359"/>
      <c r="D5" s="360"/>
      <c r="E5" s="361"/>
      <c r="F5" s="362"/>
    </row>
    <row r="6" customFormat="false" ht="12.75" hidden="false" customHeight="false" outlineLevel="0" collapsed="false">
      <c r="A6" s="363" t="n">
        <v>46203</v>
      </c>
      <c r="B6" s="346" t="n">
        <v>46203</v>
      </c>
      <c r="F6" s="364"/>
    </row>
    <row r="7" customFormat="false" ht="12.75" hidden="false" customHeight="false" outlineLevel="0" collapsed="false">
      <c r="A7" s="363" t="n">
        <v>46204</v>
      </c>
      <c r="B7" s="346" t="n">
        <v>46204</v>
      </c>
      <c r="F7" s="364"/>
    </row>
    <row r="8" customFormat="false" ht="12.75" hidden="false" customHeight="false" outlineLevel="0" collapsed="false">
      <c r="A8" s="363" t="n">
        <v>46205</v>
      </c>
      <c r="B8" s="346" t="n">
        <v>46205</v>
      </c>
      <c r="F8" s="364"/>
    </row>
    <row r="9" customFormat="false" ht="12.75" hidden="false" customHeight="false" outlineLevel="0" collapsed="false">
      <c r="A9" s="363" t="n">
        <v>46206</v>
      </c>
      <c r="B9" s="346" t="n">
        <v>46206</v>
      </c>
      <c r="F9" s="364"/>
    </row>
    <row r="10" customFormat="false" ht="12.75" hidden="false" customHeight="false" outlineLevel="0" collapsed="false">
      <c r="A10" s="363" t="n">
        <v>46207</v>
      </c>
      <c r="B10" s="346" t="n">
        <v>46207</v>
      </c>
      <c r="F10" s="364"/>
    </row>
    <row r="11" customFormat="false" ht="12.75" hidden="false" customHeight="false" outlineLevel="0" collapsed="false">
      <c r="A11" s="363" t="n">
        <v>46208</v>
      </c>
      <c r="B11" s="346" t="n">
        <v>46208</v>
      </c>
      <c r="F11" s="364"/>
    </row>
    <row r="12" customFormat="false" ht="12.75" hidden="false" customHeight="false" outlineLevel="0" collapsed="false">
      <c r="A12" s="363" t="n">
        <v>46208</v>
      </c>
      <c r="B12" s="346" t="s">
        <v>245</v>
      </c>
      <c r="F12" s="364"/>
    </row>
    <row r="13" customFormat="false" ht="12.75" hidden="false" customHeight="false" outlineLevel="0" collapsed="false">
      <c r="A13" s="363" t="n">
        <v>46208</v>
      </c>
      <c r="B13" s="346" t="s">
        <v>246</v>
      </c>
      <c r="F13" s="364"/>
    </row>
    <row r="14" customFormat="false" ht="12.75" hidden="false" customHeight="false" outlineLevel="0" collapsed="false">
      <c r="A14" s="365"/>
      <c r="B14" s="366"/>
      <c r="C14" s="367"/>
      <c r="D14" s="368"/>
      <c r="E14" s="369" t="n">
        <f aca="false">SUM(E5:E13)</f>
        <v>0</v>
      </c>
      <c r="F14" s="370" t="n">
        <f aca="false">SUM(F5:F13)</f>
        <v>0</v>
      </c>
    </row>
    <row r="16" customFormat="false" ht="12.75" hidden="false" customHeight="false" outlineLevel="0" collapsed="false">
      <c r="A16" s="357" t="n">
        <v>46209</v>
      </c>
      <c r="B16" s="358" t="n">
        <v>46209</v>
      </c>
      <c r="C16" s="359"/>
      <c r="D16" s="360"/>
      <c r="E16" s="361"/>
      <c r="F16" s="362"/>
    </row>
    <row r="17" customFormat="false" ht="12.75" hidden="false" customHeight="false" outlineLevel="0" collapsed="false">
      <c r="A17" s="363" t="n">
        <v>46210</v>
      </c>
      <c r="B17" s="346" t="n">
        <v>46210</v>
      </c>
      <c r="E17" s="348" t="n">
        <v>200</v>
      </c>
      <c r="F17" s="364"/>
    </row>
    <row r="18" customFormat="false" ht="12.75" hidden="false" customHeight="false" outlineLevel="0" collapsed="false">
      <c r="A18" s="363" t="n">
        <v>46211</v>
      </c>
      <c r="B18" s="346" t="n">
        <v>46211</v>
      </c>
      <c r="E18" s="348" t="n">
        <v>200</v>
      </c>
      <c r="F18" s="364"/>
    </row>
    <row r="19" customFormat="false" ht="12.75" hidden="false" customHeight="false" outlineLevel="0" collapsed="false">
      <c r="A19" s="363" t="n">
        <v>46212</v>
      </c>
      <c r="B19" s="346" t="n">
        <v>46212</v>
      </c>
      <c r="E19" s="348" t="n">
        <v>200</v>
      </c>
      <c r="F19" s="364"/>
    </row>
    <row r="20" customFormat="false" ht="12.75" hidden="false" customHeight="false" outlineLevel="0" collapsed="false">
      <c r="A20" s="363" t="n">
        <v>46213</v>
      </c>
      <c r="B20" s="346" t="n">
        <v>46213</v>
      </c>
      <c r="E20" s="348" t="n">
        <v>200</v>
      </c>
      <c r="F20" s="364"/>
    </row>
    <row r="21" customFormat="false" ht="12.75" hidden="false" customHeight="false" outlineLevel="0" collapsed="false">
      <c r="A21" s="363" t="n">
        <v>46214</v>
      </c>
      <c r="B21" s="346" t="n">
        <v>46214</v>
      </c>
      <c r="E21" s="348" t="n">
        <v>200</v>
      </c>
      <c r="F21" s="364"/>
    </row>
    <row r="22" customFormat="false" ht="12.75" hidden="false" customHeight="false" outlineLevel="0" collapsed="false">
      <c r="A22" s="363" t="n">
        <v>46215</v>
      </c>
      <c r="B22" s="346" t="n">
        <v>46215</v>
      </c>
      <c r="F22" s="364"/>
    </row>
    <row r="23" customFormat="false" ht="12.75" hidden="false" customHeight="false" outlineLevel="0" collapsed="false">
      <c r="A23" s="363" t="n">
        <v>46215</v>
      </c>
      <c r="B23" s="346" t="s">
        <v>245</v>
      </c>
      <c r="F23" s="364"/>
    </row>
    <row r="24" customFormat="false" ht="12.75" hidden="false" customHeight="false" outlineLevel="0" collapsed="false">
      <c r="A24" s="363" t="n">
        <v>46215</v>
      </c>
      <c r="B24" s="346" t="s">
        <v>246</v>
      </c>
      <c r="F24" s="364"/>
    </row>
    <row r="25" customFormat="false" ht="12.75" hidden="false" customHeight="false" outlineLevel="0" collapsed="false">
      <c r="A25" s="365"/>
      <c r="B25" s="366"/>
      <c r="C25" s="367"/>
      <c r="D25" s="368"/>
      <c r="E25" s="369" t="n">
        <f aca="false">SUM(E16:E24)</f>
        <v>1000</v>
      </c>
      <c r="F25" s="370" t="n">
        <f aca="false">SUM(F16:F24)</f>
        <v>0</v>
      </c>
    </row>
    <row r="27" customFormat="false" ht="12.75" hidden="false" customHeight="false" outlineLevel="0" collapsed="false">
      <c r="A27" s="357" t="n">
        <v>46216</v>
      </c>
      <c r="B27" s="358" t="n">
        <v>46216</v>
      </c>
      <c r="C27" s="359"/>
      <c r="D27" s="360"/>
      <c r="E27" s="361"/>
      <c r="F27" s="362"/>
    </row>
    <row r="28" customFormat="false" ht="12.75" hidden="false" customHeight="false" outlineLevel="0" collapsed="false">
      <c r="A28" s="363" t="n">
        <v>46217</v>
      </c>
      <c r="B28" s="346" t="n">
        <v>46217</v>
      </c>
      <c r="E28" s="348" t="n">
        <v>200</v>
      </c>
      <c r="F28" s="364"/>
    </row>
    <row r="29" customFormat="false" ht="12.75" hidden="false" customHeight="false" outlineLevel="0" collapsed="false">
      <c r="A29" s="363" t="n">
        <v>46218</v>
      </c>
      <c r="B29" s="346" t="n">
        <v>46218</v>
      </c>
      <c r="E29" s="348" t="n">
        <v>200</v>
      </c>
      <c r="F29" s="364"/>
    </row>
    <row r="30" customFormat="false" ht="12.75" hidden="false" customHeight="false" outlineLevel="0" collapsed="false">
      <c r="A30" s="363" t="n">
        <v>46219</v>
      </c>
      <c r="B30" s="346" t="n">
        <v>46219</v>
      </c>
      <c r="E30" s="348" t="n">
        <v>200</v>
      </c>
      <c r="F30" s="364"/>
    </row>
    <row r="31" customFormat="false" ht="12.75" hidden="false" customHeight="false" outlineLevel="0" collapsed="false">
      <c r="A31" s="363" t="n">
        <v>46220</v>
      </c>
      <c r="B31" s="346" t="n">
        <v>46220</v>
      </c>
      <c r="E31" s="348" t="n">
        <v>200</v>
      </c>
      <c r="F31" s="364"/>
    </row>
    <row r="32" customFormat="false" ht="12.75" hidden="false" customHeight="false" outlineLevel="0" collapsed="false">
      <c r="A32" s="363" t="n">
        <v>46221</v>
      </c>
      <c r="B32" s="346" t="n">
        <v>46221</v>
      </c>
      <c r="E32" s="348" t="n">
        <v>200</v>
      </c>
      <c r="F32" s="364"/>
    </row>
    <row r="33" customFormat="false" ht="12.75" hidden="false" customHeight="false" outlineLevel="0" collapsed="false">
      <c r="A33" s="363" t="n">
        <v>46222</v>
      </c>
      <c r="B33" s="346" t="n">
        <v>46222</v>
      </c>
      <c r="F33" s="364"/>
    </row>
    <row r="34" customFormat="false" ht="12.75" hidden="false" customHeight="false" outlineLevel="0" collapsed="false">
      <c r="A34" s="363" t="n">
        <v>46222</v>
      </c>
      <c r="B34" s="346" t="s">
        <v>245</v>
      </c>
      <c r="F34" s="364"/>
    </row>
    <row r="35" customFormat="false" ht="12.75" hidden="false" customHeight="false" outlineLevel="0" collapsed="false">
      <c r="A35" s="363" t="n">
        <v>46222</v>
      </c>
      <c r="B35" s="346" t="s">
        <v>246</v>
      </c>
      <c r="F35" s="364"/>
    </row>
    <row r="36" customFormat="false" ht="12.75" hidden="false" customHeight="false" outlineLevel="0" collapsed="false">
      <c r="A36" s="365"/>
      <c r="B36" s="366"/>
      <c r="C36" s="367"/>
      <c r="D36" s="368"/>
      <c r="E36" s="369" t="n">
        <f aca="false">SUM(E27:E35)</f>
        <v>1000</v>
      </c>
      <c r="F36" s="370" t="n">
        <f aca="false">SUM(F27:F35)</f>
        <v>0</v>
      </c>
    </row>
    <row r="38" customFormat="false" ht="12.75" hidden="false" customHeight="false" outlineLevel="0" collapsed="false">
      <c r="A38" s="357" t="n">
        <v>46223</v>
      </c>
      <c r="B38" s="358" t="n">
        <v>46223</v>
      </c>
      <c r="C38" s="359"/>
      <c r="D38" s="360"/>
      <c r="E38" s="361"/>
      <c r="F38" s="362"/>
    </row>
    <row r="39" customFormat="false" ht="12.75" hidden="false" customHeight="false" outlineLevel="0" collapsed="false">
      <c r="A39" s="363" t="n">
        <v>46224</v>
      </c>
      <c r="B39" s="346" t="n">
        <v>46224</v>
      </c>
      <c r="E39" s="348" t="n">
        <v>200</v>
      </c>
      <c r="F39" s="364"/>
    </row>
    <row r="40" customFormat="false" ht="12.75" hidden="false" customHeight="false" outlineLevel="0" collapsed="false">
      <c r="A40" s="363" t="n">
        <v>46225</v>
      </c>
      <c r="B40" s="346" t="n">
        <v>46225</v>
      </c>
      <c r="E40" s="348" t="n">
        <v>200</v>
      </c>
      <c r="F40" s="364"/>
    </row>
    <row r="41" customFormat="false" ht="12.75" hidden="false" customHeight="false" outlineLevel="0" collapsed="false">
      <c r="A41" s="363" t="n">
        <v>46226</v>
      </c>
      <c r="B41" s="346" t="n">
        <v>46226</v>
      </c>
      <c r="E41" s="348" t="n">
        <v>200</v>
      </c>
      <c r="F41" s="364"/>
    </row>
    <row r="42" customFormat="false" ht="12.75" hidden="false" customHeight="false" outlineLevel="0" collapsed="false">
      <c r="A42" s="363" t="n">
        <v>46227</v>
      </c>
      <c r="B42" s="346" t="n">
        <v>46227</v>
      </c>
      <c r="E42" s="348" t="n">
        <v>200</v>
      </c>
      <c r="F42" s="364"/>
    </row>
    <row r="43" customFormat="false" ht="12.75" hidden="false" customHeight="false" outlineLevel="0" collapsed="false">
      <c r="A43" s="363" t="n">
        <v>46228</v>
      </c>
      <c r="B43" s="346" t="n">
        <v>46228</v>
      </c>
      <c r="E43" s="348" t="n">
        <v>200</v>
      </c>
      <c r="F43" s="364"/>
    </row>
    <row r="44" customFormat="false" ht="12.75" hidden="false" customHeight="false" outlineLevel="0" collapsed="false">
      <c r="A44" s="363" t="n">
        <v>46229</v>
      </c>
      <c r="B44" s="346" t="n">
        <v>46229</v>
      </c>
      <c r="F44" s="364"/>
    </row>
    <row r="45" customFormat="false" ht="12.75" hidden="false" customHeight="false" outlineLevel="0" collapsed="false">
      <c r="A45" s="363" t="n">
        <v>46229</v>
      </c>
      <c r="B45" s="346" t="s">
        <v>245</v>
      </c>
      <c r="F45" s="364"/>
    </row>
    <row r="46" customFormat="false" ht="12.75" hidden="false" customHeight="false" outlineLevel="0" collapsed="false">
      <c r="A46" s="363" t="n">
        <v>46229</v>
      </c>
      <c r="B46" s="346" t="s">
        <v>246</v>
      </c>
      <c r="F46" s="364"/>
    </row>
    <row r="47" customFormat="false" ht="12.75" hidden="false" customHeight="false" outlineLevel="0" collapsed="false">
      <c r="A47" s="365"/>
      <c r="B47" s="366"/>
      <c r="C47" s="367"/>
      <c r="D47" s="368"/>
      <c r="E47" s="369" t="n">
        <f aca="false">SUM(E38:E46)</f>
        <v>1000</v>
      </c>
      <c r="F47" s="370"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1" width="9.66"/>
    <col collapsed="false" customWidth="true" hidden="false" outlineLevel="0" max="2" min="2" style="180" width="23.99"/>
    <col collapsed="false" customWidth="true" hidden="false" outlineLevel="0" max="3" min="3" style="180" width="15.99"/>
    <col collapsed="false" customWidth="false" hidden="false" outlineLevel="0" max="5" min="4" style="372" width="9.15"/>
    <col collapsed="false" customWidth="true" hidden="false" outlineLevel="0" max="6" min="6" style="373"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99"/>
    <col collapsed="false" customWidth="true" hidden="false" outlineLevel="0" max="15" min="14" style="181" width="9.49"/>
    <col collapsed="false" customWidth="true" hidden="false" outlineLevel="0" max="18" min="16" style="181" width="7.66"/>
    <col collapsed="false" customWidth="true" hidden="false" outlineLevel="0" max="19" min="19" style="181" width="8.15"/>
    <col collapsed="false" customWidth="true" hidden="false" outlineLevel="0" max="20" min="20" style="180" width="13.15"/>
    <col collapsed="false" customWidth="true" hidden="false" outlineLevel="0" max="21" min="21" style="181" width="8.33"/>
    <col collapsed="false" customWidth="false" hidden="false" outlineLevel="0" max="257" min="22" style="180" width="9.15"/>
  </cols>
  <sheetData>
    <row r="1" s="181" customFormat="true" ht="13.5" hidden="false" customHeight="true" outlineLevel="0" collapsed="false">
      <c r="A1" s="390" t="n">
        <f aca="false">E1+SalesJul!$D$1+PurchasesJun!A1</f>
        <v>0</v>
      </c>
      <c r="B1" s="391" t="s">
        <v>247</v>
      </c>
      <c r="C1" s="392" t="s">
        <v>240</v>
      </c>
      <c r="D1" s="376" t="str">
        <f aca="false">IF((F1-SUM(G1:S1)&lt;&gt;0),(F1-SUM(G1:S1))," ")</f>
        <v> </v>
      </c>
      <c r="E1" s="352" t="n">
        <f aca="false">SUM(E5:E199)</f>
        <v>0</v>
      </c>
      <c r="F1" s="351" t="n">
        <f aca="false">SUM(F5:F199)</f>
        <v>420</v>
      </c>
      <c r="G1" s="351" t="n">
        <f aca="false">SUM(G5:G199)</f>
        <v>300</v>
      </c>
      <c r="H1" s="351" t="n">
        <f aca="false">SUM(H5:H199)</f>
        <v>0</v>
      </c>
      <c r="I1" s="351" t="n">
        <f aca="false">SUM(I5:I199)</f>
        <v>0</v>
      </c>
      <c r="J1" s="351" t="n">
        <f aca="false">SUM(J5:J199)</f>
        <v>0</v>
      </c>
      <c r="K1" s="351" t="n">
        <f aca="false">SUM(K5:K199)</f>
        <v>0</v>
      </c>
      <c r="L1" s="351" t="n">
        <f aca="false">SUM(L5:L199)</f>
        <v>0</v>
      </c>
      <c r="M1" s="351" t="n">
        <f aca="false">SUM(M5:M199)</f>
        <v>120</v>
      </c>
      <c r="N1" s="351" t="n">
        <f aca="false">SUM(N5:N199)</f>
        <v>0</v>
      </c>
      <c r="O1" s="351" t="n">
        <f aca="false">SUM(O5:O199)</f>
        <v>0</v>
      </c>
      <c r="P1" s="351" t="n">
        <f aca="false">SUM(P5:P199)</f>
        <v>0</v>
      </c>
      <c r="Q1" s="351" t="n">
        <f aca="false">SUM(Q5:Q199)</f>
        <v>0</v>
      </c>
      <c r="R1" s="351" t="n">
        <f aca="false">SUM(R5:R199)</f>
        <v>0</v>
      </c>
      <c r="S1" s="393" t="n">
        <f aca="false">SUM(S5:S199)</f>
        <v>0</v>
      </c>
      <c r="T1" s="394" t="n">
        <f aca="false">S1+PurchasesJun!T1</f>
        <v>8000</v>
      </c>
      <c r="U1" s="393" t="n">
        <f aca="false">SUM(U4:U199)</f>
        <v>0</v>
      </c>
    </row>
    <row r="2" s="181" customFormat="true" ht="13.5" hidden="false" customHeight="true" outlineLevel="0" collapsed="false">
      <c r="A2" s="395" t="n">
        <f aca="false">U1+PurchasesJun!A2</f>
        <v>0</v>
      </c>
      <c r="B2" s="240" t="s">
        <v>248</v>
      </c>
      <c r="C2" s="379" t="s">
        <v>249</v>
      </c>
      <c r="D2" s="379" t="s">
        <v>250</v>
      </c>
      <c r="E2" s="379" t="s">
        <v>251</v>
      </c>
      <c r="F2" s="207" t="s">
        <v>252</v>
      </c>
      <c r="G2" s="380" t="s">
        <v>253</v>
      </c>
      <c r="H2" s="380"/>
      <c r="I2" s="381" t="n">
        <f aca="false">G1+H1+I1+J1+PurchasesJun!I2</f>
        <v>2580</v>
      </c>
      <c r="J2" s="381"/>
      <c r="K2" s="207" t="s">
        <v>254</v>
      </c>
      <c r="L2" s="207" t="s">
        <v>255</v>
      </c>
      <c r="M2" s="207" t="s">
        <v>256</v>
      </c>
      <c r="N2" s="207" t="s">
        <v>288</v>
      </c>
      <c r="O2" s="207" t="s">
        <v>258</v>
      </c>
      <c r="P2" s="207" t="s">
        <v>259</v>
      </c>
      <c r="Q2" s="207" t="s">
        <v>260</v>
      </c>
      <c r="R2" s="207" t="s">
        <v>261</v>
      </c>
      <c r="S2" s="382" t="s">
        <v>262</v>
      </c>
      <c r="T2" s="383" t="str">
        <f aca="false">IF(T1&gt;'Fixed Assets'!$D$74,"ENTER VEHICLE CHANGES        on Fixed Asset schedule","Motor Vehicles: make, model, date reg. and reg. Mark")</f>
        <v>ENTER VEHICLE CHANGES        on Fixed Asset schedule</v>
      </c>
      <c r="U2" s="382" t="s">
        <v>116</v>
      </c>
    </row>
    <row r="3" s="385" customFormat="true" ht="45" hidden="false" customHeight="true" outlineLevel="0" collapsed="false">
      <c r="A3" s="384" t="s">
        <v>263</v>
      </c>
      <c r="B3" s="207" t="s">
        <v>264</v>
      </c>
      <c r="C3" s="379"/>
      <c r="D3" s="379"/>
      <c r="E3" s="379"/>
      <c r="F3" s="379"/>
      <c r="G3" s="207" t="s">
        <v>111</v>
      </c>
      <c r="H3" s="207" t="s">
        <v>265</v>
      </c>
      <c r="I3" s="207" t="s">
        <v>113</v>
      </c>
      <c r="J3" s="207" t="s">
        <v>114</v>
      </c>
      <c r="K3" s="207"/>
      <c r="L3" s="207"/>
      <c r="M3" s="207"/>
      <c r="N3" s="207"/>
      <c r="O3" s="207"/>
      <c r="P3" s="207"/>
      <c r="Q3" s="207"/>
      <c r="R3" s="207"/>
      <c r="S3" s="382"/>
      <c r="T3" s="383"/>
      <c r="U3" s="382"/>
    </row>
    <row r="4" s="388" customFormat="true" ht="12.75" hidden="false" customHeight="false" outlineLevel="0" collapsed="false">
      <c r="A4" s="386" t="str">
        <f aca="false">IF((E1&lt;&gt;0),Admin!$B$8," ")</f>
        <v> </v>
      </c>
      <c r="B4" s="207"/>
      <c r="C4" s="207"/>
      <c r="D4" s="207"/>
      <c r="E4" s="207"/>
      <c r="F4" s="207"/>
      <c r="G4" s="375" t="s">
        <v>266</v>
      </c>
      <c r="H4" s="375" t="s">
        <v>267</v>
      </c>
      <c r="I4" s="375" t="s">
        <v>268</v>
      </c>
      <c r="J4" s="375" t="s">
        <v>269</v>
      </c>
      <c r="K4" s="375" t="s">
        <v>270</v>
      </c>
      <c r="L4" s="375" t="s">
        <v>271</v>
      </c>
      <c r="M4" s="375" t="s">
        <v>272</v>
      </c>
      <c r="N4" s="375" t="s">
        <v>273</v>
      </c>
      <c r="O4" s="375" t="s">
        <v>274</v>
      </c>
      <c r="P4" s="375" t="s">
        <v>275</v>
      </c>
      <c r="Q4" s="375" t="s">
        <v>276</v>
      </c>
      <c r="R4" s="375" t="s">
        <v>277</v>
      </c>
      <c r="S4" s="387" t="s">
        <v>278</v>
      </c>
      <c r="T4" s="383"/>
      <c r="U4" s="394" t="n">
        <f aca="false">IF((A1&lt;Admin!$F$22),((A1-PurchasesJun!A1)*Admin!$G$21),(A1*Admin!$G$21-(A1-Admin!$F$21)*(Admin!$G$21-Admin!$G$22)-PurchasesJun!A2))</f>
        <v>0</v>
      </c>
    </row>
    <row r="5" s="372" customFormat="true" ht="12.75" hidden="false" customHeight="false" outlineLevel="0" collapsed="false">
      <c r="A5" s="371" t="n">
        <v>46213</v>
      </c>
      <c r="B5" s="389" t="s">
        <v>286</v>
      </c>
      <c r="D5" s="372" t="s">
        <v>287</v>
      </c>
      <c r="F5" s="372" t="n">
        <v>120</v>
      </c>
      <c r="G5" s="181" t="str">
        <f aca="false">IF((D5="d"),F5," ")</f>
        <v> </v>
      </c>
      <c r="H5" s="181" t="str">
        <f aca="false">IF((D5="h"),F5," ")</f>
        <v> </v>
      </c>
      <c r="I5" s="181" t="str">
        <f aca="false">IF((D5="r"),F5," ")</f>
        <v> </v>
      </c>
      <c r="J5" s="181" t="str">
        <f aca="false">IF((D5="t"),F5," ")</f>
        <v> </v>
      </c>
      <c r="K5" s="181" t="str">
        <f aca="false">IF((D5="e"),F5," ")</f>
        <v> </v>
      </c>
      <c r="L5" s="181" t="str">
        <f aca="false">IF((D5="p"),F5," ")</f>
        <v> </v>
      </c>
      <c r="M5" s="181" t="n">
        <f aca="false">IF((D5="g"),F5," ")</f>
        <v>120</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A6" s="371" t="n">
        <v>46218</v>
      </c>
      <c r="B6" s="389" t="s">
        <v>284</v>
      </c>
      <c r="D6" s="372" t="s">
        <v>285</v>
      </c>
      <c r="F6" s="373" t="n">
        <v>300</v>
      </c>
      <c r="G6" s="181" t="n">
        <f aca="false">IF((D6="d"),F6," ")</f>
        <v>300</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2"/>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2"/>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2"/>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2"/>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2"/>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2"/>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2"/>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2"/>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2"/>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2"/>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2"/>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2"/>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2"/>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2"/>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2"/>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2"/>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2"/>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2"/>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2"/>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2"/>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2"/>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2"/>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2"/>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2"/>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2"/>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2"/>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2"/>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2"/>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2"/>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2"/>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2"/>
    </row>
    <row r="37" customFormat="false" ht="12.75" hidden="false" customHeight="false" outlineLevel="0" collapsed="false">
      <c r="D37" s="372"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2"/>
    </row>
    <row r="38" customFormat="false" ht="12.75" hidden="false" customHeight="false" outlineLevel="0" collapsed="false">
      <c r="D38" s="372"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2"/>
    </row>
    <row r="39" customFormat="false" ht="12.75" hidden="false" customHeight="false" outlineLevel="0" collapsed="false">
      <c r="D39" s="372"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2"/>
    </row>
    <row r="40" customFormat="false" ht="12.75" hidden="false" customHeight="false" outlineLevel="0" collapsed="false">
      <c r="D40" s="372"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2"/>
    </row>
    <row r="41" customFormat="false" ht="12.75" hidden="false" customHeight="false" outlineLevel="0" collapsed="false">
      <c r="D41" s="372"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2"/>
    </row>
    <row r="42" customFormat="false" ht="12.75" hidden="false" customHeight="false" outlineLevel="0" collapsed="false">
      <c r="D42" s="372"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2"/>
    </row>
    <row r="43" customFormat="false" ht="12.75" hidden="false" customHeight="false" outlineLevel="0" collapsed="false">
      <c r="D43" s="372"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2"/>
    </row>
    <row r="44" customFormat="false" ht="12.75" hidden="false" customHeight="false" outlineLevel="0" collapsed="false">
      <c r="D44" s="372"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2"/>
    </row>
    <row r="45" customFormat="false" ht="12.75" hidden="false" customHeight="false" outlineLevel="0" collapsed="false">
      <c r="D45" s="372"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2"/>
    </row>
    <row r="46" customFormat="false" ht="12.75" hidden="false" customHeight="false" outlineLevel="0" collapsed="false">
      <c r="D46" s="372"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2"/>
    </row>
    <row r="47" customFormat="false" ht="12.75" hidden="false" customHeight="false" outlineLevel="0" collapsed="false">
      <c r="D47" s="372"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2"/>
    </row>
    <row r="48" customFormat="false" ht="12.75" hidden="false" customHeight="false" outlineLevel="0" collapsed="false">
      <c r="D48" s="372"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2"/>
    </row>
    <row r="49" customFormat="false" ht="12.75" hidden="false" customHeight="false" outlineLevel="0" collapsed="false">
      <c r="D49" s="372"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2"/>
    </row>
    <row r="50" customFormat="false" ht="12.75" hidden="false" customHeight="false" outlineLevel="0" collapsed="false">
      <c r="D50" s="372"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2"/>
    </row>
    <row r="51" customFormat="false" ht="12.75" hidden="false" customHeight="false" outlineLevel="0" collapsed="false">
      <c r="D51" s="372"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2"/>
    </row>
    <row r="52" customFormat="false" ht="12.75" hidden="false" customHeight="false" outlineLevel="0" collapsed="false">
      <c r="D52" s="372"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2"/>
    </row>
    <row r="53" customFormat="false" ht="12.75" hidden="false" customHeight="false" outlineLevel="0" collapsed="false">
      <c r="D53" s="372"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2"/>
    </row>
    <row r="54" customFormat="false" ht="12.75" hidden="false" customHeight="false" outlineLevel="0" collapsed="false">
      <c r="D54" s="372"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2"/>
    </row>
    <row r="55" customFormat="false" ht="12.75" hidden="false" customHeight="false" outlineLevel="0" collapsed="false">
      <c r="D55" s="372"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2"/>
    </row>
    <row r="56" customFormat="false" ht="12.75" hidden="false" customHeight="false" outlineLevel="0" collapsed="false">
      <c r="D56" s="372"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2"/>
    </row>
    <row r="57" customFormat="false" ht="12.75" hidden="false" customHeight="false" outlineLevel="0" collapsed="false">
      <c r="D57" s="372"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2"/>
    </row>
    <row r="58" customFormat="false" ht="12.75" hidden="false" customHeight="false" outlineLevel="0" collapsed="false">
      <c r="D58" s="372"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2"/>
    </row>
    <row r="59" customFormat="false" ht="12.75" hidden="false" customHeight="false" outlineLevel="0" collapsed="false">
      <c r="D59" s="372"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2"/>
    </row>
    <row r="60" customFormat="false" ht="12.75" hidden="false" customHeight="false" outlineLevel="0" collapsed="false">
      <c r="D60" s="372"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2"/>
    </row>
    <row r="61" customFormat="false" ht="12.75" hidden="false" customHeight="false" outlineLevel="0" collapsed="false">
      <c r="D61" s="372"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2"/>
    </row>
    <row r="62" customFormat="false" ht="12.75" hidden="false" customHeight="false" outlineLevel="0" collapsed="false">
      <c r="D62" s="372"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2"/>
    </row>
    <row r="63" customFormat="false" ht="12.75" hidden="false" customHeight="false" outlineLevel="0" collapsed="false">
      <c r="D63" s="372"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2"/>
    </row>
    <row r="64" customFormat="false" ht="12.75" hidden="false" customHeight="false" outlineLevel="0" collapsed="false">
      <c r="D64" s="372"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2"/>
    </row>
    <row r="65" customFormat="false" ht="12.75" hidden="false" customHeight="false" outlineLevel="0" collapsed="false">
      <c r="D65" s="372"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2"/>
    </row>
    <row r="66" customFormat="false" ht="12.75" hidden="false" customHeight="false" outlineLevel="0" collapsed="false">
      <c r="D66" s="372"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2"/>
    </row>
    <row r="67" customFormat="false" ht="12.75" hidden="false" customHeight="false" outlineLevel="0" collapsed="false">
      <c r="D67" s="372"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2"/>
    </row>
    <row r="68" customFormat="false" ht="12.75" hidden="false" customHeight="false" outlineLevel="0" collapsed="false">
      <c r="D68" s="372"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2"/>
    </row>
    <row r="69" customFormat="false" ht="12.75" hidden="false" customHeight="false" outlineLevel="0" collapsed="false">
      <c r="D69" s="372"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2"/>
    </row>
    <row r="70" customFormat="false" ht="12.75" hidden="false" customHeight="false" outlineLevel="0" collapsed="false">
      <c r="D70" s="372"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2"/>
    </row>
    <row r="71" customFormat="false" ht="12.75" hidden="false" customHeight="false" outlineLevel="0" collapsed="false">
      <c r="D71" s="372"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2"/>
    </row>
    <row r="72" customFormat="false" ht="12.75" hidden="false" customHeight="false" outlineLevel="0" collapsed="false">
      <c r="D72" s="372"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2"/>
    </row>
    <row r="73" customFormat="false" ht="12.75" hidden="false" customHeight="false" outlineLevel="0" collapsed="false">
      <c r="D73" s="372"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2"/>
    </row>
    <row r="74" customFormat="false" ht="12.75" hidden="false" customHeight="false" outlineLevel="0" collapsed="false">
      <c r="D74" s="372"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2"/>
    </row>
    <row r="75" customFormat="false" ht="12.75" hidden="false" customHeight="false" outlineLevel="0" collapsed="false">
      <c r="D75" s="372"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2"/>
    </row>
    <row r="76" customFormat="false" ht="12.75" hidden="false" customHeight="false" outlineLevel="0" collapsed="false">
      <c r="D76" s="372"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2"/>
    </row>
    <row r="77" customFormat="false" ht="12.75" hidden="false" customHeight="false" outlineLevel="0" collapsed="false">
      <c r="D77" s="372"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2"/>
    </row>
    <row r="78" customFormat="false" ht="12.75" hidden="false" customHeight="false" outlineLevel="0" collapsed="false">
      <c r="D78" s="372"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2"/>
    </row>
    <row r="79" customFormat="false" ht="12.75" hidden="false" customHeight="false" outlineLevel="0" collapsed="false">
      <c r="D79" s="372"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2"/>
    </row>
    <row r="80" customFormat="false" ht="12.75" hidden="false" customHeight="false" outlineLevel="0" collapsed="false">
      <c r="D80" s="372"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2"/>
    </row>
    <row r="81" customFormat="false" ht="12.75" hidden="false" customHeight="false" outlineLevel="0" collapsed="false">
      <c r="D81" s="372"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2"/>
    </row>
    <row r="82" customFormat="false" ht="12.75" hidden="false" customHeight="false" outlineLevel="0" collapsed="false">
      <c r="D82" s="372"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2"/>
    </row>
    <row r="83" customFormat="false" ht="12.75" hidden="false" customHeight="false" outlineLevel="0" collapsed="false">
      <c r="D83" s="372"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2"/>
    </row>
    <row r="84" customFormat="false" ht="12.75" hidden="false" customHeight="false" outlineLevel="0" collapsed="false">
      <c r="D84" s="372"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2"/>
    </row>
    <row r="85" customFormat="false" ht="12.75" hidden="false" customHeight="false" outlineLevel="0" collapsed="false">
      <c r="D85" s="372"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2"/>
    </row>
    <row r="86" customFormat="false" ht="12.75" hidden="false" customHeight="false" outlineLevel="0" collapsed="false">
      <c r="D86" s="372"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2"/>
    </row>
    <row r="87" customFormat="false" ht="12.75" hidden="false" customHeight="false" outlineLevel="0" collapsed="false">
      <c r="D87" s="372"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2"/>
    </row>
    <row r="88" customFormat="false" ht="12.75" hidden="false" customHeight="false" outlineLevel="0" collapsed="false">
      <c r="D88" s="372"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2"/>
    </row>
    <row r="89" customFormat="false" ht="12.75" hidden="false" customHeight="false" outlineLevel="0" collapsed="false">
      <c r="D89" s="372"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2"/>
    </row>
    <row r="90" customFormat="false" ht="12.75" hidden="false" customHeight="false" outlineLevel="0" collapsed="false">
      <c r="D90" s="372"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2"/>
    </row>
    <row r="91" customFormat="false" ht="12.75" hidden="false" customHeight="false" outlineLevel="0" collapsed="false">
      <c r="D91" s="372"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2"/>
    </row>
    <row r="92" customFormat="false" ht="12.75" hidden="false" customHeight="false" outlineLevel="0" collapsed="false">
      <c r="D92" s="372"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2"/>
    </row>
    <row r="93" customFormat="false" ht="12.75" hidden="false" customHeight="false" outlineLevel="0" collapsed="false">
      <c r="D93" s="372"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2"/>
    </row>
    <row r="94" customFormat="false" ht="12.75" hidden="false" customHeight="false" outlineLevel="0" collapsed="false">
      <c r="D94" s="372"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2"/>
    </row>
    <row r="95" customFormat="false" ht="12.75" hidden="false" customHeight="false" outlineLevel="0" collapsed="false">
      <c r="D95" s="372"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2"/>
    </row>
    <row r="96" customFormat="false" ht="12.75" hidden="false" customHeight="false" outlineLevel="0" collapsed="false">
      <c r="D96" s="372"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2"/>
    </row>
    <row r="97" customFormat="false" ht="12.75" hidden="false" customHeight="false" outlineLevel="0" collapsed="false">
      <c r="D97" s="372"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2"/>
    </row>
    <row r="98" customFormat="false" ht="12.75" hidden="false" customHeight="false" outlineLevel="0" collapsed="false">
      <c r="D98" s="372"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2"/>
    </row>
    <row r="99" customFormat="false" ht="12.75" hidden="false" customHeight="false" outlineLevel="0" collapsed="false">
      <c r="D99" s="372"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2"/>
    </row>
    <row r="100" customFormat="false" ht="12.75" hidden="false" customHeight="false" outlineLevel="0" collapsed="false">
      <c r="D100" s="372"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2"/>
    </row>
    <row r="101" customFormat="false" ht="12.75" hidden="false" customHeight="false" outlineLevel="0" collapsed="false">
      <c r="D101" s="372"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2"/>
    </row>
    <row r="102" customFormat="false" ht="12.75" hidden="false" customHeight="false" outlineLevel="0" collapsed="false">
      <c r="D102" s="372"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2"/>
    </row>
    <row r="103" customFormat="false" ht="12.75" hidden="false" customHeight="false" outlineLevel="0" collapsed="false">
      <c r="D103" s="372"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2"/>
    </row>
    <row r="104" customFormat="false" ht="12.75" hidden="false" customHeight="false" outlineLevel="0" collapsed="false">
      <c r="D104" s="372"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2"/>
    </row>
    <row r="105" customFormat="false" ht="12.75" hidden="false" customHeight="false" outlineLevel="0" collapsed="false">
      <c r="D105" s="372"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2"/>
    </row>
    <row r="106" customFormat="false" ht="12.75" hidden="false" customHeight="false" outlineLevel="0" collapsed="false">
      <c r="D106" s="372"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2"/>
    </row>
    <row r="107" customFormat="false" ht="12.75" hidden="false" customHeight="false" outlineLevel="0" collapsed="false">
      <c r="D107" s="372"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2"/>
    </row>
    <row r="108" customFormat="false" ht="12.75" hidden="false" customHeight="false" outlineLevel="0" collapsed="false">
      <c r="D108" s="372"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2"/>
    </row>
    <row r="109" customFormat="false" ht="12.75" hidden="false" customHeight="false" outlineLevel="0" collapsed="false">
      <c r="D109" s="372"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2"/>
    </row>
    <row r="110" customFormat="false" ht="12.75" hidden="false" customHeight="false" outlineLevel="0" collapsed="false">
      <c r="D110" s="372"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2"/>
    </row>
    <row r="111" customFormat="false" ht="12.75" hidden="false" customHeight="false" outlineLevel="0" collapsed="false">
      <c r="D111" s="372"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2"/>
    </row>
    <row r="112" customFormat="false" ht="12.75" hidden="false" customHeight="false" outlineLevel="0" collapsed="false">
      <c r="D112" s="372"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2"/>
    </row>
    <row r="113" customFormat="false" ht="12.75" hidden="false" customHeight="false" outlineLevel="0" collapsed="false">
      <c r="D113" s="372"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2"/>
    </row>
    <row r="114" customFormat="false" ht="12.75" hidden="false" customHeight="false" outlineLevel="0" collapsed="false">
      <c r="D114" s="372"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2"/>
    </row>
    <row r="115" customFormat="false" ht="12.75" hidden="false" customHeight="false" outlineLevel="0" collapsed="false">
      <c r="D115" s="372"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2"/>
    </row>
    <row r="116" customFormat="false" ht="12.75" hidden="false" customHeight="false" outlineLevel="0" collapsed="false">
      <c r="D116" s="372"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2"/>
    </row>
    <row r="117" customFormat="false" ht="12.75" hidden="false" customHeight="false" outlineLevel="0" collapsed="false">
      <c r="D117" s="372"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2"/>
    </row>
    <row r="118" customFormat="false" ht="12.75" hidden="false" customHeight="false" outlineLevel="0" collapsed="false">
      <c r="D118" s="372"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2"/>
    </row>
    <row r="119" customFormat="false" ht="12.75" hidden="false" customHeight="false" outlineLevel="0" collapsed="false">
      <c r="D119" s="372"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2"/>
    </row>
    <row r="120" customFormat="false" ht="12.75" hidden="false" customHeight="false" outlineLevel="0" collapsed="false">
      <c r="D120" s="372"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2"/>
    </row>
    <row r="121" customFormat="false" ht="12.75" hidden="false" customHeight="false" outlineLevel="0" collapsed="false">
      <c r="D121" s="372"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2"/>
    </row>
    <row r="122" customFormat="false" ht="12.75" hidden="false" customHeight="false" outlineLevel="0" collapsed="false">
      <c r="D122" s="372"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2"/>
    </row>
    <row r="123" customFormat="false" ht="12.75" hidden="false" customHeight="false" outlineLevel="0" collapsed="false">
      <c r="D123" s="372"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2"/>
    </row>
    <row r="124" customFormat="false" ht="12.75" hidden="false" customHeight="false" outlineLevel="0" collapsed="false">
      <c r="D124" s="372"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2"/>
    </row>
    <row r="125" customFormat="false" ht="12.75" hidden="false" customHeight="false" outlineLevel="0" collapsed="false">
      <c r="D125" s="372"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2"/>
    </row>
    <row r="126" customFormat="false" ht="12.75" hidden="false" customHeight="false" outlineLevel="0" collapsed="false">
      <c r="D126" s="372"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2"/>
    </row>
    <row r="127" customFormat="false" ht="12.75" hidden="false" customHeight="false" outlineLevel="0" collapsed="false">
      <c r="D127" s="372"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2"/>
    </row>
    <row r="128" customFormat="false" ht="12.75" hidden="false" customHeight="false" outlineLevel="0" collapsed="false">
      <c r="D128" s="372"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2"/>
    </row>
    <row r="129" customFormat="false" ht="12.75" hidden="false" customHeight="false" outlineLevel="0" collapsed="false">
      <c r="D129" s="372"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2"/>
    </row>
    <row r="130" customFormat="false" ht="12.75" hidden="false" customHeight="false" outlineLevel="0" collapsed="false">
      <c r="D130" s="372"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2"/>
    </row>
    <row r="131" customFormat="false" ht="12.75" hidden="false" customHeight="false" outlineLevel="0" collapsed="false">
      <c r="D131" s="372"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2"/>
    </row>
    <row r="132" customFormat="false" ht="12.75" hidden="false" customHeight="false" outlineLevel="0" collapsed="false">
      <c r="D132" s="372"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2"/>
    </row>
    <row r="133" customFormat="false" ht="12.75" hidden="false" customHeight="false" outlineLevel="0" collapsed="false">
      <c r="D133" s="372"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2"/>
    </row>
    <row r="134" customFormat="false" ht="12.75" hidden="false" customHeight="false" outlineLevel="0" collapsed="false">
      <c r="D134" s="372"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2"/>
    </row>
    <row r="135" customFormat="false" ht="12.75" hidden="false" customHeight="false" outlineLevel="0" collapsed="false">
      <c r="D135" s="372"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2"/>
    </row>
    <row r="136" customFormat="false" ht="12.75" hidden="false" customHeight="false" outlineLevel="0" collapsed="false">
      <c r="D136" s="372"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2"/>
    </row>
    <row r="137" customFormat="false" ht="12.75" hidden="false" customHeight="false" outlineLevel="0" collapsed="false">
      <c r="D137" s="372"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2"/>
    </row>
    <row r="138" customFormat="false" ht="12.75" hidden="false" customHeight="false" outlineLevel="0" collapsed="false">
      <c r="D138" s="372"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2"/>
    </row>
    <row r="139" customFormat="false" ht="12.75" hidden="false" customHeight="false" outlineLevel="0" collapsed="false">
      <c r="D139" s="372"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2"/>
    </row>
    <row r="140" customFormat="false" ht="12.75" hidden="false" customHeight="false" outlineLevel="0" collapsed="false">
      <c r="D140" s="372"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2"/>
    </row>
    <row r="141" customFormat="false" ht="12.75" hidden="false" customHeight="false" outlineLevel="0" collapsed="false">
      <c r="D141" s="372"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2"/>
    </row>
    <row r="142" customFormat="false" ht="12.75" hidden="false" customHeight="false" outlineLevel="0" collapsed="false">
      <c r="D142" s="372"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2"/>
    </row>
    <row r="143" customFormat="false" ht="12.75" hidden="false" customHeight="false" outlineLevel="0" collapsed="false">
      <c r="D143" s="372"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2"/>
    </row>
    <row r="144" customFormat="false" ht="12.75" hidden="false" customHeight="false" outlineLevel="0" collapsed="false">
      <c r="D144" s="372"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2"/>
    </row>
    <row r="145" customFormat="false" ht="12.75" hidden="false" customHeight="false" outlineLevel="0" collapsed="false">
      <c r="D145" s="372"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2"/>
    </row>
    <row r="146" customFormat="false" ht="12.75" hidden="false" customHeight="false" outlineLevel="0" collapsed="false">
      <c r="D146" s="372"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2"/>
    </row>
    <row r="147" customFormat="false" ht="12.75" hidden="false" customHeight="false" outlineLevel="0" collapsed="false">
      <c r="D147" s="372"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2"/>
    </row>
    <row r="148" customFormat="false" ht="12.75" hidden="false" customHeight="false" outlineLevel="0" collapsed="false">
      <c r="D148" s="372"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2"/>
    </row>
    <row r="149" customFormat="false" ht="12.75" hidden="false" customHeight="false" outlineLevel="0" collapsed="false">
      <c r="D149" s="372"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2"/>
    </row>
    <row r="150" customFormat="false" ht="12.75" hidden="false" customHeight="false" outlineLevel="0" collapsed="false">
      <c r="D150" s="372"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2"/>
    </row>
    <row r="151" customFormat="false" ht="12.75" hidden="false" customHeight="false" outlineLevel="0" collapsed="false">
      <c r="D151" s="372"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2"/>
    </row>
    <row r="152" customFormat="false" ht="12.75" hidden="false" customHeight="false" outlineLevel="0" collapsed="false">
      <c r="D152" s="372"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2"/>
    </row>
    <row r="153" customFormat="false" ht="12.75" hidden="false" customHeight="false" outlineLevel="0" collapsed="false">
      <c r="D153" s="372"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2"/>
    </row>
    <row r="154" customFormat="false" ht="12.75" hidden="false" customHeight="false" outlineLevel="0" collapsed="false">
      <c r="D154" s="372"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2"/>
    </row>
    <row r="155" customFormat="false" ht="12.75" hidden="false" customHeight="false" outlineLevel="0" collapsed="false">
      <c r="D155" s="372"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2"/>
    </row>
    <row r="156" customFormat="false" ht="12.75" hidden="false" customHeight="false" outlineLevel="0" collapsed="false">
      <c r="D156" s="372"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2"/>
    </row>
    <row r="157" customFormat="false" ht="12.75" hidden="false" customHeight="false" outlineLevel="0" collapsed="false">
      <c r="D157" s="372"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2"/>
    </row>
    <row r="158" customFormat="false" ht="12.75" hidden="false" customHeight="false" outlineLevel="0" collapsed="false">
      <c r="D158" s="372"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2"/>
    </row>
    <row r="159" customFormat="false" ht="12.75" hidden="false" customHeight="false" outlineLevel="0" collapsed="false">
      <c r="D159" s="372"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2"/>
    </row>
    <row r="160" customFormat="false" ht="12.75" hidden="false" customHeight="false" outlineLevel="0" collapsed="false">
      <c r="D160" s="372"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2"/>
    </row>
    <row r="161" customFormat="false" ht="12.75" hidden="false" customHeight="false" outlineLevel="0" collapsed="false">
      <c r="D161" s="372"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2"/>
    </row>
    <row r="162" customFormat="false" ht="12.75" hidden="false" customHeight="false" outlineLevel="0" collapsed="false">
      <c r="D162" s="372"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2"/>
    </row>
    <row r="163" customFormat="false" ht="12.75" hidden="false" customHeight="false" outlineLevel="0" collapsed="false">
      <c r="D163" s="372"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2"/>
    </row>
    <row r="164" customFormat="false" ht="12.75" hidden="false" customHeight="false" outlineLevel="0" collapsed="false">
      <c r="D164" s="372"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2"/>
    </row>
    <row r="165" customFormat="false" ht="12.75" hidden="false" customHeight="false" outlineLevel="0" collapsed="false">
      <c r="D165" s="372"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2"/>
    </row>
    <row r="166" customFormat="false" ht="12.75" hidden="false" customHeight="false" outlineLevel="0" collapsed="false">
      <c r="D166" s="372"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2"/>
    </row>
    <row r="167" customFormat="false" ht="12.75" hidden="false" customHeight="false" outlineLevel="0" collapsed="false">
      <c r="D167" s="372"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2"/>
    </row>
    <row r="168" customFormat="false" ht="12.75" hidden="false" customHeight="false" outlineLevel="0" collapsed="false">
      <c r="D168" s="372"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2"/>
    </row>
    <row r="169" customFormat="false" ht="12.75" hidden="false" customHeight="false" outlineLevel="0" collapsed="false">
      <c r="D169" s="372"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2"/>
    </row>
    <row r="170" customFormat="false" ht="12.75" hidden="false" customHeight="false" outlineLevel="0" collapsed="false">
      <c r="D170" s="372"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2"/>
    </row>
    <row r="171" customFormat="false" ht="12.75" hidden="false" customHeight="false" outlineLevel="0" collapsed="false">
      <c r="D171" s="372"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2"/>
    </row>
    <row r="172" customFormat="false" ht="12.75" hidden="false" customHeight="false" outlineLevel="0" collapsed="false">
      <c r="D172" s="372"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2"/>
    </row>
    <row r="173" customFormat="false" ht="12.75" hidden="false" customHeight="false" outlineLevel="0" collapsed="false">
      <c r="D173" s="372"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2"/>
    </row>
    <row r="174" customFormat="false" ht="12.75" hidden="false" customHeight="false" outlineLevel="0" collapsed="false">
      <c r="D174" s="372"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2"/>
    </row>
    <row r="175" customFormat="false" ht="12.75" hidden="false" customHeight="false" outlineLevel="0" collapsed="false">
      <c r="D175" s="372"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2"/>
    </row>
    <row r="176" customFormat="false" ht="12.75" hidden="false" customHeight="false" outlineLevel="0" collapsed="false">
      <c r="D176" s="372"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2"/>
    </row>
    <row r="177" customFormat="false" ht="12.75" hidden="false" customHeight="false" outlineLevel="0" collapsed="false">
      <c r="D177" s="372"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2"/>
    </row>
    <row r="178" customFormat="false" ht="12.75" hidden="false" customHeight="false" outlineLevel="0" collapsed="false">
      <c r="D178" s="372"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2"/>
    </row>
    <row r="179" customFormat="false" ht="12.75" hidden="false" customHeight="false" outlineLevel="0" collapsed="false">
      <c r="D179" s="372"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2"/>
    </row>
    <row r="180" customFormat="false" ht="12.75" hidden="false" customHeight="false" outlineLevel="0" collapsed="false">
      <c r="D180" s="372"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2"/>
    </row>
    <row r="181" customFormat="false" ht="12.75" hidden="false" customHeight="false" outlineLevel="0" collapsed="false">
      <c r="D181" s="372"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2"/>
    </row>
    <row r="182" customFormat="false" ht="12.75" hidden="false" customHeight="false" outlineLevel="0" collapsed="false">
      <c r="D182" s="372"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2"/>
    </row>
    <row r="183" customFormat="false" ht="12.75" hidden="false" customHeight="false" outlineLevel="0" collapsed="false">
      <c r="D183" s="372"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2"/>
    </row>
    <row r="184" customFormat="false" ht="12.75" hidden="false" customHeight="false" outlineLevel="0" collapsed="false">
      <c r="D184" s="372"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2"/>
    </row>
    <row r="185" customFormat="false" ht="12.75" hidden="false" customHeight="false" outlineLevel="0" collapsed="false">
      <c r="D185" s="372"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2"/>
    </row>
    <row r="186" customFormat="false" ht="12.75" hidden="false" customHeight="false" outlineLevel="0" collapsed="false">
      <c r="D186" s="372"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2"/>
    </row>
    <row r="187" customFormat="false" ht="12.75" hidden="false" customHeight="false" outlineLevel="0" collapsed="false">
      <c r="D187" s="372"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2"/>
    </row>
    <row r="188" customFormat="false" ht="12.75" hidden="false" customHeight="false" outlineLevel="0" collapsed="false">
      <c r="D188" s="372"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2"/>
    </row>
    <row r="189" customFormat="false" ht="12.75" hidden="false" customHeight="false" outlineLevel="0" collapsed="false">
      <c r="D189" s="372"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2"/>
    </row>
    <row r="190" customFormat="false" ht="12.75" hidden="false" customHeight="false" outlineLevel="0" collapsed="false">
      <c r="D190" s="372"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2"/>
    </row>
    <row r="191" customFormat="false" ht="12.75" hidden="false" customHeight="false" outlineLevel="0" collapsed="false">
      <c r="D191" s="372"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2"/>
    </row>
    <row r="192" customFormat="false" ht="12.75" hidden="false" customHeight="false" outlineLevel="0" collapsed="false">
      <c r="D192" s="372"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2"/>
    </row>
    <row r="193" customFormat="false" ht="12.75" hidden="false" customHeight="false" outlineLevel="0" collapsed="false">
      <c r="D193" s="372"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2"/>
    </row>
    <row r="194" customFormat="false" ht="12.75" hidden="false" customHeight="false" outlineLevel="0" collapsed="false">
      <c r="D194" s="372"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2"/>
    </row>
    <row r="195" customFormat="false" ht="12.75" hidden="false" customHeight="false" outlineLevel="0" collapsed="false">
      <c r="D195" s="372"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2"/>
    </row>
    <row r="196" customFormat="false" ht="12.75" hidden="false" customHeight="false" outlineLevel="0" collapsed="false">
      <c r="D196" s="372"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2"/>
    </row>
    <row r="197" customFormat="false" ht="12.75" hidden="false" customHeight="false" outlineLevel="0" collapsed="false">
      <c r="D197" s="372"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2"/>
    </row>
    <row r="198" customFormat="false" ht="12.75" hidden="false" customHeight="false" outlineLevel="0" collapsed="false">
      <c r="D198" s="372"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2"/>
    </row>
    <row r="199" customFormat="false" ht="12.75" hidden="false" customHeight="false" outlineLevel="0" collapsed="false">
      <c r="D199" s="372"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2"/>
    </row>
    <row r="200" customFormat="false" ht="12.75" hidden="false" customHeight="false" outlineLevel="0" collapsed="false">
      <c r="D200" s="372"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2"/>
    </row>
    <row r="201" customFormat="false" ht="12.75" hidden="false" customHeight="false" outlineLevel="0" collapsed="false">
      <c r="D201" s="372"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2"/>
    </row>
    <row r="202" customFormat="false" ht="12.75" hidden="false" customHeight="false" outlineLevel="0" collapsed="false">
      <c r="D202" s="372"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2"/>
    </row>
    <row r="203" customFormat="false" ht="12.75" hidden="false" customHeight="false" outlineLevel="0" collapsed="false">
      <c r="D203" s="372"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2"/>
    </row>
    <row r="204" customFormat="false" ht="12.75" hidden="false" customHeight="false" outlineLevel="0" collapsed="false">
      <c r="D204" s="372"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2"/>
    </row>
    <row r="205" customFormat="false" ht="12.75" hidden="false" customHeight="false" outlineLevel="0" collapsed="false">
      <c r="U205" s="372"/>
    </row>
    <row r="206" customFormat="false" ht="12.75" hidden="false" customHeight="false" outlineLevel="0" collapsed="false">
      <c r="U206" s="372"/>
    </row>
    <row r="207" customFormat="false" ht="12.75" hidden="false" customHeight="false" outlineLevel="0" collapsed="false">
      <c r="U207" s="372"/>
    </row>
    <row r="208" customFormat="false" ht="12.75" hidden="false" customHeight="false" outlineLevel="0" collapsed="false">
      <c r="U208" s="372"/>
    </row>
    <row r="209" customFormat="false" ht="12.75" hidden="false" customHeight="false" outlineLevel="0" collapsed="false">
      <c r="U209" s="372"/>
    </row>
    <row r="210" customFormat="false" ht="12.75" hidden="false" customHeight="false" outlineLevel="0" collapsed="false">
      <c r="U210" s="372"/>
    </row>
    <row r="211" customFormat="false" ht="12.75" hidden="false" customHeight="false" outlineLevel="0" collapsed="false">
      <c r="U211" s="372"/>
    </row>
    <row r="212" customFormat="false" ht="12.75" hidden="false" customHeight="false" outlineLevel="0" collapsed="false">
      <c r="U212" s="372"/>
    </row>
    <row r="213" customFormat="false" ht="12.75" hidden="false" customHeight="false" outlineLevel="0" collapsed="false">
      <c r="U213" s="372"/>
    </row>
    <row r="214" customFormat="false" ht="12.75" hidden="false" customHeight="false" outlineLevel="0" collapsed="false">
      <c r="U214" s="372"/>
    </row>
    <row r="215" customFormat="false" ht="12.75" hidden="false" customHeight="false" outlineLevel="0" collapsed="false">
      <c r="U215" s="372"/>
    </row>
    <row r="216" customFormat="false" ht="12.75" hidden="false" customHeight="false" outlineLevel="0" collapsed="false">
      <c r="U216" s="372"/>
    </row>
    <row r="217" customFormat="false" ht="12.75" hidden="false" customHeight="false" outlineLevel="0" collapsed="false">
      <c r="U217" s="372"/>
    </row>
    <row r="218" customFormat="false" ht="12.75" hidden="false" customHeight="false" outlineLevel="0" collapsed="false">
      <c r="U218" s="372"/>
    </row>
    <row r="219" customFormat="false" ht="12.75" hidden="false" customHeight="false" outlineLevel="0" collapsed="false">
      <c r="U219" s="372"/>
    </row>
    <row r="220" customFormat="false" ht="12.75" hidden="false" customHeight="false" outlineLevel="0" collapsed="false">
      <c r="U220" s="372"/>
    </row>
    <row r="221" customFormat="false" ht="12.75" hidden="false" customHeight="false" outlineLevel="0" collapsed="false">
      <c r="U221" s="372"/>
    </row>
    <row r="222" customFormat="false" ht="12.75" hidden="false" customHeight="false" outlineLevel="0" collapsed="false">
      <c r="U222" s="372"/>
    </row>
    <row r="223" customFormat="false" ht="12.75" hidden="false" customHeight="false" outlineLevel="0" collapsed="false">
      <c r="U223" s="372"/>
    </row>
    <row r="224" customFormat="false" ht="12.75" hidden="false" customHeight="false" outlineLevel="0" collapsed="false">
      <c r="U224" s="372"/>
    </row>
    <row r="225" customFormat="false" ht="12.75" hidden="false" customHeight="false" outlineLevel="0" collapsed="false">
      <c r="U225" s="372"/>
    </row>
    <row r="226" customFormat="false" ht="12.75" hidden="false" customHeight="false" outlineLevel="0" collapsed="false">
      <c r="U226" s="372"/>
    </row>
    <row r="227" customFormat="false" ht="12.75" hidden="false" customHeight="false" outlineLevel="0" collapsed="false">
      <c r="U227" s="372"/>
    </row>
    <row r="228" customFormat="false" ht="12.75" hidden="false" customHeight="false" outlineLevel="0" collapsed="false">
      <c r="U228" s="372"/>
    </row>
    <row r="229" customFormat="false" ht="12.75" hidden="false" customHeight="false" outlineLevel="0" collapsed="false">
      <c r="U229" s="372"/>
    </row>
    <row r="230" customFormat="false" ht="12.75" hidden="false" customHeight="false" outlineLevel="0" collapsed="false">
      <c r="U230" s="372"/>
    </row>
    <row r="231" customFormat="false" ht="12.75" hidden="false" customHeight="false" outlineLevel="0" collapsed="false">
      <c r="U231" s="372"/>
    </row>
    <row r="232" customFormat="false" ht="12.75" hidden="false" customHeight="false" outlineLevel="0" collapsed="false">
      <c r="U232" s="372"/>
    </row>
    <row r="233" customFormat="false" ht="12.75" hidden="false" customHeight="false" outlineLevel="0" collapsed="false">
      <c r="U233" s="372"/>
    </row>
    <row r="234" customFormat="false" ht="12.75" hidden="false" customHeight="false" outlineLevel="0" collapsed="false">
      <c r="U234" s="372"/>
    </row>
    <row r="235" customFormat="false" ht="12.75" hidden="false" customHeight="false" outlineLevel="0" collapsed="false">
      <c r="U235" s="372"/>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5" width="9.66"/>
    <col collapsed="false" customWidth="true" hidden="false" outlineLevel="0" max="2" min="2" style="346" width="14.66"/>
    <col collapsed="false" customWidth="true" hidden="false" outlineLevel="0" max="3" min="3" style="181" width="13.66"/>
    <col collapsed="false" customWidth="true" hidden="false" outlineLevel="0" max="4" min="4" style="347" width="12.66"/>
    <col collapsed="false" customWidth="true" hidden="false" outlineLevel="0" max="5" min="5" style="348" width="12.66"/>
    <col collapsed="false" customWidth="true" hidden="false" outlineLevel="0" max="6" min="6" style="181" width="12.66"/>
    <col collapsed="false" customWidth="false" hidden="false" outlineLevel="0" max="257" min="7" style="181" width="9.15"/>
  </cols>
  <sheetData>
    <row r="1" s="353" customFormat="true" ht="12.75" hidden="false" customHeight="true" outlineLevel="0" collapsed="false">
      <c r="A1" s="349" t="s">
        <v>238</v>
      </c>
      <c r="B1" s="350" t="s">
        <v>239</v>
      </c>
      <c r="C1" s="351" t="s">
        <v>240</v>
      </c>
      <c r="D1" s="352" t="n">
        <f aca="false">SUM(D4:D58)</f>
        <v>0</v>
      </c>
      <c r="E1" s="351" t="n">
        <f aca="false">SUM(E4:E58)/2</f>
        <v>3000</v>
      </c>
      <c r="F1" s="351" t="n">
        <f aca="false">SUM(F4:F58)/2</f>
        <v>0</v>
      </c>
    </row>
    <row r="2" s="353" customFormat="true" ht="12.75" hidden="false" customHeight="true" outlineLevel="0" collapsed="false">
      <c r="A2" s="349"/>
      <c r="B2" s="350"/>
      <c r="C2" s="354" t="s">
        <v>241</v>
      </c>
      <c r="D2" s="355" t="s">
        <v>242</v>
      </c>
      <c r="E2" s="354" t="s">
        <v>243</v>
      </c>
      <c r="F2" s="354" t="s">
        <v>244</v>
      </c>
    </row>
    <row r="3" s="356" customFormat="true" ht="24" hidden="false" customHeight="true" outlineLevel="0" collapsed="false">
      <c r="A3" s="349"/>
      <c r="B3" s="350"/>
      <c r="C3" s="354"/>
      <c r="D3" s="355"/>
      <c r="E3" s="354"/>
      <c r="F3" s="354"/>
    </row>
    <row r="5" customFormat="false" ht="12.75" hidden="false" customHeight="false" outlineLevel="0" collapsed="false">
      <c r="A5" s="357" t="n">
        <v>46230</v>
      </c>
      <c r="B5" s="358" t="n">
        <v>46230</v>
      </c>
      <c r="C5" s="359"/>
      <c r="D5" s="360"/>
      <c r="E5" s="361"/>
      <c r="F5" s="362"/>
    </row>
    <row r="6" customFormat="false" ht="12.75" hidden="false" customHeight="false" outlineLevel="0" collapsed="false">
      <c r="A6" s="363" t="n">
        <v>46231</v>
      </c>
      <c r="B6" s="346" t="n">
        <v>46231</v>
      </c>
      <c r="F6" s="364"/>
    </row>
    <row r="7" customFormat="false" ht="12.75" hidden="false" customHeight="false" outlineLevel="0" collapsed="false">
      <c r="A7" s="363" t="n">
        <v>46232</v>
      </c>
      <c r="B7" s="346" t="n">
        <v>46232</v>
      </c>
      <c r="F7" s="364"/>
    </row>
    <row r="8" customFormat="false" ht="12.75" hidden="false" customHeight="false" outlineLevel="0" collapsed="false">
      <c r="A8" s="363" t="n">
        <v>46233</v>
      </c>
      <c r="B8" s="346" t="n">
        <v>46233</v>
      </c>
      <c r="F8" s="364"/>
    </row>
    <row r="9" customFormat="false" ht="12.75" hidden="false" customHeight="false" outlineLevel="0" collapsed="false">
      <c r="A9" s="363" t="n">
        <v>46234</v>
      </c>
      <c r="B9" s="346" t="n">
        <v>46234</v>
      </c>
      <c r="F9" s="364"/>
    </row>
    <row r="10" customFormat="false" ht="12.75" hidden="false" customHeight="false" outlineLevel="0" collapsed="false">
      <c r="A10" s="363" t="n">
        <v>46235</v>
      </c>
      <c r="B10" s="346" t="n">
        <v>46235</v>
      </c>
      <c r="F10" s="364"/>
    </row>
    <row r="11" customFormat="false" ht="12.75" hidden="false" customHeight="false" outlineLevel="0" collapsed="false">
      <c r="A11" s="363" t="n">
        <v>46236</v>
      </c>
      <c r="B11" s="346" t="n">
        <v>46236</v>
      </c>
      <c r="F11" s="364"/>
    </row>
    <row r="12" customFormat="false" ht="12.75" hidden="false" customHeight="false" outlineLevel="0" collapsed="false">
      <c r="A12" s="363" t="n">
        <v>46236</v>
      </c>
      <c r="B12" s="346" t="s">
        <v>245</v>
      </c>
      <c r="F12" s="364"/>
    </row>
    <row r="13" customFormat="false" ht="12.75" hidden="false" customHeight="false" outlineLevel="0" collapsed="false">
      <c r="A13" s="363" t="n">
        <v>46236</v>
      </c>
      <c r="B13" s="346" t="s">
        <v>246</v>
      </c>
      <c r="F13" s="364"/>
    </row>
    <row r="14" customFormat="false" ht="12.75" hidden="false" customHeight="false" outlineLevel="0" collapsed="false">
      <c r="A14" s="365"/>
      <c r="B14" s="366"/>
      <c r="C14" s="367"/>
      <c r="D14" s="368"/>
      <c r="E14" s="369" t="n">
        <f aca="false">SUM(E5:E13)</f>
        <v>0</v>
      </c>
      <c r="F14" s="370" t="n">
        <f aca="false">SUM(F5:F13)</f>
        <v>0</v>
      </c>
    </row>
    <row r="16" customFormat="false" ht="12.75" hidden="false" customHeight="false" outlineLevel="0" collapsed="false">
      <c r="A16" s="357" t="n">
        <v>46237</v>
      </c>
      <c r="B16" s="358" t="n">
        <v>46237</v>
      </c>
      <c r="C16" s="359"/>
      <c r="D16" s="360"/>
      <c r="E16" s="361"/>
      <c r="F16" s="362"/>
    </row>
    <row r="17" customFormat="false" ht="12.75" hidden="false" customHeight="false" outlineLevel="0" collapsed="false">
      <c r="A17" s="363" t="n">
        <v>46238</v>
      </c>
      <c r="B17" s="346" t="n">
        <v>46238</v>
      </c>
      <c r="E17" s="348" t="n">
        <v>200</v>
      </c>
      <c r="F17" s="364"/>
    </row>
    <row r="18" customFormat="false" ht="12.75" hidden="false" customHeight="false" outlineLevel="0" collapsed="false">
      <c r="A18" s="363" t="n">
        <v>46239</v>
      </c>
      <c r="B18" s="346" t="n">
        <v>46239</v>
      </c>
      <c r="E18" s="348" t="n">
        <v>200</v>
      </c>
      <c r="F18" s="364"/>
    </row>
    <row r="19" customFormat="false" ht="12.75" hidden="false" customHeight="false" outlineLevel="0" collapsed="false">
      <c r="A19" s="363" t="n">
        <v>46240</v>
      </c>
      <c r="B19" s="346" t="n">
        <v>46240</v>
      </c>
      <c r="E19" s="348" t="n">
        <v>200</v>
      </c>
      <c r="F19" s="364"/>
    </row>
    <row r="20" customFormat="false" ht="12.75" hidden="false" customHeight="false" outlineLevel="0" collapsed="false">
      <c r="A20" s="363" t="n">
        <v>46241</v>
      </c>
      <c r="B20" s="346" t="n">
        <v>46241</v>
      </c>
      <c r="E20" s="348" t="n">
        <v>200</v>
      </c>
      <c r="F20" s="364"/>
    </row>
    <row r="21" customFormat="false" ht="12.75" hidden="false" customHeight="false" outlineLevel="0" collapsed="false">
      <c r="A21" s="363" t="n">
        <v>46242</v>
      </c>
      <c r="B21" s="346" t="n">
        <v>46242</v>
      </c>
      <c r="E21" s="348" t="n">
        <v>200</v>
      </c>
      <c r="F21" s="364"/>
    </row>
    <row r="22" customFormat="false" ht="12.75" hidden="false" customHeight="false" outlineLevel="0" collapsed="false">
      <c r="A22" s="363" t="n">
        <v>46243</v>
      </c>
      <c r="B22" s="346" t="n">
        <v>46243</v>
      </c>
      <c r="F22" s="364"/>
    </row>
    <row r="23" customFormat="false" ht="12.75" hidden="false" customHeight="false" outlineLevel="0" collapsed="false">
      <c r="A23" s="363" t="n">
        <v>46243</v>
      </c>
      <c r="B23" s="346" t="s">
        <v>245</v>
      </c>
      <c r="F23" s="364"/>
    </row>
    <row r="24" customFormat="false" ht="12.75" hidden="false" customHeight="false" outlineLevel="0" collapsed="false">
      <c r="A24" s="363" t="n">
        <v>46243</v>
      </c>
      <c r="B24" s="346" t="s">
        <v>246</v>
      </c>
      <c r="F24" s="364"/>
    </row>
    <row r="25" customFormat="false" ht="12.75" hidden="false" customHeight="false" outlineLevel="0" collapsed="false">
      <c r="A25" s="365"/>
      <c r="B25" s="366"/>
      <c r="C25" s="367"/>
      <c r="D25" s="368"/>
      <c r="E25" s="369" t="n">
        <f aca="false">SUM(E16:E24)</f>
        <v>1000</v>
      </c>
      <c r="F25" s="370" t="n">
        <f aca="false">SUM(F16:F24)</f>
        <v>0</v>
      </c>
    </row>
    <row r="27" customFormat="false" ht="12.75" hidden="false" customHeight="false" outlineLevel="0" collapsed="false">
      <c r="A27" s="357" t="n">
        <v>46244</v>
      </c>
      <c r="B27" s="358" t="n">
        <v>46244</v>
      </c>
      <c r="C27" s="359"/>
      <c r="D27" s="360"/>
      <c r="E27" s="361"/>
      <c r="F27" s="362"/>
    </row>
    <row r="28" customFormat="false" ht="12.75" hidden="false" customHeight="false" outlineLevel="0" collapsed="false">
      <c r="A28" s="363" t="n">
        <v>46245</v>
      </c>
      <c r="B28" s="346" t="n">
        <v>46245</v>
      </c>
      <c r="E28" s="348" t="n">
        <v>200</v>
      </c>
      <c r="F28" s="364"/>
    </row>
    <row r="29" customFormat="false" ht="12.75" hidden="false" customHeight="false" outlineLevel="0" collapsed="false">
      <c r="A29" s="363" t="n">
        <v>46246</v>
      </c>
      <c r="B29" s="346" t="n">
        <v>46246</v>
      </c>
      <c r="E29" s="348" t="n">
        <v>200</v>
      </c>
      <c r="F29" s="364"/>
    </row>
    <row r="30" customFormat="false" ht="12.75" hidden="false" customHeight="false" outlineLevel="0" collapsed="false">
      <c r="A30" s="363" t="n">
        <v>46247</v>
      </c>
      <c r="B30" s="346" t="n">
        <v>46247</v>
      </c>
      <c r="E30" s="348" t="n">
        <v>200</v>
      </c>
      <c r="F30" s="364"/>
    </row>
    <row r="31" customFormat="false" ht="12.75" hidden="false" customHeight="false" outlineLevel="0" collapsed="false">
      <c r="A31" s="363" t="n">
        <v>46248</v>
      </c>
      <c r="B31" s="346" t="n">
        <v>46248</v>
      </c>
      <c r="E31" s="348" t="n">
        <v>200</v>
      </c>
      <c r="F31" s="364"/>
    </row>
    <row r="32" customFormat="false" ht="12.75" hidden="false" customHeight="false" outlineLevel="0" collapsed="false">
      <c r="A32" s="363" t="n">
        <v>46249</v>
      </c>
      <c r="B32" s="346" t="n">
        <v>46249</v>
      </c>
      <c r="E32" s="348" t="n">
        <v>200</v>
      </c>
      <c r="F32" s="364"/>
    </row>
    <row r="33" customFormat="false" ht="12.75" hidden="false" customHeight="false" outlineLevel="0" collapsed="false">
      <c r="A33" s="363" t="n">
        <v>46250</v>
      </c>
      <c r="B33" s="346" t="n">
        <v>46250</v>
      </c>
      <c r="F33" s="364"/>
    </row>
    <row r="34" customFormat="false" ht="12.75" hidden="false" customHeight="false" outlineLevel="0" collapsed="false">
      <c r="A34" s="363" t="n">
        <v>46250</v>
      </c>
      <c r="B34" s="346" t="s">
        <v>245</v>
      </c>
      <c r="F34" s="364"/>
    </row>
    <row r="35" customFormat="false" ht="12.75" hidden="false" customHeight="false" outlineLevel="0" collapsed="false">
      <c r="A35" s="363" t="n">
        <v>46250</v>
      </c>
      <c r="B35" s="346" t="s">
        <v>246</v>
      </c>
      <c r="F35" s="364"/>
    </row>
    <row r="36" customFormat="false" ht="12.75" hidden="false" customHeight="false" outlineLevel="0" collapsed="false">
      <c r="A36" s="365"/>
      <c r="B36" s="366"/>
      <c r="C36" s="367"/>
      <c r="D36" s="368"/>
      <c r="E36" s="369" t="n">
        <f aca="false">SUM(E27:E35)</f>
        <v>1000</v>
      </c>
      <c r="F36" s="370" t="n">
        <f aca="false">SUM(F27:F35)</f>
        <v>0</v>
      </c>
    </row>
    <row r="38" customFormat="false" ht="12.75" hidden="false" customHeight="false" outlineLevel="0" collapsed="false">
      <c r="A38" s="357" t="n">
        <v>46251</v>
      </c>
      <c r="B38" s="358" t="n">
        <v>46251</v>
      </c>
      <c r="C38" s="359"/>
      <c r="D38" s="360"/>
      <c r="E38" s="361"/>
      <c r="F38" s="362"/>
    </row>
    <row r="39" customFormat="false" ht="12.75" hidden="false" customHeight="false" outlineLevel="0" collapsed="false">
      <c r="A39" s="363" t="n">
        <v>46252</v>
      </c>
      <c r="B39" s="346" t="n">
        <v>46252</v>
      </c>
      <c r="E39" s="348" t="n">
        <v>200</v>
      </c>
      <c r="F39" s="364"/>
    </row>
    <row r="40" customFormat="false" ht="12.75" hidden="false" customHeight="false" outlineLevel="0" collapsed="false">
      <c r="A40" s="363" t="n">
        <v>46253</v>
      </c>
      <c r="B40" s="346" t="n">
        <v>46253</v>
      </c>
      <c r="E40" s="348" t="n">
        <v>200</v>
      </c>
      <c r="F40" s="364"/>
    </row>
    <row r="41" customFormat="false" ht="12.75" hidden="false" customHeight="false" outlineLevel="0" collapsed="false">
      <c r="A41" s="363" t="n">
        <v>46254</v>
      </c>
      <c r="B41" s="346" t="n">
        <v>46254</v>
      </c>
      <c r="E41" s="348" t="n">
        <v>200</v>
      </c>
      <c r="F41" s="364"/>
    </row>
    <row r="42" customFormat="false" ht="12.75" hidden="false" customHeight="false" outlineLevel="0" collapsed="false">
      <c r="A42" s="363" t="n">
        <v>46255</v>
      </c>
      <c r="B42" s="346" t="n">
        <v>46255</v>
      </c>
      <c r="E42" s="348" t="n">
        <v>200</v>
      </c>
      <c r="F42" s="364"/>
    </row>
    <row r="43" customFormat="false" ht="12.75" hidden="false" customHeight="false" outlineLevel="0" collapsed="false">
      <c r="A43" s="363" t="n">
        <v>46256</v>
      </c>
      <c r="B43" s="346" t="n">
        <v>46256</v>
      </c>
      <c r="E43" s="348" t="n">
        <v>200</v>
      </c>
      <c r="F43" s="364"/>
    </row>
    <row r="44" customFormat="false" ht="12.75" hidden="false" customHeight="false" outlineLevel="0" collapsed="false">
      <c r="A44" s="363" t="n">
        <v>46257</v>
      </c>
      <c r="B44" s="346" t="n">
        <v>46257</v>
      </c>
      <c r="F44" s="364"/>
    </row>
    <row r="45" customFormat="false" ht="12.75" hidden="false" customHeight="false" outlineLevel="0" collapsed="false">
      <c r="A45" s="363" t="n">
        <v>46257</v>
      </c>
      <c r="B45" s="346" t="s">
        <v>245</v>
      </c>
      <c r="F45" s="364"/>
    </row>
    <row r="46" customFormat="false" ht="12.75" hidden="false" customHeight="false" outlineLevel="0" collapsed="false">
      <c r="A46" s="363" t="n">
        <v>46257</v>
      </c>
      <c r="B46" s="346" t="s">
        <v>246</v>
      </c>
      <c r="F46" s="364"/>
    </row>
    <row r="47" customFormat="false" ht="12.75" hidden="false" customHeight="false" outlineLevel="0" collapsed="false">
      <c r="A47" s="365"/>
      <c r="B47" s="366"/>
      <c r="C47" s="367"/>
      <c r="D47" s="368"/>
      <c r="E47" s="369" t="n">
        <f aca="false">SUM(E38:E46)</f>
        <v>1000</v>
      </c>
      <c r="F47" s="370" t="n">
        <f aca="false">SUM(F38:F46)</f>
        <v>0</v>
      </c>
    </row>
    <row r="49" customFormat="false" ht="12.75" hidden="false" customHeight="false" outlineLevel="0" collapsed="false">
      <c r="A49" s="357" t="n">
        <v>46258</v>
      </c>
      <c r="B49" s="358" t="n">
        <v>46258</v>
      </c>
      <c r="C49" s="359"/>
      <c r="D49" s="360"/>
      <c r="E49" s="361"/>
      <c r="F49" s="362"/>
    </row>
    <row r="50" customFormat="false" ht="12.75" hidden="false" customHeight="false" outlineLevel="0" collapsed="false">
      <c r="A50" s="363" t="n">
        <v>46259</v>
      </c>
      <c r="B50" s="346" t="n">
        <v>46259</v>
      </c>
      <c r="F50" s="364"/>
    </row>
    <row r="51" customFormat="false" ht="12.75" hidden="false" customHeight="false" outlineLevel="0" collapsed="false">
      <c r="A51" s="363" t="n">
        <v>46260</v>
      </c>
      <c r="B51" s="346" t="n">
        <v>46260</v>
      </c>
      <c r="F51" s="364"/>
    </row>
    <row r="52" customFormat="false" ht="12.75" hidden="false" customHeight="false" outlineLevel="0" collapsed="false">
      <c r="A52" s="363" t="n">
        <v>46261</v>
      </c>
      <c r="B52" s="346" t="n">
        <v>46261</v>
      </c>
      <c r="F52" s="364"/>
    </row>
    <row r="53" customFormat="false" ht="12.75" hidden="false" customHeight="false" outlineLevel="0" collapsed="false">
      <c r="A53" s="363" t="n">
        <v>46262</v>
      </c>
      <c r="B53" s="346" t="n">
        <v>46262</v>
      </c>
      <c r="F53" s="364"/>
    </row>
    <row r="54" customFormat="false" ht="12.75" hidden="false" customHeight="false" outlineLevel="0" collapsed="false">
      <c r="A54" s="363" t="n">
        <v>46263</v>
      </c>
      <c r="B54" s="346" t="n">
        <v>46263</v>
      </c>
      <c r="F54" s="364"/>
    </row>
    <row r="55" customFormat="false" ht="12.75" hidden="false" customHeight="false" outlineLevel="0" collapsed="false">
      <c r="A55" s="363" t="n">
        <v>46264</v>
      </c>
      <c r="B55" s="346" t="n">
        <v>46264</v>
      </c>
      <c r="F55" s="364"/>
    </row>
    <row r="56" customFormat="false" ht="12.75" hidden="false" customHeight="false" outlineLevel="0" collapsed="false">
      <c r="A56" s="363" t="n">
        <v>46264</v>
      </c>
      <c r="B56" s="346" t="s">
        <v>245</v>
      </c>
      <c r="F56" s="364"/>
    </row>
    <row r="57" customFormat="false" ht="12.75" hidden="false" customHeight="false" outlineLevel="0" collapsed="false">
      <c r="A57" s="363" t="n">
        <v>46264</v>
      </c>
      <c r="B57" s="346" t="s">
        <v>246</v>
      </c>
      <c r="F57" s="364"/>
    </row>
    <row r="58" customFormat="false" ht="12.75" hidden="false" customHeight="false" outlineLevel="0" collapsed="false">
      <c r="A58" s="365"/>
      <c r="B58" s="366"/>
      <c r="C58" s="367"/>
      <c r="D58" s="368"/>
      <c r="E58" s="369" t="n">
        <f aca="false">SUM(E49:E57)</f>
        <v>0</v>
      </c>
      <c r="F58" s="370" t="n">
        <f aca="false">SUM(F49:F57)</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1" width="9.66"/>
    <col collapsed="false" customWidth="true" hidden="false" outlineLevel="0" max="2" min="2" style="180" width="23.99"/>
    <col collapsed="false" customWidth="true" hidden="false" outlineLevel="0" max="3" min="3" style="180" width="15.99"/>
    <col collapsed="false" customWidth="false" hidden="false" outlineLevel="0" max="5" min="4" style="372" width="9.15"/>
    <col collapsed="false" customWidth="true" hidden="false" outlineLevel="0" max="6" min="6" style="373"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82"/>
    <col collapsed="false" customWidth="true" hidden="false" outlineLevel="0" max="14" min="14" style="181" width="8.99"/>
    <col collapsed="false" customWidth="true" hidden="false" outlineLevel="0" max="15" min="15" style="181" width="9.33"/>
    <col collapsed="false" customWidth="true" hidden="false" outlineLevel="0" max="18" min="16" style="181" width="7.66"/>
    <col collapsed="false" customWidth="true" hidden="false" outlineLevel="0" max="19" min="19" style="181" width="8.49"/>
    <col collapsed="false" customWidth="true" hidden="false" outlineLevel="0" max="20" min="20" style="180" width="13.33"/>
    <col collapsed="false" customWidth="true" hidden="false" outlineLevel="0" max="21" min="21" style="181" width="8.33"/>
    <col collapsed="false" customWidth="false" hidden="false" outlineLevel="0" max="257" min="22" style="180" width="9.15"/>
  </cols>
  <sheetData>
    <row r="1" s="181" customFormat="true" ht="13.5" hidden="false" customHeight="true" outlineLevel="0" collapsed="false">
      <c r="A1" s="390" t="n">
        <f aca="false">E1+SalesAug!$D$1+PurchasesJul!A1</f>
        <v>0</v>
      </c>
      <c r="B1" s="391" t="s">
        <v>247</v>
      </c>
      <c r="C1" s="392" t="s">
        <v>240</v>
      </c>
      <c r="D1" s="376" t="str">
        <f aca="false">IF((F1-SUM(G1:S1)&lt;&gt;0),(F1-SUM(G1:S1))," ")</f>
        <v> </v>
      </c>
      <c r="E1" s="352" t="n">
        <f aca="false">SUM(E5:E199)</f>
        <v>0</v>
      </c>
      <c r="F1" s="351" t="n">
        <f aca="false">SUM(F5:F199)</f>
        <v>300</v>
      </c>
      <c r="G1" s="351" t="n">
        <f aca="false">SUM(G5:G199)</f>
        <v>300</v>
      </c>
      <c r="H1" s="351" t="n">
        <f aca="false">SUM(H5:H199)</f>
        <v>0</v>
      </c>
      <c r="I1" s="351" t="n">
        <f aca="false">SUM(I5:I199)</f>
        <v>0</v>
      </c>
      <c r="J1" s="351" t="n">
        <f aca="false">SUM(J5:J199)</f>
        <v>0</v>
      </c>
      <c r="K1" s="351" t="n">
        <f aca="false">SUM(K5:K199)</f>
        <v>0</v>
      </c>
      <c r="L1" s="351" t="n">
        <f aca="false">SUM(L5:L199)</f>
        <v>0</v>
      </c>
      <c r="M1" s="351" t="n">
        <f aca="false">SUM(M5:M199)</f>
        <v>0</v>
      </c>
      <c r="N1" s="351" t="n">
        <f aca="false">SUM(N5:N199)</f>
        <v>0</v>
      </c>
      <c r="O1" s="351" t="n">
        <f aca="false">SUM(O5:O199)</f>
        <v>0</v>
      </c>
      <c r="P1" s="351" t="n">
        <f aca="false">SUM(P5:P199)</f>
        <v>0</v>
      </c>
      <c r="Q1" s="351" t="n">
        <f aca="false">SUM(Q5:Q199)</f>
        <v>0</v>
      </c>
      <c r="R1" s="351" t="n">
        <f aca="false">SUM(R5:R199)</f>
        <v>0</v>
      </c>
      <c r="S1" s="393" t="n">
        <f aca="false">SUM(S5:S199)</f>
        <v>0</v>
      </c>
      <c r="T1" s="394" t="n">
        <f aca="false">S1+PurchasesJul!T1</f>
        <v>8000</v>
      </c>
      <c r="U1" s="393" t="n">
        <f aca="false">SUM(U4:U199)</f>
        <v>0</v>
      </c>
    </row>
    <row r="2" s="181" customFormat="true" ht="13.5" hidden="false" customHeight="true" outlineLevel="0" collapsed="false">
      <c r="A2" s="395" t="n">
        <f aca="false">U1+PurchasesJul!A2</f>
        <v>0</v>
      </c>
      <c r="B2" s="240" t="s">
        <v>248</v>
      </c>
      <c r="C2" s="379" t="s">
        <v>249</v>
      </c>
      <c r="D2" s="379" t="s">
        <v>250</v>
      </c>
      <c r="E2" s="379" t="s">
        <v>251</v>
      </c>
      <c r="F2" s="207" t="s">
        <v>252</v>
      </c>
      <c r="G2" s="380" t="s">
        <v>253</v>
      </c>
      <c r="H2" s="380"/>
      <c r="I2" s="381" t="n">
        <f aca="false">G1+H1+I1+J1+PurchasesJul!I2</f>
        <v>2880</v>
      </c>
      <c r="J2" s="381"/>
      <c r="K2" s="207" t="s">
        <v>254</v>
      </c>
      <c r="L2" s="207" t="s">
        <v>255</v>
      </c>
      <c r="M2" s="207" t="s">
        <v>256</v>
      </c>
      <c r="N2" s="207" t="s">
        <v>288</v>
      </c>
      <c r="O2" s="207" t="s">
        <v>258</v>
      </c>
      <c r="P2" s="207" t="s">
        <v>259</v>
      </c>
      <c r="Q2" s="207" t="s">
        <v>260</v>
      </c>
      <c r="R2" s="207" t="s">
        <v>261</v>
      </c>
      <c r="S2" s="382" t="s">
        <v>262</v>
      </c>
      <c r="T2" s="383" t="str">
        <f aca="false">IF(T1&gt;'Fixed Assets'!$D$74,"ENTER VEHICLE CHANGES        on Fixed Asset schedule","Motor Vehicles: make, model, date reg. and reg. Mark")</f>
        <v>ENTER VEHICLE CHANGES        on Fixed Asset schedule</v>
      </c>
      <c r="U2" s="382" t="s">
        <v>116</v>
      </c>
    </row>
    <row r="3" s="385" customFormat="true" ht="45" hidden="false" customHeight="true" outlineLevel="0" collapsed="false">
      <c r="A3" s="384" t="s">
        <v>263</v>
      </c>
      <c r="B3" s="207" t="s">
        <v>264</v>
      </c>
      <c r="C3" s="379"/>
      <c r="D3" s="379"/>
      <c r="E3" s="379"/>
      <c r="F3" s="379"/>
      <c r="G3" s="207" t="s">
        <v>111</v>
      </c>
      <c r="H3" s="207" t="s">
        <v>265</v>
      </c>
      <c r="I3" s="207" t="s">
        <v>113</v>
      </c>
      <c r="J3" s="207" t="s">
        <v>114</v>
      </c>
      <c r="K3" s="207"/>
      <c r="L3" s="207"/>
      <c r="M3" s="207"/>
      <c r="N3" s="207"/>
      <c r="O3" s="207"/>
      <c r="P3" s="207"/>
      <c r="Q3" s="207"/>
      <c r="R3" s="207"/>
      <c r="S3" s="382"/>
      <c r="T3" s="383"/>
      <c r="U3" s="382"/>
    </row>
    <row r="4" s="388" customFormat="true" ht="12.75" hidden="false" customHeight="false" outlineLevel="0" collapsed="false">
      <c r="A4" s="386" t="str">
        <f aca="false">IF((E1&lt;&gt;0),Admin!$B$9," ")</f>
        <v> </v>
      </c>
      <c r="B4" s="207"/>
      <c r="C4" s="207"/>
      <c r="D4" s="207"/>
      <c r="E4" s="207"/>
      <c r="F4" s="207"/>
      <c r="G4" s="375" t="s">
        <v>266</v>
      </c>
      <c r="H4" s="375" t="s">
        <v>267</v>
      </c>
      <c r="I4" s="375" t="s">
        <v>268</v>
      </c>
      <c r="J4" s="375" t="s">
        <v>269</v>
      </c>
      <c r="K4" s="375" t="s">
        <v>270</v>
      </c>
      <c r="L4" s="375" t="s">
        <v>271</v>
      </c>
      <c r="M4" s="375" t="s">
        <v>272</v>
      </c>
      <c r="N4" s="375" t="s">
        <v>273</v>
      </c>
      <c r="O4" s="375" t="s">
        <v>274</v>
      </c>
      <c r="P4" s="375" t="s">
        <v>275</v>
      </c>
      <c r="Q4" s="375" t="s">
        <v>276</v>
      </c>
      <c r="R4" s="375" t="s">
        <v>277</v>
      </c>
      <c r="S4" s="387" t="s">
        <v>278</v>
      </c>
      <c r="T4" s="383"/>
      <c r="U4" s="394" t="n">
        <f aca="false">IF((A1&lt;Admin!$F$22),((A1-PurchasesJul!A1)*Admin!$G$21),(A1*Admin!$G$21-(A1-Admin!$F$21)*(Admin!$G$21-Admin!$G$22)-PurchasesJul!A2))</f>
        <v>0</v>
      </c>
    </row>
    <row r="5" s="372" customFormat="true" ht="12.75" hidden="false" customHeight="false" outlineLevel="0" collapsed="false">
      <c r="A5" s="371" t="n">
        <v>46249</v>
      </c>
      <c r="B5" s="389" t="s">
        <v>284</v>
      </c>
      <c r="D5" s="372" t="s">
        <v>285</v>
      </c>
      <c r="F5" s="372"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2"/>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2"/>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2"/>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2"/>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2"/>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2"/>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2"/>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2"/>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2"/>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2"/>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2"/>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2"/>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2"/>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2"/>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2"/>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2"/>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2"/>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2"/>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2"/>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2"/>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2"/>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2"/>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2"/>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2"/>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2"/>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2"/>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2"/>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2"/>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2"/>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2"/>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2"/>
    </row>
    <row r="37" customFormat="false" ht="12.75" hidden="false" customHeight="false" outlineLevel="0" collapsed="false">
      <c r="D37" s="372"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2"/>
    </row>
    <row r="38" customFormat="false" ht="12.75" hidden="false" customHeight="false" outlineLevel="0" collapsed="false">
      <c r="D38" s="372"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2"/>
    </row>
    <row r="39" customFormat="false" ht="12.75" hidden="false" customHeight="false" outlineLevel="0" collapsed="false">
      <c r="D39" s="372"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2"/>
    </row>
    <row r="40" customFormat="false" ht="12.75" hidden="false" customHeight="false" outlineLevel="0" collapsed="false">
      <c r="D40" s="372"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2"/>
    </row>
    <row r="41" customFormat="false" ht="12.75" hidden="false" customHeight="false" outlineLevel="0" collapsed="false">
      <c r="D41" s="372"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2"/>
    </row>
    <row r="42" customFormat="false" ht="12.75" hidden="false" customHeight="false" outlineLevel="0" collapsed="false">
      <c r="D42" s="372"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2"/>
    </row>
    <row r="43" customFormat="false" ht="12.75" hidden="false" customHeight="false" outlineLevel="0" collapsed="false">
      <c r="D43" s="372"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2"/>
    </row>
    <row r="44" customFormat="false" ht="12.75" hidden="false" customHeight="false" outlineLevel="0" collapsed="false">
      <c r="D44" s="372"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2"/>
    </row>
    <row r="45" customFormat="false" ht="12.75" hidden="false" customHeight="false" outlineLevel="0" collapsed="false">
      <c r="D45" s="372"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2"/>
    </row>
    <row r="46" customFormat="false" ht="12.75" hidden="false" customHeight="false" outlineLevel="0" collapsed="false">
      <c r="D46" s="372"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2"/>
    </row>
    <row r="47" customFormat="false" ht="12.75" hidden="false" customHeight="false" outlineLevel="0" collapsed="false">
      <c r="D47" s="372"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2"/>
    </row>
    <row r="48" customFormat="false" ht="12.75" hidden="false" customHeight="false" outlineLevel="0" collapsed="false">
      <c r="D48" s="372"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2"/>
    </row>
    <row r="49" customFormat="false" ht="12.75" hidden="false" customHeight="false" outlineLevel="0" collapsed="false">
      <c r="D49" s="372"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2"/>
    </row>
    <row r="50" customFormat="false" ht="12.75" hidden="false" customHeight="false" outlineLevel="0" collapsed="false">
      <c r="D50" s="372"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2"/>
    </row>
    <row r="51" customFormat="false" ht="12.75" hidden="false" customHeight="false" outlineLevel="0" collapsed="false">
      <c r="D51" s="372"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2"/>
    </row>
    <row r="52" customFormat="false" ht="12.75" hidden="false" customHeight="false" outlineLevel="0" collapsed="false">
      <c r="D52" s="372"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2"/>
    </row>
    <row r="53" customFormat="false" ht="12.75" hidden="false" customHeight="false" outlineLevel="0" collapsed="false">
      <c r="D53" s="372"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2"/>
    </row>
    <row r="54" customFormat="false" ht="12.75" hidden="false" customHeight="false" outlineLevel="0" collapsed="false">
      <c r="D54" s="372"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2"/>
    </row>
    <row r="55" customFormat="false" ht="12.75" hidden="false" customHeight="false" outlineLevel="0" collapsed="false">
      <c r="D55" s="372"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2"/>
    </row>
    <row r="56" customFormat="false" ht="12.75" hidden="false" customHeight="false" outlineLevel="0" collapsed="false">
      <c r="D56" s="372"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2"/>
    </row>
    <row r="57" customFormat="false" ht="12.75" hidden="false" customHeight="false" outlineLevel="0" collapsed="false">
      <c r="D57" s="372"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2"/>
    </row>
    <row r="58" customFormat="false" ht="12.75" hidden="false" customHeight="false" outlineLevel="0" collapsed="false">
      <c r="D58" s="372"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2"/>
    </row>
    <row r="59" customFormat="false" ht="12.75" hidden="false" customHeight="false" outlineLevel="0" collapsed="false">
      <c r="D59" s="372"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2"/>
    </row>
    <row r="60" customFormat="false" ht="12.75" hidden="false" customHeight="false" outlineLevel="0" collapsed="false">
      <c r="D60" s="372"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2"/>
    </row>
    <row r="61" customFormat="false" ht="12.75" hidden="false" customHeight="false" outlineLevel="0" collapsed="false">
      <c r="D61" s="372"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2"/>
    </row>
    <row r="62" customFormat="false" ht="12.75" hidden="false" customHeight="false" outlineLevel="0" collapsed="false">
      <c r="D62" s="372"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2"/>
    </row>
    <row r="63" customFormat="false" ht="12.75" hidden="false" customHeight="false" outlineLevel="0" collapsed="false">
      <c r="D63" s="372"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2"/>
    </row>
    <row r="64" customFormat="false" ht="12.75" hidden="false" customHeight="false" outlineLevel="0" collapsed="false">
      <c r="D64" s="372"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2"/>
    </row>
    <row r="65" customFormat="false" ht="12.75" hidden="false" customHeight="false" outlineLevel="0" collapsed="false">
      <c r="D65" s="372"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2"/>
    </row>
    <row r="66" customFormat="false" ht="12.75" hidden="false" customHeight="false" outlineLevel="0" collapsed="false">
      <c r="D66" s="372"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2"/>
    </row>
    <row r="67" customFormat="false" ht="12.75" hidden="false" customHeight="false" outlineLevel="0" collapsed="false">
      <c r="D67" s="372"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2"/>
    </row>
    <row r="68" customFormat="false" ht="12.75" hidden="false" customHeight="false" outlineLevel="0" collapsed="false">
      <c r="D68" s="372"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2"/>
    </row>
    <row r="69" customFormat="false" ht="12.75" hidden="false" customHeight="false" outlineLevel="0" collapsed="false">
      <c r="D69" s="372"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2"/>
    </row>
    <row r="70" customFormat="false" ht="12.75" hidden="false" customHeight="false" outlineLevel="0" collapsed="false">
      <c r="D70" s="372"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2"/>
    </row>
    <row r="71" customFormat="false" ht="12.75" hidden="false" customHeight="false" outlineLevel="0" collapsed="false">
      <c r="D71" s="372"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2"/>
    </row>
    <row r="72" customFormat="false" ht="12.75" hidden="false" customHeight="false" outlineLevel="0" collapsed="false">
      <c r="D72" s="372"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2"/>
    </row>
    <row r="73" customFormat="false" ht="12.75" hidden="false" customHeight="false" outlineLevel="0" collapsed="false">
      <c r="D73" s="372"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2"/>
    </row>
    <row r="74" customFormat="false" ht="12.75" hidden="false" customHeight="false" outlineLevel="0" collapsed="false">
      <c r="D74" s="372"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2"/>
    </row>
    <row r="75" customFormat="false" ht="12.75" hidden="false" customHeight="false" outlineLevel="0" collapsed="false">
      <c r="D75" s="372"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2"/>
    </row>
    <row r="76" customFormat="false" ht="12.75" hidden="false" customHeight="false" outlineLevel="0" collapsed="false">
      <c r="D76" s="372"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2"/>
    </row>
    <row r="77" customFormat="false" ht="12.75" hidden="false" customHeight="false" outlineLevel="0" collapsed="false">
      <c r="D77" s="372"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2"/>
    </row>
    <row r="78" customFormat="false" ht="12.75" hidden="false" customHeight="false" outlineLevel="0" collapsed="false">
      <c r="D78" s="372"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2"/>
    </row>
    <row r="79" customFormat="false" ht="12.75" hidden="false" customHeight="false" outlineLevel="0" collapsed="false">
      <c r="D79" s="372"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2"/>
    </row>
    <row r="80" customFormat="false" ht="12.75" hidden="false" customHeight="false" outlineLevel="0" collapsed="false">
      <c r="D80" s="372"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2"/>
    </row>
    <row r="81" customFormat="false" ht="12.75" hidden="false" customHeight="false" outlineLevel="0" collapsed="false">
      <c r="D81" s="372"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2"/>
    </row>
    <row r="82" customFormat="false" ht="12.75" hidden="false" customHeight="false" outlineLevel="0" collapsed="false">
      <c r="D82" s="372"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2"/>
    </row>
    <row r="83" customFormat="false" ht="12.75" hidden="false" customHeight="false" outlineLevel="0" collapsed="false">
      <c r="D83" s="372"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2"/>
    </row>
    <row r="84" customFormat="false" ht="12.75" hidden="false" customHeight="false" outlineLevel="0" collapsed="false">
      <c r="D84" s="372"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2"/>
    </row>
    <row r="85" customFormat="false" ht="12.75" hidden="false" customHeight="false" outlineLevel="0" collapsed="false">
      <c r="D85" s="372"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2"/>
    </row>
    <row r="86" customFormat="false" ht="12.75" hidden="false" customHeight="false" outlineLevel="0" collapsed="false">
      <c r="D86" s="372"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2"/>
    </row>
    <row r="87" customFormat="false" ht="12.75" hidden="false" customHeight="false" outlineLevel="0" collapsed="false">
      <c r="D87" s="372"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2"/>
    </row>
    <row r="88" customFormat="false" ht="12.75" hidden="false" customHeight="false" outlineLevel="0" collapsed="false">
      <c r="D88" s="372"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2"/>
    </row>
    <row r="89" customFormat="false" ht="12.75" hidden="false" customHeight="false" outlineLevel="0" collapsed="false">
      <c r="D89" s="372"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2"/>
    </row>
    <row r="90" customFormat="false" ht="12.75" hidden="false" customHeight="false" outlineLevel="0" collapsed="false">
      <c r="D90" s="372"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2"/>
    </row>
    <row r="91" customFormat="false" ht="12.75" hidden="false" customHeight="false" outlineLevel="0" collapsed="false">
      <c r="D91" s="372"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2"/>
    </row>
    <row r="92" customFormat="false" ht="12.75" hidden="false" customHeight="false" outlineLevel="0" collapsed="false">
      <c r="D92" s="372"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2"/>
    </row>
    <row r="93" customFormat="false" ht="12.75" hidden="false" customHeight="false" outlineLevel="0" collapsed="false">
      <c r="D93" s="372"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2"/>
    </row>
    <row r="94" customFormat="false" ht="12.75" hidden="false" customHeight="false" outlineLevel="0" collapsed="false">
      <c r="D94" s="372"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2"/>
    </row>
    <row r="95" customFormat="false" ht="12.75" hidden="false" customHeight="false" outlineLevel="0" collapsed="false">
      <c r="D95" s="372"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2"/>
    </row>
    <row r="96" customFormat="false" ht="12.75" hidden="false" customHeight="false" outlineLevel="0" collapsed="false">
      <c r="D96" s="372"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2"/>
    </row>
    <row r="97" customFormat="false" ht="12.75" hidden="false" customHeight="false" outlineLevel="0" collapsed="false">
      <c r="D97" s="372"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2"/>
    </row>
    <row r="98" customFormat="false" ht="12.75" hidden="false" customHeight="false" outlineLevel="0" collapsed="false">
      <c r="D98" s="372"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2"/>
    </row>
    <row r="99" customFormat="false" ht="12.75" hidden="false" customHeight="false" outlineLevel="0" collapsed="false">
      <c r="D99" s="372"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2"/>
    </row>
    <row r="100" customFormat="false" ht="12.75" hidden="false" customHeight="false" outlineLevel="0" collapsed="false">
      <c r="D100" s="372"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2"/>
    </row>
    <row r="101" customFormat="false" ht="12.75" hidden="false" customHeight="false" outlineLevel="0" collapsed="false">
      <c r="D101" s="372"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2"/>
    </row>
    <row r="102" customFormat="false" ht="12.75" hidden="false" customHeight="false" outlineLevel="0" collapsed="false">
      <c r="D102" s="372"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2"/>
    </row>
    <row r="103" customFormat="false" ht="12.75" hidden="false" customHeight="false" outlineLevel="0" collapsed="false">
      <c r="D103" s="372"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2"/>
    </row>
    <row r="104" customFormat="false" ht="12.75" hidden="false" customHeight="false" outlineLevel="0" collapsed="false">
      <c r="D104" s="372"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2"/>
    </row>
    <row r="105" customFormat="false" ht="12.75" hidden="false" customHeight="false" outlineLevel="0" collapsed="false">
      <c r="D105" s="372"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2"/>
    </row>
    <row r="106" customFormat="false" ht="12.75" hidden="false" customHeight="false" outlineLevel="0" collapsed="false">
      <c r="D106" s="372"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2"/>
    </row>
    <row r="107" customFormat="false" ht="12.75" hidden="false" customHeight="false" outlineLevel="0" collapsed="false">
      <c r="D107" s="372"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2"/>
    </row>
    <row r="108" customFormat="false" ht="12.75" hidden="false" customHeight="false" outlineLevel="0" collapsed="false">
      <c r="D108" s="372"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2"/>
    </row>
    <row r="109" customFormat="false" ht="12.75" hidden="false" customHeight="false" outlineLevel="0" collapsed="false">
      <c r="D109" s="372"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2"/>
    </row>
    <row r="110" customFormat="false" ht="12.75" hidden="false" customHeight="false" outlineLevel="0" collapsed="false">
      <c r="D110" s="372"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2"/>
    </row>
    <row r="111" customFormat="false" ht="12.75" hidden="false" customHeight="false" outlineLevel="0" collapsed="false">
      <c r="D111" s="372"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2"/>
    </row>
    <row r="112" customFormat="false" ht="12.75" hidden="false" customHeight="false" outlineLevel="0" collapsed="false">
      <c r="D112" s="372"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2"/>
    </row>
    <row r="113" customFormat="false" ht="12.75" hidden="false" customHeight="false" outlineLevel="0" collapsed="false">
      <c r="D113" s="372"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2"/>
    </row>
    <row r="114" customFormat="false" ht="12.75" hidden="false" customHeight="false" outlineLevel="0" collapsed="false">
      <c r="D114" s="372"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2"/>
    </row>
    <row r="115" customFormat="false" ht="12.75" hidden="false" customHeight="false" outlineLevel="0" collapsed="false">
      <c r="D115" s="372"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2"/>
    </row>
    <row r="116" customFormat="false" ht="12.75" hidden="false" customHeight="false" outlineLevel="0" collapsed="false">
      <c r="D116" s="372"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2"/>
    </row>
    <row r="117" customFormat="false" ht="12.75" hidden="false" customHeight="false" outlineLevel="0" collapsed="false">
      <c r="D117" s="372"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2"/>
    </row>
    <row r="118" customFormat="false" ht="12.75" hidden="false" customHeight="false" outlineLevel="0" collapsed="false">
      <c r="D118" s="372"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2"/>
    </row>
    <row r="119" customFormat="false" ht="12.75" hidden="false" customHeight="false" outlineLevel="0" collapsed="false">
      <c r="D119" s="372"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2"/>
    </row>
    <row r="120" customFormat="false" ht="12.75" hidden="false" customHeight="false" outlineLevel="0" collapsed="false">
      <c r="D120" s="372"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2"/>
    </row>
    <row r="121" customFormat="false" ht="12.75" hidden="false" customHeight="false" outlineLevel="0" collapsed="false">
      <c r="D121" s="372"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2"/>
    </row>
    <row r="122" customFormat="false" ht="12.75" hidden="false" customHeight="false" outlineLevel="0" collapsed="false">
      <c r="D122" s="372"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2"/>
    </row>
    <row r="123" customFormat="false" ht="12.75" hidden="false" customHeight="false" outlineLevel="0" collapsed="false">
      <c r="D123" s="372"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2"/>
    </row>
    <row r="124" customFormat="false" ht="12.75" hidden="false" customHeight="false" outlineLevel="0" collapsed="false">
      <c r="D124" s="372"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2"/>
    </row>
    <row r="125" customFormat="false" ht="12.75" hidden="false" customHeight="false" outlineLevel="0" collapsed="false">
      <c r="D125" s="372"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2"/>
    </row>
    <row r="126" customFormat="false" ht="12.75" hidden="false" customHeight="false" outlineLevel="0" collapsed="false">
      <c r="D126" s="372"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2"/>
    </row>
    <row r="127" customFormat="false" ht="12.75" hidden="false" customHeight="false" outlineLevel="0" collapsed="false">
      <c r="D127" s="372"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2"/>
    </row>
    <row r="128" customFormat="false" ht="12.75" hidden="false" customHeight="false" outlineLevel="0" collapsed="false">
      <c r="D128" s="372"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2"/>
    </row>
    <row r="129" customFormat="false" ht="12.75" hidden="false" customHeight="false" outlineLevel="0" collapsed="false">
      <c r="D129" s="372"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2"/>
    </row>
    <row r="130" customFormat="false" ht="12.75" hidden="false" customHeight="false" outlineLevel="0" collapsed="false">
      <c r="D130" s="372"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2"/>
    </row>
    <row r="131" customFormat="false" ht="12.75" hidden="false" customHeight="false" outlineLevel="0" collapsed="false">
      <c r="D131" s="372"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2"/>
    </row>
    <row r="132" customFormat="false" ht="12.75" hidden="false" customHeight="false" outlineLevel="0" collapsed="false">
      <c r="D132" s="372"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2"/>
    </row>
    <row r="133" customFormat="false" ht="12.75" hidden="false" customHeight="false" outlineLevel="0" collapsed="false">
      <c r="D133" s="372"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2"/>
    </row>
    <row r="134" customFormat="false" ht="12.75" hidden="false" customHeight="false" outlineLevel="0" collapsed="false">
      <c r="D134" s="372"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2"/>
    </row>
    <row r="135" customFormat="false" ht="12.75" hidden="false" customHeight="false" outlineLevel="0" collapsed="false">
      <c r="D135" s="372"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2"/>
    </row>
    <row r="136" customFormat="false" ht="12.75" hidden="false" customHeight="false" outlineLevel="0" collapsed="false">
      <c r="D136" s="372"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2"/>
    </row>
    <row r="137" customFormat="false" ht="12.75" hidden="false" customHeight="false" outlineLevel="0" collapsed="false">
      <c r="D137" s="372"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2"/>
    </row>
    <row r="138" customFormat="false" ht="12.75" hidden="false" customHeight="false" outlineLevel="0" collapsed="false">
      <c r="D138" s="372"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2"/>
    </row>
    <row r="139" customFormat="false" ht="12.75" hidden="false" customHeight="false" outlineLevel="0" collapsed="false">
      <c r="D139" s="372"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2"/>
    </row>
    <row r="140" customFormat="false" ht="12.75" hidden="false" customHeight="false" outlineLevel="0" collapsed="false">
      <c r="D140" s="372"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2"/>
    </row>
    <row r="141" customFormat="false" ht="12.75" hidden="false" customHeight="false" outlineLevel="0" collapsed="false">
      <c r="D141" s="372"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2"/>
    </row>
    <row r="142" customFormat="false" ht="12.75" hidden="false" customHeight="false" outlineLevel="0" collapsed="false">
      <c r="D142" s="372"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2"/>
    </row>
    <row r="143" customFormat="false" ht="12.75" hidden="false" customHeight="false" outlineLevel="0" collapsed="false">
      <c r="D143" s="372"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2"/>
    </row>
    <row r="144" customFormat="false" ht="12.75" hidden="false" customHeight="false" outlineLevel="0" collapsed="false">
      <c r="D144" s="372"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2"/>
    </row>
    <row r="145" customFormat="false" ht="12.75" hidden="false" customHeight="false" outlineLevel="0" collapsed="false">
      <c r="D145" s="372"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2"/>
    </row>
    <row r="146" customFormat="false" ht="12.75" hidden="false" customHeight="false" outlineLevel="0" collapsed="false">
      <c r="D146" s="372"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2"/>
    </row>
    <row r="147" customFormat="false" ht="12.75" hidden="false" customHeight="false" outlineLevel="0" collapsed="false">
      <c r="D147" s="372"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2"/>
    </row>
    <row r="148" customFormat="false" ht="12.75" hidden="false" customHeight="false" outlineLevel="0" collapsed="false">
      <c r="D148" s="372"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2"/>
    </row>
    <row r="149" customFormat="false" ht="12.75" hidden="false" customHeight="false" outlineLevel="0" collapsed="false">
      <c r="D149" s="372"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2"/>
    </row>
    <row r="150" customFormat="false" ht="12.75" hidden="false" customHeight="false" outlineLevel="0" collapsed="false">
      <c r="D150" s="372"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2"/>
    </row>
    <row r="151" customFormat="false" ht="12.75" hidden="false" customHeight="false" outlineLevel="0" collapsed="false">
      <c r="D151" s="372"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2"/>
    </row>
    <row r="152" customFormat="false" ht="12.75" hidden="false" customHeight="false" outlineLevel="0" collapsed="false">
      <c r="D152" s="372"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2"/>
    </row>
    <row r="153" customFormat="false" ht="12.75" hidden="false" customHeight="false" outlineLevel="0" collapsed="false">
      <c r="D153" s="372"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2"/>
    </row>
    <row r="154" customFormat="false" ht="12.75" hidden="false" customHeight="false" outlineLevel="0" collapsed="false">
      <c r="D154" s="372"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2"/>
    </row>
    <row r="155" customFormat="false" ht="12.75" hidden="false" customHeight="false" outlineLevel="0" collapsed="false">
      <c r="D155" s="372"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2"/>
    </row>
    <row r="156" customFormat="false" ht="12.75" hidden="false" customHeight="false" outlineLevel="0" collapsed="false">
      <c r="D156" s="372"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2"/>
    </row>
    <row r="157" customFormat="false" ht="12.75" hidden="false" customHeight="false" outlineLevel="0" collapsed="false">
      <c r="D157" s="372"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2"/>
    </row>
    <row r="158" customFormat="false" ht="12.75" hidden="false" customHeight="false" outlineLevel="0" collapsed="false">
      <c r="D158" s="372"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2"/>
    </row>
    <row r="159" customFormat="false" ht="12.75" hidden="false" customHeight="false" outlineLevel="0" collapsed="false">
      <c r="D159" s="372"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2"/>
    </row>
    <row r="160" customFormat="false" ht="12.75" hidden="false" customHeight="false" outlineLevel="0" collapsed="false">
      <c r="D160" s="372"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2"/>
    </row>
    <row r="161" customFormat="false" ht="12.75" hidden="false" customHeight="false" outlineLevel="0" collapsed="false">
      <c r="D161" s="372"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2"/>
    </row>
    <row r="162" customFormat="false" ht="12.75" hidden="false" customHeight="false" outlineLevel="0" collapsed="false">
      <c r="D162" s="372"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2"/>
    </row>
    <row r="163" customFormat="false" ht="12.75" hidden="false" customHeight="false" outlineLevel="0" collapsed="false">
      <c r="D163" s="372"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2"/>
    </row>
    <row r="164" customFormat="false" ht="12.75" hidden="false" customHeight="false" outlineLevel="0" collapsed="false">
      <c r="D164" s="372"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2"/>
    </row>
    <row r="165" customFormat="false" ht="12.75" hidden="false" customHeight="false" outlineLevel="0" collapsed="false">
      <c r="D165" s="372"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2"/>
    </row>
    <row r="166" customFormat="false" ht="12.75" hidden="false" customHeight="false" outlineLevel="0" collapsed="false">
      <c r="D166" s="372"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2"/>
    </row>
    <row r="167" customFormat="false" ht="12.75" hidden="false" customHeight="false" outlineLevel="0" collapsed="false">
      <c r="D167" s="372"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2"/>
    </row>
    <row r="168" customFormat="false" ht="12.75" hidden="false" customHeight="false" outlineLevel="0" collapsed="false">
      <c r="D168" s="372"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2"/>
    </row>
    <row r="169" customFormat="false" ht="12.75" hidden="false" customHeight="false" outlineLevel="0" collapsed="false">
      <c r="D169" s="372"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2"/>
    </row>
    <row r="170" customFormat="false" ht="12.75" hidden="false" customHeight="false" outlineLevel="0" collapsed="false">
      <c r="D170" s="372"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2"/>
    </row>
    <row r="171" customFormat="false" ht="12.75" hidden="false" customHeight="false" outlineLevel="0" collapsed="false">
      <c r="D171" s="372"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2"/>
    </row>
    <row r="172" customFormat="false" ht="12.75" hidden="false" customHeight="false" outlineLevel="0" collapsed="false">
      <c r="D172" s="372"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2"/>
    </row>
    <row r="173" customFormat="false" ht="12.75" hidden="false" customHeight="false" outlineLevel="0" collapsed="false">
      <c r="D173" s="372"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2"/>
    </row>
    <row r="174" customFormat="false" ht="12.75" hidden="false" customHeight="false" outlineLevel="0" collapsed="false">
      <c r="D174" s="372"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2"/>
    </row>
    <row r="175" customFormat="false" ht="12.75" hidden="false" customHeight="false" outlineLevel="0" collapsed="false">
      <c r="D175" s="372"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2"/>
    </row>
    <row r="176" customFormat="false" ht="12.75" hidden="false" customHeight="false" outlineLevel="0" collapsed="false">
      <c r="D176" s="372"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2"/>
    </row>
    <row r="177" customFormat="false" ht="12.75" hidden="false" customHeight="false" outlineLevel="0" collapsed="false">
      <c r="D177" s="372"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2"/>
    </row>
    <row r="178" customFormat="false" ht="12.75" hidden="false" customHeight="false" outlineLevel="0" collapsed="false">
      <c r="D178" s="372"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2"/>
    </row>
    <row r="179" customFormat="false" ht="12.75" hidden="false" customHeight="false" outlineLevel="0" collapsed="false">
      <c r="D179" s="372"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2"/>
    </row>
    <row r="180" customFormat="false" ht="12.75" hidden="false" customHeight="false" outlineLevel="0" collapsed="false">
      <c r="D180" s="372"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2"/>
    </row>
    <row r="181" customFormat="false" ht="12.75" hidden="false" customHeight="false" outlineLevel="0" collapsed="false">
      <c r="D181" s="372"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2"/>
    </row>
    <row r="182" customFormat="false" ht="12.75" hidden="false" customHeight="false" outlineLevel="0" collapsed="false">
      <c r="D182" s="372"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2"/>
    </row>
    <row r="183" customFormat="false" ht="12.75" hidden="false" customHeight="false" outlineLevel="0" collapsed="false">
      <c r="D183" s="372"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2"/>
    </row>
    <row r="184" customFormat="false" ht="12.75" hidden="false" customHeight="false" outlineLevel="0" collapsed="false">
      <c r="D184" s="372"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2"/>
    </row>
    <row r="185" customFormat="false" ht="12.75" hidden="false" customHeight="false" outlineLevel="0" collapsed="false">
      <c r="D185" s="372"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2"/>
    </row>
    <row r="186" customFormat="false" ht="12.75" hidden="false" customHeight="false" outlineLevel="0" collapsed="false">
      <c r="D186" s="372"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2"/>
    </row>
    <row r="187" customFormat="false" ht="12.75" hidden="false" customHeight="false" outlineLevel="0" collapsed="false">
      <c r="D187" s="372"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2"/>
    </row>
    <row r="188" customFormat="false" ht="12.75" hidden="false" customHeight="false" outlineLevel="0" collapsed="false">
      <c r="D188" s="372"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2"/>
    </row>
    <row r="189" customFormat="false" ht="12.75" hidden="false" customHeight="false" outlineLevel="0" collapsed="false">
      <c r="D189" s="372"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2"/>
    </row>
    <row r="190" customFormat="false" ht="12.75" hidden="false" customHeight="false" outlineLevel="0" collapsed="false">
      <c r="D190" s="372"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2"/>
    </row>
    <row r="191" customFormat="false" ht="12.75" hidden="false" customHeight="false" outlineLevel="0" collapsed="false">
      <c r="D191" s="372"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2"/>
    </row>
    <row r="192" customFormat="false" ht="12.75" hidden="false" customHeight="false" outlineLevel="0" collapsed="false">
      <c r="D192" s="372"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2"/>
    </row>
    <row r="193" customFormat="false" ht="12.75" hidden="false" customHeight="false" outlineLevel="0" collapsed="false">
      <c r="D193" s="372"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2"/>
    </row>
    <row r="194" customFormat="false" ht="12.75" hidden="false" customHeight="false" outlineLevel="0" collapsed="false">
      <c r="D194" s="372"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2"/>
    </row>
    <row r="195" customFormat="false" ht="12.75" hidden="false" customHeight="false" outlineLevel="0" collapsed="false">
      <c r="D195" s="372"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2"/>
    </row>
    <row r="196" customFormat="false" ht="12.75" hidden="false" customHeight="false" outlineLevel="0" collapsed="false">
      <c r="D196" s="372"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2"/>
    </row>
    <row r="197" customFormat="false" ht="12.75" hidden="false" customHeight="false" outlineLevel="0" collapsed="false">
      <c r="D197" s="372"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2"/>
    </row>
    <row r="198" customFormat="false" ht="12.75" hidden="false" customHeight="false" outlineLevel="0" collapsed="false">
      <c r="D198" s="372"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2"/>
    </row>
    <row r="199" customFormat="false" ht="12.75" hidden="false" customHeight="false" outlineLevel="0" collapsed="false">
      <c r="D199" s="372"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2"/>
    </row>
    <row r="200" customFormat="false" ht="12.75" hidden="false" customHeight="false" outlineLevel="0" collapsed="false">
      <c r="D200" s="372"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2"/>
    </row>
    <row r="201" customFormat="false" ht="12.75" hidden="false" customHeight="false" outlineLevel="0" collapsed="false">
      <c r="D201" s="372"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2"/>
    </row>
    <row r="202" customFormat="false" ht="12.75" hidden="false" customHeight="false" outlineLevel="0" collapsed="false">
      <c r="D202" s="372"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2"/>
    </row>
    <row r="203" customFormat="false" ht="12.75" hidden="false" customHeight="false" outlineLevel="0" collapsed="false">
      <c r="D203" s="372"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2"/>
    </row>
    <row r="204" customFormat="false" ht="12.75" hidden="false" customHeight="false" outlineLevel="0" collapsed="false">
      <c r="D204" s="372"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2"/>
    </row>
    <row r="205" customFormat="false" ht="12.75" hidden="false" customHeight="false" outlineLevel="0" collapsed="false">
      <c r="U205" s="372"/>
    </row>
    <row r="206" customFormat="false" ht="12.75" hidden="false" customHeight="false" outlineLevel="0" collapsed="false">
      <c r="U206" s="372"/>
    </row>
    <row r="207" customFormat="false" ht="12.75" hidden="false" customHeight="false" outlineLevel="0" collapsed="false">
      <c r="U207" s="372"/>
    </row>
    <row r="208" customFormat="false" ht="12.75" hidden="false" customHeight="false" outlineLevel="0" collapsed="false">
      <c r="U208" s="372"/>
    </row>
    <row r="209" customFormat="false" ht="12.75" hidden="false" customHeight="false" outlineLevel="0" collapsed="false">
      <c r="U209" s="372"/>
    </row>
    <row r="210" customFormat="false" ht="12.75" hidden="false" customHeight="false" outlineLevel="0" collapsed="false">
      <c r="U210" s="372"/>
    </row>
    <row r="211" customFormat="false" ht="12.75" hidden="false" customHeight="false" outlineLevel="0" collapsed="false">
      <c r="U211" s="372"/>
    </row>
    <row r="212" customFormat="false" ht="12.75" hidden="false" customHeight="false" outlineLevel="0" collapsed="false">
      <c r="U212" s="372"/>
    </row>
    <row r="213" customFormat="false" ht="12.75" hidden="false" customHeight="false" outlineLevel="0" collapsed="false">
      <c r="U213" s="372"/>
    </row>
    <row r="214" customFormat="false" ht="12.75" hidden="false" customHeight="false" outlineLevel="0" collapsed="false">
      <c r="U214" s="372"/>
    </row>
    <row r="215" customFormat="false" ht="12.75" hidden="false" customHeight="false" outlineLevel="0" collapsed="false">
      <c r="U215" s="372"/>
    </row>
    <row r="216" customFormat="false" ht="12.75" hidden="false" customHeight="false" outlineLevel="0" collapsed="false">
      <c r="U216" s="372"/>
    </row>
    <row r="217" customFormat="false" ht="12.75" hidden="false" customHeight="false" outlineLevel="0" collapsed="false">
      <c r="U217" s="372"/>
    </row>
    <row r="218" customFormat="false" ht="12.75" hidden="false" customHeight="false" outlineLevel="0" collapsed="false">
      <c r="U218" s="372"/>
    </row>
    <row r="219" customFormat="false" ht="12.75" hidden="false" customHeight="false" outlineLevel="0" collapsed="false">
      <c r="U219" s="372"/>
    </row>
    <row r="220" customFormat="false" ht="12.75" hidden="false" customHeight="false" outlineLevel="0" collapsed="false">
      <c r="U220" s="372"/>
    </row>
    <row r="221" customFormat="false" ht="12.75" hidden="false" customHeight="false" outlineLevel="0" collapsed="false">
      <c r="U221" s="372"/>
    </row>
    <row r="222" customFormat="false" ht="12.75" hidden="false" customHeight="false" outlineLevel="0" collapsed="false">
      <c r="U222" s="372"/>
    </row>
    <row r="223" customFormat="false" ht="12.75" hidden="false" customHeight="false" outlineLevel="0" collapsed="false">
      <c r="U223" s="372"/>
    </row>
    <row r="224" customFormat="false" ht="12.75" hidden="false" customHeight="false" outlineLevel="0" collapsed="false">
      <c r="U224" s="372"/>
    </row>
    <row r="225" customFormat="false" ht="12.75" hidden="false" customHeight="false" outlineLevel="0" collapsed="false">
      <c r="U225" s="372"/>
    </row>
    <row r="226" customFormat="false" ht="12.75" hidden="false" customHeight="false" outlineLevel="0" collapsed="false">
      <c r="U226" s="372"/>
    </row>
    <row r="227" customFormat="false" ht="12.75" hidden="false" customHeight="false" outlineLevel="0" collapsed="false">
      <c r="U227" s="372"/>
    </row>
    <row r="228" customFormat="false" ht="12.75" hidden="false" customHeight="false" outlineLevel="0" collapsed="false">
      <c r="U228" s="372"/>
    </row>
    <row r="229" customFormat="false" ht="12.75" hidden="false" customHeight="false" outlineLevel="0" collapsed="false">
      <c r="U229" s="372"/>
    </row>
    <row r="230" customFormat="false" ht="12.75" hidden="false" customHeight="false" outlineLevel="0" collapsed="false">
      <c r="U230" s="372"/>
    </row>
    <row r="231" customFormat="false" ht="12.75" hidden="false" customHeight="false" outlineLevel="0" collapsed="false">
      <c r="U231" s="372"/>
    </row>
    <row r="232" customFormat="false" ht="12.75" hidden="false" customHeight="false" outlineLevel="0" collapsed="false">
      <c r="U232" s="372"/>
    </row>
    <row r="233" customFormat="false" ht="12.75" hidden="false" customHeight="false" outlineLevel="0" collapsed="false">
      <c r="U233" s="372"/>
    </row>
    <row r="234" customFormat="false" ht="12.75" hidden="false" customHeight="false" outlineLevel="0" collapsed="false">
      <c r="U234" s="372"/>
    </row>
    <row r="235" customFormat="false" ht="12.75" hidden="false" customHeight="false" outlineLevel="0" collapsed="false">
      <c r="U235" s="372"/>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5" width="9.66"/>
    <col collapsed="false" customWidth="true" hidden="false" outlineLevel="0" max="2" min="2" style="346" width="14.66"/>
    <col collapsed="false" customWidth="true" hidden="false" outlineLevel="0" max="3" min="3" style="181" width="13.66"/>
    <col collapsed="false" customWidth="true" hidden="false" outlineLevel="0" max="4" min="4" style="347" width="12.66"/>
    <col collapsed="false" customWidth="true" hidden="false" outlineLevel="0" max="5" min="5" style="348" width="12.66"/>
    <col collapsed="false" customWidth="true" hidden="false" outlineLevel="0" max="6" min="6" style="181" width="12.66"/>
    <col collapsed="false" customWidth="false" hidden="false" outlineLevel="0" max="257" min="7" style="181" width="9.15"/>
  </cols>
  <sheetData>
    <row r="1" s="353" customFormat="true" ht="12.75" hidden="false" customHeight="true" outlineLevel="0" collapsed="false">
      <c r="A1" s="349" t="s">
        <v>238</v>
      </c>
      <c r="B1" s="350" t="s">
        <v>239</v>
      </c>
      <c r="C1" s="351" t="s">
        <v>240</v>
      </c>
      <c r="D1" s="352" t="n">
        <f aca="false">SUM(D4:D47)</f>
        <v>0</v>
      </c>
      <c r="E1" s="351" t="n">
        <f aca="false">SUM(E4:E47)/2</f>
        <v>3000</v>
      </c>
      <c r="F1" s="351" t="n">
        <f aca="false">SUM(F4:F47)/2</f>
        <v>500</v>
      </c>
    </row>
    <row r="2" s="353" customFormat="true" ht="12.75" hidden="false" customHeight="true" outlineLevel="0" collapsed="false">
      <c r="A2" s="349"/>
      <c r="B2" s="350"/>
      <c r="C2" s="354" t="s">
        <v>241</v>
      </c>
      <c r="D2" s="355" t="s">
        <v>242</v>
      </c>
      <c r="E2" s="354" t="s">
        <v>243</v>
      </c>
      <c r="F2" s="354" t="s">
        <v>244</v>
      </c>
    </row>
    <row r="3" s="356" customFormat="true" ht="24" hidden="false" customHeight="true" outlineLevel="0" collapsed="false">
      <c r="A3" s="349"/>
      <c r="B3" s="350"/>
      <c r="C3" s="354"/>
      <c r="D3" s="355"/>
      <c r="E3" s="354"/>
      <c r="F3" s="354"/>
    </row>
    <row r="5" customFormat="false" ht="12.75" hidden="false" customHeight="false" outlineLevel="0" collapsed="false">
      <c r="A5" s="357" t="n">
        <v>46265</v>
      </c>
      <c r="B5" s="358" t="n">
        <v>46265</v>
      </c>
      <c r="C5" s="359"/>
      <c r="D5" s="360"/>
      <c r="E5" s="361"/>
      <c r="F5" s="362"/>
    </row>
    <row r="6" customFormat="false" ht="12.75" hidden="false" customHeight="false" outlineLevel="0" collapsed="false">
      <c r="A6" s="363" t="n">
        <v>46266</v>
      </c>
      <c r="B6" s="346" t="n">
        <v>46266</v>
      </c>
      <c r="E6" s="348" t="n">
        <v>200</v>
      </c>
      <c r="F6" s="364"/>
    </row>
    <row r="7" customFormat="false" ht="12.75" hidden="false" customHeight="false" outlineLevel="0" collapsed="false">
      <c r="A7" s="363" t="n">
        <v>46267</v>
      </c>
      <c r="B7" s="346" t="n">
        <v>46267</v>
      </c>
      <c r="E7" s="348" t="n">
        <v>200</v>
      </c>
      <c r="F7" s="364"/>
    </row>
    <row r="8" customFormat="false" ht="12.75" hidden="false" customHeight="false" outlineLevel="0" collapsed="false">
      <c r="A8" s="363" t="n">
        <v>46268</v>
      </c>
      <c r="B8" s="346" t="n">
        <v>46268</v>
      </c>
      <c r="E8" s="348" t="n">
        <v>200</v>
      </c>
      <c r="F8" s="364"/>
    </row>
    <row r="9" customFormat="false" ht="12.75" hidden="false" customHeight="false" outlineLevel="0" collapsed="false">
      <c r="A9" s="363" t="n">
        <v>46269</v>
      </c>
      <c r="B9" s="346" t="n">
        <v>46269</v>
      </c>
      <c r="E9" s="348" t="n">
        <v>200</v>
      </c>
      <c r="F9" s="364"/>
    </row>
    <row r="10" customFormat="false" ht="12.75" hidden="false" customHeight="false" outlineLevel="0" collapsed="false">
      <c r="A10" s="363" t="n">
        <v>46270</v>
      </c>
      <c r="B10" s="346" t="n">
        <v>46270</v>
      </c>
      <c r="E10" s="348" t="n">
        <v>200</v>
      </c>
      <c r="F10" s="364"/>
    </row>
    <row r="11" customFormat="false" ht="12.75" hidden="false" customHeight="false" outlineLevel="0" collapsed="false">
      <c r="A11" s="363" t="n">
        <v>46271</v>
      </c>
      <c r="B11" s="346" t="n">
        <v>46271</v>
      </c>
      <c r="F11" s="364"/>
    </row>
    <row r="12" customFormat="false" ht="12.75" hidden="false" customHeight="false" outlineLevel="0" collapsed="false">
      <c r="A12" s="363" t="n">
        <v>46271</v>
      </c>
      <c r="B12" s="346" t="s">
        <v>245</v>
      </c>
      <c r="F12" s="364"/>
    </row>
    <row r="13" customFormat="false" ht="12.75" hidden="false" customHeight="false" outlineLevel="0" collapsed="false">
      <c r="A13" s="363" t="n">
        <v>46271</v>
      </c>
      <c r="B13" s="346" t="s">
        <v>246</v>
      </c>
      <c r="F13" s="364"/>
    </row>
    <row r="14" customFormat="false" ht="12.75" hidden="false" customHeight="false" outlineLevel="0" collapsed="false">
      <c r="A14" s="365"/>
      <c r="B14" s="366"/>
      <c r="C14" s="367"/>
      <c r="D14" s="368"/>
      <c r="E14" s="369" t="n">
        <f aca="false">SUM(E5:E13)</f>
        <v>1000</v>
      </c>
      <c r="F14" s="370" t="n">
        <f aca="false">SUM(F5:F13)</f>
        <v>0</v>
      </c>
    </row>
    <row r="16" customFormat="false" ht="12.75" hidden="false" customHeight="false" outlineLevel="0" collapsed="false">
      <c r="A16" s="357" t="n">
        <v>46272</v>
      </c>
      <c r="B16" s="358" t="n">
        <v>46272</v>
      </c>
      <c r="C16" s="359"/>
      <c r="D16" s="360"/>
      <c r="E16" s="361"/>
      <c r="F16" s="362"/>
    </row>
    <row r="17" customFormat="false" ht="12.75" hidden="false" customHeight="false" outlineLevel="0" collapsed="false">
      <c r="A17" s="363" t="n">
        <v>46273</v>
      </c>
      <c r="B17" s="346" t="n">
        <v>46273</v>
      </c>
      <c r="E17" s="348" t="n">
        <v>200</v>
      </c>
      <c r="F17" s="364"/>
    </row>
    <row r="18" customFormat="false" ht="12.75" hidden="false" customHeight="false" outlineLevel="0" collapsed="false">
      <c r="A18" s="363" t="n">
        <v>46274</v>
      </c>
      <c r="B18" s="346" t="n">
        <v>46274</v>
      </c>
      <c r="E18" s="348" t="n">
        <v>200</v>
      </c>
      <c r="F18" s="364"/>
    </row>
    <row r="19" customFormat="false" ht="12.75" hidden="false" customHeight="false" outlineLevel="0" collapsed="false">
      <c r="A19" s="363" t="n">
        <v>46275</v>
      </c>
      <c r="B19" s="346" t="n">
        <v>46275</v>
      </c>
      <c r="E19" s="348" t="n">
        <v>200</v>
      </c>
      <c r="F19" s="364"/>
    </row>
    <row r="20" customFormat="false" ht="12.75" hidden="false" customHeight="false" outlineLevel="0" collapsed="false">
      <c r="A20" s="363" t="n">
        <v>46276</v>
      </c>
      <c r="B20" s="346" t="n">
        <v>46276</v>
      </c>
      <c r="E20" s="348" t="n">
        <v>200</v>
      </c>
      <c r="F20" s="364"/>
    </row>
    <row r="21" customFormat="false" ht="12.75" hidden="false" customHeight="false" outlineLevel="0" collapsed="false">
      <c r="A21" s="363" t="n">
        <v>46277</v>
      </c>
      <c r="B21" s="346" t="n">
        <v>46277</v>
      </c>
      <c r="E21" s="348" t="n">
        <v>200</v>
      </c>
      <c r="F21" s="364"/>
    </row>
    <row r="22" customFormat="false" ht="12.75" hidden="false" customHeight="false" outlineLevel="0" collapsed="false">
      <c r="A22" s="363" t="n">
        <v>46278</v>
      </c>
      <c r="B22" s="346" t="n">
        <v>46278</v>
      </c>
      <c r="F22" s="364"/>
    </row>
    <row r="23" customFormat="false" ht="12.75" hidden="false" customHeight="false" outlineLevel="0" collapsed="false">
      <c r="A23" s="363" t="n">
        <v>46278</v>
      </c>
      <c r="B23" s="346" t="s">
        <v>245</v>
      </c>
      <c r="F23" s="364"/>
    </row>
    <row r="24" customFormat="false" ht="12.75" hidden="false" customHeight="false" outlineLevel="0" collapsed="false">
      <c r="A24" s="363" t="n">
        <v>46278</v>
      </c>
      <c r="B24" s="346" t="s">
        <v>246</v>
      </c>
      <c r="F24" s="364"/>
    </row>
    <row r="25" customFormat="false" ht="12.75" hidden="false" customHeight="false" outlineLevel="0" collapsed="false">
      <c r="A25" s="365"/>
      <c r="B25" s="366"/>
      <c r="C25" s="367"/>
      <c r="D25" s="368"/>
      <c r="E25" s="369" t="n">
        <f aca="false">SUM(E16:E24)</f>
        <v>1000</v>
      </c>
      <c r="F25" s="370" t="n">
        <f aca="false">SUM(F16:F24)</f>
        <v>0</v>
      </c>
    </row>
    <row r="27" customFormat="false" ht="12.75" hidden="false" customHeight="false" outlineLevel="0" collapsed="false">
      <c r="A27" s="357" t="n">
        <v>46279</v>
      </c>
      <c r="B27" s="358" t="n">
        <v>46279</v>
      </c>
      <c r="C27" s="359"/>
      <c r="D27" s="360"/>
      <c r="E27" s="361"/>
      <c r="F27" s="362"/>
    </row>
    <row r="28" customFormat="false" ht="12.75" hidden="false" customHeight="false" outlineLevel="0" collapsed="false">
      <c r="A28" s="363" t="n">
        <v>46280</v>
      </c>
      <c r="B28" s="346" t="n">
        <v>46280</v>
      </c>
      <c r="C28" s="181" t="s">
        <v>291</v>
      </c>
      <c r="E28" s="348" t="n">
        <v>200</v>
      </c>
      <c r="F28" s="364" t="n">
        <v>500</v>
      </c>
    </row>
    <row r="29" customFormat="false" ht="12.75" hidden="false" customHeight="false" outlineLevel="0" collapsed="false">
      <c r="A29" s="363" t="n">
        <v>46281</v>
      </c>
      <c r="B29" s="346" t="n">
        <v>46281</v>
      </c>
      <c r="E29" s="348" t="n">
        <v>200</v>
      </c>
      <c r="F29" s="364"/>
    </row>
    <row r="30" customFormat="false" ht="12.75" hidden="false" customHeight="false" outlineLevel="0" collapsed="false">
      <c r="A30" s="363" t="n">
        <v>46282</v>
      </c>
      <c r="B30" s="346" t="n">
        <v>46282</v>
      </c>
      <c r="E30" s="348" t="n">
        <v>200</v>
      </c>
      <c r="F30" s="364"/>
    </row>
    <row r="31" customFormat="false" ht="12.75" hidden="false" customHeight="false" outlineLevel="0" collapsed="false">
      <c r="A31" s="363" t="n">
        <v>46283</v>
      </c>
      <c r="B31" s="346" t="n">
        <v>46283</v>
      </c>
      <c r="E31" s="348" t="n">
        <v>200</v>
      </c>
      <c r="F31" s="364"/>
    </row>
    <row r="32" customFormat="false" ht="12.75" hidden="false" customHeight="false" outlineLevel="0" collapsed="false">
      <c r="A32" s="363" t="n">
        <v>46284</v>
      </c>
      <c r="B32" s="346" t="n">
        <v>46284</v>
      </c>
      <c r="E32" s="348" t="n">
        <v>200</v>
      </c>
      <c r="F32" s="364"/>
    </row>
    <row r="33" customFormat="false" ht="12.75" hidden="false" customHeight="false" outlineLevel="0" collapsed="false">
      <c r="A33" s="363" t="n">
        <v>46285</v>
      </c>
      <c r="B33" s="346" t="n">
        <v>46285</v>
      </c>
      <c r="F33" s="364"/>
    </row>
    <row r="34" customFormat="false" ht="12.75" hidden="false" customHeight="false" outlineLevel="0" collapsed="false">
      <c r="A34" s="363" t="n">
        <v>46285</v>
      </c>
      <c r="B34" s="346" t="s">
        <v>245</v>
      </c>
      <c r="F34" s="364"/>
    </row>
    <row r="35" customFormat="false" ht="12.75" hidden="false" customHeight="false" outlineLevel="0" collapsed="false">
      <c r="A35" s="363" t="n">
        <v>46285</v>
      </c>
      <c r="B35" s="346" t="s">
        <v>246</v>
      </c>
      <c r="F35" s="364"/>
    </row>
    <row r="36" customFormat="false" ht="12.75" hidden="false" customHeight="false" outlineLevel="0" collapsed="false">
      <c r="A36" s="365"/>
      <c r="B36" s="366"/>
      <c r="C36" s="367"/>
      <c r="D36" s="368"/>
      <c r="E36" s="369" t="n">
        <f aca="false">SUM(E27:E35)</f>
        <v>1000</v>
      </c>
      <c r="F36" s="370" t="n">
        <f aca="false">SUM(F27:F35)</f>
        <v>500</v>
      </c>
    </row>
    <row r="38" customFormat="false" ht="12.75" hidden="false" customHeight="false" outlineLevel="0" collapsed="false">
      <c r="A38" s="357" t="n">
        <v>46286</v>
      </c>
      <c r="B38" s="358" t="n">
        <v>46286</v>
      </c>
      <c r="C38" s="359"/>
      <c r="D38" s="360"/>
      <c r="E38" s="361"/>
      <c r="F38" s="362"/>
    </row>
    <row r="39" customFormat="false" ht="12.75" hidden="false" customHeight="false" outlineLevel="0" collapsed="false">
      <c r="A39" s="363" t="n">
        <v>46287</v>
      </c>
      <c r="B39" s="346" t="n">
        <v>46287</v>
      </c>
      <c r="F39" s="364"/>
    </row>
    <row r="40" customFormat="false" ht="12.75" hidden="false" customHeight="false" outlineLevel="0" collapsed="false">
      <c r="A40" s="363" t="n">
        <v>46288</v>
      </c>
      <c r="B40" s="346" t="n">
        <v>46288</v>
      </c>
      <c r="F40" s="364"/>
    </row>
    <row r="41" customFormat="false" ht="12.75" hidden="false" customHeight="false" outlineLevel="0" collapsed="false">
      <c r="A41" s="363" t="n">
        <v>46289</v>
      </c>
      <c r="B41" s="346" t="n">
        <v>46289</v>
      </c>
      <c r="F41" s="364"/>
    </row>
    <row r="42" customFormat="false" ht="12.75" hidden="false" customHeight="false" outlineLevel="0" collapsed="false">
      <c r="A42" s="363" t="n">
        <v>46290</v>
      </c>
      <c r="B42" s="346" t="n">
        <v>46290</v>
      </c>
      <c r="F42" s="364"/>
    </row>
    <row r="43" customFormat="false" ht="12.75" hidden="false" customHeight="false" outlineLevel="0" collapsed="false">
      <c r="A43" s="363" t="n">
        <v>46291</v>
      </c>
      <c r="B43" s="346" t="n">
        <v>46291</v>
      </c>
      <c r="F43" s="364"/>
    </row>
    <row r="44" customFormat="false" ht="12.75" hidden="false" customHeight="false" outlineLevel="0" collapsed="false">
      <c r="A44" s="363" t="n">
        <v>46292</v>
      </c>
      <c r="B44" s="346" t="n">
        <v>46292</v>
      </c>
      <c r="F44" s="364"/>
    </row>
    <row r="45" customFormat="false" ht="12.75" hidden="false" customHeight="false" outlineLevel="0" collapsed="false">
      <c r="A45" s="363" t="n">
        <v>46292</v>
      </c>
      <c r="B45" s="346" t="s">
        <v>245</v>
      </c>
      <c r="F45" s="364"/>
    </row>
    <row r="46" customFormat="false" ht="12.75" hidden="false" customHeight="false" outlineLevel="0" collapsed="false">
      <c r="A46" s="363" t="n">
        <v>46292</v>
      </c>
      <c r="B46" s="346" t="s">
        <v>246</v>
      </c>
      <c r="F46" s="364"/>
    </row>
    <row r="47" customFormat="false" ht="12.75" hidden="false" customHeight="false" outlineLevel="0" collapsed="false">
      <c r="A47" s="365"/>
      <c r="B47" s="366"/>
      <c r="C47" s="367"/>
      <c r="D47" s="368"/>
      <c r="E47" s="369" t="n">
        <f aca="false">SUM(E38:E46)</f>
        <v>0</v>
      </c>
      <c r="F47" s="370"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1" width="9.66"/>
    <col collapsed="false" customWidth="true" hidden="false" outlineLevel="0" max="2" min="2" style="180" width="23.99"/>
    <col collapsed="false" customWidth="true" hidden="false" outlineLevel="0" max="3" min="3" style="180" width="15.99"/>
    <col collapsed="false" customWidth="false" hidden="false" outlineLevel="0" max="5" min="4" style="372" width="9.15"/>
    <col collapsed="false" customWidth="true" hidden="false" outlineLevel="0" max="6" min="6" style="373"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99"/>
    <col collapsed="false" customWidth="false" hidden="false" outlineLevel="0" max="14" min="14" style="181" width="9.15"/>
    <col collapsed="false" customWidth="true" hidden="false" outlineLevel="0" max="15" min="15" style="181" width="9.49"/>
    <col collapsed="false" customWidth="true" hidden="false" outlineLevel="0" max="18" min="16" style="181" width="7.66"/>
    <col collapsed="false" customWidth="true" hidden="false" outlineLevel="0" max="19" min="19" style="181" width="8.49"/>
    <col collapsed="false" customWidth="true" hidden="false" outlineLevel="0" max="20" min="20" style="180" width="12.82"/>
    <col collapsed="false" customWidth="true" hidden="false" outlineLevel="0" max="21" min="21" style="181" width="7.99"/>
    <col collapsed="false" customWidth="false" hidden="false" outlineLevel="0" max="257" min="22" style="180" width="9.15"/>
  </cols>
  <sheetData>
    <row r="1" s="181" customFormat="true" ht="13.5" hidden="false" customHeight="true" outlineLevel="0" collapsed="false">
      <c r="A1" s="390" t="n">
        <f aca="false">E1+SalesSep!$D$1+PurchasesAug!A1</f>
        <v>0</v>
      </c>
      <c r="B1" s="391" t="s">
        <v>247</v>
      </c>
      <c r="C1" s="392" t="s">
        <v>240</v>
      </c>
      <c r="D1" s="376" t="str">
        <f aca="false">IF((F1-SUM(G1:S1)&lt;&gt;0),(F1-SUM(G1:S1))," ")</f>
        <v> </v>
      </c>
      <c r="E1" s="352" t="n">
        <f aca="false">SUM(E5:E199)</f>
        <v>0</v>
      </c>
      <c r="F1" s="351" t="n">
        <f aca="false">SUM(F5:F199)</f>
        <v>300</v>
      </c>
      <c r="G1" s="351" t="n">
        <f aca="false">SUM(G5:G199)</f>
        <v>300</v>
      </c>
      <c r="H1" s="351" t="n">
        <f aca="false">SUM(H5:H199)</f>
        <v>0</v>
      </c>
      <c r="I1" s="351" t="n">
        <f aca="false">SUM(I5:I199)</f>
        <v>0</v>
      </c>
      <c r="J1" s="351" t="n">
        <f aca="false">SUM(J5:J199)</f>
        <v>0</v>
      </c>
      <c r="K1" s="351" t="n">
        <f aca="false">SUM(K5:K199)</f>
        <v>0</v>
      </c>
      <c r="L1" s="351" t="n">
        <f aca="false">SUM(L5:L199)</f>
        <v>0</v>
      </c>
      <c r="M1" s="351" t="n">
        <f aca="false">SUM(M5:M199)</f>
        <v>0</v>
      </c>
      <c r="N1" s="351" t="n">
        <f aca="false">SUM(N5:N199)</f>
        <v>0</v>
      </c>
      <c r="O1" s="351" t="n">
        <f aca="false">SUM(O5:O199)</f>
        <v>0</v>
      </c>
      <c r="P1" s="351" t="n">
        <f aca="false">SUM(P5:P199)</f>
        <v>0</v>
      </c>
      <c r="Q1" s="351" t="n">
        <f aca="false">SUM(Q5:Q199)</f>
        <v>0</v>
      </c>
      <c r="R1" s="351" t="n">
        <f aca="false">SUM(R5:R199)</f>
        <v>0</v>
      </c>
      <c r="S1" s="393" t="n">
        <f aca="false">SUM(S5:S199)</f>
        <v>0</v>
      </c>
      <c r="T1" s="394" t="n">
        <f aca="false">S1+PurchasesAug!T1</f>
        <v>8000</v>
      </c>
      <c r="U1" s="393" t="n">
        <f aca="false">SUM(U4:U199)</f>
        <v>0</v>
      </c>
    </row>
    <row r="2" s="181" customFormat="true" ht="13.5" hidden="false" customHeight="true" outlineLevel="0" collapsed="false">
      <c r="A2" s="395" t="n">
        <f aca="false">U1+PurchasesAug!A2</f>
        <v>0</v>
      </c>
      <c r="B2" s="240" t="s">
        <v>248</v>
      </c>
      <c r="C2" s="379" t="s">
        <v>249</v>
      </c>
      <c r="D2" s="379" t="s">
        <v>250</v>
      </c>
      <c r="E2" s="379" t="s">
        <v>251</v>
      </c>
      <c r="F2" s="207" t="s">
        <v>252</v>
      </c>
      <c r="G2" s="380" t="s">
        <v>253</v>
      </c>
      <c r="H2" s="380"/>
      <c r="I2" s="381" t="n">
        <f aca="false">G1+H1+I1+J1+PurchasesAug!I2</f>
        <v>3180</v>
      </c>
      <c r="J2" s="381"/>
      <c r="K2" s="207" t="s">
        <v>254</v>
      </c>
      <c r="L2" s="207" t="s">
        <v>255</v>
      </c>
      <c r="M2" s="207" t="s">
        <v>256</v>
      </c>
      <c r="N2" s="207" t="s">
        <v>288</v>
      </c>
      <c r="O2" s="207" t="s">
        <v>258</v>
      </c>
      <c r="P2" s="207" t="s">
        <v>259</v>
      </c>
      <c r="Q2" s="207" t="s">
        <v>260</v>
      </c>
      <c r="R2" s="207" t="s">
        <v>261</v>
      </c>
      <c r="S2" s="382" t="s">
        <v>262</v>
      </c>
      <c r="T2" s="383" t="str">
        <f aca="false">IF(T1&gt;'Fixed Assets'!$D$74,"ENTER VEHICLE CHANGES        on Fixed Asset schedule","Motor Vehicles: make, model, date reg. and reg. Mark")</f>
        <v>ENTER VEHICLE CHANGES        on Fixed Asset schedule</v>
      </c>
      <c r="U2" s="382" t="s">
        <v>116</v>
      </c>
    </row>
    <row r="3" s="385" customFormat="true" ht="45" hidden="false" customHeight="true" outlineLevel="0" collapsed="false">
      <c r="A3" s="384" t="s">
        <v>263</v>
      </c>
      <c r="B3" s="207" t="s">
        <v>264</v>
      </c>
      <c r="C3" s="379"/>
      <c r="D3" s="379"/>
      <c r="E3" s="379"/>
      <c r="F3" s="379"/>
      <c r="G3" s="207" t="s">
        <v>111</v>
      </c>
      <c r="H3" s="207" t="s">
        <v>265</v>
      </c>
      <c r="I3" s="207" t="s">
        <v>113</v>
      </c>
      <c r="J3" s="207" t="s">
        <v>114</v>
      </c>
      <c r="K3" s="207"/>
      <c r="L3" s="207"/>
      <c r="M3" s="207"/>
      <c r="N3" s="207"/>
      <c r="O3" s="207"/>
      <c r="P3" s="207"/>
      <c r="Q3" s="207"/>
      <c r="R3" s="207"/>
      <c r="S3" s="382"/>
      <c r="T3" s="383"/>
      <c r="U3" s="382"/>
    </row>
    <row r="4" s="388" customFormat="true" ht="12.75" hidden="false" customHeight="false" outlineLevel="0" collapsed="false">
      <c r="A4" s="386" t="str">
        <f aca="false">IF((E1&lt;&gt;0),Admin!$B$10," ")</f>
        <v> </v>
      </c>
      <c r="B4" s="207"/>
      <c r="C4" s="207"/>
      <c r="D4" s="207"/>
      <c r="E4" s="207"/>
      <c r="F4" s="207"/>
      <c r="G4" s="375" t="s">
        <v>266</v>
      </c>
      <c r="H4" s="375" t="s">
        <v>267</v>
      </c>
      <c r="I4" s="375" t="s">
        <v>268</v>
      </c>
      <c r="J4" s="375" t="s">
        <v>269</v>
      </c>
      <c r="K4" s="375" t="s">
        <v>270</v>
      </c>
      <c r="L4" s="375" t="s">
        <v>271</v>
      </c>
      <c r="M4" s="375" t="s">
        <v>272</v>
      </c>
      <c r="N4" s="375" t="s">
        <v>273</v>
      </c>
      <c r="O4" s="375" t="s">
        <v>274</v>
      </c>
      <c r="P4" s="375" t="s">
        <v>275</v>
      </c>
      <c r="Q4" s="375" t="s">
        <v>276</v>
      </c>
      <c r="R4" s="375" t="s">
        <v>277</v>
      </c>
      <c r="S4" s="387" t="s">
        <v>278</v>
      </c>
      <c r="T4" s="383"/>
      <c r="U4" s="394" t="n">
        <f aca="false">IF((A1&lt;Admin!$F$22),((A1-PurchasesAug!A1)*Admin!$G$21),(A1*Admin!$G$21-(A1-Admin!$F$21)*(Admin!$G$21-Admin!$G$22)-PurchasesAug!A2))</f>
        <v>0</v>
      </c>
    </row>
    <row r="5" s="372" customFormat="true" ht="12.75" hidden="false" customHeight="false" outlineLevel="0" collapsed="false">
      <c r="A5" s="371" t="n">
        <v>46280</v>
      </c>
      <c r="B5" s="389" t="s">
        <v>284</v>
      </c>
      <c r="D5" s="372" t="s">
        <v>285</v>
      </c>
      <c r="F5" s="372"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2"/>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2"/>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2"/>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2"/>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2"/>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2"/>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2"/>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2"/>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2"/>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2"/>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2"/>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2"/>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2"/>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2"/>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2"/>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2"/>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2"/>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2"/>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2"/>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2"/>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2"/>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2"/>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2"/>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2"/>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2"/>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2"/>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2"/>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2"/>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2"/>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2"/>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2"/>
    </row>
    <row r="37" customFormat="false" ht="12.75" hidden="false" customHeight="false" outlineLevel="0" collapsed="false">
      <c r="D37" s="372"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2"/>
    </row>
    <row r="38" customFormat="false" ht="12.75" hidden="false" customHeight="false" outlineLevel="0" collapsed="false">
      <c r="D38" s="372"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2"/>
    </row>
    <row r="39" customFormat="false" ht="12.75" hidden="false" customHeight="false" outlineLevel="0" collapsed="false">
      <c r="D39" s="372"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2"/>
    </row>
    <row r="40" customFormat="false" ht="12.75" hidden="false" customHeight="false" outlineLevel="0" collapsed="false">
      <c r="D40" s="372"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2"/>
    </row>
    <row r="41" customFormat="false" ht="12.75" hidden="false" customHeight="false" outlineLevel="0" collapsed="false">
      <c r="D41" s="372"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2"/>
    </row>
    <row r="42" customFormat="false" ht="12.75" hidden="false" customHeight="false" outlineLevel="0" collapsed="false">
      <c r="D42" s="372"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2"/>
    </row>
    <row r="43" customFormat="false" ht="12.75" hidden="false" customHeight="false" outlineLevel="0" collapsed="false">
      <c r="D43" s="372"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2"/>
    </row>
    <row r="44" customFormat="false" ht="12.75" hidden="false" customHeight="false" outlineLevel="0" collapsed="false">
      <c r="D44" s="372"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2"/>
    </row>
    <row r="45" customFormat="false" ht="12.75" hidden="false" customHeight="false" outlineLevel="0" collapsed="false">
      <c r="D45" s="372"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2"/>
    </row>
    <row r="46" customFormat="false" ht="12.75" hidden="false" customHeight="false" outlineLevel="0" collapsed="false">
      <c r="D46" s="372"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2"/>
    </row>
    <row r="47" customFormat="false" ht="12.75" hidden="false" customHeight="false" outlineLevel="0" collapsed="false">
      <c r="D47" s="372"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2"/>
    </row>
    <row r="48" customFormat="false" ht="12.75" hidden="false" customHeight="false" outlineLevel="0" collapsed="false">
      <c r="D48" s="372"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2"/>
    </row>
    <row r="49" customFormat="false" ht="12.75" hidden="false" customHeight="false" outlineLevel="0" collapsed="false">
      <c r="D49" s="372"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2"/>
    </row>
    <row r="50" customFormat="false" ht="12.75" hidden="false" customHeight="false" outlineLevel="0" collapsed="false">
      <c r="D50" s="372"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2"/>
    </row>
    <row r="51" customFormat="false" ht="12.75" hidden="false" customHeight="false" outlineLevel="0" collapsed="false">
      <c r="D51" s="372"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2"/>
    </row>
    <row r="52" customFormat="false" ht="12.75" hidden="false" customHeight="false" outlineLevel="0" collapsed="false">
      <c r="D52" s="372"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2"/>
    </row>
    <row r="53" customFormat="false" ht="12.75" hidden="false" customHeight="false" outlineLevel="0" collapsed="false">
      <c r="D53" s="372"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2"/>
    </row>
    <row r="54" customFormat="false" ht="12.75" hidden="false" customHeight="false" outlineLevel="0" collapsed="false">
      <c r="D54" s="372"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2"/>
    </row>
    <row r="55" customFormat="false" ht="12.75" hidden="false" customHeight="false" outlineLevel="0" collapsed="false">
      <c r="D55" s="372"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2"/>
    </row>
    <row r="56" customFormat="false" ht="12.75" hidden="false" customHeight="false" outlineLevel="0" collapsed="false">
      <c r="D56" s="372"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2"/>
    </row>
    <row r="57" customFormat="false" ht="12.75" hidden="false" customHeight="false" outlineLevel="0" collapsed="false">
      <c r="D57" s="372"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2"/>
    </row>
    <row r="58" customFormat="false" ht="12.75" hidden="false" customHeight="false" outlineLevel="0" collapsed="false">
      <c r="D58" s="372"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2"/>
    </row>
    <row r="59" customFormat="false" ht="12.75" hidden="false" customHeight="false" outlineLevel="0" collapsed="false">
      <c r="D59" s="372"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2"/>
    </row>
    <row r="60" customFormat="false" ht="12.75" hidden="false" customHeight="false" outlineLevel="0" collapsed="false">
      <c r="D60" s="372"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2"/>
    </row>
    <row r="61" customFormat="false" ht="12.75" hidden="false" customHeight="false" outlineLevel="0" collapsed="false">
      <c r="D61" s="372"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2"/>
    </row>
    <row r="62" customFormat="false" ht="12.75" hidden="false" customHeight="false" outlineLevel="0" collapsed="false">
      <c r="D62" s="372"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2"/>
    </row>
    <row r="63" customFormat="false" ht="12.75" hidden="false" customHeight="false" outlineLevel="0" collapsed="false">
      <c r="D63" s="372"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2"/>
    </row>
    <row r="64" customFormat="false" ht="12.75" hidden="false" customHeight="false" outlineLevel="0" collapsed="false">
      <c r="D64" s="372"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2"/>
    </row>
    <row r="65" customFormat="false" ht="12.75" hidden="false" customHeight="false" outlineLevel="0" collapsed="false">
      <c r="D65" s="372"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2"/>
    </row>
    <row r="66" customFormat="false" ht="12.75" hidden="false" customHeight="false" outlineLevel="0" collapsed="false">
      <c r="D66" s="372"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2"/>
    </row>
    <row r="67" customFormat="false" ht="12.75" hidden="false" customHeight="false" outlineLevel="0" collapsed="false">
      <c r="D67" s="372"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2"/>
    </row>
    <row r="68" customFormat="false" ht="12.75" hidden="false" customHeight="false" outlineLevel="0" collapsed="false">
      <c r="D68" s="372"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2"/>
    </row>
    <row r="69" customFormat="false" ht="12.75" hidden="false" customHeight="false" outlineLevel="0" collapsed="false">
      <c r="D69" s="372"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2"/>
    </row>
    <row r="70" customFormat="false" ht="12.75" hidden="false" customHeight="false" outlineLevel="0" collapsed="false">
      <c r="D70" s="372"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2"/>
    </row>
    <row r="71" customFormat="false" ht="12.75" hidden="false" customHeight="false" outlineLevel="0" collapsed="false">
      <c r="D71" s="372"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2"/>
    </row>
    <row r="72" customFormat="false" ht="12.75" hidden="false" customHeight="false" outlineLevel="0" collapsed="false">
      <c r="D72" s="372"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2"/>
    </row>
    <row r="73" customFormat="false" ht="12.75" hidden="false" customHeight="false" outlineLevel="0" collapsed="false">
      <c r="D73" s="372"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2"/>
    </row>
    <row r="74" customFormat="false" ht="12.75" hidden="false" customHeight="false" outlineLevel="0" collapsed="false">
      <c r="D74" s="372"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2"/>
    </row>
    <row r="75" customFormat="false" ht="12.75" hidden="false" customHeight="false" outlineLevel="0" collapsed="false">
      <c r="D75" s="372"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2"/>
    </row>
    <row r="76" customFormat="false" ht="12.75" hidden="false" customHeight="false" outlineLevel="0" collapsed="false">
      <c r="D76" s="372"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2"/>
    </row>
    <row r="77" customFormat="false" ht="12.75" hidden="false" customHeight="false" outlineLevel="0" collapsed="false">
      <c r="D77" s="372"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2"/>
    </row>
    <row r="78" customFormat="false" ht="12.75" hidden="false" customHeight="false" outlineLevel="0" collapsed="false">
      <c r="D78" s="372"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2"/>
    </row>
    <row r="79" customFormat="false" ht="12.75" hidden="false" customHeight="false" outlineLevel="0" collapsed="false">
      <c r="D79" s="372"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2"/>
    </row>
    <row r="80" customFormat="false" ht="12.75" hidden="false" customHeight="false" outlineLevel="0" collapsed="false">
      <c r="D80" s="372"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2"/>
    </row>
    <row r="81" customFormat="false" ht="12.75" hidden="false" customHeight="false" outlineLevel="0" collapsed="false">
      <c r="D81" s="372"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2"/>
    </row>
    <row r="82" customFormat="false" ht="12.75" hidden="false" customHeight="false" outlineLevel="0" collapsed="false">
      <c r="D82" s="372"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2"/>
    </row>
    <row r="83" customFormat="false" ht="12.75" hidden="false" customHeight="false" outlineLevel="0" collapsed="false">
      <c r="D83" s="372"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2"/>
    </row>
    <row r="84" customFormat="false" ht="12.75" hidden="false" customHeight="false" outlineLevel="0" collapsed="false">
      <c r="D84" s="372"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2"/>
    </row>
    <row r="85" customFormat="false" ht="12.75" hidden="false" customHeight="false" outlineLevel="0" collapsed="false">
      <c r="D85" s="372"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2"/>
    </row>
    <row r="86" customFormat="false" ht="12.75" hidden="false" customHeight="false" outlineLevel="0" collapsed="false">
      <c r="D86" s="372"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2"/>
    </row>
    <row r="87" customFormat="false" ht="12.75" hidden="false" customHeight="false" outlineLevel="0" collapsed="false">
      <c r="D87" s="372"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2"/>
    </row>
    <row r="88" customFormat="false" ht="12.75" hidden="false" customHeight="false" outlineLevel="0" collapsed="false">
      <c r="D88" s="372"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2"/>
    </row>
    <row r="89" customFormat="false" ht="12.75" hidden="false" customHeight="false" outlineLevel="0" collapsed="false">
      <c r="D89" s="372"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2"/>
    </row>
    <row r="90" customFormat="false" ht="12.75" hidden="false" customHeight="false" outlineLevel="0" collapsed="false">
      <c r="D90" s="372"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2"/>
    </row>
    <row r="91" customFormat="false" ht="12.75" hidden="false" customHeight="false" outlineLevel="0" collapsed="false">
      <c r="D91" s="372"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2"/>
    </row>
    <row r="92" customFormat="false" ht="12.75" hidden="false" customHeight="false" outlineLevel="0" collapsed="false">
      <c r="D92" s="372"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2"/>
    </row>
    <row r="93" customFormat="false" ht="12.75" hidden="false" customHeight="false" outlineLevel="0" collapsed="false">
      <c r="D93" s="372"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2"/>
    </row>
    <row r="94" customFormat="false" ht="12.75" hidden="false" customHeight="false" outlineLevel="0" collapsed="false">
      <c r="D94" s="372"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2"/>
    </row>
    <row r="95" customFormat="false" ht="12.75" hidden="false" customHeight="false" outlineLevel="0" collapsed="false">
      <c r="D95" s="372"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2"/>
    </row>
    <row r="96" customFormat="false" ht="12.75" hidden="false" customHeight="false" outlineLevel="0" collapsed="false">
      <c r="D96" s="372"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2"/>
    </row>
    <row r="97" customFormat="false" ht="12.75" hidden="false" customHeight="false" outlineLevel="0" collapsed="false">
      <c r="D97" s="372"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2"/>
    </row>
    <row r="98" customFormat="false" ht="12.75" hidden="false" customHeight="false" outlineLevel="0" collapsed="false">
      <c r="D98" s="372"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2"/>
    </row>
    <row r="99" customFormat="false" ht="12.75" hidden="false" customHeight="false" outlineLevel="0" collapsed="false">
      <c r="D99" s="372"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2"/>
    </row>
    <row r="100" customFormat="false" ht="12.75" hidden="false" customHeight="false" outlineLevel="0" collapsed="false">
      <c r="D100" s="372"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2"/>
    </row>
    <row r="101" customFormat="false" ht="12.75" hidden="false" customHeight="false" outlineLevel="0" collapsed="false">
      <c r="D101" s="372"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2"/>
    </row>
    <row r="102" customFormat="false" ht="12.75" hidden="false" customHeight="false" outlineLevel="0" collapsed="false">
      <c r="D102" s="372"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2"/>
    </row>
    <row r="103" customFormat="false" ht="12.75" hidden="false" customHeight="false" outlineLevel="0" collapsed="false">
      <c r="D103" s="372"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2"/>
    </row>
    <row r="104" customFormat="false" ht="12.75" hidden="false" customHeight="false" outlineLevel="0" collapsed="false">
      <c r="D104" s="372"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2"/>
    </row>
    <row r="105" customFormat="false" ht="12.75" hidden="false" customHeight="false" outlineLevel="0" collapsed="false">
      <c r="D105" s="372"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2"/>
    </row>
    <row r="106" customFormat="false" ht="12.75" hidden="false" customHeight="false" outlineLevel="0" collapsed="false">
      <c r="D106" s="372"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2"/>
    </row>
    <row r="107" customFormat="false" ht="12.75" hidden="false" customHeight="false" outlineLevel="0" collapsed="false">
      <c r="D107" s="372"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2"/>
    </row>
    <row r="108" customFormat="false" ht="12.75" hidden="false" customHeight="false" outlineLevel="0" collapsed="false">
      <c r="D108" s="372"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2"/>
    </row>
    <row r="109" customFormat="false" ht="12.75" hidden="false" customHeight="false" outlineLevel="0" collapsed="false">
      <c r="D109" s="372"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2"/>
    </row>
    <row r="110" customFormat="false" ht="12.75" hidden="false" customHeight="false" outlineLevel="0" collapsed="false">
      <c r="D110" s="372"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2"/>
    </row>
    <row r="111" customFormat="false" ht="12.75" hidden="false" customHeight="false" outlineLevel="0" collapsed="false">
      <c r="D111" s="372"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2"/>
    </row>
    <row r="112" customFormat="false" ht="12.75" hidden="false" customHeight="false" outlineLevel="0" collapsed="false">
      <c r="D112" s="372"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2"/>
    </row>
    <row r="113" customFormat="false" ht="12.75" hidden="false" customHeight="false" outlineLevel="0" collapsed="false">
      <c r="D113" s="372"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2"/>
    </row>
    <row r="114" customFormat="false" ht="12.75" hidden="false" customHeight="false" outlineLevel="0" collapsed="false">
      <c r="D114" s="372"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2"/>
    </row>
    <row r="115" customFormat="false" ht="12.75" hidden="false" customHeight="false" outlineLevel="0" collapsed="false">
      <c r="D115" s="372"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2"/>
    </row>
    <row r="116" customFormat="false" ht="12.75" hidden="false" customHeight="false" outlineLevel="0" collapsed="false">
      <c r="D116" s="372"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2"/>
    </row>
    <row r="117" customFormat="false" ht="12.75" hidden="false" customHeight="false" outlineLevel="0" collapsed="false">
      <c r="D117" s="372"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2"/>
    </row>
    <row r="118" customFormat="false" ht="12.75" hidden="false" customHeight="false" outlineLevel="0" collapsed="false">
      <c r="D118" s="372"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2"/>
    </row>
    <row r="119" customFormat="false" ht="12.75" hidden="false" customHeight="false" outlineLevel="0" collapsed="false">
      <c r="D119" s="372"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2"/>
    </row>
    <row r="120" customFormat="false" ht="12.75" hidden="false" customHeight="false" outlineLevel="0" collapsed="false">
      <c r="D120" s="372"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2"/>
    </row>
    <row r="121" customFormat="false" ht="12.75" hidden="false" customHeight="false" outlineLevel="0" collapsed="false">
      <c r="D121" s="372"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2"/>
    </row>
    <row r="122" customFormat="false" ht="12.75" hidden="false" customHeight="false" outlineLevel="0" collapsed="false">
      <c r="D122" s="372"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2"/>
    </row>
    <row r="123" customFormat="false" ht="12.75" hidden="false" customHeight="false" outlineLevel="0" collapsed="false">
      <c r="D123" s="372"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2"/>
    </row>
    <row r="124" customFormat="false" ht="12.75" hidden="false" customHeight="false" outlineLevel="0" collapsed="false">
      <c r="D124" s="372"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2"/>
    </row>
    <row r="125" customFormat="false" ht="12.75" hidden="false" customHeight="false" outlineLevel="0" collapsed="false">
      <c r="D125" s="372"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2"/>
    </row>
    <row r="126" customFormat="false" ht="12.75" hidden="false" customHeight="false" outlineLevel="0" collapsed="false">
      <c r="D126" s="372"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2"/>
    </row>
    <row r="127" customFormat="false" ht="12.75" hidden="false" customHeight="false" outlineLevel="0" collapsed="false">
      <c r="D127" s="372"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2"/>
    </row>
    <row r="128" customFormat="false" ht="12.75" hidden="false" customHeight="false" outlineLevel="0" collapsed="false">
      <c r="D128" s="372"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2"/>
    </row>
    <row r="129" customFormat="false" ht="12.75" hidden="false" customHeight="false" outlineLevel="0" collapsed="false">
      <c r="D129" s="372"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2"/>
    </row>
    <row r="130" customFormat="false" ht="12.75" hidden="false" customHeight="false" outlineLevel="0" collapsed="false">
      <c r="D130" s="372"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2"/>
    </row>
    <row r="131" customFormat="false" ht="12.75" hidden="false" customHeight="false" outlineLevel="0" collapsed="false">
      <c r="D131" s="372"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2"/>
    </row>
    <row r="132" customFormat="false" ht="12.75" hidden="false" customHeight="false" outlineLevel="0" collapsed="false">
      <c r="D132" s="372"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2"/>
    </row>
    <row r="133" customFormat="false" ht="12.75" hidden="false" customHeight="false" outlineLevel="0" collapsed="false">
      <c r="D133" s="372"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2"/>
    </row>
    <row r="134" customFormat="false" ht="12.75" hidden="false" customHeight="false" outlineLevel="0" collapsed="false">
      <c r="D134" s="372"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2"/>
    </row>
    <row r="135" customFormat="false" ht="12.75" hidden="false" customHeight="false" outlineLevel="0" collapsed="false">
      <c r="D135" s="372"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2"/>
    </row>
    <row r="136" customFormat="false" ht="12.75" hidden="false" customHeight="false" outlineLevel="0" collapsed="false">
      <c r="D136" s="372"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2"/>
    </row>
    <row r="137" customFormat="false" ht="12.75" hidden="false" customHeight="false" outlineLevel="0" collapsed="false">
      <c r="D137" s="372"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2"/>
    </row>
    <row r="138" customFormat="false" ht="12.75" hidden="false" customHeight="false" outlineLevel="0" collapsed="false">
      <c r="D138" s="372"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2"/>
    </row>
    <row r="139" customFormat="false" ht="12.75" hidden="false" customHeight="false" outlineLevel="0" collapsed="false">
      <c r="D139" s="372"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2"/>
    </row>
    <row r="140" customFormat="false" ht="12.75" hidden="false" customHeight="false" outlineLevel="0" collapsed="false">
      <c r="D140" s="372"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2"/>
    </row>
    <row r="141" customFormat="false" ht="12.75" hidden="false" customHeight="false" outlineLevel="0" collapsed="false">
      <c r="D141" s="372"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2"/>
    </row>
    <row r="142" customFormat="false" ht="12.75" hidden="false" customHeight="false" outlineLevel="0" collapsed="false">
      <c r="D142" s="372"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2"/>
    </row>
    <row r="143" customFormat="false" ht="12.75" hidden="false" customHeight="false" outlineLevel="0" collapsed="false">
      <c r="D143" s="372"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2"/>
    </row>
    <row r="144" customFormat="false" ht="12.75" hidden="false" customHeight="false" outlineLevel="0" collapsed="false">
      <c r="D144" s="372"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2"/>
    </row>
    <row r="145" customFormat="false" ht="12.75" hidden="false" customHeight="false" outlineLevel="0" collapsed="false">
      <c r="D145" s="372"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2"/>
    </row>
    <row r="146" customFormat="false" ht="12.75" hidden="false" customHeight="false" outlineLevel="0" collapsed="false">
      <c r="D146" s="372"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2"/>
    </row>
    <row r="147" customFormat="false" ht="12.75" hidden="false" customHeight="false" outlineLevel="0" collapsed="false">
      <c r="D147" s="372"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2"/>
    </row>
    <row r="148" customFormat="false" ht="12.75" hidden="false" customHeight="false" outlineLevel="0" collapsed="false">
      <c r="D148" s="372"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2"/>
    </row>
    <row r="149" customFormat="false" ht="12.75" hidden="false" customHeight="false" outlineLevel="0" collapsed="false">
      <c r="D149" s="372"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2"/>
    </row>
    <row r="150" customFormat="false" ht="12.75" hidden="false" customHeight="false" outlineLevel="0" collapsed="false">
      <c r="D150" s="372"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2"/>
    </row>
    <row r="151" customFormat="false" ht="12.75" hidden="false" customHeight="false" outlineLevel="0" collapsed="false">
      <c r="D151" s="372"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2"/>
    </row>
    <row r="152" customFormat="false" ht="12.75" hidden="false" customHeight="false" outlineLevel="0" collapsed="false">
      <c r="D152" s="372"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2"/>
    </row>
    <row r="153" customFormat="false" ht="12.75" hidden="false" customHeight="false" outlineLevel="0" collapsed="false">
      <c r="D153" s="372"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2"/>
    </row>
    <row r="154" customFormat="false" ht="12.75" hidden="false" customHeight="false" outlineLevel="0" collapsed="false">
      <c r="D154" s="372"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2"/>
    </row>
    <row r="155" customFormat="false" ht="12.75" hidden="false" customHeight="false" outlineLevel="0" collapsed="false">
      <c r="D155" s="372"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2"/>
    </row>
    <row r="156" customFormat="false" ht="12.75" hidden="false" customHeight="false" outlineLevel="0" collapsed="false">
      <c r="D156" s="372"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2"/>
    </row>
    <row r="157" customFormat="false" ht="12.75" hidden="false" customHeight="false" outlineLevel="0" collapsed="false">
      <c r="D157" s="372"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2"/>
    </row>
    <row r="158" customFormat="false" ht="12.75" hidden="false" customHeight="false" outlineLevel="0" collapsed="false">
      <c r="D158" s="372"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2"/>
    </row>
    <row r="159" customFormat="false" ht="12.75" hidden="false" customHeight="false" outlineLevel="0" collapsed="false">
      <c r="D159" s="372"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2"/>
    </row>
    <row r="160" customFormat="false" ht="12.75" hidden="false" customHeight="false" outlineLevel="0" collapsed="false">
      <c r="D160" s="372"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2"/>
    </row>
    <row r="161" customFormat="false" ht="12.75" hidden="false" customHeight="false" outlineLevel="0" collapsed="false">
      <c r="D161" s="372"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2"/>
    </row>
    <row r="162" customFormat="false" ht="12.75" hidden="false" customHeight="false" outlineLevel="0" collapsed="false">
      <c r="D162" s="372"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2"/>
    </row>
    <row r="163" customFormat="false" ht="12.75" hidden="false" customHeight="false" outlineLevel="0" collapsed="false">
      <c r="D163" s="372"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2"/>
    </row>
    <row r="164" customFormat="false" ht="12.75" hidden="false" customHeight="false" outlineLevel="0" collapsed="false">
      <c r="D164" s="372"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2"/>
    </row>
    <row r="165" customFormat="false" ht="12.75" hidden="false" customHeight="false" outlineLevel="0" collapsed="false">
      <c r="D165" s="372"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2"/>
    </row>
    <row r="166" customFormat="false" ht="12.75" hidden="false" customHeight="false" outlineLevel="0" collapsed="false">
      <c r="D166" s="372"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2"/>
    </row>
    <row r="167" customFormat="false" ht="12.75" hidden="false" customHeight="false" outlineLevel="0" collapsed="false">
      <c r="D167" s="372"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2"/>
    </row>
    <row r="168" customFormat="false" ht="12.75" hidden="false" customHeight="false" outlineLevel="0" collapsed="false">
      <c r="D168" s="372"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2"/>
    </row>
    <row r="169" customFormat="false" ht="12.75" hidden="false" customHeight="false" outlineLevel="0" collapsed="false">
      <c r="D169" s="372"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2"/>
    </row>
    <row r="170" customFormat="false" ht="12.75" hidden="false" customHeight="false" outlineLevel="0" collapsed="false">
      <c r="D170" s="372"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2"/>
    </row>
    <row r="171" customFormat="false" ht="12.75" hidden="false" customHeight="false" outlineLevel="0" collapsed="false">
      <c r="D171" s="372"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2"/>
    </row>
    <row r="172" customFormat="false" ht="12.75" hidden="false" customHeight="false" outlineLevel="0" collapsed="false">
      <c r="D172" s="372"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2"/>
    </row>
    <row r="173" customFormat="false" ht="12.75" hidden="false" customHeight="false" outlineLevel="0" collapsed="false">
      <c r="D173" s="372"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2"/>
    </row>
    <row r="174" customFormat="false" ht="12.75" hidden="false" customHeight="false" outlineLevel="0" collapsed="false">
      <c r="D174" s="372"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2"/>
    </row>
    <row r="175" customFormat="false" ht="12.75" hidden="false" customHeight="false" outlineLevel="0" collapsed="false">
      <c r="D175" s="372"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2"/>
    </row>
    <row r="176" customFormat="false" ht="12.75" hidden="false" customHeight="false" outlineLevel="0" collapsed="false">
      <c r="D176" s="372"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2"/>
    </row>
    <row r="177" customFormat="false" ht="12.75" hidden="false" customHeight="false" outlineLevel="0" collapsed="false">
      <c r="D177" s="372"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2"/>
    </row>
    <row r="178" customFormat="false" ht="12.75" hidden="false" customHeight="false" outlineLevel="0" collapsed="false">
      <c r="D178" s="372"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2"/>
    </row>
    <row r="179" customFormat="false" ht="12.75" hidden="false" customHeight="false" outlineLevel="0" collapsed="false">
      <c r="D179" s="372"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2"/>
    </row>
    <row r="180" customFormat="false" ht="12.75" hidden="false" customHeight="false" outlineLevel="0" collapsed="false">
      <c r="D180" s="372"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2"/>
    </row>
    <row r="181" customFormat="false" ht="12.75" hidden="false" customHeight="false" outlineLevel="0" collapsed="false">
      <c r="D181" s="372"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2"/>
    </row>
    <row r="182" customFormat="false" ht="12.75" hidden="false" customHeight="false" outlineLevel="0" collapsed="false">
      <c r="D182" s="372"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2"/>
    </row>
    <row r="183" customFormat="false" ht="12.75" hidden="false" customHeight="false" outlineLevel="0" collapsed="false">
      <c r="D183" s="372"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2"/>
    </row>
    <row r="184" customFormat="false" ht="12.75" hidden="false" customHeight="false" outlineLevel="0" collapsed="false">
      <c r="D184" s="372"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2"/>
    </row>
    <row r="185" customFormat="false" ht="12.75" hidden="false" customHeight="false" outlineLevel="0" collapsed="false">
      <c r="D185" s="372"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2"/>
    </row>
    <row r="186" customFormat="false" ht="12.75" hidden="false" customHeight="false" outlineLevel="0" collapsed="false">
      <c r="D186" s="372"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2"/>
    </row>
    <row r="187" customFormat="false" ht="12.75" hidden="false" customHeight="false" outlineLevel="0" collapsed="false">
      <c r="D187" s="372"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2"/>
    </row>
    <row r="188" customFormat="false" ht="12.75" hidden="false" customHeight="false" outlineLevel="0" collapsed="false">
      <c r="D188" s="372"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2"/>
    </row>
    <row r="189" customFormat="false" ht="12.75" hidden="false" customHeight="false" outlineLevel="0" collapsed="false">
      <c r="D189" s="372"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2"/>
    </row>
    <row r="190" customFormat="false" ht="12.75" hidden="false" customHeight="false" outlineLevel="0" collapsed="false">
      <c r="D190" s="372"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2"/>
    </row>
    <row r="191" customFormat="false" ht="12.75" hidden="false" customHeight="false" outlineLevel="0" collapsed="false">
      <c r="D191" s="372"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2"/>
    </row>
    <row r="192" customFormat="false" ht="12.75" hidden="false" customHeight="false" outlineLevel="0" collapsed="false">
      <c r="D192" s="372"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2"/>
    </row>
    <row r="193" customFormat="false" ht="12.75" hidden="false" customHeight="false" outlineLevel="0" collapsed="false">
      <c r="D193" s="372"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2"/>
    </row>
    <row r="194" customFormat="false" ht="12.75" hidden="false" customHeight="false" outlineLevel="0" collapsed="false">
      <c r="D194" s="372"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2"/>
    </row>
    <row r="195" customFormat="false" ht="12.75" hidden="false" customHeight="false" outlineLevel="0" collapsed="false">
      <c r="D195" s="372"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2"/>
    </row>
    <row r="196" customFormat="false" ht="12.75" hidden="false" customHeight="false" outlineLevel="0" collapsed="false">
      <c r="D196" s="372"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2"/>
    </row>
    <row r="197" customFormat="false" ht="12.75" hidden="false" customHeight="false" outlineLevel="0" collapsed="false">
      <c r="D197" s="372"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2"/>
    </row>
    <row r="198" customFormat="false" ht="12.75" hidden="false" customHeight="false" outlineLevel="0" collapsed="false">
      <c r="D198" s="372"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2"/>
    </row>
    <row r="199" customFormat="false" ht="12.75" hidden="false" customHeight="false" outlineLevel="0" collapsed="false">
      <c r="D199" s="372"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2"/>
    </row>
    <row r="200" customFormat="false" ht="12.75" hidden="false" customHeight="false" outlineLevel="0" collapsed="false">
      <c r="D200" s="372"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2"/>
    </row>
    <row r="201" customFormat="false" ht="12.75" hidden="false" customHeight="false" outlineLevel="0" collapsed="false">
      <c r="D201" s="372"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2"/>
    </row>
    <row r="202" customFormat="false" ht="12.75" hidden="false" customHeight="false" outlineLevel="0" collapsed="false">
      <c r="D202" s="372"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2"/>
    </row>
    <row r="203" customFormat="false" ht="12.75" hidden="false" customHeight="false" outlineLevel="0" collapsed="false">
      <c r="D203" s="372"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2"/>
    </row>
    <row r="204" customFormat="false" ht="12.75" hidden="false" customHeight="false" outlineLevel="0" collapsed="false">
      <c r="D204" s="372"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2"/>
    </row>
    <row r="205" customFormat="false" ht="12.75" hidden="false" customHeight="false" outlineLevel="0" collapsed="false">
      <c r="U205" s="372"/>
    </row>
    <row r="206" customFormat="false" ht="12.75" hidden="false" customHeight="false" outlineLevel="0" collapsed="false">
      <c r="U206" s="372"/>
    </row>
    <row r="207" customFormat="false" ht="12.75" hidden="false" customHeight="false" outlineLevel="0" collapsed="false">
      <c r="U207" s="372"/>
    </row>
    <row r="208" customFormat="false" ht="12.75" hidden="false" customHeight="false" outlineLevel="0" collapsed="false">
      <c r="U208" s="372"/>
    </row>
    <row r="209" customFormat="false" ht="12.75" hidden="false" customHeight="false" outlineLevel="0" collapsed="false">
      <c r="U209" s="372"/>
    </row>
    <row r="210" customFormat="false" ht="12.75" hidden="false" customHeight="false" outlineLevel="0" collapsed="false">
      <c r="U210" s="372"/>
    </row>
    <row r="211" customFormat="false" ht="12.75" hidden="false" customHeight="false" outlineLevel="0" collapsed="false">
      <c r="U211" s="372"/>
    </row>
    <row r="212" customFormat="false" ht="12.75" hidden="false" customHeight="false" outlineLevel="0" collapsed="false">
      <c r="U212" s="372"/>
    </row>
    <row r="213" customFormat="false" ht="12.75" hidden="false" customHeight="false" outlineLevel="0" collapsed="false">
      <c r="U213" s="372"/>
    </row>
    <row r="214" customFormat="false" ht="12.75" hidden="false" customHeight="false" outlineLevel="0" collapsed="false">
      <c r="U214" s="372"/>
    </row>
    <row r="215" customFormat="false" ht="12.75" hidden="false" customHeight="false" outlineLevel="0" collapsed="false">
      <c r="U215" s="372"/>
    </row>
    <row r="216" customFormat="false" ht="12.75" hidden="false" customHeight="false" outlineLevel="0" collapsed="false">
      <c r="U216" s="372"/>
    </row>
    <row r="217" customFormat="false" ht="12.75" hidden="false" customHeight="false" outlineLevel="0" collapsed="false">
      <c r="U217" s="372"/>
    </row>
    <row r="218" customFormat="false" ht="12.75" hidden="false" customHeight="false" outlineLevel="0" collapsed="false">
      <c r="U218" s="372"/>
    </row>
    <row r="219" customFormat="false" ht="12.75" hidden="false" customHeight="false" outlineLevel="0" collapsed="false">
      <c r="U219" s="372"/>
    </row>
    <row r="220" customFormat="false" ht="12.75" hidden="false" customHeight="false" outlineLevel="0" collapsed="false">
      <c r="U220" s="372"/>
    </row>
    <row r="221" customFormat="false" ht="12.75" hidden="false" customHeight="false" outlineLevel="0" collapsed="false">
      <c r="U221" s="372"/>
    </row>
    <row r="222" customFormat="false" ht="12.75" hidden="false" customHeight="false" outlineLevel="0" collapsed="false">
      <c r="U222" s="372"/>
    </row>
    <row r="223" customFormat="false" ht="12.75" hidden="false" customHeight="false" outlineLevel="0" collapsed="false">
      <c r="U223" s="372"/>
    </row>
    <row r="224" customFormat="false" ht="12.75" hidden="false" customHeight="false" outlineLevel="0" collapsed="false">
      <c r="U224" s="372"/>
    </row>
    <row r="225" customFormat="false" ht="12.75" hidden="false" customHeight="false" outlineLevel="0" collapsed="false">
      <c r="U225" s="372"/>
    </row>
    <row r="226" customFormat="false" ht="12.75" hidden="false" customHeight="false" outlineLevel="0" collapsed="false">
      <c r="U226" s="372"/>
    </row>
    <row r="227" customFormat="false" ht="12.75" hidden="false" customHeight="false" outlineLevel="0" collapsed="false">
      <c r="U227" s="372"/>
    </row>
    <row r="228" customFormat="false" ht="12.75" hidden="false" customHeight="false" outlineLevel="0" collapsed="false">
      <c r="U228" s="372"/>
    </row>
    <row r="229" customFormat="false" ht="12.75" hidden="false" customHeight="false" outlineLevel="0" collapsed="false">
      <c r="U229" s="372"/>
    </row>
    <row r="230" customFormat="false" ht="12.75" hidden="false" customHeight="false" outlineLevel="0" collapsed="false">
      <c r="U230" s="372"/>
    </row>
    <row r="231" customFormat="false" ht="12.75" hidden="false" customHeight="false" outlineLevel="0" collapsed="false">
      <c r="U231" s="372"/>
    </row>
    <row r="232" customFormat="false" ht="12.75" hidden="false" customHeight="false" outlineLevel="0" collapsed="false">
      <c r="U232" s="372"/>
    </row>
    <row r="233" customFormat="false" ht="12.75" hidden="false" customHeight="false" outlineLevel="0" collapsed="false">
      <c r="U233" s="372"/>
    </row>
    <row r="234" customFormat="false" ht="12.75" hidden="false" customHeight="false" outlineLevel="0" collapsed="false">
      <c r="U234" s="372"/>
    </row>
    <row r="235" customFormat="false" ht="12.75" hidden="false" customHeight="false" outlineLevel="0" collapsed="false">
      <c r="U235" s="372"/>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5" width="9.66"/>
    <col collapsed="false" customWidth="true" hidden="false" outlineLevel="0" max="2" min="2" style="346" width="14.66"/>
    <col collapsed="false" customWidth="true" hidden="false" outlineLevel="0" max="3" min="3" style="181" width="13.66"/>
    <col collapsed="false" customWidth="true" hidden="false" outlineLevel="0" max="4" min="4" style="347" width="12.66"/>
    <col collapsed="false" customWidth="true" hidden="false" outlineLevel="0" max="5" min="5" style="348" width="12.66"/>
    <col collapsed="false" customWidth="true" hidden="false" outlineLevel="0" max="6" min="6" style="181" width="12.66"/>
    <col collapsed="false" customWidth="false" hidden="false" outlineLevel="0" max="257" min="7" style="181" width="9.15"/>
  </cols>
  <sheetData>
    <row r="1" s="353" customFormat="true" ht="12.75" hidden="false" customHeight="true" outlineLevel="0" collapsed="false">
      <c r="A1" s="349" t="s">
        <v>238</v>
      </c>
      <c r="B1" s="350" t="s">
        <v>239</v>
      </c>
      <c r="C1" s="351" t="s">
        <v>240</v>
      </c>
      <c r="D1" s="352" t="n">
        <f aca="false">SUM(D4:D47)</f>
        <v>0</v>
      </c>
      <c r="E1" s="351" t="n">
        <f aca="false">SUM(E4:E47)/2</f>
        <v>3000</v>
      </c>
      <c r="F1" s="351" t="n">
        <f aca="false">SUM(F4:F47)/2</f>
        <v>0</v>
      </c>
    </row>
    <row r="2" s="353" customFormat="true" ht="12.75" hidden="false" customHeight="true" outlineLevel="0" collapsed="false">
      <c r="A2" s="349"/>
      <c r="B2" s="350"/>
      <c r="C2" s="354" t="s">
        <v>241</v>
      </c>
      <c r="D2" s="355" t="s">
        <v>242</v>
      </c>
      <c r="E2" s="354" t="s">
        <v>243</v>
      </c>
      <c r="F2" s="354" t="s">
        <v>244</v>
      </c>
    </row>
    <row r="3" s="356" customFormat="true" ht="24" hidden="false" customHeight="true" outlineLevel="0" collapsed="false">
      <c r="A3" s="349"/>
      <c r="B3" s="350"/>
      <c r="C3" s="354"/>
      <c r="D3" s="355"/>
      <c r="E3" s="354"/>
      <c r="F3" s="354"/>
    </row>
    <row r="5" customFormat="false" ht="12.75" hidden="false" customHeight="false" outlineLevel="0" collapsed="false">
      <c r="A5" s="357" t="n">
        <v>46293</v>
      </c>
      <c r="B5" s="358" t="n">
        <v>46293</v>
      </c>
      <c r="C5" s="359"/>
      <c r="D5" s="360"/>
      <c r="E5" s="361"/>
      <c r="F5" s="362"/>
    </row>
    <row r="6" customFormat="false" ht="12.75" hidden="false" customHeight="false" outlineLevel="0" collapsed="false">
      <c r="A6" s="363" t="n">
        <v>46294</v>
      </c>
      <c r="B6" s="346" t="n">
        <v>46294</v>
      </c>
      <c r="F6" s="364"/>
    </row>
    <row r="7" customFormat="false" ht="12.75" hidden="false" customHeight="false" outlineLevel="0" collapsed="false">
      <c r="A7" s="363" t="n">
        <v>46295</v>
      </c>
      <c r="B7" s="346" t="n">
        <v>46295</v>
      </c>
      <c r="F7" s="364"/>
    </row>
    <row r="8" customFormat="false" ht="12.75" hidden="false" customHeight="false" outlineLevel="0" collapsed="false">
      <c r="A8" s="363" t="n">
        <v>46296</v>
      </c>
      <c r="B8" s="346" t="n">
        <v>46296</v>
      </c>
      <c r="F8" s="364"/>
    </row>
    <row r="9" customFormat="false" ht="12.75" hidden="false" customHeight="false" outlineLevel="0" collapsed="false">
      <c r="A9" s="363" t="n">
        <v>46297</v>
      </c>
      <c r="B9" s="346" t="n">
        <v>46297</v>
      </c>
      <c r="F9" s="364"/>
    </row>
    <row r="10" customFormat="false" ht="12.75" hidden="false" customHeight="false" outlineLevel="0" collapsed="false">
      <c r="A10" s="363" t="n">
        <v>46298</v>
      </c>
      <c r="B10" s="346" t="n">
        <v>46298</v>
      </c>
      <c r="F10" s="364"/>
    </row>
    <row r="11" customFormat="false" ht="12.75" hidden="false" customHeight="false" outlineLevel="0" collapsed="false">
      <c r="A11" s="363" t="n">
        <v>46299</v>
      </c>
      <c r="B11" s="346" t="n">
        <v>46299</v>
      </c>
      <c r="F11" s="364"/>
    </row>
    <row r="12" customFormat="false" ht="12.75" hidden="false" customHeight="false" outlineLevel="0" collapsed="false">
      <c r="A12" s="363" t="n">
        <v>46299</v>
      </c>
      <c r="B12" s="346" t="s">
        <v>245</v>
      </c>
      <c r="F12" s="364"/>
    </row>
    <row r="13" customFormat="false" ht="12.75" hidden="false" customHeight="false" outlineLevel="0" collapsed="false">
      <c r="A13" s="363" t="n">
        <v>46299</v>
      </c>
      <c r="B13" s="346" t="s">
        <v>246</v>
      </c>
      <c r="F13" s="364"/>
    </row>
    <row r="14" customFormat="false" ht="12.75" hidden="false" customHeight="false" outlineLevel="0" collapsed="false">
      <c r="A14" s="365"/>
      <c r="B14" s="366"/>
      <c r="C14" s="367"/>
      <c r="D14" s="368"/>
      <c r="E14" s="369" t="n">
        <f aca="false">SUM(E5:E13)</f>
        <v>0</v>
      </c>
      <c r="F14" s="370" t="n">
        <f aca="false">SUM(F5:F13)</f>
        <v>0</v>
      </c>
    </row>
    <row r="16" customFormat="false" ht="12.75" hidden="false" customHeight="false" outlineLevel="0" collapsed="false">
      <c r="A16" s="357" t="n">
        <v>46300</v>
      </c>
      <c r="B16" s="358" t="n">
        <v>46300</v>
      </c>
      <c r="C16" s="359"/>
      <c r="D16" s="360"/>
      <c r="E16" s="361"/>
      <c r="F16" s="362"/>
    </row>
    <row r="17" customFormat="false" ht="12.75" hidden="false" customHeight="false" outlineLevel="0" collapsed="false">
      <c r="A17" s="363" t="n">
        <v>46301</v>
      </c>
      <c r="B17" s="346" t="n">
        <v>46301</v>
      </c>
      <c r="E17" s="348" t="n">
        <v>200</v>
      </c>
      <c r="F17" s="364"/>
    </row>
    <row r="18" customFormat="false" ht="12.75" hidden="false" customHeight="false" outlineLevel="0" collapsed="false">
      <c r="A18" s="363" t="n">
        <v>46302</v>
      </c>
      <c r="B18" s="346" t="n">
        <v>46302</v>
      </c>
      <c r="E18" s="348" t="n">
        <v>200</v>
      </c>
      <c r="F18" s="364"/>
    </row>
    <row r="19" customFormat="false" ht="12.75" hidden="false" customHeight="false" outlineLevel="0" collapsed="false">
      <c r="A19" s="363" t="n">
        <v>46303</v>
      </c>
      <c r="B19" s="346" t="n">
        <v>46303</v>
      </c>
      <c r="E19" s="348" t="n">
        <v>200</v>
      </c>
      <c r="F19" s="364"/>
    </row>
    <row r="20" customFormat="false" ht="12.75" hidden="false" customHeight="false" outlineLevel="0" collapsed="false">
      <c r="A20" s="363" t="n">
        <v>46304</v>
      </c>
      <c r="B20" s="346" t="n">
        <v>46304</v>
      </c>
      <c r="E20" s="348" t="n">
        <v>200</v>
      </c>
      <c r="F20" s="364"/>
    </row>
    <row r="21" customFormat="false" ht="12.75" hidden="false" customHeight="false" outlineLevel="0" collapsed="false">
      <c r="A21" s="363" t="n">
        <v>46305</v>
      </c>
      <c r="B21" s="346" t="n">
        <v>46305</v>
      </c>
      <c r="E21" s="348" t="n">
        <v>200</v>
      </c>
      <c r="F21" s="364"/>
    </row>
    <row r="22" customFormat="false" ht="12.75" hidden="false" customHeight="false" outlineLevel="0" collapsed="false">
      <c r="A22" s="363" t="n">
        <v>46306</v>
      </c>
      <c r="B22" s="346" t="n">
        <v>46306</v>
      </c>
      <c r="F22" s="364"/>
    </row>
    <row r="23" customFormat="false" ht="12.75" hidden="false" customHeight="false" outlineLevel="0" collapsed="false">
      <c r="A23" s="363" t="n">
        <v>46306</v>
      </c>
      <c r="B23" s="346" t="s">
        <v>245</v>
      </c>
      <c r="F23" s="364"/>
    </row>
    <row r="24" customFormat="false" ht="12.75" hidden="false" customHeight="false" outlineLevel="0" collapsed="false">
      <c r="A24" s="363" t="n">
        <v>46306</v>
      </c>
      <c r="B24" s="346" t="s">
        <v>246</v>
      </c>
      <c r="F24" s="364"/>
    </row>
    <row r="25" customFormat="false" ht="12.75" hidden="false" customHeight="false" outlineLevel="0" collapsed="false">
      <c r="A25" s="365"/>
      <c r="B25" s="366"/>
      <c r="C25" s="367"/>
      <c r="D25" s="368"/>
      <c r="E25" s="369" t="n">
        <f aca="false">SUM(E16:E24)</f>
        <v>1000</v>
      </c>
      <c r="F25" s="370" t="n">
        <f aca="false">SUM(F16:F24)</f>
        <v>0</v>
      </c>
    </row>
    <row r="27" customFormat="false" ht="12.75" hidden="false" customHeight="false" outlineLevel="0" collapsed="false">
      <c r="A27" s="357" t="n">
        <v>46307</v>
      </c>
      <c r="B27" s="358" t="n">
        <v>46307</v>
      </c>
      <c r="C27" s="359"/>
      <c r="D27" s="360"/>
      <c r="E27" s="361"/>
      <c r="F27" s="362"/>
    </row>
    <row r="28" customFormat="false" ht="12.75" hidden="false" customHeight="false" outlineLevel="0" collapsed="false">
      <c r="A28" s="363" t="n">
        <v>46308</v>
      </c>
      <c r="B28" s="346" t="n">
        <v>46308</v>
      </c>
      <c r="E28" s="348" t="n">
        <v>200</v>
      </c>
      <c r="F28" s="364"/>
    </row>
    <row r="29" customFormat="false" ht="12.75" hidden="false" customHeight="false" outlineLevel="0" collapsed="false">
      <c r="A29" s="363" t="n">
        <v>46309</v>
      </c>
      <c r="B29" s="346" t="n">
        <v>46309</v>
      </c>
      <c r="E29" s="348" t="n">
        <v>200</v>
      </c>
      <c r="F29" s="364"/>
    </row>
    <row r="30" customFormat="false" ht="12.75" hidden="false" customHeight="false" outlineLevel="0" collapsed="false">
      <c r="A30" s="363" t="n">
        <v>46310</v>
      </c>
      <c r="B30" s="346" t="n">
        <v>46310</v>
      </c>
      <c r="E30" s="348" t="n">
        <v>200</v>
      </c>
      <c r="F30" s="364"/>
    </row>
    <row r="31" customFormat="false" ht="12.75" hidden="false" customHeight="false" outlineLevel="0" collapsed="false">
      <c r="A31" s="363" t="n">
        <v>46311</v>
      </c>
      <c r="B31" s="346" t="n">
        <v>46311</v>
      </c>
      <c r="E31" s="348" t="n">
        <v>200</v>
      </c>
      <c r="F31" s="364"/>
    </row>
    <row r="32" customFormat="false" ht="12.75" hidden="false" customHeight="false" outlineLevel="0" collapsed="false">
      <c r="A32" s="363" t="n">
        <v>46312</v>
      </c>
      <c r="B32" s="346" t="n">
        <v>46312</v>
      </c>
      <c r="E32" s="348" t="n">
        <v>200</v>
      </c>
      <c r="F32" s="364"/>
    </row>
    <row r="33" customFormat="false" ht="12.75" hidden="false" customHeight="false" outlineLevel="0" collapsed="false">
      <c r="A33" s="363" t="n">
        <v>46313</v>
      </c>
      <c r="B33" s="346" t="n">
        <v>46313</v>
      </c>
      <c r="F33" s="364"/>
    </row>
    <row r="34" customFormat="false" ht="12.75" hidden="false" customHeight="false" outlineLevel="0" collapsed="false">
      <c r="A34" s="363" t="n">
        <v>46313</v>
      </c>
      <c r="B34" s="346" t="s">
        <v>245</v>
      </c>
      <c r="F34" s="364"/>
    </row>
    <row r="35" customFormat="false" ht="12.75" hidden="false" customHeight="false" outlineLevel="0" collapsed="false">
      <c r="A35" s="363" t="n">
        <v>46313</v>
      </c>
      <c r="B35" s="346" t="s">
        <v>246</v>
      </c>
      <c r="F35" s="364"/>
    </row>
    <row r="36" customFormat="false" ht="12.75" hidden="false" customHeight="false" outlineLevel="0" collapsed="false">
      <c r="A36" s="365"/>
      <c r="B36" s="366"/>
      <c r="C36" s="367"/>
      <c r="D36" s="368"/>
      <c r="E36" s="369" t="n">
        <f aca="false">SUM(E27:E35)</f>
        <v>1000</v>
      </c>
      <c r="F36" s="370" t="n">
        <f aca="false">SUM(F27:F35)</f>
        <v>0</v>
      </c>
    </row>
    <row r="38" customFormat="false" ht="12.75" hidden="false" customHeight="false" outlineLevel="0" collapsed="false">
      <c r="A38" s="357" t="n">
        <v>46314</v>
      </c>
      <c r="B38" s="358" t="n">
        <v>46314</v>
      </c>
      <c r="C38" s="359"/>
      <c r="D38" s="360"/>
      <c r="E38" s="361"/>
      <c r="F38" s="362"/>
    </row>
    <row r="39" customFormat="false" ht="12.75" hidden="false" customHeight="false" outlineLevel="0" collapsed="false">
      <c r="A39" s="363" t="n">
        <v>46315</v>
      </c>
      <c r="B39" s="346" t="n">
        <v>46315</v>
      </c>
      <c r="E39" s="348" t="n">
        <v>200</v>
      </c>
      <c r="F39" s="364"/>
    </row>
    <row r="40" customFormat="false" ht="12.75" hidden="false" customHeight="false" outlineLevel="0" collapsed="false">
      <c r="A40" s="363" t="n">
        <v>46316</v>
      </c>
      <c r="B40" s="346" t="n">
        <v>46316</v>
      </c>
      <c r="E40" s="348" t="n">
        <v>200</v>
      </c>
      <c r="F40" s="364"/>
    </row>
    <row r="41" customFormat="false" ht="12.75" hidden="false" customHeight="false" outlineLevel="0" collapsed="false">
      <c r="A41" s="363" t="n">
        <v>46317</v>
      </c>
      <c r="B41" s="346" t="n">
        <v>46317</v>
      </c>
      <c r="E41" s="348" t="n">
        <v>200</v>
      </c>
      <c r="F41" s="364"/>
    </row>
    <row r="42" customFormat="false" ht="12.75" hidden="false" customHeight="false" outlineLevel="0" collapsed="false">
      <c r="A42" s="363" t="n">
        <v>46318</v>
      </c>
      <c r="B42" s="346" t="n">
        <v>46318</v>
      </c>
      <c r="E42" s="348" t="n">
        <v>200</v>
      </c>
      <c r="F42" s="364"/>
    </row>
    <row r="43" customFormat="false" ht="12.75" hidden="false" customHeight="false" outlineLevel="0" collapsed="false">
      <c r="A43" s="363" t="n">
        <v>46319</v>
      </c>
      <c r="B43" s="346" t="n">
        <v>46319</v>
      </c>
      <c r="E43" s="348" t="n">
        <v>200</v>
      </c>
      <c r="F43" s="364"/>
    </row>
    <row r="44" customFormat="false" ht="12.75" hidden="false" customHeight="false" outlineLevel="0" collapsed="false">
      <c r="A44" s="363" t="n">
        <v>46320</v>
      </c>
      <c r="B44" s="346" t="n">
        <v>46320</v>
      </c>
      <c r="F44" s="364"/>
    </row>
    <row r="45" customFormat="false" ht="12.75" hidden="false" customHeight="false" outlineLevel="0" collapsed="false">
      <c r="A45" s="363" t="n">
        <v>46320</v>
      </c>
      <c r="B45" s="346" t="s">
        <v>245</v>
      </c>
      <c r="F45" s="364"/>
    </row>
    <row r="46" customFormat="false" ht="12.75" hidden="false" customHeight="false" outlineLevel="0" collapsed="false">
      <c r="A46" s="363" t="n">
        <v>46320</v>
      </c>
      <c r="B46" s="346" t="s">
        <v>246</v>
      </c>
      <c r="F46" s="364"/>
    </row>
    <row r="47" customFormat="false" ht="12.75" hidden="false" customHeight="false" outlineLevel="0" collapsed="false">
      <c r="A47" s="365"/>
      <c r="B47" s="366"/>
      <c r="C47" s="367"/>
      <c r="D47" s="368"/>
      <c r="E47" s="369" t="n">
        <f aca="false">SUM(E38:E46)</f>
        <v>1000</v>
      </c>
      <c r="F47" s="370"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1" width="9.66"/>
    <col collapsed="false" customWidth="true" hidden="false" outlineLevel="0" max="2" min="2" style="180" width="23.99"/>
    <col collapsed="false" customWidth="true" hidden="false" outlineLevel="0" max="3" min="3" style="180" width="15.99"/>
    <col collapsed="false" customWidth="false" hidden="false" outlineLevel="0" max="5" min="4" style="372" width="9.15"/>
    <col collapsed="false" customWidth="true" hidden="false" outlineLevel="0" max="6" min="6" style="373"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99"/>
    <col collapsed="false" customWidth="false" hidden="false" outlineLevel="0" max="14" min="14" style="181" width="9.15"/>
    <col collapsed="false" customWidth="true" hidden="false" outlineLevel="0" max="15" min="15" style="181" width="9.33"/>
    <col collapsed="false" customWidth="true" hidden="false" outlineLevel="0" max="18" min="16" style="181" width="7.66"/>
    <col collapsed="false" customWidth="true" hidden="false" outlineLevel="0" max="19" min="19" style="181" width="8.49"/>
    <col collapsed="false" customWidth="true" hidden="false" outlineLevel="0" max="20" min="20" style="180" width="12.99"/>
    <col collapsed="false" customWidth="true" hidden="false" outlineLevel="0" max="21" min="21" style="181" width="8.15"/>
    <col collapsed="false" customWidth="false" hidden="false" outlineLevel="0" max="257" min="22" style="180" width="9.15"/>
  </cols>
  <sheetData>
    <row r="1" s="181" customFormat="true" ht="13.5" hidden="false" customHeight="true" outlineLevel="0" collapsed="false">
      <c r="A1" s="390" t="n">
        <f aca="false">E1+SalesOct!$D$1+PurchasesSep!A1</f>
        <v>0</v>
      </c>
      <c r="B1" s="391" t="s">
        <v>247</v>
      </c>
      <c r="C1" s="392" t="s">
        <v>240</v>
      </c>
      <c r="D1" s="376" t="str">
        <f aca="false">IF((F1-SUM(G1:S1)&lt;&gt;0),(F1-SUM(G1:S1))," ")</f>
        <v> </v>
      </c>
      <c r="E1" s="352" t="n">
        <f aca="false">SUM(E5:E199)</f>
        <v>0</v>
      </c>
      <c r="F1" s="351" t="n">
        <f aca="false">SUM(F5:F199)</f>
        <v>420</v>
      </c>
      <c r="G1" s="351" t="n">
        <f aca="false">SUM(G5:G199)</f>
        <v>300</v>
      </c>
      <c r="H1" s="351" t="n">
        <f aca="false">SUM(H5:H199)</f>
        <v>0</v>
      </c>
      <c r="I1" s="351" t="n">
        <f aca="false">SUM(I5:I199)</f>
        <v>0</v>
      </c>
      <c r="J1" s="351" t="n">
        <f aca="false">SUM(J5:J199)</f>
        <v>0</v>
      </c>
      <c r="K1" s="351" t="n">
        <f aca="false">SUM(K5:K199)</f>
        <v>0</v>
      </c>
      <c r="L1" s="351" t="n">
        <f aca="false">SUM(L5:L199)</f>
        <v>0</v>
      </c>
      <c r="M1" s="351" t="n">
        <f aca="false">SUM(M5:M199)</f>
        <v>120</v>
      </c>
      <c r="N1" s="351" t="n">
        <f aca="false">SUM(N5:N199)</f>
        <v>0</v>
      </c>
      <c r="O1" s="351" t="n">
        <f aca="false">SUM(O5:O199)</f>
        <v>0</v>
      </c>
      <c r="P1" s="351" t="n">
        <f aca="false">SUM(P5:P199)</f>
        <v>0</v>
      </c>
      <c r="Q1" s="351" t="n">
        <f aca="false">SUM(Q5:Q199)</f>
        <v>0</v>
      </c>
      <c r="R1" s="351" t="n">
        <f aca="false">SUM(R5:R199)</f>
        <v>0</v>
      </c>
      <c r="S1" s="393" t="n">
        <f aca="false">SUM(S5:S199)</f>
        <v>0</v>
      </c>
      <c r="T1" s="394" t="n">
        <f aca="false">S1+PurchasesSep!T1</f>
        <v>8000</v>
      </c>
      <c r="U1" s="393" t="n">
        <f aca="false">SUM(U4:U199)</f>
        <v>0</v>
      </c>
    </row>
    <row r="2" s="181" customFormat="true" ht="13.5" hidden="false" customHeight="true" outlineLevel="0" collapsed="false">
      <c r="A2" s="395" t="n">
        <f aca="false">U1+PurchasesSep!A2</f>
        <v>0</v>
      </c>
      <c r="B2" s="240" t="s">
        <v>248</v>
      </c>
      <c r="C2" s="379" t="s">
        <v>249</v>
      </c>
      <c r="D2" s="379" t="s">
        <v>250</v>
      </c>
      <c r="E2" s="379" t="s">
        <v>251</v>
      </c>
      <c r="F2" s="207" t="s">
        <v>252</v>
      </c>
      <c r="G2" s="380" t="s">
        <v>253</v>
      </c>
      <c r="H2" s="380"/>
      <c r="I2" s="381" t="n">
        <f aca="false">G1+H1+I1+J1+PurchasesSep!I2</f>
        <v>3480</v>
      </c>
      <c r="J2" s="381"/>
      <c r="K2" s="207" t="s">
        <v>254</v>
      </c>
      <c r="L2" s="207" t="s">
        <v>255</v>
      </c>
      <c r="M2" s="207" t="s">
        <v>256</v>
      </c>
      <c r="N2" s="207" t="s">
        <v>288</v>
      </c>
      <c r="O2" s="207" t="s">
        <v>258</v>
      </c>
      <c r="P2" s="207" t="s">
        <v>259</v>
      </c>
      <c r="Q2" s="207" t="s">
        <v>260</v>
      </c>
      <c r="R2" s="207" t="s">
        <v>261</v>
      </c>
      <c r="S2" s="382" t="s">
        <v>262</v>
      </c>
      <c r="T2" s="383" t="str">
        <f aca="false">IF(T1&gt;'Fixed Assets'!$D$74,"ENTER VEHICLE CHANGES        on Fixed Asset schedule","Motor Vehicles: make, model, date reg. and reg. Mark")</f>
        <v>ENTER VEHICLE CHANGES        on Fixed Asset schedule</v>
      </c>
      <c r="U2" s="382" t="s">
        <v>116</v>
      </c>
    </row>
    <row r="3" s="385" customFormat="true" ht="45" hidden="false" customHeight="true" outlineLevel="0" collapsed="false">
      <c r="A3" s="384" t="s">
        <v>263</v>
      </c>
      <c r="B3" s="207" t="s">
        <v>264</v>
      </c>
      <c r="C3" s="379"/>
      <c r="D3" s="379"/>
      <c r="E3" s="379"/>
      <c r="F3" s="379"/>
      <c r="G3" s="207" t="s">
        <v>111</v>
      </c>
      <c r="H3" s="207" t="s">
        <v>265</v>
      </c>
      <c r="I3" s="207" t="s">
        <v>113</v>
      </c>
      <c r="J3" s="207" t="s">
        <v>114</v>
      </c>
      <c r="K3" s="207"/>
      <c r="L3" s="207"/>
      <c r="M3" s="207"/>
      <c r="N3" s="207"/>
      <c r="O3" s="207"/>
      <c r="P3" s="207"/>
      <c r="Q3" s="207"/>
      <c r="R3" s="207"/>
      <c r="S3" s="382"/>
      <c r="T3" s="383"/>
      <c r="U3" s="382"/>
    </row>
    <row r="4" s="388" customFormat="true" ht="12.75" hidden="false" customHeight="false" outlineLevel="0" collapsed="false">
      <c r="A4" s="386" t="str">
        <f aca="false">IF((E1&lt;&gt;0),Admin!$B$11," ")</f>
        <v> </v>
      </c>
      <c r="B4" s="207"/>
      <c r="C4" s="207"/>
      <c r="D4" s="207"/>
      <c r="E4" s="207"/>
      <c r="F4" s="207"/>
      <c r="G4" s="375" t="s">
        <v>266</v>
      </c>
      <c r="H4" s="375" t="s">
        <v>267</v>
      </c>
      <c r="I4" s="375" t="s">
        <v>268</v>
      </c>
      <c r="J4" s="375" t="s">
        <v>269</v>
      </c>
      <c r="K4" s="375" t="s">
        <v>270</v>
      </c>
      <c r="L4" s="375" t="s">
        <v>271</v>
      </c>
      <c r="M4" s="375" t="s">
        <v>272</v>
      </c>
      <c r="N4" s="375" t="s">
        <v>273</v>
      </c>
      <c r="O4" s="375" t="s">
        <v>274</v>
      </c>
      <c r="P4" s="375" t="s">
        <v>275</v>
      </c>
      <c r="Q4" s="375" t="s">
        <v>276</v>
      </c>
      <c r="R4" s="375" t="s">
        <v>277</v>
      </c>
      <c r="S4" s="387" t="s">
        <v>278</v>
      </c>
      <c r="T4" s="383"/>
      <c r="U4" s="394" t="n">
        <f aca="false">IF((A1&lt;Admin!$F$22),((A1-PurchasesSep!A1)*Admin!$G$21),(A1*Admin!$G$21-(A1-Admin!$F$21)*(Admin!$G$21-Admin!$G$22)-PurchasesSep!A2))</f>
        <v>0</v>
      </c>
    </row>
    <row r="5" s="372" customFormat="true" ht="12.75" hidden="false" customHeight="false" outlineLevel="0" collapsed="false">
      <c r="A5" s="371" t="n">
        <v>46305</v>
      </c>
      <c r="B5" s="389" t="s">
        <v>286</v>
      </c>
      <c r="D5" s="372" t="s">
        <v>287</v>
      </c>
      <c r="F5" s="372" t="n">
        <v>120</v>
      </c>
      <c r="G5" s="181" t="str">
        <f aca="false">IF((D5="d"),F5," ")</f>
        <v> </v>
      </c>
      <c r="H5" s="181" t="str">
        <f aca="false">IF((D5="h"),F5," ")</f>
        <v> </v>
      </c>
      <c r="I5" s="181" t="str">
        <f aca="false">IF((D5="r"),F5," ")</f>
        <v> </v>
      </c>
      <c r="J5" s="181" t="str">
        <f aca="false">IF((D5="t"),F5," ")</f>
        <v> </v>
      </c>
      <c r="K5" s="181" t="str">
        <f aca="false">IF((D5="e"),F5," ")</f>
        <v> </v>
      </c>
      <c r="L5" s="181" t="str">
        <f aca="false">IF((D5="p"),F5," ")</f>
        <v> </v>
      </c>
      <c r="M5" s="181" t="n">
        <f aca="false">IF((D5="g"),F5," ")</f>
        <v>120</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A6" s="371" t="n">
        <v>46310</v>
      </c>
      <c r="B6" s="180" t="s">
        <v>284</v>
      </c>
      <c r="D6" s="372" t="s">
        <v>285</v>
      </c>
      <c r="F6" s="373" t="n">
        <v>300</v>
      </c>
      <c r="G6" s="181" t="n">
        <f aca="false">IF((D6="d"),F6," ")</f>
        <v>300</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2"/>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2"/>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2"/>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2"/>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2"/>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2"/>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2"/>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2"/>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2"/>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2"/>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2"/>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2"/>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2"/>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2"/>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2"/>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2"/>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2"/>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2"/>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2"/>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2"/>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2"/>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2"/>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2"/>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2"/>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2"/>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2"/>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2"/>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2"/>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2"/>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2"/>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2"/>
    </row>
    <row r="37" customFormat="false" ht="12.75" hidden="false" customHeight="false" outlineLevel="0" collapsed="false">
      <c r="D37" s="372"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2"/>
    </row>
    <row r="38" customFormat="false" ht="12.75" hidden="false" customHeight="false" outlineLevel="0" collapsed="false">
      <c r="D38" s="372"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2"/>
    </row>
    <row r="39" customFormat="false" ht="12.75" hidden="false" customHeight="false" outlineLevel="0" collapsed="false">
      <c r="D39" s="372"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2"/>
    </row>
    <row r="40" customFormat="false" ht="12.75" hidden="false" customHeight="false" outlineLevel="0" collapsed="false">
      <c r="D40" s="372"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2"/>
    </row>
    <row r="41" customFormat="false" ht="12.75" hidden="false" customHeight="false" outlineLevel="0" collapsed="false">
      <c r="D41" s="372"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2"/>
    </row>
    <row r="42" customFormat="false" ht="12.75" hidden="false" customHeight="false" outlineLevel="0" collapsed="false">
      <c r="D42" s="372"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2"/>
    </row>
    <row r="43" customFormat="false" ht="12.75" hidden="false" customHeight="false" outlineLevel="0" collapsed="false">
      <c r="D43" s="372"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2"/>
    </row>
    <row r="44" customFormat="false" ht="12.75" hidden="false" customHeight="false" outlineLevel="0" collapsed="false">
      <c r="D44" s="372"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2"/>
    </row>
    <row r="45" customFormat="false" ht="12.75" hidden="false" customHeight="false" outlineLevel="0" collapsed="false">
      <c r="D45" s="372"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2"/>
    </row>
    <row r="46" customFormat="false" ht="12.75" hidden="false" customHeight="false" outlineLevel="0" collapsed="false">
      <c r="D46" s="372"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2"/>
    </row>
    <row r="47" customFormat="false" ht="12.75" hidden="false" customHeight="false" outlineLevel="0" collapsed="false">
      <c r="D47" s="372"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2"/>
    </row>
    <row r="48" customFormat="false" ht="12.75" hidden="false" customHeight="false" outlineLevel="0" collapsed="false">
      <c r="D48" s="372"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2"/>
    </row>
    <row r="49" customFormat="false" ht="12.75" hidden="false" customHeight="false" outlineLevel="0" collapsed="false">
      <c r="D49" s="372"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2"/>
    </row>
    <row r="50" customFormat="false" ht="12.75" hidden="false" customHeight="false" outlineLevel="0" collapsed="false">
      <c r="D50" s="372"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2"/>
    </row>
    <row r="51" customFormat="false" ht="12.75" hidden="false" customHeight="false" outlineLevel="0" collapsed="false">
      <c r="D51" s="372"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2"/>
    </row>
    <row r="52" customFormat="false" ht="12.75" hidden="false" customHeight="false" outlineLevel="0" collapsed="false">
      <c r="D52" s="372"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2"/>
    </row>
    <row r="53" customFormat="false" ht="12.75" hidden="false" customHeight="false" outlineLevel="0" collapsed="false">
      <c r="D53" s="372"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2"/>
    </row>
    <row r="54" customFormat="false" ht="12.75" hidden="false" customHeight="false" outlineLevel="0" collapsed="false">
      <c r="D54" s="372"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2"/>
    </row>
    <row r="55" customFormat="false" ht="12.75" hidden="false" customHeight="false" outlineLevel="0" collapsed="false">
      <c r="D55" s="372"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2"/>
    </row>
    <row r="56" customFormat="false" ht="12.75" hidden="false" customHeight="false" outlineLevel="0" collapsed="false">
      <c r="D56" s="372"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2"/>
    </row>
    <row r="57" customFormat="false" ht="12.75" hidden="false" customHeight="false" outlineLevel="0" collapsed="false">
      <c r="D57" s="372"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2"/>
    </row>
    <row r="58" customFormat="false" ht="12.75" hidden="false" customHeight="false" outlineLevel="0" collapsed="false">
      <c r="D58" s="372"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2"/>
    </row>
    <row r="59" customFormat="false" ht="12.75" hidden="false" customHeight="false" outlineLevel="0" collapsed="false">
      <c r="D59" s="372"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2"/>
    </row>
    <row r="60" customFormat="false" ht="12.75" hidden="false" customHeight="false" outlineLevel="0" collapsed="false">
      <c r="D60" s="372"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2"/>
    </row>
    <row r="61" customFormat="false" ht="12.75" hidden="false" customHeight="false" outlineLevel="0" collapsed="false">
      <c r="D61" s="372"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2"/>
    </row>
    <row r="62" customFormat="false" ht="12.75" hidden="false" customHeight="false" outlineLevel="0" collapsed="false">
      <c r="D62" s="372"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2"/>
    </row>
    <row r="63" customFormat="false" ht="12.75" hidden="false" customHeight="false" outlineLevel="0" collapsed="false">
      <c r="D63" s="372"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2"/>
    </row>
    <row r="64" customFormat="false" ht="12.75" hidden="false" customHeight="false" outlineLevel="0" collapsed="false">
      <c r="D64" s="372"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2"/>
    </row>
    <row r="65" customFormat="false" ht="12.75" hidden="false" customHeight="false" outlineLevel="0" collapsed="false">
      <c r="D65" s="372"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2"/>
    </row>
    <row r="66" customFormat="false" ht="12.75" hidden="false" customHeight="false" outlineLevel="0" collapsed="false">
      <c r="D66" s="372"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2"/>
    </row>
    <row r="67" customFormat="false" ht="12.75" hidden="false" customHeight="false" outlineLevel="0" collapsed="false">
      <c r="D67" s="372"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2"/>
    </row>
    <row r="68" customFormat="false" ht="12.75" hidden="false" customHeight="false" outlineLevel="0" collapsed="false">
      <c r="D68" s="372"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2"/>
    </row>
    <row r="69" customFormat="false" ht="12.75" hidden="false" customHeight="false" outlineLevel="0" collapsed="false">
      <c r="D69" s="372"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2"/>
    </row>
    <row r="70" customFormat="false" ht="12.75" hidden="false" customHeight="false" outlineLevel="0" collapsed="false">
      <c r="D70" s="372"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2"/>
    </row>
    <row r="71" customFormat="false" ht="12.75" hidden="false" customHeight="false" outlineLevel="0" collapsed="false">
      <c r="D71" s="372"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2"/>
    </row>
    <row r="72" customFormat="false" ht="12.75" hidden="false" customHeight="false" outlineLevel="0" collapsed="false">
      <c r="D72" s="372"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2"/>
    </row>
    <row r="73" customFormat="false" ht="12.75" hidden="false" customHeight="false" outlineLevel="0" collapsed="false">
      <c r="D73" s="372"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2"/>
    </row>
    <row r="74" customFormat="false" ht="12.75" hidden="false" customHeight="false" outlineLevel="0" collapsed="false">
      <c r="D74" s="372"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2"/>
    </row>
    <row r="75" customFormat="false" ht="12.75" hidden="false" customHeight="false" outlineLevel="0" collapsed="false">
      <c r="D75" s="372"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2"/>
    </row>
    <row r="76" customFormat="false" ht="12.75" hidden="false" customHeight="false" outlineLevel="0" collapsed="false">
      <c r="D76" s="372"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2"/>
    </row>
    <row r="77" customFormat="false" ht="12.75" hidden="false" customHeight="false" outlineLevel="0" collapsed="false">
      <c r="D77" s="372"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2"/>
    </row>
    <row r="78" customFormat="false" ht="12.75" hidden="false" customHeight="false" outlineLevel="0" collapsed="false">
      <c r="D78" s="372"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2"/>
    </row>
    <row r="79" customFormat="false" ht="12.75" hidden="false" customHeight="false" outlineLevel="0" collapsed="false">
      <c r="D79" s="372"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2"/>
    </row>
    <row r="80" customFormat="false" ht="12.75" hidden="false" customHeight="false" outlineLevel="0" collapsed="false">
      <c r="D80" s="372"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2"/>
    </row>
    <row r="81" customFormat="false" ht="12.75" hidden="false" customHeight="false" outlineLevel="0" collapsed="false">
      <c r="D81" s="372"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2"/>
    </row>
    <row r="82" customFormat="false" ht="12.75" hidden="false" customHeight="false" outlineLevel="0" collapsed="false">
      <c r="D82" s="372"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2"/>
    </row>
    <row r="83" customFormat="false" ht="12.75" hidden="false" customHeight="false" outlineLevel="0" collapsed="false">
      <c r="D83" s="372"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2"/>
    </row>
    <row r="84" customFormat="false" ht="12.75" hidden="false" customHeight="false" outlineLevel="0" collapsed="false">
      <c r="D84" s="372"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2"/>
    </row>
    <row r="85" customFormat="false" ht="12.75" hidden="false" customHeight="false" outlineLevel="0" collapsed="false">
      <c r="D85" s="372"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2"/>
    </row>
    <row r="86" customFormat="false" ht="12.75" hidden="false" customHeight="false" outlineLevel="0" collapsed="false">
      <c r="D86" s="372"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2"/>
    </row>
    <row r="87" customFormat="false" ht="12.75" hidden="false" customHeight="false" outlineLevel="0" collapsed="false">
      <c r="D87" s="372"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2"/>
    </row>
    <row r="88" customFormat="false" ht="12.75" hidden="false" customHeight="false" outlineLevel="0" collapsed="false">
      <c r="D88" s="372"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2"/>
    </row>
    <row r="89" customFormat="false" ht="12.75" hidden="false" customHeight="false" outlineLevel="0" collapsed="false">
      <c r="D89" s="372"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2"/>
    </row>
    <row r="90" customFormat="false" ht="12.75" hidden="false" customHeight="false" outlineLevel="0" collapsed="false">
      <c r="D90" s="372"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2"/>
    </row>
    <row r="91" customFormat="false" ht="12.75" hidden="false" customHeight="false" outlineLevel="0" collapsed="false">
      <c r="D91" s="372"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2"/>
    </row>
    <row r="92" customFormat="false" ht="12.75" hidden="false" customHeight="false" outlineLevel="0" collapsed="false">
      <c r="D92" s="372"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2"/>
    </row>
    <row r="93" customFormat="false" ht="12.75" hidden="false" customHeight="false" outlineLevel="0" collapsed="false">
      <c r="D93" s="372"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2"/>
    </row>
    <row r="94" customFormat="false" ht="12.75" hidden="false" customHeight="false" outlineLevel="0" collapsed="false">
      <c r="D94" s="372"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2"/>
    </row>
    <row r="95" customFormat="false" ht="12.75" hidden="false" customHeight="false" outlineLevel="0" collapsed="false">
      <c r="D95" s="372"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2"/>
    </row>
    <row r="96" customFormat="false" ht="12.75" hidden="false" customHeight="false" outlineLevel="0" collapsed="false">
      <c r="D96" s="372"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2"/>
    </row>
    <row r="97" customFormat="false" ht="12.75" hidden="false" customHeight="false" outlineLevel="0" collapsed="false">
      <c r="D97" s="372"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2"/>
    </row>
    <row r="98" customFormat="false" ht="12.75" hidden="false" customHeight="false" outlineLevel="0" collapsed="false">
      <c r="D98" s="372"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2"/>
    </row>
    <row r="99" customFormat="false" ht="12.75" hidden="false" customHeight="false" outlineLevel="0" collapsed="false">
      <c r="D99" s="372"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2"/>
    </row>
    <row r="100" customFormat="false" ht="12.75" hidden="false" customHeight="false" outlineLevel="0" collapsed="false">
      <c r="D100" s="372"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2"/>
    </row>
    <row r="101" customFormat="false" ht="12.75" hidden="false" customHeight="false" outlineLevel="0" collapsed="false">
      <c r="D101" s="372"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2"/>
    </row>
    <row r="102" customFormat="false" ht="12.75" hidden="false" customHeight="false" outlineLevel="0" collapsed="false">
      <c r="D102" s="372"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2"/>
    </row>
    <row r="103" customFormat="false" ht="12.75" hidden="false" customHeight="false" outlineLevel="0" collapsed="false">
      <c r="D103" s="372"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2"/>
    </row>
    <row r="104" customFormat="false" ht="12.75" hidden="false" customHeight="false" outlineLevel="0" collapsed="false">
      <c r="D104" s="372"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2"/>
    </row>
    <row r="105" customFormat="false" ht="12.75" hidden="false" customHeight="false" outlineLevel="0" collapsed="false">
      <c r="D105" s="372"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2"/>
    </row>
    <row r="106" customFormat="false" ht="12.75" hidden="false" customHeight="false" outlineLevel="0" collapsed="false">
      <c r="D106" s="372"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2"/>
    </row>
    <row r="107" customFormat="false" ht="12.75" hidden="false" customHeight="false" outlineLevel="0" collapsed="false">
      <c r="D107" s="372"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2"/>
    </row>
    <row r="108" customFormat="false" ht="12.75" hidden="false" customHeight="false" outlineLevel="0" collapsed="false">
      <c r="D108" s="372"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2"/>
    </row>
    <row r="109" customFormat="false" ht="12.75" hidden="false" customHeight="false" outlineLevel="0" collapsed="false">
      <c r="D109" s="372"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2"/>
    </row>
    <row r="110" customFormat="false" ht="12.75" hidden="false" customHeight="false" outlineLevel="0" collapsed="false">
      <c r="D110" s="372"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2"/>
    </row>
    <row r="111" customFormat="false" ht="12.75" hidden="false" customHeight="false" outlineLevel="0" collapsed="false">
      <c r="D111" s="372"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2"/>
    </row>
    <row r="112" customFormat="false" ht="12.75" hidden="false" customHeight="false" outlineLevel="0" collapsed="false">
      <c r="D112" s="372"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2"/>
    </row>
    <row r="113" customFormat="false" ht="12.75" hidden="false" customHeight="false" outlineLevel="0" collapsed="false">
      <c r="D113" s="372"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2"/>
    </row>
    <row r="114" customFormat="false" ht="12.75" hidden="false" customHeight="false" outlineLevel="0" collapsed="false">
      <c r="D114" s="372"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2"/>
    </row>
    <row r="115" customFormat="false" ht="12.75" hidden="false" customHeight="false" outlineLevel="0" collapsed="false">
      <c r="D115" s="372"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2"/>
    </row>
    <row r="116" customFormat="false" ht="12.75" hidden="false" customHeight="false" outlineLevel="0" collapsed="false">
      <c r="D116" s="372"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2"/>
    </row>
    <row r="117" customFormat="false" ht="12.75" hidden="false" customHeight="false" outlineLevel="0" collapsed="false">
      <c r="D117" s="372"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2"/>
    </row>
    <row r="118" customFormat="false" ht="12.75" hidden="false" customHeight="false" outlineLevel="0" collapsed="false">
      <c r="D118" s="372"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2"/>
    </row>
    <row r="119" customFormat="false" ht="12.75" hidden="false" customHeight="false" outlineLevel="0" collapsed="false">
      <c r="D119" s="372"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2"/>
    </row>
    <row r="120" customFormat="false" ht="12.75" hidden="false" customHeight="false" outlineLevel="0" collapsed="false">
      <c r="D120" s="372"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2"/>
    </row>
    <row r="121" customFormat="false" ht="12.75" hidden="false" customHeight="false" outlineLevel="0" collapsed="false">
      <c r="D121" s="372"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2"/>
    </row>
    <row r="122" customFormat="false" ht="12.75" hidden="false" customHeight="false" outlineLevel="0" collapsed="false">
      <c r="D122" s="372"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2"/>
    </row>
    <row r="123" customFormat="false" ht="12.75" hidden="false" customHeight="false" outlineLevel="0" collapsed="false">
      <c r="D123" s="372"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2"/>
    </row>
    <row r="124" customFormat="false" ht="12.75" hidden="false" customHeight="false" outlineLevel="0" collapsed="false">
      <c r="D124" s="372"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2"/>
    </row>
    <row r="125" customFormat="false" ht="12.75" hidden="false" customHeight="false" outlineLevel="0" collapsed="false">
      <c r="D125" s="372"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2"/>
    </row>
    <row r="126" customFormat="false" ht="12.75" hidden="false" customHeight="false" outlineLevel="0" collapsed="false">
      <c r="D126" s="372"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2"/>
    </row>
    <row r="127" customFormat="false" ht="12.75" hidden="false" customHeight="false" outlineLevel="0" collapsed="false">
      <c r="D127" s="372"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2"/>
    </row>
    <row r="128" customFormat="false" ht="12.75" hidden="false" customHeight="false" outlineLevel="0" collapsed="false">
      <c r="D128" s="372"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2"/>
    </row>
    <row r="129" customFormat="false" ht="12.75" hidden="false" customHeight="false" outlineLevel="0" collapsed="false">
      <c r="D129" s="372"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2"/>
    </row>
    <row r="130" customFormat="false" ht="12.75" hidden="false" customHeight="false" outlineLevel="0" collapsed="false">
      <c r="D130" s="372"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2"/>
    </row>
    <row r="131" customFormat="false" ht="12.75" hidden="false" customHeight="false" outlineLevel="0" collapsed="false">
      <c r="D131" s="372"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2"/>
    </row>
    <row r="132" customFormat="false" ht="12.75" hidden="false" customHeight="false" outlineLevel="0" collapsed="false">
      <c r="D132" s="372"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2"/>
    </row>
    <row r="133" customFormat="false" ht="12.75" hidden="false" customHeight="false" outlineLevel="0" collapsed="false">
      <c r="D133" s="372"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2"/>
    </row>
    <row r="134" customFormat="false" ht="12.75" hidden="false" customHeight="false" outlineLevel="0" collapsed="false">
      <c r="D134" s="372"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2"/>
    </row>
    <row r="135" customFormat="false" ht="12.75" hidden="false" customHeight="false" outlineLevel="0" collapsed="false">
      <c r="D135" s="372"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2"/>
    </row>
    <row r="136" customFormat="false" ht="12.75" hidden="false" customHeight="false" outlineLevel="0" collapsed="false">
      <c r="D136" s="372"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2"/>
    </row>
    <row r="137" customFormat="false" ht="12.75" hidden="false" customHeight="false" outlineLevel="0" collapsed="false">
      <c r="D137" s="372"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2"/>
    </row>
    <row r="138" customFormat="false" ht="12.75" hidden="false" customHeight="false" outlineLevel="0" collapsed="false">
      <c r="D138" s="372"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2"/>
    </row>
    <row r="139" customFormat="false" ht="12.75" hidden="false" customHeight="false" outlineLevel="0" collapsed="false">
      <c r="D139" s="372"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2"/>
    </row>
    <row r="140" customFormat="false" ht="12.75" hidden="false" customHeight="false" outlineLevel="0" collapsed="false">
      <c r="D140" s="372"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2"/>
    </row>
    <row r="141" customFormat="false" ht="12.75" hidden="false" customHeight="false" outlineLevel="0" collapsed="false">
      <c r="D141" s="372"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2"/>
    </row>
    <row r="142" customFormat="false" ht="12.75" hidden="false" customHeight="false" outlineLevel="0" collapsed="false">
      <c r="D142" s="372"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2"/>
    </row>
    <row r="143" customFormat="false" ht="12.75" hidden="false" customHeight="false" outlineLevel="0" collapsed="false">
      <c r="D143" s="372"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2"/>
    </row>
    <row r="144" customFormat="false" ht="12.75" hidden="false" customHeight="false" outlineLevel="0" collapsed="false">
      <c r="D144" s="372"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2"/>
    </row>
    <row r="145" customFormat="false" ht="12.75" hidden="false" customHeight="false" outlineLevel="0" collapsed="false">
      <c r="D145" s="372"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2"/>
    </row>
    <row r="146" customFormat="false" ht="12.75" hidden="false" customHeight="false" outlineLevel="0" collapsed="false">
      <c r="D146" s="372"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2"/>
    </row>
    <row r="147" customFormat="false" ht="12.75" hidden="false" customHeight="false" outlineLevel="0" collapsed="false">
      <c r="D147" s="372"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2"/>
    </row>
    <row r="148" customFormat="false" ht="12.75" hidden="false" customHeight="false" outlineLevel="0" collapsed="false">
      <c r="D148" s="372"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2"/>
    </row>
    <row r="149" customFormat="false" ht="12.75" hidden="false" customHeight="false" outlineLevel="0" collapsed="false">
      <c r="D149" s="372"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2"/>
    </row>
    <row r="150" customFormat="false" ht="12.75" hidden="false" customHeight="false" outlineLevel="0" collapsed="false">
      <c r="D150" s="372"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2"/>
    </row>
    <row r="151" customFormat="false" ht="12.75" hidden="false" customHeight="false" outlineLevel="0" collapsed="false">
      <c r="D151" s="372"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2"/>
    </row>
    <row r="152" customFormat="false" ht="12.75" hidden="false" customHeight="false" outlineLevel="0" collapsed="false">
      <c r="D152" s="372"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2"/>
    </row>
    <row r="153" customFormat="false" ht="12.75" hidden="false" customHeight="false" outlineLevel="0" collapsed="false">
      <c r="D153" s="372"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2"/>
    </row>
    <row r="154" customFormat="false" ht="12.75" hidden="false" customHeight="false" outlineLevel="0" collapsed="false">
      <c r="D154" s="372"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2"/>
    </row>
    <row r="155" customFormat="false" ht="12.75" hidden="false" customHeight="false" outlineLevel="0" collapsed="false">
      <c r="D155" s="372"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2"/>
    </row>
    <row r="156" customFormat="false" ht="12.75" hidden="false" customHeight="false" outlineLevel="0" collapsed="false">
      <c r="D156" s="372"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2"/>
    </row>
    <row r="157" customFormat="false" ht="12.75" hidden="false" customHeight="false" outlineLevel="0" collapsed="false">
      <c r="D157" s="372"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2"/>
    </row>
    <row r="158" customFormat="false" ht="12.75" hidden="false" customHeight="false" outlineLevel="0" collapsed="false">
      <c r="D158" s="372"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2"/>
    </row>
    <row r="159" customFormat="false" ht="12.75" hidden="false" customHeight="false" outlineLevel="0" collapsed="false">
      <c r="D159" s="372"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2"/>
    </row>
    <row r="160" customFormat="false" ht="12.75" hidden="false" customHeight="false" outlineLevel="0" collapsed="false">
      <c r="D160" s="372"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2"/>
    </row>
    <row r="161" customFormat="false" ht="12.75" hidden="false" customHeight="false" outlineLevel="0" collapsed="false">
      <c r="D161" s="372"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2"/>
    </row>
    <row r="162" customFormat="false" ht="12.75" hidden="false" customHeight="false" outlineLevel="0" collapsed="false">
      <c r="D162" s="372"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2"/>
    </row>
    <row r="163" customFormat="false" ht="12.75" hidden="false" customHeight="false" outlineLevel="0" collapsed="false">
      <c r="D163" s="372"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2"/>
    </row>
    <row r="164" customFormat="false" ht="12.75" hidden="false" customHeight="false" outlineLevel="0" collapsed="false">
      <c r="D164" s="372"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2"/>
    </row>
    <row r="165" customFormat="false" ht="12.75" hidden="false" customHeight="false" outlineLevel="0" collapsed="false">
      <c r="D165" s="372"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2"/>
    </row>
    <row r="166" customFormat="false" ht="12.75" hidden="false" customHeight="false" outlineLevel="0" collapsed="false">
      <c r="D166" s="372"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2"/>
    </row>
    <row r="167" customFormat="false" ht="12.75" hidden="false" customHeight="false" outlineLevel="0" collapsed="false">
      <c r="D167" s="372"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2"/>
    </row>
    <row r="168" customFormat="false" ht="12.75" hidden="false" customHeight="false" outlineLevel="0" collapsed="false">
      <c r="D168" s="372"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2"/>
    </row>
    <row r="169" customFormat="false" ht="12.75" hidden="false" customHeight="false" outlineLevel="0" collapsed="false">
      <c r="D169" s="372"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2"/>
    </row>
    <row r="170" customFormat="false" ht="12.75" hidden="false" customHeight="false" outlineLevel="0" collapsed="false">
      <c r="D170" s="372"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2"/>
    </row>
    <row r="171" customFormat="false" ht="12.75" hidden="false" customHeight="false" outlineLevel="0" collapsed="false">
      <c r="D171" s="372"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2"/>
    </row>
    <row r="172" customFormat="false" ht="12.75" hidden="false" customHeight="false" outlineLevel="0" collapsed="false">
      <c r="D172" s="372"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2"/>
    </row>
    <row r="173" customFormat="false" ht="12.75" hidden="false" customHeight="false" outlineLevel="0" collapsed="false">
      <c r="D173" s="372"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2"/>
    </row>
    <row r="174" customFormat="false" ht="12.75" hidden="false" customHeight="false" outlineLevel="0" collapsed="false">
      <c r="D174" s="372"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2"/>
    </row>
    <row r="175" customFormat="false" ht="12.75" hidden="false" customHeight="false" outlineLevel="0" collapsed="false">
      <c r="D175" s="372"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2"/>
    </row>
    <row r="176" customFormat="false" ht="12.75" hidden="false" customHeight="false" outlineLevel="0" collapsed="false">
      <c r="D176" s="372"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2"/>
    </row>
    <row r="177" customFormat="false" ht="12.75" hidden="false" customHeight="false" outlineLevel="0" collapsed="false">
      <c r="D177" s="372"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2"/>
    </row>
    <row r="178" customFormat="false" ht="12.75" hidden="false" customHeight="false" outlineLevel="0" collapsed="false">
      <c r="D178" s="372"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2"/>
    </row>
    <row r="179" customFormat="false" ht="12.75" hidden="false" customHeight="false" outlineLevel="0" collapsed="false">
      <c r="D179" s="372"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2"/>
    </row>
    <row r="180" customFormat="false" ht="12.75" hidden="false" customHeight="false" outlineLevel="0" collapsed="false">
      <c r="D180" s="372"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2"/>
    </row>
    <row r="181" customFormat="false" ht="12.75" hidden="false" customHeight="false" outlineLevel="0" collapsed="false">
      <c r="D181" s="372"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2"/>
    </row>
    <row r="182" customFormat="false" ht="12.75" hidden="false" customHeight="false" outlineLevel="0" collapsed="false">
      <c r="D182" s="372"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2"/>
    </row>
    <row r="183" customFormat="false" ht="12.75" hidden="false" customHeight="false" outlineLevel="0" collapsed="false">
      <c r="D183" s="372"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2"/>
    </row>
    <row r="184" customFormat="false" ht="12.75" hidden="false" customHeight="false" outlineLevel="0" collapsed="false">
      <c r="D184" s="372"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2"/>
    </row>
    <row r="185" customFormat="false" ht="12.75" hidden="false" customHeight="false" outlineLevel="0" collapsed="false">
      <c r="D185" s="372"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2"/>
    </row>
    <row r="186" customFormat="false" ht="12.75" hidden="false" customHeight="false" outlineLevel="0" collapsed="false">
      <c r="D186" s="372"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2"/>
    </row>
    <row r="187" customFormat="false" ht="12.75" hidden="false" customHeight="false" outlineLevel="0" collapsed="false">
      <c r="D187" s="372"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2"/>
    </row>
    <row r="188" customFormat="false" ht="12.75" hidden="false" customHeight="false" outlineLevel="0" collapsed="false">
      <c r="D188" s="372"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2"/>
    </row>
    <row r="189" customFormat="false" ht="12.75" hidden="false" customHeight="false" outlineLevel="0" collapsed="false">
      <c r="D189" s="372"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2"/>
    </row>
    <row r="190" customFormat="false" ht="12.75" hidden="false" customHeight="false" outlineLevel="0" collapsed="false">
      <c r="D190" s="372"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2"/>
    </row>
    <row r="191" customFormat="false" ht="12.75" hidden="false" customHeight="false" outlineLevel="0" collapsed="false">
      <c r="D191" s="372"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2"/>
    </row>
    <row r="192" customFormat="false" ht="12.75" hidden="false" customHeight="false" outlineLevel="0" collapsed="false">
      <c r="D192" s="372"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2"/>
    </row>
    <row r="193" customFormat="false" ht="12.75" hidden="false" customHeight="false" outlineLevel="0" collapsed="false">
      <c r="D193" s="372"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2"/>
    </row>
    <row r="194" customFormat="false" ht="12.75" hidden="false" customHeight="false" outlineLevel="0" collapsed="false">
      <c r="D194" s="372"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2"/>
    </row>
    <row r="195" customFormat="false" ht="12.75" hidden="false" customHeight="false" outlineLevel="0" collapsed="false">
      <c r="D195" s="372"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2"/>
    </row>
    <row r="196" customFormat="false" ht="12.75" hidden="false" customHeight="false" outlineLevel="0" collapsed="false">
      <c r="D196" s="372"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2"/>
    </row>
    <row r="197" customFormat="false" ht="12.75" hidden="false" customHeight="false" outlineLevel="0" collapsed="false">
      <c r="D197" s="372"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2"/>
    </row>
    <row r="198" customFormat="false" ht="12.75" hidden="false" customHeight="false" outlineLevel="0" collapsed="false">
      <c r="D198" s="372"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2"/>
    </row>
    <row r="199" customFormat="false" ht="12.75" hidden="false" customHeight="false" outlineLevel="0" collapsed="false">
      <c r="D199" s="372"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2"/>
    </row>
    <row r="200" customFormat="false" ht="12.75" hidden="false" customHeight="false" outlineLevel="0" collapsed="false">
      <c r="D200" s="372"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2"/>
    </row>
    <row r="201" customFormat="false" ht="12.75" hidden="false" customHeight="false" outlineLevel="0" collapsed="false">
      <c r="D201" s="372"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2"/>
    </row>
    <row r="202" customFormat="false" ht="12.75" hidden="false" customHeight="false" outlineLevel="0" collapsed="false">
      <c r="D202" s="372"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2"/>
    </row>
    <row r="203" customFormat="false" ht="12.75" hidden="false" customHeight="false" outlineLevel="0" collapsed="false">
      <c r="D203" s="372"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2"/>
    </row>
    <row r="204" customFormat="false" ht="12.75" hidden="false" customHeight="false" outlineLevel="0" collapsed="false">
      <c r="D204" s="372"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2"/>
    </row>
    <row r="205" customFormat="false" ht="12.75" hidden="false" customHeight="false" outlineLevel="0" collapsed="false">
      <c r="U205" s="372"/>
    </row>
    <row r="206" customFormat="false" ht="12.75" hidden="false" customHeight="false" outlineLevel="0" collapsed="false">
      <c r="U206" s="372"/>
    </row>
    <row r="207" customFormat="false" ht="12.75" hidden="false" customHeight="false" outlineLevel="0" collapsed="false">
      <c r="U207" s="372"/>
    </row>
    <row r="208" customFormat="false" ht="12.75" hidden="false" customHeight="false" outlineLevel="0" collapsed="false">
      <c r="U208" s="372"/>
    </row>
    <row r="209" customFormat="false" ht="12.75" hidden="false" customHeight="false" outlineLevel="0" collapsed="false">
      <c r="U209" s="372"/>
    </row>
    <row r="210" customFormat="false" ht="12.75" hidden="false" customHeight="false" outlineLevel="0" collapsed="false">
      <c r="U210" s="372"/>
    </row>
    <row r="211" customFormat="false" ht="12.75" hidden="false" customHeight="false" outlineLevel="0" collapsed="false">
      <c r="U211" s="372"/>
    </row>
    <row r="212" customFormat="false" ht="12.75" hidden="false" customHeight="false" outlineLevel="0" collapsed="false">
      <c r="U212" s="372"/>
    </row>
    <row r="213" customFormat="false" ht="12.75" hidden="false" customHeight="false" outlineLevel="0" collapsed="false">
      <c r="U213" s="372"/>
    </row>
    <row r="214" customFormat="false" ht="12.75" hidden="false" customHeight="false" outlineLevel="0" collapsed="false">
      <c r="U214" s="372"/>
    </row>
    <row r="215" customFormat="false" ht="12.75" hidden="false" customHeight="false" outlineLevel="0" collapsed="false">
      <c r="U215" s="372"/>
    </row>
    <row r="216" customFormat="false" ht="12.75" hidden="false" customHeight="false" outlineLevel="0" collapsed="false">
      <c r="U216" s="372"/>
    </row>
    <row r="217" customFormat="false" ht="12.75" hidden="false" customHeight="false" outlineLevel="0" collapsed="false">
      <c r="U217" s="372"/>
    </row>
    <row r="218" customFormat="false" ht="12.75" hidden="false" customHeight="false" outlineLevel="0" collapsed="false">
      <c r="U218" s="372"/>
    </row>
    <row r="219" customFormat="false" ht="12.75" hidden="false" customHeight="false" outlineLevel="0" collapsed="false">
      <c r="U219" s="372"/>
    </row>
    <row r="220" customFormat="false" ht="12.75" hidden="false" customHeight="false" outlineLevel="0" collapsed="false">
      <c r="U220" s="372"/>
    </row>
    <row r="221" customFormat="false" ht="12.75" hidden="false" customHeight="false" outlineLevel="0" collapsed="false">
      <c r="U221" s="372"/>
    </row>
    <row r="222" customFormat="false" ht="12.75" hidden="false" customHeight="false" outlineLevel="0" collapsed="false">
      <c r="U222" s="372"/>
    </row>
    <row r="223" customFormat="false" ht="12.75" hidden="false" customHeight="false" outlineLevel="0" collapsed="false">
      <c r="U223" s="372"/>
    </row>
    <row r="224" customFormat="false" ht="12.75" hidden="false" customHeight="false" outlineLevel="0" collapsed="false">
      <c r="U224" s="372"/>
    </row>
    <row r="225" customFormat="false" ht="12.75" hidden="false" customHeight="false" outlineLevel="0" collapsed="false">
      <c r="U225" s="372"/>
    </row>
    <row r="226" customFormat="false" ht="12.75" hidden="false" customHeight="false" outlineLevel="0" collapsed="false">
      <c r="U226" s="372"/>
    </row>
    <row r="227" customFormat="false" ht="12.75" hidden="false" customHeight="false" outlineLevel="0" collapsed="false">
      <c r="U227" s="372"/>
    </row>
    <row r="228" customFormat="false" ht="12.75" hidden="false" customHeight="false" outlineLevel="0" collapsed="false">
      <c r="U228" s="372"/>
    </row>
    <row r="229" customFormat="false" ht="12.75" hidden="false" customHeight="false" outlineLevel="0" collapsed="false">
      <c r="U229" s="372"/>
    </row>
    <row r="230" customFormat="false" ht="12.75" hidden="false" customHeight="false" outlineLevel="0" collapsed="false">
      <c r="U230" s="372"/>
    </row>
    <row r="231" customFormat="false" ht="12.75" hidden="false" customHeight="false" outlineLevel="0" collapsed="false">
      <c r="U231" s="372"/>
    </row>
    <row r="232" customFormat="false" ht="12.75" hidden="false" customHeight="false" outlineLevel="0" collapsed="false">
      <c r="U232" s="372"/>
    </row>
    <row r="233" customFormat="false" ht="12.75" hidden="false" customHeight="false" outlineLevel="0" collapsed="false">
      <c r="U233" s="372"/>
    </row>
    <row r="234" customFormat="false" ht="12.75" hidden="false" customHeight="false" outlineLevel="0" collapsed="false">
      <c r="U234" s="372"/>
    </row>
    <row r="235" customFormat="false" ht="12.75" hidden="false" customHeight="false" outlineLevel="0" collapsed="false">
      <c r="U235" s="372"/>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5" width="9.66"/>
    <col collapsed="false" customWidth="true" hidden="false" outlineLevel="0" max="2" min="2" style="346" width="14.66"/>
    <col collapsed="false" customWidth="true" hidden="false" outlineLevel="0" max="3" min="3" style="181" width="13.66"/>
    <col collapsed="false" customWidth="true" hidden="false" outlineLevel="0" max="4" min="4" style="347" width="12.66"/>
    <col collapsed="false" customWidth="true" hidden="false" outlineLevel="0" max="5" min="5" style="348" width="12.66"/>
    <col collapsed="false" customWidth="true" hidden="false" outlineLevel="0" max="6" min="6" style="181" width="12.66"/>
    <col collapsed="false" customWidth="false" hidden="false" outlineLevel="0" max="257" min="7" style="181" width="9.15"/>
  </cols>
  <sheetData>
    <row r="1" s="353" customFormat="true" ht="12.75" hidden="false" customHeight="true" outlineLevel="0" collapsed="false">
      <c r="A1" s="349" t="s">
        <v>238</v>
      </c>
      <c r="B1" s="350" t="s">
        <v>239</v>
      </c>
      <c r="C1" s="351" t="s">
        <v>240</v>
      </c>
      <c r="D1" s="352" t="n">
        <f aca="false">SUM(D4:D58)</f>
        <v>0</v>
      </c>
      <c r="E1" s="351" t="n">
        <f aca="false">SUM(E4:E58)/2</f>
        <v>3000</v>
      </c>
      <c r="F1" s="351" t="n">
        <f aca="false">SUM(F4:F58)/2</f>
        <v>0</v>
      </c>
    </row>
    <row r="2" s="353" customFormat="true" ht="12.75" hidden="false" customHeight="true" outlineLevel="0" collapsed="false">
      <c r="A2" s="349"/>
      <c r="B2" s="350"/>
      <c r="C2" s="354" t="s">
        <v>241</v>
      </c>
      <c r="D2" s="355" t="s">
        <v>242</v>
      </c>
      <c r="E2" s="354" t="s">
        <v>243</v>
      </c>
      <c r="F2" s="354" t="s">
        <v>244</v>
      </c>
    </row>
    <row r="3" s="356" customFormat="true" ht="24" hidden="false" customHeight="true" outlineLevel="0" collapsed="false">
      <c r="A3" s="349"/>
      <c r="B3" s="350"/>
      <c r="C3" s="354"/>
      <c r="D3" s="355"/>
      <c r="E3" s="354"/>
      <c r="F3" s="354"/>
    </row>
    <row r="5" customFormat="false" ht="12.75" hidden="false" customHeight="false" outlineLevel="0" collapsed="false">
      <c r="A5" s="357" t="n">
        <v>46321</v>
      </c>
      <c r="B5" s="358" t="n">
        <v>46321</v>
      </c>
      <c r="C5" s="359"/>
      <c r="D5" s="360"/>
      <c r="E5" s="361"/>
      <c r="F5" s="362"/>
    </row>
    <row r="6" customFormat="false" ht="12.75" hidden="false" customHeight="false" outlineLevel="0" collapsed="false">
      <c r="A6" s="363" t="n">
        <v>46322</v>
      </c>
      <c r="B6" s="346" t="n">
        <v>46322</v>
      </c>
      <c r="F6" s="364"/>
    </row>
    <row r="7" customFormat="false" ht="12.75" hidden="false" customHeight="false" outlineLevel="0" collapsed="false">
      <c r="A7" s="363" t="n">
        <v>46323</v>
      </c>
      <c r="B7" s="346" t="n">
        <v>46323</v>
      </c>
      <c r="F7" s="364"/>
    </row>
    <row r="8" customFormat="false" ht="12.75" hidden="false" customHeight="false" outlineLevel="0" collapsed="false">
      <c r="A8" s="363" t="n">
        <v>46324</v>
      </c>
      <c r="B8" s="346" t="n">
        <v>46324</v>
      </c>
      <c r="F8" s="364"/>
    </row>
    <row r="9" customFormat="false" ht="12.75" hidden="false" customHeight="false" outlineLevel="0" collapsed="false">
      <c r="A9" s="363" t="n">
        <v>46325</v>
      </c>
      <c r="B9" s="346" t="n">
        <v>46325</v>
      </c>
      <c r="F9" s="364"/>
    </row>
    <row r="10" customFormat="false" ht="12.75" hidden="false" customHeight="false" outlineLevel="0" collapsed="false">
      <c r="A10" s="363" t="n">
        <v>46326</v>
      </c>
      <c r="B10" s="346" t="n">
        <v>46326</v>
      </c>
      <c r="F10" s="364"/>
    </row>
    <row r="11" customFormat="false" ht="12.75" hidden="false" customHeight="false" outlineLevel="0" collapsed="false">
      <c r="A11" s="363" t="n">
        <v>46327</v>
      </c>
      <c r="B11" s="346" t="n">
        <v>46327</v>
      </c>
      <c r="F11" s="364"/>
    </row>
    <row r="12" customFormat="false" ht="12.75" hidden="false" customHeight="false" outlineLevel="0" collapsed="false">
      <c r="A12" s="363" t="n">
        <v>46327</v>
      </c>
      <c r="B12" s="346" t="s">
        <v>245</v>
      </c>
      <c r="F12" s="364"/>
    </row>
    <row r="13" customFormat="false" ht="12.75" hidden="false" customHeight="false" outlineLevel="0" collapsed="false">
      <c r="A13" s="363" t="n">
        <v>46327</v>
      </c>
      <c r="B13" s="346" t="s">
        <v>246</v>
      </c>
      <c r="F13" s="364"/>
    </row>
    <row r="14" customFormat="false" ht="12.75" hidden="false" customHeight="false" outlineLevel="0" collapsed="false">
      <c r="A14" s="365"/>
      <c r="B14" s="366"/>
      <c r="C14" s="367"/>
      <c r="D14" s="368"/>
      <c r="E14" s="369" t="n">
        <f aca="false">SUM(E5:E13)</f>
        <v>0</v>
      </c>
      <c r="F14" s="370" t="n">
        <f aca="false">SUM(F5:F13)</f>
        <v>0</v>
      </c>
    </row>
    <row r="16" customFormat="false" ht="12.75" hidden="false" customHeight="false" outlineLevel="0" collapsed="false">
      <c r="A16" s="357" t="n">
        <v>46328</v>
      </c>
      <c r="B16" s="358" t="n">
        <v>46328</v>
      </c>
      <c r="C16" s="359"/>
      <c r="D16" s="360"/>
      <c r="E16" s="361"/>
      <c r="F16" s="362"/>
    </row>
    <row r="17" customFormat="false" ht="12.75" hidden="false" customHeight="false" outlineLevel="0" collapsed="false">
      <c r="A17" s="363" t="n">
        <v>46329</v>
      </c>
      <c r="B17" s="346" t="n">
        <v>46329</v>
      </c>
      <c r="E17" s="348" t="n">
        <v>200</v>
      </c>
      <c r="F17" s="364"/>
    </row>
    <row r="18" customFormat="false" ht="12.75" hidden="false" customHeight="false" outlineLevel="0" collapsed="false">
      <c r="A18" s="363" t="n">
        <v>46330</v>
      </c>
      <c r="B18" s="346" t="n">
        <v>46330</v>
      </c>
      <c r="E18" s="348" t="n">
        <v>200</v>
      </c>
      <c r="F18" s="364"/>
    </row>
    <row r="19" customFormat="false" ht="12.75" hidden="false" customHeight="false" outlineLevel="0" collapsed="false">
      <c r="A19" s="363" t="n">
        <v>46331</v>
      </c>
      <c r="B19" s="346" t="n">
        <v>46331</v>
      </c>
      <c r="E19" s="348" t="n">
        <v>200</v>
      </c>
      <c r="F19" s="364"/>
    </row>
    <row r="20" customFormat="false" ht="12.75" hidden="false" customHeight="false" outlineLevel="0" collapsed="false">
      <c r="A20" s="363" t="n">
        <v>46332</v>
      </c>
      <c r="B20" s="346" t="n">
        <v>46332</v>
      </c>
      <c r="E20" s="348" t="n">
        <v>200</v>
      </c>
      <c r="F20" s="364"/>
    </row>
    <row r="21" customFormat="false" ht="12.75" hidden="false" customHeight="false" outlineLevel="0" collapsed="false">
      <c r="A21" s="363" t="n">
        <v>46333</v>
      </c>
      <c r="B21" s="346" t="n">
        <v>46333</v>
      </c>
      <c r="E21" s="348" t="n">
        <v>200</v>
      </c>
      <c r="F21" s="364"/>
    </row>
    <row r="22" customFormat="false" ht="12.75" hidden="false" customHeight="false" outlineLevel="0" collapsed="false">
      <c r="A22" s="363" t="n">
        <v>46334</v>
      </c>
      <c r="B22" s="346" t="n">
        <v>46334</v>
      </c>
      <c r="F22" s="364"/>
    </row>
    <row r="23" customFormat="false" ht="12.75" hidden="false" customHeight="false" outlineLevel="0" collapsed="false">
      <c r="A23" s="363" t="n">
        <v>46334</v>
      </c>
      <c r="B23" s="346" t="s">
        <v>245</v>
      </c>
      <c r="F23" s="364"/>
    </row>
    <row r="24" customFormat="false" ht="12.75" hidden="false" customHeight="false" outlineLevel="0" collapsed="false">
      <c r="A24" s="363" t="n">
        <v>46334</v>
      </c>
      <c r="B24" s="346" t="s">
        <v>246</v>
      </c>
      <c r="F24" s="364"/>
    </row>
    <row r="25" customFormat="false" ht="12.75" hidden="false" customHeight="false" outlineLevel="0" collapsed="false">
      <c r="A25" s="365"/>
      <c r="B25" s="366"/>
      <c r="C25" s="367"/>
      <c r="D25" s="368"/>
      <c r="E25" s="369" t="n">
        <f aca="false">SUM(E16:E24)</f>
        <v>1000</v>
      </c>
      <c r="F25" s="370" t="n">
        <f aca="false">SUM(F16:F24)</f>
        <v>0</v>
      </c>
    </row>
    <row r="27" customFormat="false" ht="12.75" hidden="false" customHeight="false" outlineLevel="0" collapsed="false">
      <c r="A27" s="357" t="n">
        <v>46335</v>
      </c>
      <c r="B27" s="358" t="n">
        <v>46335</v>
      </c>
      <c r="C27" s="359"/>
      <c r="D27" s="360"/>
      <c r="E27" s="361"/>
      <c r="F27" s="362"/>
    </row>
    <row r="28" customFormat="false" ht="12.75" hidden="false" customHeight="false" outlineLevel="0" collapsed="false">
      <c r="A28" s="363" t="n">
        <v>46336</v>
      </c>
      <c r="B28" s="346" t="n">
        <v>46336</v>
      </c>
      <c r="E28" s="348" t="n">
        <v>200</v>
      </c>
      <c r="F28" s="364"/>
    </row>
    <row r="29" customFormat="false" ht="12.75" hidden="false" customHeight="false" outlineLevel="0" collapsed="false">
      <c r="A29" s="363" t="n">
        <v>46337</v>
      </c>
      <c r="B29" s="346" t="n">
        <v>46337</v>
      </c>
      <c r="E29" s="348" t="n">
        <v>200</v>
      </c>
      <c r="F29" s="364"/>
    </row>
    <row r="30" customFormat="false" ht="12.75" hidden="false" customHeight="false" outlineLevel="0" collapsed="false">
      <c r="A30" s="363" t="n">
        <v>46338</v>
      </c>
      <c r="B30" s="346" t="n">
        <v>46338</v>
      </c>
      <c r="E30" s="348" t="n">
        <v>200</v>
      </c>
      <c r="F30" s="364"/>
    </row>
    <row r="31" customFormat="false" ht="12.75" hidden="false" customHeight="false" outlineLevel="0" collapsed="false">
      <c r="A31" s="363" t="n">
        <v>46339</v>
      </c>
      <c r="B31" s="346" t="n">
        <v>46339</v>
      </c>
      <c r="E31" s="348" t="n">
        <v>200</v>
      </c>
      <c r="F31" s="364"/>
    </row>
    <row r="32" customFormat="false" ht="12.75" hidden="false" customHeight="false" outlineLevel="0" collapsed="false">
      <c r="A32" s="363" t="n">
        <v>46340</v>
      </c>
      <c r="B32" s="346" t="n">
        <v>46340</v>
      </c>
      <c r="E32" s="348" t="n">
        <v>200</v>
      </c>
      <c r="F32" s="364"/>
    </row>
    <row r="33" customFormat="false" ht="12.75" hidden="false" customHeight="false" outlineLevel="0" collapsed="false">
      <c r="A33" s="363" t="n">
        <v>46341</v>
      </c>
      <c r="B33" s="346" t="n">
        <v>46341</v>
      </c>
      <c r="F33" s="364"/>
    </row>
    <row r="34" customFormat="false" ht="12.75" hidden="false" customHeight="false" outlineLevel="0" collapsed="false">
      <c r="A34" s="363" t="n">
        <v>46341</v>
      </c>
      <c r="B34" s="346" t="s">
        <v>245</v>
      </c>
      <c r="F34" s="364"/>
    </row>
    <row r="35" customFormat="false" ht="12.75" hidden="false" customHeight="false" outlineLevel="0" collapsed="false">
      <c r="A35" s="363" t="n">
        <v>46341</v>
      </c>
      <c r="B35" s="346" t="s">
        <v>246</v>
      </c>
      <c r="F35" s="364"/>
    </row>
    <row r="36" customFormat="false" ht="12.75" hidden="false" customHeight="false" outlineLevel="0" collapsed="false">
      <c r="A36" s="365"/>
      <c r="B36" s="366"/>
      <c r="C36" s="367"/>
      <c r="D36" s="368"/>
      <c r="E36" s="369" t="n">
        <f aca="false">SUM(E27:E35)</f>
        <v>1000</v>
      </c>
      <c r="F36" s="370" t="n">
        <f aca="false">SUM(F27:F35)</f>
        <v>0</v>
      </c>
    </row>
    <row r="38" customFormat="false" ht="12.75" hidden="false" customHeight="false" outlineLevel="0" collapsed="false">
      <c r="A38" s="357" t="n">
        <v>46342</v>
      </c>
      <c r="B38" s="358" t="n">
        <v>46342</v>
      </c>
      <c r="C38" s="359"/>
      <c r="D38" s="360"/>
      <c r="E38" s="361"/>
      <c r="F38" s="362"/>
    </row>
    <row r="39" customFormat="false" ht="12.75" hidden="false" customHeight="false" outlineLevel="0" collapsed="false">
      <c r="A39" s="363" t="n">
        <v>46343</v>
      </c>
      <c r="B39" s="346" t="n">
        <v>46343</v>
      </c>
      <c r="E39" s="348" t="n">
        <v>200</v>
      </c>
      <c r="F39" s="364"/>
    </row>
    <row r="40" customFormat="false" ht="12.75" hidden="false" customHeight="false" outlineLevel="0" collapsed="false">
      <c r="A40" s="363" t="n">
        <v>46344</v>
      </c>
      <c r="B40" s="346" t="n">
        <v>46344</v>
      </c>
      <c r="E40" s="348" t="n">
        <v>200</v>
      </c>
      <c r="F40" s="364"/>
    </row>
    <row r="41" customFormat="false" ht="12.75" hidden="false" customHeight="false" outlineLevel="0" collapsed="false">
      <c r="A41" s="363" t="n">
        <v>46345</v>
      </c>
      <c r="B41" s="346" t="n">
        <v>46345</v>
      </c>
      <c r="E41" s="348" t="n">
        <v>200</v>
      </c>
      <c r="F41" s="364"/>
    </row>
    <row r="42" customFormat="false" ht="12.75" hidden="false" customHeight="false" outlineLevel="0" collapsed="false">
      <c r="A42" s="363" t="n">
        <v>46346</v>
      </c>
      <c r="B42" s="346" t="n">
        <v>46346</v>
      </c>
      <c r="E42" s="348" t="n">
        <v>200</v>
      </c>
      <c r="F42" s="364"/>
    </row>
    <row r="43" customFormat="false" ht="12.75" hidden="false" customHeight="false" outlineLevel="0" collapsed="false">
      <c r="A43" s="363" t="n">
        <v>46347</v>
      </c>
      <c r="B43" s="346" t="n">
        <v>46347</v>
      </c>
      <c r="E43" s="348" t="n">
        <v>200</v>
      </c>
      <c r="F43" s="364"/>
    </row>
    <row r="44" customFormat="false" ht="12.75" hidden="false" customHeight="false" outlineLevel="0" collapsed="false">
      <c r="A44" s="363" t="n">
        <v>46348</v>
      </c>
      <c r="B44" s="346" t="n">
        <v>46348</v>
      </c>
      <c r="F44" s="364"/>
    </row>
    <row r="45" customFormat="false" ht="12.75" hidden="false" customHeight="false" outlineLevel="0" collapsed="false">
      <c r="A45" s="363" t="n">
        <v>46348</v>
      </c>
      <c r="B45" s="346" t="s">
        <v>245</v>
      </c>
      <c r="F45" s="364"/>
    </row>
    <row r="46" customFormat="false" ht="12.75" hidden="false" customHeight="false" outlineLevel="0" collapsed="false">
      <c r="A46" s="363" t="n">
        <v>46348</v>
      </c>
      <c r="B46" s="346" t="s">
        <v>246</v>
      </c>
      <c r="F46" s="364"/>
    </row>
    <row r="47" customFormat="false" ht="12.75" hidden="false" customHeight="false" outlineLevel="0" collapsed="false">
      <c r="A47" s="365"/>
      <c r="B47" s="366"/>
      <c r="C47" s="367"/>
      <c r="D47" s="368"/>
      <c r="E47" s="369" t="n">
        <f aca="false">SUM(E38:E46)</f>
        <v>1000</v>
      </c>
      <c r="F47" s="370" t="n">
        <f aca="false">SUM(F38:F46)</f>
        <v>0</v>
      </c>
    </row>
    <row r="49" customFormat="false" ht="12.75" hidden="false" customHeight="false" outlineLevel="0" collapsed="false">
      <c r="A49" s="357" t="n">
        <v>46349</v>
      </c>
      <c r="B49" s="358" t="n">
        <v>46349</v>
      </c>
      <c r="C49" s="359"/>
      <c r="D49" s="360"/>
      <c r="E49" s="361"/>
      <c r="F49" s="362"/>
    </row>
    <row r="50" customFormat="false" ht="12.75" hidden="false" customHeight="false" outlineLevel="0" collapsed="false">
      <c r="A50" s="363" t="n">
        <v>46350</v>
      </c>
      <c r="B50" s="346" t="n">
        <v>46350</v>
      </c>
      <c r="F50" s="364"/>
    </row>
    <row r="51" customFormat="false" ht="12.75" hidden="false" customHeight="false" outlineLevel="0" collapsed="false">
      <c r="A51" s="363" t="n">
        <v>46351</v>
      </c>
      <c r="B51" s="346" t="n">
        <v>46351</v>
      </c>
      <c r="F51" s="364"/>
    </row>
    <row r="52" customFormat="false" ht="12.75" hidden="false" customHeight="false" outlineLevel="0" collapsed="false">
      <c r="A52" s="363" t="n">
        <v>46352</v>
      </c>
      <c r="B52" s="346" t="n">
        <v>46352</v>
      </c>
      <c r="F52" s="364"/>
    </row>
    <row r="53" customFormat="false" ht="12.75" hidden="false" customHeight="false" outlineLevel="0" collapsed="false">
      <c r="A53" s="363" t="n">
        <v>46353</v>
      </c>
      <c r="B53" s="346" t="n">
        <v>46353</v>
      </c>
      <c r="F53" s="364"/>
    </row>
    <row r="54" customFormat="false" ht="12.75" hidden="false" customHeight="false" outlineLevel="0" collapsed="false">
      <c r="A54" s="363" t="n">
        <v>46354</v>
      </c>
      <c r="B54" s="346" t="n">
        <v>46354</v>
      </c>
      <c r="F54" s="364"/>
    </row>
    <row r="55" customFormat="false" ht="12.75" hidden="false" customHeight="false" outlineLevel="0" collapsed="false">
      <c r="A55" s="363" t="n">
        <v>46355</v>
      </c>
      <c r="B55" s="346" t="n">
        <v>46355</v>
      </c>
      <c r="F55" s="364"/>
    </row>
    <row r="56" customFormat="false" ht="12.75" hidden="false" customHeight="false" outlineLevel="0" collapsed="false">
      <c r="A56" s="363" t="n">
        <v>46355</v>
      </c>
      <c r="B56" s="346" t="s">
        <v>245</v>
      </c>
      <c r="F56" s="364"/>
    </row>
    <row r="57" customFormat="false" ht="12.75" hidden="false" customHeight="false" outlineLevel="0" collapsed="false">
      <c r="A57" s="363" t="n">
        <v>46355</v>
      </c>
      <c r="B57" s="346" t="s">
        <v>246</v>
      </c>
      <c r="F57" s="364"/>
    </row>
    <row r="58" customFormat="false" ht="12.75" hidden="false" customHeight="false" outlineLevel="0" collapsed="false">
      <c r="A58" s="365"/>
      <c r="B58" s="366"/>
      <c r="C58" s="367"/>
      <c r="D58" s="368"/>
      <c r="E58" s="369" t="n">
        <f aca="false">SUM(E49:E57)</f>
        <v>0</v>
      </c>
      <c r="F58" s="370" t="n">
        <f aca="false">SUM(F49:F57)</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1" width="9.66"/>
    <col collapsed="false" customWidth="true" hidden="false" outlineLevel="0" max="2" min="2" style="180" width="23.99"/>
    <col collapsed="false" customWidth="true" hidden="false" outlineLevel="0" max="3" min="3" style="180" width="15.99"/>
    <col collapsed="false" customWidth="false" hidden="false" outlineLevel="0" max="5" min="4" style="372" width="9.15"/>
    <col collapsed="false" customWidth="true" hidden="false" outlineLevel="0" max="6" min="6" style="373"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false" hidden="false" outlineLevel="0" max="13" min="13" style="181" width="9.15"/>
    <col collapsed="false" customWidth="true" hidden="false" outlineLevel="0" max="15" min="14" style="181" width="9.33"/>
    <col collapsed="false" customWidth="true" hidden="false" outlineLevel="0" max="18" min="16" style="181" width="7.66"/>
    <col collapsed="false" customWidth="true" hidden="false" outlineLevel="0" max="19" min="19" style="181" width="8.49"/>
    <col collapsed="false" customWidth="true" hidden="false" outlineLevel="0" max="20" min="20" style="180" width="12.99"/>
    <col collapsed="false" customWidth="true" hidden="false" outlineLevel="0" max="21" min="21" style="181" width="7.99"/>
    <col collapsed="false" customWidth="false" hidden="false" outlineLevel="0" max="257" min="22" style="180" width="9.15"/>
  </cols>
  <sheetData>
    <row r="1" s="181" customFormat="true" ht="13.5" hidden="false" customHeight="true" outlineLevel="0" collapsed="false">
      <c r="A1" s="390" t="n">
        <f aca="false">E1+SalesNov!$D$1+PurchasesOct!A1</f>
        <v>0</v>
      </c>
      <c r="B1" s="391" t="s">
        <v>247</v>
      </c>
      <c r="C1" s="392" t="s">
        <v>240</v>
      </c>
      <c r="D1" s="376" t="str">
        <f aca="false">IF((F1-SUM(G1:S1)&lt;&gt;0),(F1-SUM(G1:S1))," ")</f>
        <v> </v>
      </c>
      <c r="E1" s="352" t="n">
        <f aca="false">SUM(E5:E199)</f>
        <v>0</v>
      </c>
      <c r="F1" s="351" t="n">
        <f aca="false">SUM(F5:F199)</f>
        <v>300</v>
      </c>
      <c r="G1" s="351" t="n">
        <f aca="false">SUM(G5:G199)</f>
        <v>300</v>
      </c>
      <c r="H1" s="351" t="n">
        <f aca="false">SUM(H5:H199)</f>
        <v>0</v>
      </c>
      <c r="I1" s="351" t="n">
        <f aca="false">SUM(I5:I199)</f>
        <v>0</v>
      </c>
      <c r="J1" s="351" t="n">
        <f aca="false">SUM(J5:J199)</f>
        <v>0</v>
      </c>
      <c r="K1" s="351" t="n">
        <f aca="false">SUM(K5:K199)</f>
        <v>0</v>
      </c>
      <c r="L1" s="351" t="n">
        <f aca="false">SUM(L5:L199)</f>
        <v>0</v>
      </c>
      <c r="M1" s="351" t="n">
        <f aca="false">SUM(M5:M199)</f>
        <v>0</v>
      </c>
      <c r="N1" s="351" t="n">
        <f aca="false">SUM(N5:N199)</f>
        <v>0</v>
      </c>
      <c r="O1" s="351" t="n">
        <f aca="false">SUM(O5:O199)</f>
        <v>0</v>
      </c>
      <c r="P1" s="351" t="n">
        <f aca="false">SUM(P5:P199)</f>
        <v>0</v>
      </c>
      <c r="Q1" s="351" t="n">
        <f aca="false">SUM(Q5:Q199)</f>
        <v>0</v>
      </c>
      <c r="R1" s="351" t="n">
        <f aca="false">SUM(R5:R199)</f>
        <v>0</v>
      </c>
      <c r="S1" s="393" t="n">
        <f aca="false">SUM(S5:S199)</f>
        <v>0</v>
      </c>
      <c r="T1" s="394" t="n">
        <f aca="false">S1+PurchasesOct!T1</f>
        <v>8000</v>
      </c>
      <c r="U1" s="393" t="n">
        <f aca="false">SUM(U4:U199)</f>
        <v>0</v>
      </c>
    </row>
    <row r="2" s="181" customFormat="true" ht="13.5" hidden="false" customHeight="true" outlineLevel="0" collapsed="false">
      <c r="A2" s="395" t="n">
        <f aca="false">U1+PurchasesOct!A2</f>
        <v>0</v>
      </c>
      <c r="B2" s="240" t="s">
        <v>248</v>
      </c>
      <c r="C2" s="379" t="s">
        <v>249</v>
      </c>
      <c r="D2" s="379" t="s">
        <v>250</v>
      </c>
      <c r="E2" s="379" t="s">
        <v>251</v>
      </c>
      <c r="F2" s="207" t="s">
        <v>252</v>
      </c>
      <c r="G2" s="380" t="s">
        <v>253</v>
      </c>
      <c r="H2" s="380"/>
      <c r="I2" s="381" t="n">
        <f aca="false">G1+H1+I1+J1+PurchasesOct!I2</f>
        <v>3780</v>
      </c>
      <c r="J2" s="381"/>
      <c r="K2" s="207" t="s">
        <v>254</v>
      </c>
      <c r="L2" s="207" t="s">
        <v>255</v>
      </c>
      <c r="M2" s="207" t="s">
        <v>256</v>
      </c>
      <c r="N2" s="207" t="s">
        <v>288</v>
      </c>
      <c r="O2" s="207" t="s">
        <v>258</v>
      </c>
      <c r="P2" s="207" t="s">
        <v>259</v>
      </c>
      <c r="Q2" s="207" t="s">
        <v>260</v>
      </c>
      <c r="R2" s="207" t="s">
        <v>261</v>
      </c>
      <c r="S2" s="382" t="s">
        <v>262</v>
      </c>
      <c r="T2" s="383" t="str">
        <f aca="false">IF(T1&gt;'Fixed Assets'!$D$74,"ENTER VEHICLE CHANGES        on Fixed Asset schedule","Motor Vehicles: make, model, date reg. and reg. Mark")</f>
        <v>ENTER VEHICLE CHANGES        on Fixed Asset schedule</v>
      </c>
      <c r="U2" s="382" t="s">
        <v>116</v>
      </c>
    </row>
    <row r="3" s="385" customFormat="true" ht="45" hidden="false" customHeight="true" outlineLevel="0" collapsed="false">
      <c r="A3" s="384" t="s">
        <v>263</v>
      </c>
      <c r="B3" s="207" t="s">
        <v>264</v>
      </c>
      <c r="C3" s="379"/>
      <c r="D3" s="379"/>
      <c r="E3" s="379"/>
      <c r="F3" s="379"/>
      <c r="G3" s="207" t="s">
        <v>111</v>
      </c>
      <c r="H3" s="207" t="s">
        <v>265</v>
      </c>
      <c r="I3" s="207" t="s">
        <v>113</v>
      </c>
      <c r="J3" s="207" t="s">
        <v>114</v>
      </c>
      <c r="K3" s="207"/>
      <c r="L3" s="207"/>
      <c r="M3" s="207"/>
      <c r="N3" s="207"/>
      <c r="O3" s="207"/>
      <c r="P3" s="207"/>
      <c r="Q3" s="207"/>
      <c r="R3" s="207"/>
      <c r="S3" s="382"/>
      <c r="T3" s="383"/>
      <c r="U3" s="382"/>
    </row>
    <row r="4" s="388" customFormat="true" ht="12.75" hidden="false" customHeight="false" outlineLevel="0" collapsed="false">
      <c r="A4" s="386" t="str">
        <f aca="false">IF((E1&lt;&gt;0),Admin!$B$12," ")</f>
        <v> </v>
      </c>
      <c r="B4" s="207"/>
      <c r="C4" s="207"/>
      <c r="D4" s="207"/>
      <c r="E4" s="207"/>
      <c r="F4" s="207"/>
      <c r="G4" s="375" t="s">
        <v>266</v>
      </c>
      <c r="H4" s="375" t="s">
        <v>267</v>
      </c>
      <c r="I4" s="375" t="s">
        <v>268</v>
      </c>
      <c r="J4" s="375" t="s">
        <v>269</v>
      </c>
      <c r="K4" s="375" t="s">
        <v>270</v>
      </c>
      <c r="L4" s="375" t="s">
        <v>271</v>
      </c>
      <c r="M4" s="375" t="s">
        <v>272</v>
      </c>
      <c r="N4" s="375" t="s">
        <v>273</v>
      </c>
      <c r="O4" s="375" t="s">
        <v>274</v>
      </c>
      <c r="P4" s="375" t="s">
        <v>275</v>
      </c>
      <c r="Q4" s="375" t="s">
        <v>276</v>
      </c>
      <c r="R4" s="375" t="s">
        <v>277</v>
      </c>
      <c r="S4" s="387" t="s">
        <v>278</v>
      </c>
      <c r="T4" s="383"/>
      <c r="U4" s="394" t="n">
        <f aca="false">IF((A1&lt;Admin!$F$22),((A1-PurchasesOct!A1)*Admin!$G$21),(A1*Admin!$G$21-(A1-Admin!$F$21)*(Admin!$G$21-Admin!$G$22)-PurchasesOct!A2))</f>
        <v>0</v>
      </c>
    </row>
    <row r="5" s="372" customFormat="true" ht="12.75" hidden="false" customHeight="false" outlineLevel="0" collapsed="false">
      <c r="A5" s="371" t="n">
        <v>46341</v>
      </c>
      <c r="B5" s="389" t="s">
        <v>284</v>
      </c>
      <c r="D5" s="372" t="s">
        <v>285</v>
      </c>
      <c r="F5" s="372"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2"/>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2"/>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2"/>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2"/>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2"/>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2"/>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2"/>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2"/>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2"/>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2"/>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2"/>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2"/>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2"/>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2"/>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2"/>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2"/>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2"/>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2"/>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2"/>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2"/>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2"/>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2"/>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2"/>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2"/>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2"/>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2"/>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2"/>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2"/>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2"/>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2"/>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2"/>
    </row>
    <row r="37" customFormat="false" ht="12.75" hidden="false" customHeight="false" outlineLevel="0" collapsed="false">
      <c r="D37" s="372"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2"/>
    </row>
    <row r="38" customFormat="false" ht="12.75" hidden="false" customHeight="false" outlineLevel="0" collapsed="false">
      <c r="D38" s="372"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2"/>
    </row>
    <row r="39" customFormat="false" ht="12.75" hidden="false" customHeight="false" outlineLevel="0" collapsed="false">
      <c r="D39" s="372"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2"/>
    </row>
    <row r="40" customFormat="false" ht="12.75" hidden="false" customHeight="false" outlineLevel="0" collapsed="false">
      <c r="D40" s="372"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2"/>
    </row>
    <row r="41" customFormat="false" ht="12.75" hidden="false" customHeight="false" outlineLevel="0" collapsed="false">
      <c r="D41" s="372"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2"/>
    </row>
    <row r="42" customFormat="false" ht="12.75" hidden="false" customHeight="false" outlineLevel="0" collapsed="false">
      <c r="D42" s="372"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2"/>
    </row>
    <row r="43" customFormat="false" ht="12.75" hidden="false" customHeight="false" outlineLevel="0" collapsed="false">
      <c r="D43" s="372"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2"/>
    </row>
    <row r="44" customFormat="false" ht="12.75" hidden="false" customHeight="false" outlineLevel="0" collapsed="false">
      <c r="D44" s="372"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2"/>
    </row>
    <row r="45" customFormat="false" ht="12.75" hidden="false" customHeight="false" outlineLevel="0" collapsed="false">
      <c r="D45" s="372"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2"/>
    </row>
    <row r="46" customFormat="false" ht="12.75" hidden="false" customHeight="false" outlineLevel="0" collapsed="false">
      <c r="D46" s="372"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2"/>
    </row>
    <row r="47" customFormat="false" ht="12.75" hidden="false" customHeight="false" outlineLevel="0" collapsed="false">
      <c r="D47" s="372"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2"/>
    </row>
    <row r="48" customFormat="false" ht="12.75" hidden="false" customHeight="false" outlineLevel="0" collapsed="false">
      <c r="D48" s="372"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2"/>
    </row>
    <row r="49" customFormat="false" ht="12.75" hidden="false" customHeight="false" outlineLevel="0" collapsed="false">
      <c r="D49" s="372"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2"/>
    </row>
    <row r="50" customFormat="false" ht="12.75" hidden="false" customHeight="false" outlineLevel="0" collapsed="false">
      <c r="D50" s="372"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2"/>
    </row>
    <row r="51" customFormat="false" ht="12.75" hidden="false" customHeight="false" outlineLevel="0" collapsed="false">
      <c r="D51" s="372"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2"/>
    </row>
    <row r="52" customFormat="false" ht="12.75" hidden="false" customHeight="false" outlineLevel="0" collapsed="false">
      <c r="D52" s="372"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2"/>
    </row>
    <row r="53" customFormat="false" ht="12.75" hidden="false" customHeight="false" outlineLevel="0" collapsed="false">
      <c r="D53" s="372"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2"/>
    </row>
    <row r="54" customFormat="false" ht="12.75" hidden="false" customHeight="false" outlineLevel="0" collapsed="false">
      <c r="D54" s="372"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2"/>
    </row>
    <row r="55" customFormat="false" ht="12.75" hidden="false" customHeight="false" outlineLevel="0" collapsed="false">
      <c r="D55" s="372"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2"/>
    </row>
    <row r="56" customFormat="false" ht="12.75" hidden="false" customHeight="false" outlineLevel="0" collapsed="false">
      <c r="D56" s="372"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2"/>
    </row>
    <row r="57" customFormat="false" ht="12.75" hidden="false" customHeight="false" outlineLevel="0" collapsed="false">
      <c r="D57" s="372"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2"/>
    </row>
    <row r="58" customFormat="false" ht="12.75" hidden="false" customHeight="false" outlineLevel="0" collapsed="false">
      <c r="D58" s="372"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2"/>
    </row>
    <row r="59" customFormat="false" ht="12.75" hidden="false" customHeight="false" outlineLevel="0" collapsed="false">
      <c r="D59" s="372"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2"/>
    </row>
    <row r="60" customFormat="false" ht="12.75" hidden="false" customHeight="false" outlineLevel="0" collapsed="false">
      <c r="D60" s="372"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2"/>
    </row>
    <row r="61" customFormat="false" ht="12.75" hidden="false" customHeight="false" outlineLevel="0" collapsed="false">
      <c r="D61" s="372"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2"/>
    </row>
    <row r="62" customFormat="false" ht="12.75" hidden="false" customHeight="false" outlineLevel="0" collapsed="false">
      <c r="D62" s="372"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2"/>
    </row>
    <row r="63" customFormat="false" ht="12.75" hidden="false" customHeight="false" outlineLevel="0" collapsed="false">
      <c r="D63" s="372"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2"/>
    </row>
    <row r="64" customFormat="false" ht="12.75" hidden="false" customHeight="false" outlineLevel="0" collapsed="false">
      <c r="D64" s="372"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2"/>
    </row>
    <row r="65" customFormat="false" ht="12.75" hidden="false" customHeight="false" outlineLevel="0" collapsed="false">
      <c r="D65" s="372"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2"/>
    </row>
    <row r="66" customFormat="false" ht="12.75" hidden="false" customHeight="false" outlineLevel="0" collapsed="false">
      <c r="D66" s="372"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2"/>
    </row>
    <row r="67" customFormat="false" ht="12.75" hidden="false" customHeight="false" outlineLevel="0" collapsed="false">
      <c r="D67" s="372"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2"/>
    </row>
    <row r="68" customFormat="false" ht="12.75" hidden="false" customHeight="false" outlineLevel="0" collapsed="false">
      <c r="D68" s="372"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2"/>
    </row>
    <row r="69" customFormat="false" ht="12.75" hidden="false" customHeight="false" outlineLevel="0" collapsed="false">
      <c r="D69" s="372"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2"/>
    </row>
    <row r="70" customFormat="false" ht="12.75" hidden="false" customHeight="false" outlineLevel="0" collapsed="false">
      <c r="D70" s="372"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2"/>
    </row>
    <row r="71" customFormat="false" ht="12.75" hidden="false" customHeight="false" outlineLevel="0" collapsed="false">
      <c r="D71" s="372"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2"/>
    </row>
    <row r="72" customFormat="false" ht="12.75" hidden="false" customHeight="false" outlineLevel="0" collapsed="false">
      <c r="D72" s="372"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2"/>
    </row>
    <row r="73" customFormat="false" ht="12.75" hidden="false" customHeight="false" outlineLevel="0" collapsed="false">
      <c r="D73" s="372"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2"/>
    </row>
    <row r="74" customFormat="false" ht="12.75" hidden="false" customHeight="false" outlineLevel="0" collapsed="false">
      <c r="D74" s="372"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2"/>
    </row>
    <row r="75" customFormat="false" ht="12.75" hidden="false" customHeight="false" outlineLevel="0" collapsed="false">
      <c r="D75" s="372"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2"/>
    </row>
    <row r="76" customFormat="false" ht="12.75" hidden="false" customHeight="false" outlineLevel="0" collapsed="false">
      <c r="D76" s="372"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2"/>
    </row>
    <row r="77" customFormat="false" ht="12.75" hidden="false" customHeight="false" outlineLevel="0" collapsed="false">
      <c r="D77" s="372"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2"/>
    </row>
    <row r="78" customFormat="false" ht="12.75" hidden="false" customHeight="false" outlineLevel="0" collapsed="false">
      <c r="D78" s="372"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2"/>
    </row>
    <row r="79" customFormat="false" ht="12.75" hidden="false" customHeight="false" outlineLevel="0" collapsed="false">
      <c r="D79" s="372"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2"/>
    </row>
    <row r="80" customFormat="false" ht="12.75" hidden="false" customHeight="false" outlineLevel="0" collapsed="false">
      <c r="D80" s="372"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2"/>
    </row>
    <row r="81" customFormat="false" ht="12.75" hidden="false" customHeight="false" outlineLevel="0" collapsed="false">
      <c r="D81" s="372"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2"/>
    </row>
    <row r="82" customFormat="false" ht="12.75" hidden="false" customHeight="false" outlineLevel="0" collapsed="false">
      <c r="D82" s="372"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2"/>
    </row>
    <row r="83" customFormat="false" ht="12.75" hidden="false" customHeight="false" outlineLevel="0" collapsed="false">
      <c r="D83" s="372"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2"/>
    </row>
    <row r="84" customFormat="false" ht="12.75" hidden="false" customHeight="false" outlineLevel="0" collapsed="false">
      <c r="D84" s="372"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2"/>
    </row>
    <row r="85" customFormat="false" ht="12.75" hidden="false" customHeight="false" outlineLevel="0" collapsed="false">
      <c r="D85" s="372"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2"/>
    </row>
    <row r="86" customFormat="false" ht="12.75" hidden="false" customHeight="false" outlineLevel="0" collapsed="false">
      <c r="D86" s="372"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2"/>
    </row>
    <row r="87" customFormat="false" ht="12.75" hidden="false" customHeight="false" outlineLevel="0" collapsed="false">
      <c r="D87" s="372"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2"/>
    </row>
    <row r="88" customFormat="false" ht="12.75" hidden="false" customHeight="false" outlineLevel="0" collapsed="false">
      <c r="D88" s="372"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2"/>
    </row>
    <row r="89" customFormat="false" ht="12.75" hidden="false" customHeight="false" outlineLevel="0" collapsed="false">
      <c r="D89" s="372"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2"/>
    </row>
    <row r="90" customFormat="false" ht="12.75" hidden="false" customHeight="false" outlineLevel="0" collapsed="false">
      <c r="D90" s="372"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2"/>
    </row>
    <row r="91" customFormat="false" ht="12.75" hidden="false" customHeight="false" outlineLevel="0" collapsed="false">
      <c r="D91" s="372"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2"/>
    </row>
    <row r="92" customFormat="false" ht="12.75" hidden="false" customHeight="false" outlineLevel="0" collapsed="false">
      <c r="D92" s="372"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2"/>
    </row>
    <row r="93" customFormat="false" ht="12.75" hidden="false" customHeight="false" outlineLevel="0" collapsed="false">
      <c r="D93" s="372"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2"/>
    </row>
    <row r="94" customFormat="false" ht="12.75" hidden="false" customHeight="false" outlineLevel="0" collapsed="false">
      <c r="D94" s="372"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2"/>
    </row>
    <row r="95" customFormat="false" ht="12.75" hidden="false" customHeight="false" outlineLevel="0" collapsed="false">
      <c r="D95" s="372"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2"/>
    </row>
    <row r="96" customFormat="false" ht="12.75" hidden="false" customHeight="false" outlineLevel="0" collapsed="false">
      <c r="D96" s="372"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2"/>
    </row>
    <row r="97" customFormat="false" ht="12.75" hidden="false" customHeight="false" outlineLevel="0" collapsed="false">
      <c r="D97" s="372"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2"/>
    </row>
    <row r="98" customFormat="false" ht="12.75" hidden="false" customHeight="false" outlineLevel="0" collapsed="false">
      <c r="D98" s="372"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2"/>
    </row>
    <row r="99" customFormat="false" ht="12.75" hidden="false" customHeight="false" outlineLevel="0" collapsed="false">
      <c r="D99" s="372"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2"/>
    </row>
    <row r="100" customFormat="false" ht="12.75" hidden="false" customHeight="false" outlineLevel="0" collapsed="false">
      <c r="D100" s="372"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2"/>
    </row>
    <row r="101" customFormat="false" ht="12.75" hidden="false" customHeight="false" outlineLevel="0" collapsed="false">
      <c r="D101" s="372"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2"/>
    </row>
    <row r="102" customFormat="false" ht="12.75" hidden="false" customHeight="false" outlineLevel="0" collapsed="false">
      <c r="D102" s="372"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2"/>
    </row>
    <row r="103" customFormat="false" ht="12.75" hidden="false" customHeight="false" outlineLevel="0" collapsed="false">
      <c r="D103" s="372"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2"/>
    </row>
    <row r="104" customFormat="false" ht="12.75" hidden="false" customHeight="false" outlineLevel="0" collapsed="false">
      <c r="D104" s="372"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2"/>
    </row>
    <row r="105" customFormat="false" ht="12.75" hidden="false" customHeight="false" outlineLevel="0" collapsed="false">
      <c r="D105" s="372"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2"/>
    </row>
    <row r="106" customFormat="false" ht="12.75" hidden="false" customHeight="false" outlineLevel="0" collapsed="false">
      <c r="D106" s="372"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2"/>
    </row>
    <row r="107" customFormat="false" ht="12.75" hidden="false" customHeight="false" outlineLevel="0" collapsed="false">
      <c r="D107" s="372"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2"/>
    </row>
    <row r="108" customFormat="false" ht="12.75" hidden="false" customHeight="false" outlineLevel="0" collapsed="false">
      <c r="D108" s="372"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2"/>
    </row>
    <row r="109" customFormat="false" ht="12.75" hidden="false" customHeight="false" outlineLevel="0" collapsed="false">
      <c r="D109" s="372"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2"/>
    </row>
    <row r="110" customFormat="false" ht="12.75" hidden="false" customHeight="false" outlineLevel="0" collapsed="false">
      <c r="D110" s="372"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2"/>
    </row>
    <row r="111" customFormat="false" ht="12.75" hidden="false" customHeight="false" outlineLevel="0" collapsed="false">
      <c r="D111" s="372"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2"/>
    </row>
    <row r="112" customFormat="false" ht="12.75" hidden="false" customHeight="false" outlineLevel="0" collapsed="false">
      <c r="D112" s="372"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2"/>
    </row>
    <row r="113" customFormat="false" ht="12.75" hidden="false" customHeight="false" outlineLevel="0" collapsed="false">
      <c r="D113" s="372"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2"/>
    </row>
    <row r="114" customFormat="false" ht="12.75" hidden="false" customHeight="false" outlineLevel="0" collapsed="false">
      <c r="D114" s="372"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2"/>
    </row>
    <row r="115" customFormat="false" ht="12.75" hidden="false" customHeight="false" outlineLevel="0" collapsed="false">
      <c r="D115" s="372"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2"/>
    </row>
    <row r="116" customFormat="false" ht="12.75" hidden="false" customHeight="false" outlineLevel="0" collapsed="false">
      <c r="D116" s="372"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2"/>
    </row>
    <row r="117" customFormat="false" ht="12.75" hidden="false" customHeight="false" outlineLevel="0" collapsed="false">
      <c r="D117" s="372"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2"/>
    </row>
    <row r="118" customFormat="false" ht="12.75" hidden="false" customHeight="false" outlineLevel="0" collapsed="false">
      <c r="D118" s="372"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2"/>
    </row>
    <row r="119" customFormat="false" ht="12.75" hidden="false" customHeight="false" outlineLevel="0" collapsed="false">
      <c r="D119" s="372"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2"/>
    </row>
    <row r="120" customFormat="false" ht="12.75" hidden="false" customHeight="false" outlineLevel="0" collapsed="false">
      <c r="D120" s="372"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2"/>
    </row>
    <row r="121" customFormat="false" ht="12.75" hidden="false" customHeight="false" outlineLevel="0" collapsed="false">
      <c r="D121" s="372"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2"/>
    </row>
    <row r="122" customFormat="false" ht="12.75" hidden="false" customHeight="false" outlineLevel="0" collapsed="false">
      <c r="D122" s="372"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2"/>
    </row>
    <row r="123" customFormat="false" ht="12.75" hidden="false" customHeight="false" outlineLevel="0" collapsed="false">
      <c r="D123" s="372"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2"/>
    </row>
    <row r="124" customFormat="false" ht="12.75" hidden="false" customHeight="false" outlineLevel="0" collapsed="false">
      <c r="D124" s="372"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2"/>
    </row>
    <row r="125" customFormat="false" ht="12.75" hidden="false" customHeight="false" outlineLevel="0" collapsed="false">
      <c r="D125" s="372"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2"/>
    </row>
    <row r="126" customFormat="false" ht="12.75" hidden="false" customHeight="false" outlineLevel="0" collapsed="false">
      <c r="D126" s="372"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2"/>
    </row>
    <row r="127" customFormat="false" ht="12.75" hidden="false" customHeight="false" outlineLevel="0" collapsed="false">
      <c r="D127" s="372"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2"/>
    </row>
    <row r="128" customFormat="false" ht="12.75" hidden="false" customHeight="false" outlineLevel="0" collapsed="false">
      <c r="D128" s="372"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2"/>
    </row>
    <row r="129" customFormat="false" ht="12.75" hidden="false" customHeight="false" outlineLevel="0" collapsed="false">
      <c r="D129" s="372"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2"/>
    </row>
    <row r="130" customFormat="false" ht="12.75" hidden="false" customHeight="false" outlineLevel="0" collapsed="false">
      <c r="D130" s="372"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2"/>
    </row>
    <row r="131" customFormat="false" ht="12.75" hidden="false" customHeight="false" outlineLevel="0" collapsed="false">
      <c r="D131" s="372"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2"/>
    </row>
    <row r="132" customFormat="false" ht="12.75" hidden="false" customHeight="false" outlineLevel="0" collapsed="false">
      <c r="D132" s="372"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2"/>
    </row>
    <row r="133" customFormat="false" ht="12.75" hidden="false" customHeight="false" outlineLevel="0" collapsed="false">
      <c r="D133" s="372"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2"/>
    </row>
    <row r="134" customFormat="false" ht="12.75" hidden="false" customHeight="false" outlineLevel="0" collapsed="false">
      <c r="D134" s="372"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2"/>
    </row>
    <row r="135" customFormat="false" ht="12.75" hidden="false" customHeight="false" outlineLevel="0" collapsed="false">
      <c r="D135" s="372"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2"/>
    </row>
    <row r="136" customFormat="false" ht="12.75" hidden="false" customHeight="false" outlineLevel="0" collapsed="false">
      <c r="D136" s="372"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2"/>
    </row>
    <row r="137" customFormat="false" ht="12.75" hidden="false" customHeight="false" outlineLevel="0" collapsed="false">
      <c r="D137" s="372"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2"/>
    </row>
    <row r="138" customFormat="false" ht="12.75" hidden="false" customHeight="false" outlineLevel="0" collapsed="false">
      <c r="D138" s="372"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2"/>
    </row>
    <row r="139" customFormat="false" ht="12.75" hidden="false" customHeight="false" outlineLevel="0" collapsed="false">
      <c r="D139" s="372"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2"/>
    </row>
    <row r="140" customFormat="false" ht="12.75" hidden="false" customHeight="false" outlineLevel="0" collapsed="false">
      <c r="D140" s="372"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2"/>
    </row>
    <row r="141" customFormat="false" ht="12.75" hidden="false" customHeight="false" outlineLevel="0" collapsed="false">
      <c r="D141" s="372"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2"/>
    </row>
    <row r="142" customFormat="false" ht="12.75" hidden="false" customHeight="false" outlineLevel="0" collapsed="false">
      <c r="D142" s="372"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2"/>
    </row>
    <row r="143" customFormat="false" ht="12.75" hidden="false" customHeight="false" outlineLevel="0" collapsed="false">
      <c r="D143" s="372"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2"/>
    </row>
    <row r="144" customFormat="false" ht="12.75" hidden="false" customHeight="false" outlineLevel="0" collapsed="false">
      <c r="D144" s="372"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2"/>
    </row>
    <row r="145" customFormat="false" ht="12.75" hidden="false" customHeight="false" outlineLevel="0" collapsed="false">
      <c r="D145" s="372"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2"/>
    </row>
    <row r="146" customFormat="false" ht="12.75" hidden="false" customHeight="false" outlineLevel="0" collapsed="false">
      <c r="D146" s="372"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2"/>
    </row>
    <row r="147" customFormat="false" ht="12.75" hidden="false" customHeight="false" outlineLevel="0" collapsed="false">
      <c r="D147" s="372"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2"/>
    </row>
    <row r="148" customFormat="false" ht="12.75" hidden="false" customHeight="false" outlineLevel="0" collapsed="false">
      <c r="D148" s="372"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2"/>
    </row>
    <row r="149" customFormat="false" ht="12.75" hidden="false" customHeight="false" outlineLevel="0" collapsed="false">
      <c r="D149" s="372"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2"/>
    </row>
    <row r="150" customFormat="false" ht="12.75" hidden="false" customHeight="false" outlineLevel="0" collapsed="false">
      <c r="D150" s="372"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2"/>
    </row>
    <row r="151" customFormat="false" ht="12.75" hidden="false" customHeight="false" outlineLevel="0" collapsed="false">
      <c r="D151" s="372"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2"/>
    </row>
    <row r="152" customFormat="false" ht="12.75" hidden="false" customHeight="false" outlineLevel="0" collapsed="false">
      <c r="D152" s="372"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2"/>
    </row>
    <row r="153" customFormat="false" ht="12.75" hidden="false" customHeight="false" outlineLevel="0" collapsed="false">
      <c r="D153" s="372"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2"/>
    </row>
    <row r="154" customFormat="false" ht="12.75" hidden="false" customHeight="false" outlineLevel="0" collapsed="false">
      <c r="D154" s="372"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2"/>
    </row>
    <row r="155" customFormat="false" ht="12.75" hidden="false" customHeight="false" outlineLevel="0" collapsed="false">
      <c r="D155" s="372"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2"/>
    </row>
    <row r="156" customFormat="false" ht="12.75" hidden="false" customHeight="false" outlineLevel="0" collapsed="false">
      <c r="D156" s="372"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2"/>
    </row>
    <row r="157" customFormat="false" ht="12.75" hidden="false" customHeight="false" outlineLevel="0" collapsed="false">
      <c r="D157" s="372"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2"/>
    </row>
    <row r="158" customFormat="false" ht="12.75" hidden="false" customHeight="false" outlineLevel="0" collapsed="false">
      <c r="D158" s="372"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2"/>
    </row>
    <row r="159" customFormat="false" ht="12.75" hidden="false" customHeight="false" outlineLevel="0" collapsed="false">
      <c r="D159" s="372"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2"/>
    </row>
    <row r="160" customFormat="false" ht="12.75" hidden="false" customHeight="false" outlineLevel="0" collapsed="false">
      <c r="D160" s="372"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2"/>
    </row>
    <row r="161" customFormat="false" ht="12.75" hidden="false" customHeight="false" outlineLevel="0" collapsed="false">
      <c r="D161" s="372"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2"/>
    </row>
    <row r="162" customFormat="false" ht="12.75" hidden="false" customHeight="false" outlineLevel="0" collapsed="false">
      <c r="D162" s="372"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2"/>
    </row>
    <row r="163" customFormat="false" ht="12.75" hidden="false" customHeight="false" outlineLevel="0" collapsed="false">
      <c r="D163" s="372"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2"/>
    </row>
    <row r="164" customFormat="false" ht="12.75" hidden="false" customHeight="false" outlineLevel="0" collapsed="false">
      <c r="D164" s="372"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2"/>
    </row>
    <row r="165" customFormat="false" ht="12.75" hidden="false" customHeight="false" outlineLevel="0" collapsed="false">
      <c r="D165" s="372"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2"/>
    </row>
    <row r="166" customFormat="false" ht="12.75" hidden="false" customHeight="false" outlineLevel="0" collapsed="false">
      <c r="D166" s="372"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2"/>
    </row>
    <row r="167" customFormat="false" ht="12.75" hidden="false" customHeight="false" outlineLevel="0" collapsed="false">
      <c r="D167" s="372"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2"/>
    </row>
    <row r="168" customFormat="false" ht="12.75" hidden="false" customHeight="false" outlineLevel="0" collapsed="false">
      <c r="D168" s="372"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2"/>
    </row>
    <row r="169" customFormat="false" ht="12.75" hidden="false" customHeight="false" outlineLevel="0" collapsed="false">
      <c r="D169" s="372"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2"/>
    </row>
    <row r="170" customFormat="false" ht="12.75" hidden="false" customHeight="false" outlineLevel="0" collapsed="false">
      <c r="D170" s="372"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2"/>
    </row>
    <row r="171" customFormat="false" ht="12.75" hidden="false" customHeight="false" outlineLevel="0" collapsed="false">
      <c r="D171" s="372"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2"/>
    </row>
    <row r="172" customFormat="false" ht="12.75" hidden="false" customHeight="false" outlineLevel="0" collapsed="false">
      <c r="D172" s="372"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2"/>
    </row>
    <row r="173" customFormat="false" ht="12.75" hidden="false" customHeight="false" outlineLevel="0" collapsed="false">
      <c r="D173" s="372"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2"/>
    </row>
    <row r="174" customFormat="false" ht="12.75" hidden="false" customHeight="false" outlineLevel="0" collapsed="false">
      <c r="D174" s="372"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2"/>
    </row>
    <row r="175" customFormat="false" ht="12.75" hidden="false" customHeight="false" outlineLevel="0" collapsed="false">
      <c r="D175" s="372"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2"/>
    </row>
    <row r="176" customFormat="false" ht="12.75" hidden="false" customHeight="false" outlineLevel="0" collapsed="false">
      <c r="D176" s="372"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2"/>
    </row>
    <row r="177" customFormat="false" ht="12.75" hidden="false" customHeight="false" outlineLevel="0" collapsed="false">
      <c r="D177" s="372"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2"/>
    </row>
    <row r="178" customFormat="false" ht="12.75" hidden="false" customHeight="false" outlineLevel="0" collapsed="false">
      <c r="D178" s="372"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2"/>
    </row>
    <row r="179" customFormat="false" ht="12.75" hidden="false" customHeight="false" outlineLevel="0" collapsed="false">
      <c r="D179" s="372"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2"/>
    </row>
    <row r="180" customFormat="false" ht="12.75" hidden="false" customHeight="false" outlineLevel="0" collapsed="false">
      <c r="D180" s="372"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2"/>
    </row>
    <row r="181" customFormat="false" ht="12.75" hidden="false" customHeight="false" outlineLevel="0" collapsed="false">
      <c r="D181" s="372"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2"/>
    </row>
    <row r="182" customFormat="false" ht="12.75" hidden="false" customHeight="false" outlineLevel="0" collapsed="false">
      <c r="D182" s="372"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2"/>
    </row>
    <row r="183" customFormat="false" ht="12.75" hidden="false" customHeight="false" outlineLevel="0" collapsed="false">
      <c r="D183" s="372"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2"/>
    </row>
    <row r="184" customFormat="false" ht="12.75" hidden="false" customHeight="false" outlineLevel="0" collapsed="false">
      <c r="D184" s="372"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2"/>
    </row>
    <row r="185" customFormat="false" ht="12.75" hidden="false" customHeight="false" outlineLevel="0" collapsed="false">
      <c r="D185" s="372"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2"/>
    </row>
    <row r="186" customFormat="false" ht="12.75" hidden="false" customHeight="false" outlineLevel="0" collapsed="false">
      <c r="D186" s="372"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2"/>
    </row>
    <row r="187" customFormat="false" ht="12.75" hidden="false" customHeight="false" outlineLevel="0" collapsed="false">
      <c r="D187" s="372"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2"/>
    </row>
    <row r="188" customFormat="false" ht="12.75" hidden="false" customHeight="false" outlineLevel="0" collapsed="false">
      <c r="D188" s="372"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2"/>
    </row>
    <row r="189" customFormat="false" ht="12.75" hidden="false" customHeight="false" outlineLevel="0" collapsed="false">
      <c r="D189" s="372"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2"/>
    </row>
    <row r="190" customFormat="false" ht="12.75" hidden="false" customHeight="false" outlineLevel="0" collapsed="false">
      <c r="D190" s="372"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2"/>
    </row>
    <row r="191" customFormat="false" ht="12.75" hidden="false" customHeight="false" outlineLevel="0" collapsed="false">
      <c r="D191" s="372"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2"/>
    </row>
    <row r="192" customFormat="false" ht="12.75" hidden="false" customHeight="false" outlineLevel="0" collapsed="false">
      <c r="D192" s="372"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2"/>
    </row>
    <row r="193" customFormat="false" ht="12.75" hidden="false" customHeight="false" outlineLevel="0" collapsed="false">
      <c r="D193" s="372"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2"/>
    </row>
    <row r="194" customFormat="false" ht="12.75" hidden="false" customHeight="false" outlineLevel="0" collapsed="false">
      <c r="D194" s="372"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2"/>
    </row>
    <row r="195" customFormat="false" ht="12.75" hidden="false" customHeight="false" outlineLevel="0" collapsed="false">
      <c r="D195" s="372"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2"/>
    </row>
    <row r="196" customFormat="false" ht="12.75" hidden="false" customHeight="false" outlineLevel="0" collapsed="false">
      <c r="D196" s="372"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2"/>
    </row>
    <row r="197" customFormat="false" ht="12.75" hidden="false" customHeight="false" outlineLevel="0" collapsed="false">
      <c r="D197" s="372"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2"/>
    </row>
    <row r="198" customFormat="false" ht="12.75" hidden="false" customHeight="false" outlineLevel="0" collapsed="false">
      <c r="D198" s="372"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2"/>
    </row>
    <row r="199" customFormat="false" ht="12.75" hidden="false" customHeight="false" outlineLevel="0" collapsed="false">
      <c r="D199" s="372"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2"/>
    </row>
    <row r="200" customFormat="false" ht="12.75" hidden="false" customHeight="false" outlineLevel="0" collapsed="false">
      <c r="D200" s="372"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2"/>
    </row>
    <row r="201" customFormat="false" ht="12.75" hidden="false" customHeight="false" outlineLevel="0" collapsed="false">
      <c r="D201" s="372"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2"/>
    </row>
    <row r="202" customFormat="false" ht="12.75" hidden="false" customHeight="false" outlineLevel="0" collapsed="false">
      <c r="D202" s="372"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2"/>
    </row>
    <row r="203" customFormat="false" ht="12.75" hidden="false" customHeight="false" outlineLevel="0" collapsed="false">
      <c r="D203" s="372"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2"/>
    </row>
    <row r="204" customFormat="false" ht="12.75" hidden="false" customHeight="false" outlineLevel="0" collapsed="false">
      <c r="D204" s="372"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2"/>
    </row>
    <row r="205" customFormat="false" ht="12.75" hidden="false" customHeight="false" outlineLevel="0" collapsed="false">
      <c r="U205" s="372"/>
    </row>
    <row r="206" customFormat="false" ht="12.75" hidden="false" customHeight="false" outlineLevel="0" collapsed="false">
      <c r="U206" s="372"/>
    </row>
    <row r="207" customFormat="false" ht="12.75" hidden="false" customHeight="false" outlineLevel="0" collapsed="false">
      <c r="U207" s="372"/>
    </row>
    <row r="208" customFormat="false" ht="12.75" hidden="false" customHeight="false" outlineLevel="0" collapsed="false">
      <c r="U208" s="372"/>
    </row>
    <row r="209" customFormat="false" ht="12.75" hidden="false" customHeight="false" outlineLevel="0" collapsed="false">
      <c r="U209" s="372"/>
    </row>
    <row r="210" customFormat="false" ht="12.75" hidden="false" customHeight="false" outlineLevel="0" collapsed="false">
      <c r="U210" s="372"/>
    </row>
    <row r="211" customFormat="false" ht="12.75" hidden="false" customHeight="false" outlineLevel="0" collapsed="false">
      <c r="U211" s="372"/>
    </row>
    <row r="212" customFormat="false" ht="12.75" hidden="false" customHeight="false" outlineLevel="0" collapsed="false">
      <c r="U212" s="372"/>
    </row>
    <row r="213" customFormat="false" ht="12.75" hidden="false" customHeight="false" outlineLevel="0" collapsed="false">
      <c r="U213" s="372"/>
    </row>
    <row r="214" customFormat="false" ht="12.75" hidden="false" customHeight="false" outlineLevel="0" collapsed="false">
      <c r="U214" s="372"/>
    </row>
    <row r="215" customFormat="false" ht="12.75" hidden="false" customHeight="false" outlineLevel="0" collapsed="false">
      <c r="U215" s="372"/>
    </row>
    <row r="216" customFormat="false" ht="12.75" hidden="false" customHeight="false" outlineLevel="0" collapsed="false">
      <c r="U216" s="372"/>
    </row>
    <row r="217" customFormat="false" ht="12.75" hidden="false" customHeight="false" outlineLevel="0" collapsed="false">
      <c r="U217" s="372"/>
    </row>
    <row r="218" customFormat="false" ht="12.75" hidden="false" customHeight="false" outlineLevel="0" collapsed="false">
      <c r="U218" s="372"/>
    </row>
    <row r="219" customFormat="false" ht="12.75" hidden="false" customHeight="false" outlineLevel="0" collapsed="false">
      <c r="U219" s="372"/>
    </row>
    <row r="220" customFormat="false" ht="12.75" hidden="false" customHeight="false" outlineLevel="0" collapsed="false">
      <c r="U220" s="372"/>
    </row>
    <row r="221" customFormat="false" ht="12.75" hidden="false" customHeight="false" outlineLevel="0" collapsed="false">
      <c r="U221" s="372"/>
    </row>
    <row r="222" customFormat="false" ht="12.75" hidden="false" customHeight="false" outlineLevel="0" collapsed="false">
      <c r="U222" s="372"/>
    </row>
    <row r="223" customFormat="false" ht="12.75" hidden="false" customHeight="false" outlineLevel="0" collapsed="false">
      <c r="U223" s="372"/>
    </row>
    <row r="224" customFormat="false" ht="12.75" hidden="false" customHeight="false" outlineLevel="0" collapsed="false">
      <c r="U224" s="372"/>
    </row>
    <row r="225" customFormat="false" ht="12.75" hidden="false" customHeight="false" outlineLevel="0" collapsed="false">
      <c r="U225" s="372"/>
    </row>
    <row r="226" customFormat="false" ht="12.75" hidden="false" customHeight="false" outlineLevel="0" collapsed="false">
      <c r="U226" s="372"/>
    </row>
    <row r="227" customFormat="false" ht="12.75" hidden="false" customHeight="false" outlineLevel="0" collapsed="false">
      <c r="U227" s="372"/>
    </row>
    <row r="228" customFormat="false" ht="12.75" hidden="false" customHeight="false" outlineLevel="0" collapsed="false">
      <c r="U228" s="372"/>
    </row>
    <row r="229" customFormat="false" ht="12.75" hidden="false" customHeight="false" outlineLevel="0" collapsed="false">
      <c r="U229" s="372"/>
    </row>
    <row r="230" customFormat="false" ht="12.75" hidden="false" customHeight="false" outlineLevel="0" collapsed="false">
      <c r="U230" s="372"/>
    </row>
    <row r="231" customFormat="false" ht="12.75" hidden="false" customHeight="false" outlineLevel="0" collapsed="false">
      <c r="U231" s="372"/>
    </row>
    <row r="232" customFormat="false" ht="12.75" hidden="false" customHeight="false" outlineLevel="0" collapsed="false">
      <c r="U232" s="372"/>
    </row>
    <row r="233" customFormat="false" ht="12.75" hidden="false" customHeight="false" outlineLevel="0" collapsed="false">
      <c r="U233" s="372"/>
    </row>
    <row r="234" customFormat="false" ht="12.75" hidden="false" customHeight="false" outlineLevel="0" collapsed="false">
      <c r="U234" s="372"/>
    </row>
    <row r="235" customFormat="false" ht="12.75" hidden="false" customHeight="false" outlineLevel="0" collapsed="false">
      <c r="U235" s="372"/>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5" width="9.82"/>
    <col collapsed="false" customWidth="true" hidden="false" outlineLevel="0" max="2" min="2" style="346" width="14.66"/>
    <col collapsed="false" customWidth="true" hidden="false" outlineLevel="0" max="3" min="3" style="181" width="13.66"/>
    <col collapsed="false" customWidth="true" hidden="false" outlineLevel="0" max="4" min="4" style="347" width="13.66"/>
    <col collapsed="false" customWidth="true" hidden="false" outlineLevel="0" max="5" min="5" style="348" width="13.66"/>
    <col collapsed="false" customWidth="true" hidden="false" outlineLevel="0" max="6" min="6" style="181" width="13.66"/>
    <col collapsed="false" customWidth="false" hidden="false" outlineLevel="0" max="257" min="7" style="181" width="9.15"/>
  </cols>
  <sheetData>
    <row r="1" s="353" customFormat="true" ht="12.75" hidden="false" customHeight="true" outlineLevel="0" collapsed="false">
      <c r="A1" s="349" t="s">
        <v>238</v>
      </c>
      <c r="B1" s="350" t="s">
        <v>239</v>
      </c>
      <c r="C1" s="351" t="s">
        <v>240</v>
      </c>
      <c r="D1" s="352" t="n">
        <f aca="false">SUM(D4:D47)</f>
        <v>0</v>
      </c>
      <c r="E1" s="351" t="n">
        <f aca="false">SUM(E4:E47)/2</f>
        <v>3000</v>
      </c>
      <c r="F1" s="351" t="n">
        <f aca="false">SUM(F4:F47)/2</f>
        <v>0</v>
      </c>
    </row>
    <row r="2" s="353" customFormat="true" ht="12.75" hidden="false" customHeight="true" outlineLevel="0" collapsed="false">
      <c r="A2" s="349"/>
      <c r="B2" s="350"/>
      <c r="C2" s="354" t="s">
        <v>241</v>
      </c>
      <c r="D2" s="355" t="s">
        <v>242</v>
      </c>
      <c r="E2" s="354" t="s">
        <v>243</v>
      </c>
      <c r="F2" s="354" t="s">
        <v>244</v>
      </c>
    </row>
    <row r="3" s="356" customFormat="true" ht="24" hidden="false" customHeight="true" outlineLevel="0" collapsed="false">
      <c r="A3" s="349"/>
      <c r="B3" s="350"/>
      <c r="C3" s="354"/>
      <c r="D3" s="355"/>
      <c r="E3" s="354"/>
      <c r="F3" s="354"/>
    </row>
    <row r="5" customFormat="false" ht="12.75" hidden="false" customHeight="false" outlineLevel="0" collapsed="false">
      <c r="A5" s="357" t="n">
        <v>46356</v>
      </c>
      <c r="B5" s="358" t="n">
        <v>46356</v>
      </c>
      <c r="C5" s="359"/>
      <c r="D5" s="360"/>
      <c r="E5" s="361"/>
      <c r="F5" s="362"/>
    </row>
    <row r="6" customFormat="false" ht="12.75" hidden="false" customHeight="false" outlineLevel="0" collapsed="false">
      <c r="A6" s="363" t="n">
        <v>46357</v>
      </c>
      <c r="B6" s="346" t="n">
        <v>46357</v>
      </c>
      <c r="E6" s="348" t="n">
        <v>200</v>
      </c>
      <c r="F6" s="364"/>
    </row>
    <row r="7" customFormat="false" ht="12.75" hidden="false" customHeight="false" outlineLevel="0" collapsed="false">
      <c r="A7" s="363" t="n">
        <v>46358</v>
      </c>
      <c r="B7" s="346" t="n">
        <v>46358</v>
      </c>
      <c r="E7" s="348" t="n">
        <v>200</v>
      </c>
      <c r="F7" s="364"/>
    </row>
    <row r="8" customFormat="false" ht="12.75" hidden="false" customHeight="false" outlineLevel="0" collapsed="false">
      <c r="A8" s="363" t="n">
        <v>46359</v>
      </c>
      <c r="B8" s="346" t="n">
        <v>46359</v>
      </c>
      <c r="E8" s="348" t="n">
        <v>200</v>
      </c>
      <c r="F8" s="364"/>
    </row>
    <row r="9" customFormat="false" ht="12.75" hidden="false" customHeight="false" outlineLevel="0" collapsed="false">
      <c r="A9" s="363" t="n">
        <v>46360</v>
      </c>
      <c r="B9" s="346" t="n">
        <v>46360</v>
      </c>
      <c r="E9" s="348" t="n">
        <v>200</v>
      </c>
      <c r="F9" s="364"/>
    </row>
    <row r="10" customFormat="false" ht="12.75" hidden="false" customHeight="false" outlineLevel="0" collapsed="false">
      <c r="A10" s="363" t="n">
        <v>46361</v>
      </c>
      <c r="B10" s="346" t="n">
        <v>46361</v>
      </c>
      <c r="E10" s="348" t="n">
        <v>200</v>
      </c>
      <c r="F10" s="364"/>
    </row>
    <row r="11" customFormat="false" ht="12.75" hidden="false" customHeight="false" outlineLevel="0" collapsed="false">
      <c r="A11" s="363" t="n">
        <v>46362</v>
      </c>
      <c r="B11" s="346" t="n">
        <v>46362</v>
      </c>
      <c r="F11" s="364"/>
    </row>
    <row r="12" customFormat="false" ht="12.75" hidden="false" customHeight="false" outlineLevel="0" collapsed="false">
      <c r="A12" s="363" t="n">
        <v>46362</v>
      </c>
      <c r="B12" s="346" t="s">
        <v>245</v>
      </c>
      <c r="F12" s="364"/>
    </row>
    <row r="13" customFormat="false" ht="12.75" hidden="false" customHeight="false" outlineLevel="0" collapsed="false">
      <c r="A13" s="363" t="n">
        <v>46362</v>
      </c>
      <c r="B13" s="346" t="s">
        <v>246</v>
      </c>
      <c r="F13" s="364"/>
    </row>
    <row r="14" customFormat="false" ht="12.75" hidden="false" customHeight="false" outlineLevel="0" collapsed="false">
      <c r="A14" s="365"/>
      <c r="B14" s="366"/>
      <c r="C14" s="367"/>
      <c r="D14" s="368"/>
      <c r="E14" s="369" t="n">
        <f aca="false">SUM(E5:E13)</f>
        <v>1000</v>
      </c>
      <c r="F14" s="370" t="n">
        <f aca="false">SUM(F5:F13)</f>
        <v>0</v>
      </c>
    </row>
    <row r="16" customFormat="false" ht="12.75" hidden="false" customHeight="false" outlineLevel="0" collapsed="false">
      <c r="A16" s="357" t="n">
        <v>46363</v>
      </c>
      <c r="B16" s="358" t="n">
        <v>46363</v>
      </c>
      <c r="C16" s="359"/>
      <c r="D16" s="360"/>
      <c r="E16" s="361"/>
      <c r="F16" s="362"/>
    </row>
    <row r="17" customFormat="false" ht="12.75" hidden="false" customHeight="false" outlineLevel="0" collapsed="false">
      <c r="A17" s="363" t="n">
        <v>46364</v>
      </c>
      <c r="B17" s="346" t="n">
        <v>46364</v>
      </c>
      <c r="E17" s="348" t="n">
        <v>200</v>
      </c>
      <c r="F17" s="364"/>
    </row>
    <row r="18" customFormat="false" ht="12.75" hidden="false" customHeight="false" outlineLevel="0" collapsed="false">
      <c r="A18" s="363" t="n">
        <v>46365</v>
      </c>
      <c r="B18" s="346" t="n">
        <v>46365</v>
      </c>
      <c r="E18" s="348" t="n">
        <v>200</v>
      </c>
      <c r="F18" s="364"/>
    </row>
    <row r="19" customFormat="false" ht="12.75" hidden="false" customHeight="false" outlineLevel="0" collapsed="false">
      <c r="A19" s="363" t="n">
        <v>46366</v>
      </c>
      <c r="B19" s="346" t="n">
        <v>46366</v>
      </c>
      <c r="E19" s="348" t="n">
        <v>200</v>
      </c>
      <c r="F19" s="364"/>
    </row>
    <row r="20" customFormat="false" ht="12.75" hidden="false" customHeight="false" outlineLevel="0" collapsed="false">
      <c r="A20" s="363" t="n">
        <v>46367</v>
      </c>
      <c r="B20" s="346" t="n">
        <v>46367</v>
      </c>
      <c r="E20" s="348" t="n">
        <v>200</v>
      </c>
      <c r="F20" s="364"/>
    </row>
    <row r="21" customFormat="false" ht="12.75" hidden="false" customHeight="false" outlineLevel="0" collapsed="false">
      <c r="A21" s="363" t="n">
        <v>46368</v>
      </c>
      <c r="B21" s="346" t="n">
        <v>46368</v>
      </c>
      <c r="E21" s="348" t="n">
        <v>200</v>
      </c>
      <c r="F21" s="364"/>
    </row>
    <row r="22" customFormat="false" ht="12.75" hidden="false" customHeight="false" outlineLevel="0" collapsed="false">
      <c r="A22" s="363" t="n">
        <v>46369</v>
      </c>
      <c r="B22" s="346" t="n">
        <v>46369</v>
      </c>
      <c r="F22" s="364"/>
    </row>
    <row r="23" customFormat="false" ht="12.75" hidden="false" customHeight="false" outlineLevel="0" collapsed="false">
      <c r="A23" s="363" t="n">
        <v>46369</v>
      </c>
      <c r="B23" s="346" t="s">
        <v>245</v>
      </c>
      <c r="F23" s="364"/>
    </row>
    <row r="24" customFormat="false" ht="12.75" hidden="false" customHeight="false" outlineLevel="0" collapsed="false">
      <c r="A24" s="363" t="n">
        <v>46369</v>
      </c>
      <c r="B24" s="346" t="s">
        <v>246</v>
      </c>
      <c r="F24" s="364"/>
    </row>
    <row r="25" customFormat="false" ht="12.75" hidden="false" customHeight="false" outlineLevel="0" collapsed="false">
      <c r="A25" s="365"/>
      <c r="B25" s="366"/>
      <c r="C25" s="367"/>
      <c r="D25" s="368"/>
      <c r="E25" s="369" t="n">
        <f aca="false">SUM(E16:E24)</f>
        <v>1000</v>
      </c>
      <c r="F25" s="370" t="n">
        <f aca="false">SUM(F16:F24)</f>
        <v>0</v>
      </c>
    </row>
    <row r="27" customFormat="false" ht="12.75" hidden="false" customHeight="false" outlineLevel="0" collapsed="false">
      <c r="A27" s="357" t="n">
        <v>46370</v>
      </c>
      <c r="B27" s="358" t="n">
        <v>46370</v>
      </c>
      <c r="C27" s="359"/>
      <c r="D27" s="360"/>
      <c r="E27" s="361"/>
      <c r="F27" s="362"/>
    </row>
    <row r="28" customFormat="false" ht="12.75" hidden="false" customHeight="false" outlineLevel="0" collapsed="false">
      <c r="A28" s="363" t="n">
        <v>46371</v>
      </c>
      <c r="B28" s="346" t="n">
        <v>46371</v>
      </c>
      <c r="E28" s="348" t="n">
        <v>200</v>
      </c>
      <c r="F28" s="364"/>
    </row>
    <row r="29" customFormat="false" ht="12.75" hidden="false" customHeight="false" outlineLevel="0" collapsed="false">
      <c r="A29" s="363" t="n">
        <v>46372</v>
      </c>
      <c r="B29" s="346" t="n">
        <v>46372</v>
      </c>
      <c r="E29" s="348" t="n">
        <v>200</v>
      </c>
      <c r="F29" s="364"/>
    </row>
    <row r="30" customFormat="false" ht="12.75" hidden="false" customHeight="false" outlineLevel="0" collapsed="false">
      <c r="A30" s="363" t="n">
        <v>46373</v>
      </c>
      <c r="B30" s="346" t="n">
        <v>46373</v>
      </c>
      <c r="E30" s="348" t="n">
        <v>200</v>
      </c>
      <c r="F30" s="364"/>
    </row>
    <row r="31" customFormat="false" ht="12.75" hidden="false" customHeight="false" outlineLevel="0" collapsed="false">
      <c r="A31" s="363" t="n">
        <v>46374</v>
      </c>
      <c r="B31" s="346" t="n">
        <v>46374</v>
      </c>
      <c r="E31" s="348" t="n">
        <v>200</v>
      </c>
      <c r="F31" s="364"/>
    </row>
    <row r="32" customFormat="false" ht="12.75" hidden="false" customHeight="false" outlineLevel="0" collapsed="false">
      <c r="A32" s="363" t="n">
        <v>46375</v>
      </c>
      <c r="B32" s="346" t="n">
        <v>46375</v>
      </c>
      <c r="E32" s="348" t="n">
        <v>200</v>
      </c>
      <c r="F32" s="364"/>
    </row>
    <row r="33" customFormat="false" ht="12.75" hidden="false" customHeight="false" outlineLevel="0" collapsed="false">
      <c r="A33" s="363" t="n">
        <v>46376</v>
      </c>
      <c r="B33" s="346" t="n">
        <v>46376</v>
      </c>
      <c r="F33" s="364"/>
    </row>
    <row r="34" customFormat="false" ht="12.75" hidden="false" customHeight="false" outlineLevel="0" collapsed="false">
      <c r="A34" s="363" t="n">
        <v>46376</v>
      </c>
      <c r="B34" s="346" t="s">
        <v>245</v>
      </c>
      <c r="F34" s="364"/>
    </row>
    <row r="35" customFormat="false" ht="12.75" hidden="false" customHeight="false" outlineLevel="0" collapsed="false">
      <c r="A35" s="363" t="n">
        <v>46376</v>
      </c>
      <c r="B35" s="346" t="s">
        <v>246</v>
      </c>
      <c r="F35" s="364"/>
    </row>
    <row r="36" customFormat="false" ht="12.75" hidden="false" customHeight="false" outlineLevel="0" collapsed="false">
      <c r="A36" s="365"/>
      <c r="B36" s="366"/>
      <c r="C36" s="367"/>
      <c r="D36" s="368"/>
      <c r="E36" s="369" t="n">
        <f aca="false">SUM(E27:E35)</f>
        <v>1000</v>
      </c>
      <c r="F36" s="370" t="n">
        <f aca="false">SUM(F27:F35)</f>
        <v>0</v>
      </c>
    </row>
    <row r="38" customFormat="false" ht="12.75" hidden="false" customHeight="false" outlineLevel="0" collapsed="false">
      <c r="A38" s="357" t="n">
        <v>46377</v>
      </c>
      <c r="B38" s="358" t="n">
        <v>46377</v>
      </c>
      <c r="C38" s="359"/>
      <c r="D38" s="360"/>
      <c r="E38" s="361"/>
      <c r="F38" s="362"/>
    </row>
    <row r="39" customFormat="false" ht="12.75" hidden="false" customHeight="false" outlineLevel="0" collapsed="false">
      <c r="A39" s="363" t="n">
        <v>46378</v>
      </c>
      <c r="B39" s="346" t="n">
        <v>46378</v>
      </c>
      <c r="F39" s="364"/>
    </row>
    <row r="40" customFormat="false" ht="12.75" hidden="false" customHeight="false" outlineLevel="0" collapsed="false">
      <c r="A40" s="363" t="n">
        <v>46379</v>
      </c>
      <c r="B40" s="346" t="n">
        <v>46379</v>
      </c>
      <c r="F40" s="364"/>
    </row>
    <row r="41" customFormat="false" ht="12.75" hidden="false" customHeight="false" outlineLevel="0" collapsed="false">
      <c r="A41" s="363" t="n">
        <v>46380</v>
      </c>
      <c r="B41" s="346" t="n">
        <v>46380</v>
      </c>
      <c r="F41" s="364"/>
    </row>
    <row r="42" customFormat="false" ht="12.75" hidden="false" customHeight="false" outlineLevel="0" collapsed="false">
      <c r="A42" s="363" t="n">
        <v>46381</v>
      </c>
      <c r="B42" s="346" t="n">
        <v>46381</v>
      </c>
      <c r="F42" s="364"/>
    </row>
    <row r="43" customFormat="false" ht="12.75" hidden="false" customHeight="false" outlineLevel="0" collapsed="false">
      <c r="A43" s="363" t="n">
        <v>46382</v>
      </c>
      <c r="B43" s="346" t="n">
        <v>46382</v>
      </c>
      <c r="F43" s="364"/>
    </row>
    <row r="44" customFormat="false" ht="12.75" hidden="false" customHeight="false" outlineLevel="0" collapsed="false">
      <c r="A44" s="363" t="n">
        <v>46383</v>
      </c>
      <c r="B44" s="346" t="n">
        <v>46383</v>
      </c>
      <c r="F44" s="364"/>
    </row>
    <row r="45" customFormat="false" ht="12.75" hidden="false" customHeight="false" outlineLevel="0" collapsed="false">
      <c r="A45" s="363" t="n">
        <v>46383</v>
      </c>
      <c r="B45" s="346" t="s">
        <v>245</v>
      </c>
      <c r="F45" s="364"/>
    </row>
    <row r="46" customFormat="false" ht="12.75" hidden="false" customHeight="false" outlineLevel="0" collapsed="false">
      <c r="A46" s="363" t="n">
        <v>46383</v>
      </c>
      <c r="B46" s="346" t="s">
        <v>246</v>
      </c>
      <c r="F46" s="364"/>
    </row>
    <row r="47" customFormat="false" ht="12.75" hidden="false" customHeight="false" outlineLevel="0" collapsed="false">
      <c r="A47" s="365"/>
      <c r="B47" s="366"/>
      <c r="C47" s="367"/>
      <c r="D47" s="368"/>
      <c r="E47" s="369" t="n">
        <f aca="false">SUM(E38:E46)</f>
        <v>0</v>
      </c>
      <c r="F47" s="370"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1" width="9.66"/>
    <col collapsed="false" customWidth="true" hidden="false" outlineLevel="0" max="2" min="2" style="180" width="23.99"/>
    <col collapsed="false" customWidth="true" hidden="false" outlineLevel="0" max="3" min="3" style="180" width="15.99"/>
    <col collapsed="false" customWidth="false" hidden="false" outlineLevel="0" max="5" min="4" style="372" width="9.15"/>
    <col collapsed="false" customWidth="true" hidden="false" outlineLevel="0" max="6" min="6" style="373"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99"/>
    <col collapsed="false" customWidth="false" hidden="false" outlineLevel="0" max="14" min="14" style="181" width="9.15"/>
    <col collapsed="false" customWidth="true" hidden="false" outlineLevel="0" max="15" min="15" style="181" width="9.33"/>
    <col collapsed="false" customWidth="true" hidden="false" outlineLevel="0" max="18" min="16" style="181" width="7.66"/>
    <col collapsed="false" customWidth="true" hidden="false" outlineLevel="0" max="19" min="19" style="181" width="8.66"/>
    <col collapsed="false" customWidth="true" hidden="false" outlineLevel="0" max="20" min="20" style="180" width="12.82"/>
    <col collapsed="false" customWidth="true" hidden="false" outlineLevel="0" max="21" min="21" style="181" width="8.49"/>
    <col collapsed="false" customWidth="false" hidden="false" outlineLevel="0" max="257" min="22" style="180" width="9.15"/>
  </cols>
  <sheetData>
    <row r="1" s="181" customFormat="true" ht="13.5" hidden="false" customHeight="true" outlineLevel="0" collapsed="false">
      <c r="A1" s="390" t="n">
        <f aca="false">E1+SalesDec!$D$1+PurchasesNov!A1</f>
        <v>0</v>
      </c>
      <c r="B1" s="391" t="s">
        <v>247</v>
      </c>
      <c r="C1" s="392" t="s">
        <v>240</v>
      </c>
      <c r="D1" s="376" t="str">
        <f aca="false">IF((F1-SUM(G1:S1)&lt;&gt;0),(F1-SUM(G1:S1))," ")</f>
        <v> </v>
      </c>
      <c r="E1" s="352" t="n">
        <f aca="false">SUM(E5:E199)</f>
        <v>0</v>
      </c>
      <c r="F1" s="351" t="n">
        <f aca="false">SUM(F5:F199)</f>
        <v>300</v>
      </c>
      <c r="G1" s="351" t="n">
        <f aca="false">SUM(G5:G199)</f>
        <v>300</v>
      </c>
      <c r="H1" s="351" t="n">
        <f aca="false">SUM(H5:H199)</f>
        <v>0</v>
      </c>
      <c r="I1" s="351" t="n">
        <f aca="false">SUM(I5:I199)</f>
        <v>0</v>
      </c>
      <c r="J1" s="351" t="n">
        <f aca="false">SUM(J5:J199)</f>
        <v>0</v>
      </c>
      <c r="K1" s="351" t="n">
        <f aca="false">SUM(K5:K199)</f>
        <v>0</v>
      </c>
      <c r="L1" s="351" t="n">
        <f aca="false">SUM(L5:L199)</f>
        <v>0</v>
      </c>
      <c r="M1" s="351" t="n">
        <f aca="false">SUM(M5:M199)</f>
        <v>0</v>
      </c>
      <c r="N1" s="351" t="n">
        <f aca="false">SUM(N5:N199)</f>
        <v>0</v>
      </c>
      <c r="O1" s="351" t="n">
        <f aca="false">SUM(O5:O199)</f>
        <v>0</v>
      </c>
      <c r="P1" s="351" t="n">
        <f aca="false">SUM(P5:P199)</f>
        <v>0</v>
      </c>
      <c r="Q1" s="351" t="n">
        <f aca="false">SUM(Q5:Q199)</f>
        <v>0</v>
      </c>
      <c r="R1" s="351" t="n">
        <f aca="false">SUM(R5:R199)</f>
        <v>0</v>
      </c>
      <c r="S1" s="393" t="n">
        <f aca="false">SUM(S5:S199)</f>
        <v>0</v>
      </c>
      <c r="T1" s="394" t="n">
        <f aca="false">S1+PurchasesNov!T1</f>
        <v>8000</v>
      </c>
      <c r="U1" s="393" t="n">
        <f aca="false">SUM(U4:U199)</f>
        <v>0</v>
      </c>
    </row>
    <row r="2" s="181" customFormat="true" ht="13.5" hidden="false" customHeight="true" outlineLevel="0" collapsed="false">
      <c r="A2" s="395" t="n">
        <f aca="false">U1+PurchasesNov!A2</f>
        <v>0</v>
      </c>
      <c r="B2" s="240" t="s">
        <v>248</v>
      </c>
      <c r="C2" s="379" t="s">
        <v>249</v>
      </c>
      <c r="D2" s="379" t="s">
        <v>250</v>
      </c>
      <c r="E2" s="379" t="s">
        <v>251</v>
      </c>
      <c r="F2" s="207" t="s">
        <v>252</v>
      </c>
      <c r="G2" s="380" t="s">
        <v>253</v>
      </c>
      <c r="H2" s="380"/>
      <c r="I2" s="381" t="n">
        <f aca="false">G1+H1+I1+J1+PurchasesNov!I2</f>
        <v>4080</v>
      </c>
      <c r="J2" s="381"/>
      <c r="K2" s="207" t="s">
        <v>254</v>
      </c>
      <c r="L2" s="207" t="s">
        <v>255</v>
      </c>
      <c r="M2" s="207" t="s">
        <v>256</v>
      </c>
      <c r="N2" s="207" t="s">
        <v>288</v>
      </c>
      <c r="O2" s="207" t="s">
        <v>258</v>
      </c>
      <c r="P2" s="207" t="s">
        <v>259</v>
      </c>
      <c r="Q2" s="207" t="s">
        <v>260</v>
      </c>
      <c r="R2" s="207" t="s">
        <v>261</v>
      </c>
      <c r="S2" s="382" t="s">
        <v>262</v>
      </c>
      <c r="T2" s="383" t="str">
        <f aca="false">IF(T1&gt;'Fixed Assets'!$D$74,"ENTER VEHICLE CHANGES        on Fixed Asset schedule","Motor Vehicles: make, model, date reg. and reg. Mark")</f>
        <v>ENTER VEHICLE CHANGES        on Fixed Asset schedule</v>
      </c>
      <c r="U2" s="382" t="s">
        <v>116</v>
      </c>
    </row>
    <row r="3" s="385" customFormat="true" ht="45" hidden="false" customHeight="true" outlineLevel="0" collapsed="false">
      <c r="A3" s="384" t="s">
        <v>263</v>
      </c>
      <c r="B3" s="207" t="s">
        <v>264</v>
      </c>
      <c r="C3" s="379"/>
      <c r="D3" s="379"/>
      <c r="E3" s="379"/>
      <c r="F3" s="379"/>
      <c r="G3" s="207" t="s">
        <v>111</v>
      </c>
      <c r="H3" s="207" t="s">
        <v>265</v>
      </c>
      <c r="I3" s="207" t="s">
        <v>113</v>
      </c>
      <c r="J3" s="207" t="s">
        <v>114</v>
      </c>
      <c r="K3" s="207"/>
      <c r="L3" s="207"/>
      <c r="M3" s="207"/>
      <c r="N3" s="207"/>
      <c r="O3" s="207"/>
      <c r="P3" s="207"/>
      <c r="Q3" s="207"/>
      <c r="R3" s="207"/>
      <c r="S3" s="382"/>
      <c r="T3" s="383"/>
      <c r="U3" s="382"/>
    </row>
    <row r="4" s="388" customFormat="true" ht="12.75" hidden="false" customHeight="false" outlineLevel="0" collapsed="false">
      <c r="A4" s="386" t="str">
        <f aca="false">IF((E1&lt;&gt;0),Admin!$B$13," ")</f>
        <v> </v>
      </c>
      <c r="B4" s="207"/>
      <c r="C4" s="207"/>
      <c r="D4" s="207"/>
      <c r="E4" s="207"/>
      <c r="F4" s="207"/>
      <c r="G4" s="375" t="s">
        <v>266</v>
      </c>
      <c r="H4" s="375" t="s">
        <v>267</v>
      </c>
      <c r="I4" s="375" t="s">
        <v>268</v>
      </c>
      <c r="J4" s="375" t="s">
        <v>269</v>
      </c>
      <c r="K4" s="375" t="s">
        <v>270</v>
      </c>
      <c r="L4" s="375" t="s">
        <v>271</v>
      </c>
      <c r="M4" s="375" t="s">
        <v>272</v>
      </c>
      <c r="N4" s="375" t="s">
        <v>273</v>
      </c>
      <c r="O4" s="375" t="s">
        <v>274</v>
      </c>
      <c r="P4" s="375" t="s">
        <v>275</v>
      </c>
      <c r="Q4" s="375" t="s">
        <v>276</v>
      </c>
      <c r="R4" s="375" t="s">
        <v>277</v>
      </c>
      <c r="S4" s="387" t="s">
        <v>278</v>
      </c>
      <c r="T4" s="383"/>
      <c r="U4" s="394" t="n">
        <f aca="false">IF((A1&lt;Admin!$F$22),((A1-PurchasesNov!A1)*Admin!$G$21),(A1*Admin!$G$21-(A1-Admin!$F$21)*(Admin!$G$21-Admin!$G$22)-PurchasesNov!A2))</f>
        <v>0</v>
      </c>
    </row>
    <row r="5" s="372" customFormat="true" ht="12.75" hidden="false" customHeight="false" outlineLevel="0" collapsed="false">
      <c r="A5" s="371" t="n">
        <v>46371</v>
      </c>
      <c r="B5" s="389" t="s">
        <v>284</v>
      </c>
      <c r="D5" s="372" t="s">
        <v>285</v>
      </c>
      <c r="F5" s="372"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2"/>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2"/>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2"/>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2"/>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2"/>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2"/>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2"/>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2"/>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2"/>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2"/>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2"/>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2"/>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2"/>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2"/>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2"/>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2"/>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2"/>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2"/>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2"/>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2"/>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2"/>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2"/>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2"/>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2"/>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2"/>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2"/>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2"/>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2"/>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2"/>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2"/>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2"/>
    </row>
    <row r="37" customFormat="false" ht="12.75" hidden="false" customHeight="false" outlineLevel="0" collapsed="false">
      <c r="D37" s="372"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2"/>
    </row>
    <row r="38" customFormat="false" ht="12.75" hidden="false" customHeight="false" outlineLevel="0" collapsed="false">
      <c r="D38" s="372"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2"/>
    </row>
    <row r="39" customFormat="false" ht="12.75" hidden="false" customHeight="false" outlineLevel="0" collapsed="false">
      <c r="D39" s="372"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2"/>
    </row>
    <row r="40" customFormat="false" ht="12.75" hidden="false" customHeight="false" outlineLevel="0" collapsed="false">
      <c r="D40" s="372"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2"/>
    </row>
    <row r="41" customFormat="false" ht="12.75" hidden="false" customHeight="false" outlineLevel="0" collapsed="false">
      <c r="D41" s="372"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2"/>
    </row>
    <row r="42" customFormat="false" ht="12.75" hidden="false" customHeight="false" outlineLevel="0" collapsed="false">
      <c r="D42" s="372"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2"/>
    </row>
    <row r="43" customFormat="false" ht="12.75" hidden="false" customHeight="false" outlineLevel="0" collapsed="false">
      <c r="D43" s="372"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2"/>
    </row>
    <row r="44" customFormat="false" ht="12.75" hidden="false" customHeight="false" outlineLevel="0" collapsed="false">
      <c r="D44" s="372"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2"/>
    </row>
    <row r="45" customFormat="false" ht="12.75" hidden="false" customHeight="false" outlineLevel="0" collapsed="false">
      <c r="D45" s="372"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2"/>
    </row>
    <row r="46" customFormat="false" ht="12.75" hidden="false" customHeight="false" outlineLevel="0" collapsed="false">
      <c r="D46" s="372"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2"/>
    </row>
    <row r="47" customFormat="false" ht="12.75" hidden="false" customHeight="false" outlineLevel="0" collapsed="false">
      <c r="D47" s="372"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2"/>
    </row>
    <row r="48" customFormat="false" ht="12.75" hidden="false" customHeight="false" outlineLevel="0" collapsed="false">
      <c r="D48" s="372"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2"/>
    </row>
    <row r="49" customFormat="false" ht="12.75" hidden="false" customHeight="false" outlineLevel="0" collapsed="false">
      <c r="D49" s="372"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2"/>
    </row>
    <row r="50" customFormat="false" ht="12.75" hidden="false" customHeight="false" outlineLevel="0" collapsed="false">
      <c r="D50" s="372"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2"/>
    </row>
    <row r="51" customFormat="false" ht="12.75" hidden="false" customHeight="false" outlineLevel="0" collapsed="false">
      <c r="D51" s="372"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2"/>
    </row>
    <row r="52" customFormat="false" ht="12.75" hidden="false" customHeight="false" outlineLevel="0" collapsed="false">
      <c r="D52" s="372"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2"/>
    </row>
    <row r="53" customFormat="false" ht="12.75" hidden="false" customHeight="false" outlineLevel="0" collapsed="false">
      <c r="D53" s="372"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2"/>
    </row>
    <row r="54" customFormat="false" ht="12.75" hidden="false" customHeight="false" outlineLevel="0" collapsed="false">
      <c r="D54" s="372"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2"/>
    </row>
    <row r="55" customFormat="false" ht="12.75" hidden="false" customHeight="false" outlineLevel="0" collapsed="false">
      <c r="D55" s="372"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2"/>
    </row>
    <row r="56" customFormat="false" ht="12.75" hidden="false" customHeight="false" outlineLevel="0" collapsed="false">
      <c r="D56" s="372"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2"/>
    </row>
    <row r="57" customFormat="false" ht="12.75" hidden="false" customHeight="false" outlineLevel="0" collapsed="false">
      <c r="D57" s="372"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2"/>
    </row>
    <row r="58" customFormat="false" ht="12.75" hidden="false" customHeight="false" outlineLevel="0" collapsed="false">
      <c r="D58" s="372"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2"/>
    </row>
    <row r="59" customFormat="false" ht="12.75" hidden="false" customHeight="false" outlineLevel="0" collapsed="false">
      <c r="D59" s="372"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2"/>
    </row>
    <row r="60" customFormat="false" ht="12.75" hidden="false" customHeight="false" outlineLevel="0" collapsed="false">
      <c r="D60" s="372"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2"/>
    </row>
    <row r="61" customFormat="false" ht="12.75" hidden="false" customHeight="false" outlineLevel="0" collapsed="false">
      <c r="D61" s="372"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2"/>
    </row>
    <row r="62" customFormat="false" ht="12.75" hidden="false" customHeight="false" outlineLevel="0" collapsed="false">
      <c r="D62" s="372"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2"/>
    </row>
    <row r="63" customFormat="false" ht="12.75" hidden="false" customHeight="false" outlineLevel="0" collapsed="false">
      <c r="D63" s="372"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2"/>
    </row>
    <row r="64" customFormat="false" ht="12.75" hidden="false" customHeight="false" outlineLevel="0" collapsed="false">
      <c r="D64" s="372"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2"/>
    </row>
    <row r="65" customFormat="false" ht="12.75" hidden="false" customHeight="false" outlineLevel="0" collapsed="false">
      <c r="D65" s="372"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2"/>
    </row>
    <row r="66" customFormat="false" ht="12.75" hidden="false" customHeight="false" outlineLevel="0" collapsed="false">
      <c r="D66" s="372"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2"/>
    </row>
    <row r="67" customFormat="false" ht="12.75" hidden="false" customHeight="false" outlineLevel="0" collapsed="false">
      <c r="D67" s="372"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2"/>
    </row>
    <row r="68" customFormat="false" ht="12.75" hidden="false" customHeight="false" outlineLevel="0" collapsed="false">
      <c r="D68" s="372"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2"/>
    </row>
    <row r="69" customFormat="false" ht="12.75" hidden="false" customHeight="false" outlineLevel="0" collapsed="false">
      <c r="D69" s="372"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2"/>
    </row>
    <row r="70" customFormat="false" ht="12.75" hidden="false" customHeight="false" outlineLevel="0" collapsed="false">
      <c r="D70" s="372"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2"/>
    </row>
    <row r="71" customFormat="false" ht="12.75" hidden="false" customHeight="false" outlineLevel="0" collapsed="false">
      <c r="D71" s="372"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2"/>
    </row>
    <row r="72" customFormat="false" ht="12.75" hidden="false" customHeight="false" outlineLevel="0" collapsed="false">
      <c r="D72" s="372"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2"/>
    </row>
    <row r="73" customFormat="false" ht="12.75" hidden="false" customHeight="false" outlineLevel="0" collapsed="false">
      <c r="D73" s="372"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2"/>
    </row>
    <row r="74" customFormat="false" ht="12.75" hidden="false" customHeight="false" outlineLevel="0" collapsed="false">
      <c r="D74" s="372"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2"/>
    </row>
    <row r="75" customFormat="false" ht="12.75" hidden="false" customHeight="false" outlineLevel="0" collapsed="false">
      <c r="D75" s="372"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2"/>
    </row>
    <row r="76" customFormat="false" ht="12.75" hidden="false" customHeight="false" outlineLevel="0" collapsed="false">
      <c r="D76" s="372"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2"/>
    </row>
    <row r="77" customFormat="false" ht="12.75" hidden="false" customHeight="false" outlineLevel="0" collapsed="false">
      <c r="D77" s="372"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2"/>
    </row>
    <row r="78" customFormat="false" ht="12.75" hidden="false" customHeight="false" outlineLevel="0" collapsed="false">
      <c r="D78" s="372"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2"/>
    </row>
    <row r="79" customFormat="false" ht="12.75" hidden="false" customHeight="false" outlineLevel="0" collapsed="false">
      <c r="D79" s="372"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2"/>
    </row>
    <row r="80" customFormat="false" ht="12.75" hidden="false" customHeight="false" outlineLevel="0" collapsed="false">
      <c r="D80" s="372"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2"/>
    </row>
    <row r="81" customFormat="false" ht="12.75" hidden="false" customHeight="false" outlineLevel="0" collapsed="false">
      <c r="D81" s="372"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2"/>
    </row>
    <row r="82" customFormat="false" ht="12.75" hidden="false" customHeight="false" outlineLevel="0" collapsed="false">
      <c r="D82" s="372"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2"/>
    </row>
    <row r="83" customFormat="false" ht="12.75" hidden="false" customHeight="false" outlineLevel="0" collapsed="false">
      <c r="D83" s="372"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2"/>
    </row>
    <row r="84" customFormat="false" ht="12.75" hidden="false" customHeight="false" outlineLevel="0" collapsed="false">
      <c r="D84" s="372"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2"/>
    </row>
    <row r="85" customFormat="false" ht="12.75" hidden="false" customHeight="false" outlineLevel="0" collapsed="false">
      <c r="D85" s="372"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2"/>
    </row>
    <row r="86" customFormat="false" ht="12.75" hidden="false" customHeight="false" outlineLevel="0" collapsed="false">
      <c r="D86" s="372"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2"/>
    </row>
    <row r="87" customFormat="false" ht="12.75" hidden="false" customHeight="false" outlineLevel="0" collapsed="false">
      <c r="D87" s="372"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2"/>
    </row>
    <row r="88" customFormat="false" ht="12.75" hidden="false" customHeight="false" outlineLevel="0" collapsed="false">
      <c r="D88" s="372"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2"/>
    </row>
    <row r="89" customFormat="false" ht="12.75" hidden="false" customHeight="false" outlineLevel="0" collapsed="false">
      <c r="D89" s="372"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2"/>
    </row>
    <row r="90" customFormat="false" ht="12.75" hidden="false" customHeight="false" outlineLevel="0" collapsed="false">
      <c r="D90" s="372"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2"/>
    </row>
    <row r="91" customFormat="false" ht="12.75" hidden="false" customHeight="false" outlineLevel="0" collapsed="false">
      <c r="D91" s="372"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2"/>
    </row>
    <row r="92" customFormat="false" ht="12.75" hidden="false" customHeight="false" outlineLevel="0" collapsed="false">
      <c r="D92" s="372"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2"/>
    </row>
    <row r="93" customFormat="false" ht="12.75" hidden="false" customHeight="false" outlineLevel="0" collapsed="false">
      <c r="D93" s="372"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2"/>
    </row>
    <row r="94" customFormat="false" ht="12.75" hidden="false" customHeight="false" outlineLevel="0" collapsed="false">
      <c r="D94" s="372"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2"/>
    </row>
    <row r="95" customFormat="false" ht="12.75" hidden="false" customHeight="false" outlineLevel="0" collapsed="false">
      <c r="D95" s="372"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2"/>
    </row>
    <row r="96" customFormat="false" ht="12.75" hidden="false" customHeight="false" outlineLevel="0" collapsed="false">
      <c r="D96" s="372"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2"/>
    </row>
    <row r="97" customFormat="false" ht="12.75" hidden="false" customHeight="false" outlineLevel="0" collapsed="false">
      <c r="D97" s="372"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2"/>
    </row>
    <row r="98" customFormat="false" ht="12.75" hidden="false" customHeight="false" outlineLevel="0" collapsed="false">
      <c r="D98" s="372"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2"/>
    </row>
    <row r="99" customFormat="false" ht="12.75" hidden="false" customHeight="false" outlineLevel="0" collapsed="false">
      <c r="D99" s="372"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2"/>
    </row>
    <row r="100" customFormat="false" ht="12.75" hidden="false" customHeight="false" outlineLevel="0" collapsed="false">
      <c r="D100" s="372"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2"/>
    </row>
    <row r="101" customFormat="false" ht="12.75" hidden="false" customHeight="false" outlineLevel="0" collapsed="false">
      <c r="D101" s="372"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2"/>
    </row>
    <row r="102" customFormat="false" ht="12.75" hidden="false" customHeight="false" outlineLevel="0" collapsed="false">
      <c r="D102" s="372"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2"/>
    </row>
    <row r="103" customFormat="false" ht="12.75" hidden="false" customHeight="false" outlineLevel="0" collapsed="false">
      <c r="D103" s="372"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2"/>
    </row>
    <row r="104" customFormat="false" ht="12.75" hidden="false" customHeight="false" outlineLevel="0" collapsed="false">
      <c r="D104" s="372"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2"/>
    </row>
    <row r="105" customFormat="false" ht="12.75" hidden="false" customHeight="false" outlineLevel="0" collapsed="false">
      <c r="D105" s="372"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2"/>
    </row>
    <row r="106" customFormat="false" ht="12.75" hidden="false" customHeight="false" outlineLevel="0" collapsed="false">
      <c r="D106" s="372"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2"/>
    </row>
    <row r="107" customFormat="false" ht="12.75" hidden="false" customHeight="false" outlineLevel="0" collapsed="false">
      <c r="D107" s="372"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2"/>
    </row>
    <row r="108" customFormat="false" ht="12.75" hidden="false" customHeight="false" outlineLevel="0" collapsed="false">
      <c r="D108" s="372"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2"/>
    </row>
    <row r="109" customFormat="false" ht="12.75" hidden="false" customHeight="false" outlineLevel="0" collapsed="false">
      <c r="D109" s="372"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2"/>
    </row>
    <row r="110" customFormat="false" ht="12.75" hidden="false" customHeight="false" outlineLevel="0" collapsed="false">
      <c r="D110" s="372"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2"/>
    </row>
    <row r="111" customFormat="false" ht="12.75" hidden="false" customHeight="false" outlineLevel="0" collapsed="false">
      <c r="D111" s="372"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2"/>
    </row>
    <row r="112" customFormat="false" ht="12.75" hidden="false" customHeight="false" outlineLevel="0" collapsed="false">
      <c r="D112" s="372"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2"/>
    </row>
    <row r="113" customFormat="false" ht="12.75" hidden="false" customHeight="false" outlineLevel="0" collapsed="false">
      <c r="D113" s="372"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2"/>
    </row>
    <row r="114" customFormat="false" ht="12.75" hidden="false" customHeight="false" outlineLevel="0" collapsed="false">
      <c r="D114" s="372"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2"/>
    </row>
    <row r="115" customFormat="false" ht="12.75" hidden="false" customHeight="false" outlineLevel="0" collapsed="false">
      <c r="D115" s="372"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2"/>
    </row>
    <row r="116" customFormat="false" ht="12.75" hidden="false" customHeight="false" outlineLevel="0" collapsed="false">
      <c r="D116" s="372"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2"/>
    </row>
    <row r="117" customFormat="false" ht="12.75" hidden="false" customHeight="false" outlineLevel="0" collapsed="false">
      <c r="D117" s="372"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2"/>
    </row>
    <row r="118" customFormat="false" ht="12.75" hidden="false" customHeight="false" outlineLevel="0" collapsed="false">
      <c r="D118" s="372"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2"/>
    </row>
    <row r="119" customFormat="false" ht="12.75" hidden="false" customHeight="false" outlineLevel="0" collapsed="false">
      <c r="D119" s="372"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2"/>
    </row>
    <row r="120" customFormat="false" ht="12.75" hidden="false" customHeight="false" outlineLevel="0" collapsed="false">
      <c r="D120" s="372"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2"/>
    </row>
    <row r="121" customFormat="false" ht="12.75" hidden="false" customHeight="false" outlineLevel="0" collapsed="false">
      <c r="D121" s="372"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2"/>
    </row>
    <row r="122" customFormat="false" ht="12.75" hidden="false" customHeight="false" outlineLevel="0" collapsed="false">
      <c r="D122" s="372"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2"/>
    </row>
    <row r="123" customFormat="false" ht="12.75" hidden="false" customHeight="false" outlineLevel="0" collapsed="false">
      <c r="D123" s="372"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2"/>
    </row>
    <row r="124" customFormat="false" ht="12.75" hidden="false" customHeight="false" outlineLevel="0" collapsed="false">
      <c r="D124" s="372"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2"/>
    </row>
    <row r="125" customFormat="false" ht="12.75" hidden="false" customHeight="false" outlineLevel="0" collapsed="false">
      <c r="D125" s="372"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2"/>
    </row>
    <row r="126" customFormat="false" ht="12.75" hidden="false" customHeight="false" outlineLevel="0" collapsed="false">
      <c r="D126" s="372"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2"/>
    </row>
    <row r="127" customFormat="false" ht="12.75" hidden="false" customHeight="false" outlineLevel="0" collapsed="false">
      <c r="D127" s="372"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2"/>
    </row>
    <row r="128" customFormat="false" ht="12.75" hidden="false" customHeight="false" outlineLevel="0" collapsed="false">
      <c r="D128" s="372"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2"/>
    </row>
    <row r="129" customFormat="false" ht="12.75" hidden="false" customHeight="false" outlineLevel="0" collapsed="false">
      <c r="D129" s="372"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2"/>
    </row>
    <row r="130" customFormat="false" ht="12.75" hidden="false" customHeight="false" outlineLevel="0" collapsed="false">
      <c r="D130" s="372"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2"/>
    </row>
    <row r="131" customFormat="false" ht="12.75" hidden="false" customHeight="false" outlineLevel="0" collapsed="false">
      <c r="D131" s="372"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2"/>
    </row>
    <row r="132" customFormat="false" ht="12.75" hidden="false" customHeight="false" outlineLevel="0" collapsed="false">
      <c r="D132" s="372"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2"/>
    </row>
    <row r="133" customFormat="false" ht="12.75" hidden="false" customHeight="false" outlineLevel="0" collapsed="false">
      <c r="D133" s="372"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2"/>
    </row>
    <row r="134" customFormat="false" ht="12.75" hidden="false" customHeight="false" outlineLevel="0" collapsed="false">
      <c r="D134" s="372"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2"/>
    </row>
    <row r="135" customFormat="false" ht="12.75" hidden="false" customHeight="false" outlineLevel="0" collapsed="false">
      <c r="D135" s="372"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2"/>
    </row>
    <row r="136" customFormat="false" ht="12.75" hidden="false" customHeight="false" outlineLevel="0" collapsed="false">
      <c r="D136" s="372"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2"/>
    </row>
    <row r="137" customFormat="false" ht="12.75" hidden="false" customHeight="false" outlineLevel="0" collapsed="false">
      <c r="D137" s="372"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2"/>
    </row>
    <row r="138" customFormat="false" ht="12.75" hidden="false" customHeight="false" outlineLevel="0" collapsed="false">
      <c r="D138" s="372"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2"/>
    </row>
    <row r="139" customFormat="false" ht="12.75" hidden="false" customHeight="false" outlineLevel="0" collapsed="false">
      <c r="D139" s="372"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2"/>
    </row>
    <row r="140" customFormat="false" ht="12.75" hidden="false" customHeight="false" outlineLevel="0" collapsed="false">
      <c r="D140" s="372"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2"/>
    </row>
    <row r="141" customFormat="false" ht="12.75" hidden="false" customHeight="false" outlineLevel="0" collapsed="false">
      <c r="D141" s="372"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2"/>
    </row>
    <row r="142" customFormat="false" ht="12.75" hidden="false" customHeight="false" outlineLevel="0" collapsed="false">
      <c r="D142" s="372"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2"/>
    </row>
    <row r="143" customFormat="false" ht="12.75" hidden="false" customHeight="false" outlineLevel="0" collapsed="false">
      <c r="D143" s="372"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2"/>
    </row>
    <row r="144" customFormat="false" ht="12.75" hidden="false" customHeight="false" outlineLevel="0" collapsed="false">
      <c r="D144" s="372"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2"/>
    </row>
    <row r="145" customFormat="false" ht="12.75" hidden="false" customHeight="false" outlineLevel="0" collapsed="false">
      <c r="D145" s="372"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2"/>
    </row>
    <row r="146" customFormat="false" ht="12.75" hidden="false" customHeight="false" outlineLevel="0" collapsed="false">
      <c r="D146" s="372"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2"/>
    </row>
    <row r="147" customFormat="false" ht="12.75" hidden="false" customHeight="false" outlineLevel="0" collapsed="false">
      <c r="D147" s="372"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2"/>
    </row>
    <row r="148" customFormat="false" ht="12.75" hidden="false" customHeight="false" outlineLevel="0" collapsed="false">
      <c r="D148" s="372"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2"/>
    </row>
    <row r="149" customFormat="false" ht="12.75" hidden="false" customHeight="false" outlineLevel="0" collapsed="false">
      <c r="D149" s="372"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2"/>
    </row>
    <row r="150" customFormat="false" ht="12.75" hidden="false" customHeight="false" outlineLevel="0" collapsed="false">
      <c r="D150" s="372"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2"/>
    </row>
    <row r="151" customFormat="false" ht="12.75" hidden="false" customHeight="false" outlineLevel="0" collapsed="false">
      <c r="D151" s="372"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2"/>
    </row>
    <row r="152" customFormat="false" ht="12.75" hidden="false" customHeight="false" outlineLevel="0" collapsed="false">
      <c r="D152" s="372"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2"/>
    </row>
    <row r="153" customFormat="false" ht="12.75" hidden="false" customHeight="false" outlineLevel="0" collapsed="false">
      <c r="D153" s="372"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2"/>
    </row>
    <row r="154" customFormat="false" ht="12.75" hidden="false" customHeight="false" outlineLevel="0" collapsed="false">
      <c r="D154" s="372"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2"/>
    </row>
    <row r="155" customFormat="false" ht="12.75" hidden="false" customHeight="false" outlineLevel="0" collapsed="false">
      <c r="D155" s="372"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2"/>
    </row>
    <row r="156" customFormat="false" ht="12.75" hidden="false" customHeight="false" outlineLevel="0" collapsed="false">
      <c r="D156" s="372"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2"/>
    </row>
    <row r="157" customFormat="false" ht="12.75" hidden="false" customHeight="false" outlineLevel="0" collapsed="false">
      <c r="D157" s="372"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2"/>
    </row>
    <row r="158" customFormat="false" ht="12.75" hidden="false" customHeight="false" outlineLevel="0" collapsed="false">
      <c r="D158" s="372"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2"/>
    </row>
    <row r="159" customFormat="false" ht="12.75" hidden="false" customHeight="false" outlineLevel="0" collapsed="false">
      <c r="D159" s="372"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2"/>
    </row>
    <row r="160" customFormat="false" ht="12.75" hidden="false" customHeight="false" outlineLevel="0" collapsed="false">
      <c r="D160" s="372"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2"/>
    </row>
    <row r="161" customFormat="false" ht="12.75" hidden="false" customHeight="false" outlineLevel="0" collapsed="false">
      <c r="D161" s="372"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2"/>
    </row>
    <row r="162" customFormat="false" ht="12.75" hidden="false" customHeight="false" outlineLevel="0" collapsed="false">
      <c r="D162" s="372"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2"/>
    </row>
    <row r="163" customFormat="false" ht="12.75" hidden="false" customHeight="false" outlineLevel="0" collapsed="false">
      <c r="D163" s="372"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2"/>
    </row>
    <row r="164" customFormat="false" ht="12.75" hidden="false" customHeight="false" outlineLevel="0" collapsed="false">
      <c r="D164" s="372"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2"/>
    </row>
    <row r="165" customFormat="false" ht="12.75" hidden="false" customHeight="false" outlineLevel="0" collapsed="false">
      <c r="D165" s="372"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2"/>
    </row>
    <row r="166" customFormat="false" ht="12.75" hidden="false" customHeight="false" outlineLevel="0" collapsed="false">
      <c r="D166" s="372"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2"/>
    </row>
    <row r="167" customFormat="false" ht="12.75" hidden="false" customHeight="false" outlineLevel="0" collapsed="false">
      <c r="D167" s="372"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2"/>
    </row>
    <row r="168" customFormat="false" ht="12.75" hidden="false" customHeight="false" outlineLevel="0" collapsed="false">
      <c r="D168" s="372"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2"/>
    </row>
    <row r="169" customFormat="false" ht="12.75" hidden="false" customHeight="false" outlineLevel="0" collapsed="false">
      <c r="D169" s="372"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2"/>
    </row>
    <row r="170" customFormat="false" ht="12.75" hidden="false" customHeight="false" outlineLevel="0" collapsed="false">
      <c r="D170" s="372"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2"/>
    </row>
    <row r="171" customFormat="false" ht="12.75" hidden="false" customHeight="false" outlineLevel="0" collapsed="false">
      <c r="D171" s="372"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2"/>
    </row>
    <row r="172" customFormat="false" ht="12.75" hidden="false" customHeight="false" outlineLevel="0" collapsed="false">
      <c r="D172" s="372"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2"/>
    </row>
    <row r="173" customFormat="false" ht="12.75" hidden="false" customHeight="false" outlineLevel="0" collapsed="false">
      <c r="D173" s="372"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2"/>
    </row>
    <row r="174" customFormat="false" ht="12.75" hidden="false" customHeight="false" outlineLevel="0" collapsed="false">
      <c r="D174" s="372"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2"/>
    </row>
    <row r="175" customFormat="false" ht="12.75" hidden="false" customHeight="false" outlineLevel="0" collapsed="false">
      <c r="D175" s="372"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2"/>
    </row>
    <row r="176" customFormat="false" ht="12.75" hidden="false" customHeight="false" outlineLevel="0" collapsed="false">
      <c r="D176" s="372"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2"/>
    </row>
    <row r="177" customFormat="false" ht="12.75" hidden="false" customHeight="false" outlineLevel="0" collapsed="false">
      <c r="D177" s="372"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2"/>
    </row>
    <row r="178" customFormat="false" ht="12.75" hidden="false" customHeight="false" outlineLevel="0" collapsed="false">
      <c r="D178" s="372"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2"/>
    </row>
    <row r="179" customFormat="false" ht="12.75" hidden="false" customHeight="false" outlineLevel="0" collapsed="false">
      <c r="D179" s="372"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2"/>
    </row>
    <row r="180" customFormat="false" ht="12.75" hidden="false" customHeight="false" outlineLevel="0" collapsed="false">
      <c r="D180" s="372"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2"/>
    </row>
    <row r="181" customFormat="false" ht="12.75" hidden="false" customHeight="false" outlineLevel="0" collapsed="false">
      <c r="D181" s="372"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2"/>
    </row>
    <row r="182" customFormat="false" ht="12.75" hidden="false" customHeight="false" outlineLevel="0" collapsed="false">
      <c r="D182" s="372"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2"/>
    </row>
    <row r="183" customFormat="false" ht="12.75" hidden="false" customHeight="false" outlineLevel="0" collapsed="false">
      <c r="D183" s="372"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2"/>
    </row>
    <row r="184" customFormat="false" ht="12.75" hidden="false" customHeight="false" outlineLevel="0" collapsed="false">
      <c r="D184" s="372"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2"/>
    </row>
    <row r="185" customFormat="false" ht="12.75" hidden="false" customHeight="false" outlineLevel="0" collapsed="false">
      <c r="D185" s="372"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2"/>
    </row>
    <row r="186" customFormat="false" ht="12.75" hidden="false" customHeight="false" outlineLevel="0" collapsed="false">
      <c r="D186" s="372"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2"/>
    </row>
    <row r="187" customFormat="false" ht="12.75" hidden="false" customHeight="false" outlineLevel="0" collapsed="false">
      <c r="D187" s="372"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2"/>
    </row>
    <row r="188" customFormat="false" ht="12.75" hidden="false" customHeight="false" outlineLevel="0" collapsed="false">
      <c r="D188" s="372"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2"/>
    </row>
    <row r="189" customFormat="false" ht="12.75" hidden="false" customHeight="false" outlineLevel="0" collapsed="false">
      <c r="D189" s="372"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2"/>
    </row>
    <row r="190" customFormat="false" ht="12.75" hidden="false" customHeight="false" outlineLevel="0" collapsed="false">
      <c r="D190" s="372"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2"/>
    </row>
    <row r="191" customFormat="false" ht="12.75" hidden="false" customHeight="false" outlineLevel="0" collapsed="false">
      <c r="D191" s="372"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2"/>
    </row>
    <row r="192" customFormat="false" ht="12.75" hidden="false" customHeight="false" outlineLevel="0" collapsed="false">
      <c r="D192" s="372"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2"/>
    </row>
    <row r="193" customFormat="false" ht="12.75" hidden="false" customHeight="false" outlineLevel="0" collapsed="false">
      <c r="D193" s="372"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2"/>
    </row>
    <row r="194" customFormat="false" ht="12.75" hidden="false" customHeight="false" outlineLevel="0" collapsed="false">
      <c r="D194" s="372"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2"/>
    </row>
    <row r="195" customFormat="false" ht="12.75" hidden="false" customHeight="false" outlineLevel="0" collapsed="false">
      <c r="D195" s="372"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2"/>
    </row>
    <row r="196" customFormat="false" ht="12.75" hidden="false" customHeight="false" outlineLevel="0" collapsed="false">
      <c r="D196" s="372"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2"/>
    </row>
    <row r="197" customFormat="false" ht="12.75" hidden="false" customHeight="false" outlineLevel="0" collapsed="false">
      <c r="D197" s="372"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2"/>
    </row>
    <row r="198" customFormat="false" ht="12.75" hidden="false" customHeight="false" outlineLevel="0" collapsed="false">
      <c r="D198" s="372"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2"/>
    </row>
    <row r="199" customFormat="false" ht="12.75" hidden="false" customHeight="false" outlineLevel="0" collapsed="false">
      <c r="D199" s="372"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2"/>
    </row>
    <row r="200" customFormat="false" ht="12.75" hidden="false" customHeight="false" outlineLevel="0" collapsed="false">
      <c r="D200" s="372"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2"/>
    </row>
    <row r="201" customFormat="false" ht="12.75" hidden="false" customHeight="false" outlineLevel="0" collapsed="false">
      <c r="D201" s="372"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2"/>
    </row>
    <row r="202" customFormat="false" ht="12.75" hidden="false" customHeight="false" outlineLevel="0" collapsed="false">
      <c r="D202" s="372"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2"/>
    </row>
    <row r="203" customFormat="false" ht="12.75" hidden="false" customHeight="false" outlineLevel="0" collapsed="false">
      <c r="D203" s="372"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2"/>
    </row>
    <row r="204" customFormat="false" ht="12.75" hidden="false" customHeight="false" outlineLevel="0" collapsed="false">
      <c r="D204" s="372"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2"/>
    </row>
    <row r="205" customFormat="false" ht="12.75" hidden="false" customHeight="false" outlineLevel="0" collapsed="false">
      <c r="U205" s="372"/>
    </row>
    <row r="206" customFormat="false" ht="12.75" hidden="false" customHeight="false" outlineLevel="0" collapsed="false">
      <c r="U206" s="372"/>
    </row>
    <row r="207" customFormat="false" ht="12.75" hidden="false" customHeight="false" outlineLevel="0" collapsed="false">
      <c r="U207" s="372"/>
    </row>
    <row r="208" customFormat="false" ht="12.75" hidden="false" customHeight="false" outlineLevel="0" collapsed="false">
      <c r="U208" s="372"/>
    </row>
    <row r="209" customFormat="false" ht="12.75" hidden="false" customHeight="false" outlineLevel="0" collapsed="false">
      <c r="U209" s="372"/>
    </row>
    <row r="210" customFormat="false" ht="12.75" hidden="false" customHeight="false" outlineLevel="0" collapsed="false">
      <c r="U210" s="372"/>
    </row>
    <row r="211" customFormat="false" ht="12.75" hidden="false" customHeight="false" outlineLevel="0" collapsed="false">
      <c r="U211" s="372"/>
    </row>
    <row r="212" customFormat="false" ht="12.75" hidden="false" customHeight="false" outlineLevel="0" collapsed="false">
      <c r="U212" s="372"/>
    </row>
    <row r="213" customFormat="false" ht="12.75" hidden="false" customHeight="false" outlineLevel="0" collapsed="false">
      <c r="U213" s="372"/>
    </row>
    <row r="214" customFormat="false" ht="12.75" hidden="false" customHeight="false" outlineLevel="0" collapsed="false">
      <c r="U214" s="372"/>
    </row>
    <row r="215" customFormat="false" ht="12.75" hidden="false" customHeight="false" outlineLevel="0" collapsed="false">
      <c r="U215" s="372"/>
    </row>
    <row r="216" customFormat="false" ht="12.75" hidden="false" customHeight="false" outlineLevel="0" collapsed="false">
      <c r="U216" s="372"/>
    </row>
    <row r="217" customFormat="false" ht="12.75" hidden="false" customHeight="false" outlineLevel="0" collapsed="false">
      <c r="U217" s="372"/>
    </row>
    <row r="218" customFormat="false" ht="12.75" hidden="false" customHeight="false" outlineLevel="0" collapsed="false">
      <c r="U218" s="372"/>
    </row>
    <row r="219" customFormat="false" ht="12.75" hidden="false" customHeight="false" outlineLevel="0" collapsed="false">
      <c r="U219" s="372"/>
    </row>
    <row r="220" customFormat="false" ht="12.75" hidden="false" customHeight="false" outlineLevel="0" collapsed="false">
      <c r="U220" s="372"/>
    </row>
    <row r="221" customFormat="false" ht="12.75" hidden="false" customHeight="false" outlineLevel="0" collapsed="false">
      <c r="U221" s="372"/>
    </row>
    <row r="222" customFormat="false" ht="12.75" hidden="false" customHeight="false" outlineLevel="0" collapsed="false">
      <c r="U222" s="372"/>
    </row>
    <row r="223" customFormat="false" ht="12.75" hidden="false" customHeight="false" outlineLevel="0" collapsed="false">
      <c r="U223" s="372"/>
    </row>
    <row r="224" customFormat="false" ht="12.75" hidden="false" customHeight="false" outlineLevel="0" collapsed="false">
      <c r="U224" s="372"/>
    </row>
    <row r="225" customFormat="false" ht="12.75" hidden="false" customHeight="false" outlineLevel="0" collapsed="false">
      <c r="U225" s="372"/>
    </row>
    <row r="226" customFormat="false" ht="12.75" hidden="false" customHeight="false" outlineLevel="0" collapsed="false">
      <c r="U226" s="372"/>
    </row>
    <row r="227" customFormat="false" ht="12.75" hidden="false" customHeight="false" outlineLevel="0" collapsed="false">
      <c r="U227" s="372"/>
    </row>
    <row r="228" customFormat="false" ht="12.75" hidden="false" customHeight="false" outlineLevel="0" collapsed="false">
      <c r="U228" s="372"/>
    </row>
    <row r="229" customFormat="false" ht="12.75" hidden="false" customHeight="false" outlineLevel="0" collapsed="false">
      <c r="U229" s="372"/>
    </row>
    <row r="230" customFormat="false" ht="12.75" hidden="false" customHeight="false" outlineLevel="0" collapsed="false">
      <c r="U230" s="372"/>
    </row>
    <row r="231" customFormat="false" ht="12.75" hidden="false" customHeight="false" outlineLevel="0" collapsed="false">
      <c r="U231" s="372"/>
    </row>
    <row r="232" customFormat="false" ht="12.75" hidden="false" customHeight="false" outlineLevel="0" collapsed="false">
      <c r="U232" s="372"/>
    </row>
    <row r="233" customFormat="false" ht="12.75" hidden="false" customHeight="false" outlineLevel="0" collapsed="false">
      <c r="U233" s="372"/>
    </row>
    <row r="234" customFormat="false" ht="12.75" hidden="false" customHeight="false" outlineLevel="0" collapsed="false">
      <c r="U234" s="372"/>
    </row>
    <row r="235" customFormat="false" ht="12.75" hidden="false" customHeight="false" outlineLevel="0" collapsed="false">
      <c r="U235" s="372"/>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5" width="9.66"/>
    <col collapsed="false" customWidth="true" hidden="false" outlineLevel="0" max="2" min="2" style="346" width="14.66"/>
    <col collapsed="false" customWidth="true" hidden="false" outlineLevel="0" max="3" min="3" style="181" width="13.66"/>
    <col collapsed="false" customWidth="true" hidden="false" outlineLevel="0" max="4" min="4" style="347" width="12.66"/>
    <col collapsed="false" customWidth="true" hidden="false" outlineLevel="0" max="5" min="5" style="348" width="12.66"/>
    <col collapsed="false" customWidth="true" hidden="false" outlineLevel="0" max="6" min="6" style="181" width="12.66"/>
    <col collapsed="false" customWidth="false" hidden="false" outlineLevel="0" max="257" min="7" style="181" width="9.15"/>
  </cols>
  <sheetData>
    <row r="1" s="353" customFormat="true" ht="12.75" hidden="false" customHeight="true" outlineLevel="0" collapsed="false">
      <c r="A1" s="349" t="s">
        <v>238</v>
      </c>
      <c r="B1" s="350" t="s">
        <v>239</v>
      </c>
      <c r="C1" s="351" t="s">
        <v>240</v>
      </c>
      <c r="D1" s="352" t="n">
        <f aca="false">SUM(D4:D58)</f>
        <v>0</v>
      </c>
      <c r="E1" s="351" t="n">
        <f aca="false">SUM(E4:E58)/2</f>
        <v>3000</v>
      </c>
      <c r="F1" s="351" t="n">
        <f aca="false">SUM(F4:F58)/2</f>
        <v>0</v>
      </c>
    </row>
    <row r="2" s="353" customFormat="true" ht="12.75" hidden="false" customHeight="true" outlineLevel="0" collapsed="false">
      <c r="A2" s="349"/>
      <c r="B2" s="350"/>
      <c r="C2" s="354" t="s">
        <v>241</v>
      </c>
      <c r="D2" s="355" t="s">
        <v>242</v>
      </c>
      <c r="E2" s="354" t="s">
        <v>243</v>
      </c>
      <c r="F2" s="354" t="s">
        <v>244</v>
      </c>
    </row>
    <row r="3" s="356" customFormat="true" ht="24" hidden="false" customHeight="true" outlineLevel="0" collapsed="false">
      <c r="A3" s="349"/>
      <c r="B3" s="350"/>
      <c r="C3" s="354"/>
      <c r="D3" s="355"/>
      <c r="E3" s="354"/>
      <c r="F3" s="354"/>
    </row>
    <row r="5" customFormat="false" ht="12.75" hidden="false" customHeight="false" outlineLevel="0" collapsed="false">
      <c r="A5" s="357" t="n">
        <v>46384</v>
      </c>
      <c r="B5" s="358" t="n">
        <v>46384</v>
      </c>
      <c r="C5" s="359"/>
      <c r="D5" s="360"/>
      <c r="E5" s="361"/>
      <c r="F5" s="362"/>
    </row>
    <row r="6" customFormat="false" ht="12.75" hidden="false" customHeight="false" outlineLevel="0" collapsed="false">
      <c r="A6" s="363" t="n">
        <v>46385</v>
      </c>
      <c r="B6" s="346" t="n">
        <v>46385</v>
      </c>
      <c r="F6" s="364"/>
    </row>
    <row r="7" customFormat="false" ht="12.75" hidden="false" customHeight="false" outlineLevel="0" collapsed="false">
      <c r="A7" s="363" t="n">
        <v>46386</v>
      </c>
      <c r="B7" s="346" t="n">
        <v>46386</v>
      </c>
      <c r="F7" s="364"/>
    </row>
    <row r="8" customFormat="false" ht="12.75" hidden="false" customHeight="false" outlineLevel="0" collapsed="false">
      <c r="A8" s="363" t="n">
        <v>46387</v>
      </c>
      <c r="B8" s="346" t="n">
        <v>46387</v>
      </c>
      <c r="F8" s="364"/>
    </row>
    <row r="9" customFormat="false" ht="12.75" hidden="false" customHeight="false" outlineLevel="0" collapsed="false">
      <c r="A9" s="363" t="n">
        <v>46388</v>
      </c>
      <c r="B9" s="346" t="n">
        <v>46388</v>
      </c>
      <c r="F9" s="364"/>
    </row>
    <row r="10" customFormat="false" ht="12.75" hidden="false" customHeight="false" outlineLevel="0" collapsed="false">
      <c r="A10" s="363" t="n">
        <v>46389</v>
      </c>
      <c r="B10" s="346" t="n">
        <v>46389</v>
      </c>
      <c r="F10" s="364"/>
    </row>
    <row r="11" customFormat="false" ht="12.75" hidden="false" customHeight="false" outlineLevel="0" collapsed="false">
      <c r="A11" s="363" t="n">
        <v>46390</v>
      </c>
      <c r="B11" s="346" t="n">
        <v>46390</v>
      </c>
      <c r="F11" s="364"/>
    </row>
    <row r="12" customFormat="false" ht="12.75" hidden="false" customHeight="false" outlineLevel="0" collapsed="false">
      <c r="A12" s="363" t="n">
        <v>46390</v>
      </c>
      <c r="B12" s="346" t="s">
        <v>245</v>
      </c>
      <c r="F12" s="364"/>
    </row>
    <row r="13" customFormat="false" ht="12.75" hidden="false" customHeight="false" outlineLevel="0" collapsed="false">
      <c r="A13" s="363" t="n">
        <v>46390</v>
      </c>
      <c r="B13" s="346" t="s">
        <v>246</v>
      </c>
      <c r="F13" s="364"/>
    </row>
    <row r="14" customFormat="false" ht="12.75" hidden="false" customHeight="false" outlineLevel="0" collapsed="false">
      <c r="A14" s="365"/>
      <c r="B14" s="366"/>
      <c r="C14" s="367"/>
      <c r="D14" s="368"/>
      <c r="E14" s="369" t="n">
        <f aca="false">SUM(E5:E13)</f>
        <v>0</v>
      </c>
      <c r="F14" s="370" t="n">
        <f aca="false">SUM(F5:F13)</f>
        <v>0</v>
      </c>
    </row>
    <row r="16" customFormat="false" ht="12.75" hidden="false" customHeight="false" outlineLevel="0" collapsed="false">
      <c r="A16" s="357" t="n">
        <v>46391</v>
      </c>
      <c r="B16" s="358" t="n">
        <v>46391</v>
      </c>
      <c r="C16" s="359"/>
      <c r="D16" s="360"/>
      <c r="E16" s="361"/>
      <c r="F16" s="362"/>
    </row>
    <row r="17" customFormat="false" ht="12.75" hidden="false" customHeight="false" outlineLevel="0" collapsed="false">
      <c r="A17" s="363" t="n">
        <v>46392</v>
      </c>
      <c r="B17" s="346" t="n">
        <v>46392</v>
      </c>
      <c r="E17" s="348" t="n">
        <v>200</v>
      </c>
      <c r="F17" s="364"/>
    </row>
    <row r="18" customFormat="false" ht="12.75" hidden="false" customHeight="false" outlineLevel="0" collapsed="false">
      <c r="A18" s="363" t="n">
        <v>46393</v>
      </c>
      <c r="B18" s="346" t="n">
        <v>46393</v>
      </c>
      <c r="E18" s="348" t="n">
        <v>200</v>
      </c>
      <c r="F18" s="364"/>
    </row>
    <row r="19" customFormat="false" ht="12.75" hidden="false" customHeight="false" outlineLevel="0" collapsed="false">
      <c r="A19" s="363" t="n">
        <v>46394</v>
      </c>
      <c r="B19" s="346" t="n">
        <v>46394</v>
      </c>
      <c r="E19" s="348" t="n">
        <v>200</v>
      </c>
      <c r="F19" s="364"/>
    </row>
    <row r="20" customFormat="false" ht="12.75" hidden="false" customHeight="false" outlineLevel="0" collapsed="false">
      <c r="A20" s="363" t="n">
        <v>46395</v>
      </c>
      <c r="B20" s="346" t="n">
        <v>46395</v>
      </c>
      <c r="E20" s="348" t="n">
        <v>200</v>
      </c>
      <c r="F20" s="364"/>
    </row>
    <row r="21" customFormat="false" ht="12.75" hidden="false" customHeight="false" outlineLevel="0" collapsed="false">
      <c r="A21" s="363" t="n">
        <v>46396</v>
      </c>
      <c r="B21" s="346" t="n">
        <v>46396</v>
      </c>
      <c r="E21" s="348" t="n">
        <v>200</v>
      </c>
      <c r="F21" s="364"/>
    </row>
    <row r="22" customFormat="false" ht="12.75" hidden="false" customHeight="false" outlineLevel="0" collapsed="false">
      <c r="A22" s="363" t="n">
        <v>46397</v>
      </c>
      <c r="B22" s="346" t="n">
        <v>46397</v>
      </c>
      <c r="F22" s="364"/>
    </row>
    <row r="23" customFormat="false" ht="12.75" hidden="false" customHeight="false" outlineLevel="0" collapsed="false">
      <c r="A23" s="363" t="n">
        <v>46397</v>
      </c>
      <c r="B23" s="346" t="s">
        <v>245</v>
      </c>
      <c r="F23" s="364"/>
    </row>
    <row r="24" customFormat="false" ht="12.75" hidden="false" customHeight="false" outlineLevel="0" collapsed="false">
      <c r="A24" s="363" t="n">
        <v>46397</v>
      </c>
      <c r="B24" s="346" t="s">
        <v>246</v>
      </c>
      <c r="F24" s="364"/>
    </row>
    <row r="25" customFormat="false" ht="12.75" hidden="false" customHeight="false" outlineLevel="0" collapsed="false">
      <c r="A25" s="365"/>
      <c r="B25" s="366"/>
      <c r="C25" s="367"/>
      <c r="D25" s="368"/>
      <c r="E25" s="369" t="n">
        <f aca="false">SUM(E16:E24)</f>
        <v>1000</v>
      </c>
      <c r="F25" s="370" t="n">
        <f aca="false">SUM(F16:F24)</f>
        <v>0</v>
      </c>
    </row>
    <row r="27" customFormat="false" ht="12.75" hidden="false" customHeight="false" outlineLevel="0" collapsed="false">
      <c r="A27" s="357" t="n">
        <v>46398</v>
      </c>
      <c r="B27" s="358" t="n">
        <v>46398</v>
      </c>
      <c r="C27" s="359"/>
      <c r="D27" s="360"/>
      <c r="E27" s="361"/>
      <c r="F27" s="362"/>
    </row>
    <row r="28" customFormat="false" ht="12.75" hidden="false" customHeight="false" outlineLevel="0" collapsed="false">
      <c r="A28" s="363" t="n">
        <v>46399</v>
      </c>
      <c r="B28" s="346" t="n">
        <v>46399</v>
      </c>
      <c r="E28" s="348" t="n">
        <v>200</v>
      </c>
      <c r="F28" s="364"/>
    </row>
    <row r="29" customFormat="false" ht="12.75" hidden="false" customHeight="false" outlineLevel="0" collapsed="false">
      <c r="A29" s="363" t="n">
        <v>46400</v>
      </c>
      <c r="B29" s="346" t="n">
        <v>46400</v>
      </c>
      <c r="E29" s="348" t="n">
        <v>200</v>
      </c>
      <c r="F29" s="364"/>
    </row>
    <row r="30" customFormat="false" ht="12.75" hidden="false" customHeight="false" outlineLevel="0" collapsed="false">
      <c r="A30" s="363" t="n">
        <v>46401</v>
      </c>
      <c r="B30" s="346" t="n">
        <v>46401</v>
      </c>
      <c r="E30" s="348" t="n">
        <v>200</v>
      </c>
      <c r="F30" s="364"/>
    </row>
    <row r="31" customFormat="false" ht="12.75" hidden="false" customHeight="false" outlineLevel="0" collapsed="false">
      <c r="A31" s="363" t="n">
        <v>46402</v>
      </c>
      <c r="B31" s="346" t="n">
        <v>46402</v>
      </c>
      <c r="E31" s="348" t="n">
        <v>200</v>
      </c>
      <c r="F31" s="364"/>
    </row>
    <row r="32" customFormat="false" ht="12.75" hidden="false" customHeight="false" outlineLevel="0" collapsed="false">
      <c r="A32" s="363" t="n">
        <v>46403</v>
      </c>
      <c r="B32" s="346" t="n">
        <v>46403</v>
      </c>
      <c r="E32" s="348" t="n">
        <v>200</v>
      </c>
      <c r="F32" s="364"/>
    </row>
    <row r="33" customFormat="false" ht="12.75" hidden="false" customHeight="false" outlineLevel="0" collapsed="false">
      <c r="A33" s="363" t="n">
        <v>46404</v>
      </c>
      <c r="B33" s="346" t="n">
        <v>46404</v>
      </c>
      <c r="F33" s="364"/>
    </row>
    <row r="34" customFormat="false" ht="12.75" hidden="false" customHeight="false" outlineLevel="0" collapsed="false">
      <c r="A34" s="363" t="n">
        <v>46404</v>
      </c>
      <c r="B34" s="346" t="s">
        <v>245</v>
      </c>
      <c r="F34" s="364"/>
    </row>
    <row r="35" customFormat="false" ht="12.75" hidden="false" customHeight="false" outlineLevel="0" collapsed="false">
      <c r="A35" s="363" t="n">
        <v>46404</v>
      </c>
      <c r="B35" s="346" t="s">
        <v>246</v>
      </c>
      <c r="F35" s="364"/>
    </row>
    <row r="36" customFormat="false" ht="12.75" hidden="false" customHeight="false" outlineLevel="0" collapsed="false">
      <c r="A36" s="365"/>
      <c r="B36" s="366"/>
      <c r="C36" s="367"/>
      <c r="D36" s="368"/>
      <c r="E36" s="369" t="n">
        <f aca="false">SUM(E27:E35)</f>
        <v>1000</v>
      </c>
      <c r="F36" s="370" t="n">
        <f aca="false">SUM(F27:F35)</f>
        <v>0</v>
      </c>
    </row>
    <row r="38" customFormat="false" ht="12.75" hidden="false" customHeight="false" outlineLevel="0" collapsed="false">
      <c r="A38" s="357" t="n">
        <v>46405</v>
      </c>
      <c r="B38" s="358" t="n">
        <v>46405</v>
      </c>
      <c r="C38" s="359"/>
      <c r="D38" s="360"/>
      <c r="E38" s="361"/>
      <c r="F38" s="362"/>
    </row>
    <row r="39" customFormat="false" ht="12.75" hidden="false" customHeight="false" outlineLevel="0" collapsed="false">
      <c r="A39" s="363" t="n">
        <v>46406</v>
      </c>
      <c r="B39" s="346" t="n">
        <v>46406</v>
      </c>
      <c r="E39" s="348" t="n">
        <v>200</v>
      </c>
      <c r="F39" s="364"/>
    </row>
    <row r="40" customFormat="false" ht="12.75" hidden="false" customHeight="false" outlineLevel="0" collapsed="false">
      <c r="A40" s="363" t="n">
        <v>46407</v>
      </c>
      <c r="B40" s="346" t="n">
        <v>46407</v>
      </c>
      <c r="E40" s="348" t="n">
        <v>200</v>
      </c>
      <c r="F40" s="364"/>
    </row>
    <row r="41" customFormat="false" ht="12.75" hidden="false" customHeight="false" outlineLevel="0" collapsed="false">
      <c r="A41" s="363" t="n">
        <v>46408</v>
      </c>
      <c r="B41" s="346" t="n">
        <v>46408</v>
      </c>
      <c r="E41" s="348" t="n">
        <v>200</v>
      </c>
      <c r="F41" s="364"/>
    </row>
    <row r="42" customFormat="false" ht="12.75" hidden="false" customHeight="false" outlineLevel="0" collapsed="false">
      <c r="A42" s="363" t="n">
        <v>46409</v>
      </c>
      <c r="B42" s="346" t="n">
        <v>46409</v>
      </c>
      <c r="E42" s="348" t="n">
        <v>200</v>
      </c>
      <c r="F42" s="364"/>
    </row>
    <row r="43" customFormat="false" ht="12.75" hidden="false" customHeight="false" outlineLevel="0" collapsed="false">
      <c r="A43" s="363" t="n">
        <v>46410</v>
      </c>
      <c r="B43" s="346" t="n">
        <v>46410</v>
      </c>
      <c r="E43" s="348" t="n">
        <v>200</v>
      </c>
      <c r="F43" s="364"/>
    </row>
    <row r="44" customFormat="false" ht="12.75" hidden="false" customHeight="false" outlineLevel="0" collapsed="false">
      <c r="A44" s="363" t="n">
        <v>46411</v>
      </c>
      <c r="B44" s="346" t="n">
        <v>46411</v>
      </c>
      <c r="F44" s="364"/>
    </row>
    <row r="45" customFormat="false" ht="12.75" hidden="false" customHeight="false" outlineLevel="0" collapsed="false">
      <c r="A45" s="363" t="n">
        <v>46411</v>
      </c>
      <c r="B45" s="346" t="s">
        <v>245</v>
      </c>
      <c r="F45" s="364"/>
    </row>
    <row r="46" customFormat="false" ht="12.75" hidden="false" customHeight="false" outlineLevel="0" collapsed="false">
      <c r="A46" s="363" t="n">
        <v>46411</v>
      </c>
      <c r="B46" s="346" t="s">
        <v>246</v>
      </c>
      <c r="F46" s="364"/>
    </row>
    <row r="47" customFormat="false" ht="12.75" hidden="false" customHeight="false" outlineLevel="0" collapsed="false">
      <c r="A47" s="365"/>
      <c r="B47" s="366"/>
      <c r="C47" s="367"/>
      <c r="D47" s="368"/>
      <c r="E47" s="369" t="n">
        <f aca="false">SUM(E38:E46)</f>
        <v>1000</v>
      </c>
      <c r="F47" s="370" t="n">
        <f aca="false">SUM(F38:F46)</f>
        <v>0</v>
      </c>
    </row>
    <row r="49" customFormat="false" ht="12.75" hidden="false" customHeight="false" outlineLevel="0" collapsed="false">
      <c r="A49" s="357" t="n">
        <v>46412</v>
      </c>
      <c r="B49" s="358" t="n">
        <v>46412</v>
      </c>
      <c r="C49" s="359"/>
      <c r="D49" s="360"/>
      <c r="E49" s="361"/>
      <c r="F49" s="362"/>
    </row>
    <row r="50" customFormat="false" ht="12.75" hidden="false" customHeight="false" outlineLevel="0" collapsed="false">
      <c r="A50" s="363" t="n">
        <v>46413</v>
      </c>
      <c r="B50" s="346" t="n">
        <v>46413</v>
      </c>
      <c r="F50" s="364"/>
    </row>
    <row r="51" customFormat="false" ht="12.75" hidden="false" customHeight="false" outlineLevel="0" collapsed="false">
      <c r="A51" s="363" t="n">
        <v>46414</v>
      </c>
      <c r="B51" s="346" t="n">
        <v>46414</v>
      </c>
      <c r="F51" s="364"/>
    </row>
    <row r="52" customFormat="false" ht="12.75" hidden="false" customHeight="false" outlineLevel="0" collapsed="false">
      <c r="A52" s="363" t="n">
        <v>46415</v>
      </c>
      <c r="B52" s="346" t="n">
        <v>46415</v>
      </c>
      <c r="F52" s="364"/>
    </row>
    <row r="53" customFormat="false" ht="12.75" hidden="false" customHeight="false" outlineLevel="0" collapsed="false">
      <c r="A53" s="363" t="n">
        <v>46416</v>
      </c>
      <c r="B53" s="346" t="n">
        <v>46416</v>
      </c>
      <c r="F53" s="364"/>
    </row>
    <row r="54" customFormat="false" ht="12.75" hidden="false" customHeight="false" outlineLevel="0" collapsed="false">
      <c r="A54" s="363" t="n">
        <v>46417</v>
      </c>
      <c r="B54" s="346" t="n">
        <v>46417</v>
      </c>
      <c r="F54" s="364"/>
    </row>
    <row r="55" customFormat="false" ht="12.75" hidden="false" customHeight="false" outlineLevel="0" collapsed="false">
      <c r="A55" s="363" t="n">
        <v>46418</v>
      </c>
      <c r="B55" s="346" t="n">
        <v>46418</v>
      </c>
      <c r="F55" s="364"/>
    </row>
    <row r="56" customFormat="false" ht="12.75" hidden="false" customHeight="false" outlineLevel="0" collapsed="false">
      <c r="A56" s="363" t="n">
        <v>46418</v>
      </c>
      <c r="B56" s="346" t="s">
        <v>245</v>
      </c>
      <c r="F56" s="364"/>
    </row>
    <row r="57" customFormat="false" ht="12.75" hidden="false" customHeight="false" outlineLevel="0" collapsed="false">
      <c r="A57" s="363" t="n">
        <v>46418</v>
      </c>
      <c r="B57" s="346" t="s">
        <v>246</v>
      </c>
      <c r="F57" s="364"/>
    </row>
    <row r="58" customFormat="false" ht="12.75" hidden="false" customHeight="false" outlineLevel="0" collapsed="false">
      <c r="A58" s="365"/>
      <c r="B58" s="366"/>
      <c r="C58" s="367"/>
      <c r="D58" s="368"/>
      <c r="E58" s="369" t="n">
        <f aca="false">SUM(E49:E57)</f>
        <v>0</v>
      </c>
      <c r="F58" s="370" t="n">
        <f aca="false">SUM(F49:F57)</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1" width="9.66"/>
    <col collapsed="false" customWidth="true" hidden="false" outlineLevel="0" max="2" min="2" style="180" width="23.99"/>
    <col collapsed="false" customWidth="true" hidden="false" outlineLevel="0" max="3" min="3" style="180" width="15.99"/>
    <col collapsed="false" customWidth="false" hidden="false" outlineLevel="0" max="5" min="4" style="372" width="9.15"/>
    <col collapsed="false" customWidth="true" hidden="false" outlineLevel="0" max="6" min="6" style="373"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99"/>
    <col collapsed="false" customWidth="false" hidden="false" outlineLevel="0" max="14" min="14" style="181" width="9.15"/>
    <col collapsed="false" customWidth="true" hidden="false" outlineLevel="0" max="15" min="15" style="181" width="9.33"/>
    <col collapsed="false" customWidth="true" hidden="false" outlineLevel="0" max="18" min="16" style="181" width="7.66"/>
    <col collapsed="false" customWidth="true" hidden="false" outlineLevel="0" max="19" min="19" style="181" width="8.49"/>
    <col collapsed="false" customWidth="true" hidden="false" outlineLevel="0" max="20" min="20" style="180" width="12.82"/>
    <col collapsed="false" customWidth="true" hidden="false" outlineLevel="0" max="21" min="21" style="181" width="8.15"/>
    <col collapsed="false" customWidth="false" hidden="false" outlineLevel="0" max="257" min="22" style="180" width="9.15"/>
  </cols>
  <sheetData>
    <row r="1" s="181" customFormat="true" ht="13.5" hidden="false" customHeight="true" outlineLevel="0" collapsed="false">
      <c r="A1" s="390" t="n">
        <f aca="false">E1+SalesJan!$D$1+PurchasesDec!A1</f>
        <v>0</v>
      </c>
      <c r="B1" s="391" t="s">
        <v>247</v>
      </c>
      <c r="C1" s="392" t="s">
        <v>240</v>
      </c>
      <c r="D1" s="376" t="str">
        <f aca="false">IF((F1-SUM(G1:S1)&lt;&gt;0),(F1-SUM(G1:S1))," ")</f>
        <v> </v>
      </c>
      <c r="E1" s="352" t="n">
        <f aca="false">SUM(E5:E199)</f>
        <v>0</v>
      </c>
      <c r="F1" s="351" t="n">
        <f aca="false">SUM(F5:F199)</f>
        <v>920</v>
      </c>
      <c r="G1" s="351" t="n">
        <f aca="false">SUM(G5:G199)</f>
        <v>300</v>
      </c>
      <c r="H1" s="351" t="n">
        <f aca="false">SUM(H5:H199)</f>
        <v>0</v>
      </c>
      <c r="I1" s="351" t="n">
        <f aca="false">SUM(I5:I199)</f>
        <v>0</v>
      </c>
      <c r="J1" s="351" t="n">
        <f aca="false">SUM(J5:J199)</f>
        <v>0</v>
      </c>
      <c r="K1" s="351" t="n">
        <f aca="false">SUM(K5:K199)</f>
        <v>0</v>
      </c>
      <c r="L1" s="351" t="n">
        <f aca="false">SUM(L5:L199)</f>
        <v>0</v>
      </c>
      <c r="M1" s="351" t="n">
        <f aca="false">SUM(M5:M199)</f>
        <v>120</v>
      </c>
      <c r="N1" s="351" t="n">
        <f aca="false">SUM(N5:N199)</f>
        <v>0</v>
      </c>
      <c r="O1" s="351" t="n">
        <f aca="false">SUM(O5:O199)</f>
        <v>500</v>
      </c>
      <c r="P1" s="351" t="n">
        <f aca="false">SUM(P5:P199)</f>
        <v>0</v>
      </c>
      <c r="Q1" s="351" t="n">
        <f aca="false">SUM(Q5:Q199)</f>
        <v>0</v>
      </c>
      <c r="R1" s="351" t="n">
        <f aca="false">SUM(R5:R199)</f>
        <v>0</v>
      </c>
      <c r="S1" s="393" t="n">
        <f aca="false">SUM(S5:S199)</f>
        <v>0</v>
      </c>
      <c r="T1" s="394" t="n">
        <f aca="false">S1+PurchasesDec!T1</f>
        <v>8000</v>
      </c>
      <c r="U1" s="393" t="n">
        <f aca="false">SUM(U4:U199)</f>
        <v>0</v>
      </c>
    </row>
    <row r="2" s="181" customFormat="true" ht="13.5" hidden="false" customHeight="true" outlineLevel="0" collapsed="false">
      <c r="A2" s="395" t="n">
        <f aca="false">U1+PurchasesDec!A2</f>
        <v>0</v>
      </c>
      <c r="B2" s="240" t="s">
        <v>248</v>
      </c>
      <c r="C2" s="379" t="s">
        <v>249</v>
      </c>
      <c r="D2" s="379" t="s">
        <v>250</v>
      </c>
      <c r="E2" s="379" t="s">
        <v>251</v>
      </c>
      <c r="F2" s="207" t="s">
        <v>252</v>
      </c>
      <c r="G2" s="380" t="s">
        <v>253</v>
      </c>
      <c r="H2" s="380"/>
      <c r="I2" s="381" t="n">
        <f aca="false">G1+H1+I1+J1+PurchasesDec!I2</f>
        <v>4380</v>
      </c>
      <c r="J2" s="381"/>
      <c r="K2" s="207" t="s">
        <v>254</v>
      </c>
      <c r="L2" s="207" t="s">
        <v>255</v>
      </c>
      <c r="M2" s="207" t="s">
        <v>256</v>
      </c>
      <c r="N2" s="207" t="s">
        <v>288</v>
      </c>
      <c r="O2" s="207" t="s">
        <v>258</v>
      </c>
      <c r="P2" s="207" t="s">
        <v>259</v>
      </c>
      <c r="Q2" s="207" t="s">
        <v>260</v>
      </c>
      <c r="R2" s="207" t="s">
        <v>261</v>
      </c>
      <c r="S2" s="382" t="s">
        <v>262</v>
      </c>
      <c r="T2" s="383" t="str">
        <f aca="false">IF(T1&gt;'Fixed Assets'!$D$74,"ENTER VEHICLE CHANGES        on Fixed Asset schedule","Motor Vehicles: make, model, date reg. and reg. Mark")</f>
        <v>ENTER VEHICLE CHANGES        on Fixed Asset schedule</v>
      </c>
      <c r="U2" s="382" t="s">
        <v>116</v>
      </c>
    </row>
    <row r="3" s="385" customFormat="true" ht="45" hidden="false" customHeight="true" outlineLevel="0" collapsed="false">
      <c r="A3" s="384" t="s">
        <v>263</v>
      </c>
      <c r="B3" s="207" t="s">
        <v>264</v>
      </c>
      <c r="C3" s="379"/>
      <c r="D3" s="379"/>
      <c r="E3" s="379"/>
      <c r="F3" s="379"/>
      <c r="G3" s="207" t="s">
        <v>111</v>
      </c>
      <c r="H3" s="207" t="s">
        <v>265</v>
      </c>
      <c r="I3" s="207" t="s">
        <v>113</v>
      </c>
      <c r="J3" s="207" t="s">
        <v>114</v>
      </c>
      <c r="K3" s="207"/>
      <c r="L3" s="207"/>
      <c r="M3" s="207"/>
      <c r="N3" s="207"/>
      <c r="O3" s="207"/>
      <c r="P3" s="207"/>
      <c r="Q3" s="207"/>
      <c r="R3" s="207"/>
      <c r="S3" s="382"/>
      <c r="T3" s="383"/>
      <c r="U3" s="382"/>
    </row>
    <row r="4" s="388" customFormat="true" ht="12.75" hidden="false" customHeight="false" outlineLevel="0" collapsed="false">
      <c r="A4" s="386" t="str">
        <f aca="false">IF((E1&lt;&gt;0),Admin!$B$14," ")</f>
        <v> </v>
      </c>
      <c r="B4" s="207"/>
      <c r="C4" s="207"/>
      <c r="D4" s="207"/>
      <c r="E4" s="207"/>
      <c r="F4" s="207"/>
      <c r="G4" s="375" t="s">
        <v>266</v>
      </c>
      <c r="H4" s="375" t="s">
        <v>267</v>
      </c>
      <c r="I4" s="375" t="s">
        <v>268</v>
      </c>
      <c r="J4" s="375" t="s">
        <v>269</v>
      </c>
      <c r="K4" s="375" t="s">
        <v>270</v>
      </c>
      <c r="L4" s="375" t="s">
        <v>271</v>
      </c>
      <c r="M4" s="375" t="s">
        <v>272</v>
      </c>
      <c r="N4" s="375" t="s">
        <v>273</v>
      </c>
      <c r="O4" s="375" t="s">
        <v>274</v>
      </c>
      <c r="P4" s="375" t="s">
        <v>275</v>
      </c>
      <c r="Q4" s="375" t="s">
        <v>276</v>
      </c>
      <c r="R4" s="375" t="s">
        <v>277</v>
      </c>
      <c r="S4" s="387" t="s">
        <v>278</v>
      </c>
      <c r="T4" s="383"/>
      <c r="U4" s="394" t="n">
        <f aca="false">IF((A1&lt;Admin!$F$22),((A1-PurchasesDec!A1)*Admin!$G$21),(A1*Admin!$G$21-(A1-Admin!$F$21)*(Admin!$G$21-Admin!$G$22)-PurchasesDec!A2))</f>
        <v>0</v>
      </c>
    </row>
    <row r="5" s="372" customFormat="true" ht="12.75" hidden="false" customHeight="false" outlineLevel="0" collapsed="false">
      <c r="A5" s="371" t="n">
        <v>46397</v>
      </c>
      <c r="B5" s="389" t="s">
        <v>286</v>
      </c>
      <c r="D5" s="372" t="s">
        <v>287</v>
      </c>
      <c r="F5" s="372" t="n">
        <v>120</v>
      </c>
      <c r="G5" s="181" t="str">
        <f aca="false">IF((D5="d"),F5," ")</f>
        <v> </v>
      </c>
      <c r="H5" s="181" t="str">
        <f aca="false">IF((D5="h"),F5," ")</f>
        <v> </v>
      </c>
      <c r="I5" s="181" t="str">
        <f aca="false">IF((D5="r"),F5," ")</f>
        <v> </v>
      </c>
      <c r="J5" s="181" t="str">
        <f aca="false">IF((D5="t"),F5," ")</f>
        <v> </v>
      </c>
      <c r="K5" s="181" t="str">
        <f aca="false">IF((D5="e"),F5," ")</f>
        <v> </v>
      </c>
      <c r="L5" s="181" t="str">
        <f aca="false">IF((D5="p"),F5," ")</f>
        <v> </v>
      </c>
      <c r="M5" s="181" t="n">
        <f aca="false">IF((D5="g"),F5," ")</f>
        <v>120</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A6" s="371" t="n">
        <v>46402</v>
      </c>
      <c r="B6" s="180" t="s">
        <v>284</v>
      </c>
      <c r="D6" s="372" t="s">
        <v>285</v>
      </c>
      <c r="F6" s="373" t="n">
        <v>300</v>
      </c>
      <c r="G6" s="181" t="n">
        <f aca="false">IF((D6="d"),F6," ")</f>
        <v>300</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2"/>
    </row>
    <row r="7" customFormat="false" ht="12.75" hidden="false" customHeight="false" outlineLevel="0" collapsed="false">
      <c r="A7" s="371" t="n">
        <v>46407</v>
      </c>
      <c r="B7" s="180" t="s">
        <v>292</v>
      </c>
      <c r="D7" s="372" t="s">
        <v>282</v>
      </c>
      <c r="F7" s="373" t="n">
        <v>500</v>
      </c>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n">
        <f aca="false">IF((D7="l"),F7," ")</f>
        <v>500</v>
      </c>
      <c r="P7" s="181" t="str">
        <f aca="false">IF((D7="i"),F7," ")</f>
        <v> </v>
      </c>
      <c r="Q7" s="181" t="str">
        <f aca="false">IF((D7="b"),F7," ")</f>
        <v> </v>
      </c>
      <c r="R7" s="181" t="str">
        <f aca="false">IF((D7="o"),F7," ")</f>
        <v> </v>
      </c>
      <c r="S7" s="181" t="str">
        <f aca="false">IF((D7="f"),F7," ")</f>
        <v> </v>
      </c>
      <c r="U7" s="372"/>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2"/>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2"/>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2"/>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2"/>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2"/>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2"/>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2"/>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2"/>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2"/>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2"/>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2"/>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2"/>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2"/>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2"/>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2"/>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2"/>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2"/>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2"/>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2"/>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2"/>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2"/>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2"/>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2"/>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2"/>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2"/>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2"/>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2"/>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2"/>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2"/>
    </row>
    <row r="37" customFormat="false" ht="12.75" hidden="false" customHeight="false" outlineLevel="0" collapsed="false">
      <c r="D37" s="372"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2"/>
    </row>
    <row r="38" customFormat="false" ht="12.75" hidden="false" customHeight="false" outlineLevel="0" collapsed="false">
      <c r="D38" s="372"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2"/>
    </row>
    <row r="39" customFormat="false" ht="12.75" hidden="false" customHeight="false" outlineLevel="0" collapsed="false">
      <c r="D39" s="372"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2"/>
    </row>
    <row r="40" customFormat="false" ht="12.75" hidden="false" customHeight="false" outlineLevel="0" collapsed="false">
      <c r="D40" s="372"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2"/>
    </row>
    <row r="41" customFormat="false" ht="12.75" hidden="false" customHeight="false" outlineLevel="0" collapsed="false">
      <c r="D41" s="372"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2"/>
    </row>
    <row r="42" customFormat="false" ht="12.75" hidden="false" customHeight="false" outlineLevel="0" collapsed="false">
      <c r="D42" s="372"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2"/>
    </row>
    <row r="43" customFormat="false" ht="12.75" hidden="false" customHeight="false" outlineLevel="0" collapsed="false">
      <c r="D43" s="372"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2"/>
    </row>
    <row r="44" customFormat="false" ht="12.75" hidden="false" customHeight="false" outlineLevel="0" collapsed="false">
      <c r="D44" s="372"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2"/>
    </row>
    <row r="45" customFormat="false" ht="12.75" hidden="false" customHeight="false" outlineLevel="0" collapsed="false">
      <c r="D45" s="372"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2"/>
    </row>
    <row r="46" customFormat="false" ht="12.75" hidden="false" customHeight="false" outlineLevel="0" collapsed="false">
      <c r="D46" s="372"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2"/>
    </row>
    <row r="47" customFormat="false" ht="12.75" hidden="false" customHeight="false" outlineLevel="0" collapsed="false">
      <c r="D47" s="372"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2"/>
    </row>
    <row r="48" customFormat="false" ht="12.75" hidden="false" customHeight="false" outlineLevel="0" collapsed="false">
      <c r="D48" s="372"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2"/>
    </row>
    <row r="49" customFormat="false" ht="12.75" hidden="false" customHeight="false" outlineLevel="0" collapsed="false">
      <c r="D49" s="372"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2"/>
    </row>
    <row r="50" customFormat="false" ht="12.75" hidden="false" customHeight="false" outlineLevel="0" collapsed="false">
      <c r="D50" s="372"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2"/>
    </row>
    <row r="51" customFormat="false" ht="12.75" hidden="false" customHeight="false" outlineLevel="0" collapsed="false">
      <c r="D51" s="372"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2"/>
    </row>
    <row r="52" customFormat="false" ht="12.75" hidden="false" customHeight="false" outlineLevel="0" collapsed="false">
      <c r="D52" s="372"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2"/>
    </row>
    <row r="53" customFormat="false" ht="12.75" hidden="false" customHeight="false" outlineLevel="0" collapsed="false">
      <c r="D53" s="372"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2"/>
    </row>
    <row r="54" customFormat="false" ht="12.75" hidden="false" customHeight="false" outlineLevel="0" collapsed="false">
      <c r="D54" s="372"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2"/>
    </row>
    <row r="55" customFormat="false" ht="12.75" hidden="false" customHeight="false" outlineLevel="0" collapsed="false">
      <c r="D55" s="372"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2"/>
    </row>
    <row r="56" customFormat="false" ht="12.75" hidden="false" customHeight="false" outlineLevel="0" collapsed="false">
      <c r="D56" s="372"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2"/>
    </row>
    <row r="57" customFormat="false" ht="12.75" hidden="false" customHeight="false" outlineLevel="0" collapsed="false">
      <c r="D57" s="372"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2"/>
    </row>
    <row r="58" customFormat="false" ht="12.75" hidden="false" customHeight="false" outlineLevel="0" collapsed="false">
      <c r="D58" s="372"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2"/>
    </row>
    <row r="59" customFormat="false" ht="12.75" hidden="false" customHeight="false" outlineLevel="0" collapsed="false">
      <c r="D59" s="372"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2"/>
    </row>
    <row r="60" customFormat="false" ht="12.75" hidden="false" customHeight="false" outlineLevel="0" collapsed="false">
      <c r="D60" s="372"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2"/>
    </row>
    <row r="61" customFormat="false" ht="12.75" hidden="false" customHeight="false" outlineLevel="0" collapsed="false">
      <c r="D61" s="372"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2"/>
    </row>
    <row r="62" customFormat="false" ht="12.75" hidden="false" customHeight="false" outlineLevel="0" collapsed="false">
      <c r="D62" s="372"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2"/>
    </row>
    <row r="63" customFormat="false" ht="12.75" hidden="false" customHeight="false" outlineLevel="0" collapsed="false">
      <c r="D63" s="372"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2"/>
    </row>
    <row r="64" customFormat="false" ht="12.75" hidden="false" customHeight="false" outlineLevel="0" collapsed="false">
      <c r="D64" s="372"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2"/>
    </row>
    <row r="65" customFormat="false" ht="12.75" hidden="false" customHeight="false" outlineLevel="0" collapsed="false">
      <c r="D65" s="372"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2"/>
    </row>
    <row r="66" customFormat="false" ht="12.75" hidden="false" customHeight="false" outlineLevel="0" collapsed="false">
      <c r="D66" s="372"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2"/>
    </row>
    <row r="67" customFormat="false" ht="12.75" hidden="false" customHeight="false" outlineLevel="0" collapsed="false">
      <c r="D67" s="372"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2"/>
    </row>
    <row r="68" customFormat="false" ht="12.75" hidden="false" customHeight="false" outlineLevel="0" collapsed="false">
      <c r="D68" s="372"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2"/>
    </row>
    <row r="69" customFormat="false" ht="12.75" hidden="false" customHeight="false" outlineLevel="0" collapsed="false">
      <c r="D69" s="372"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2"/>
    </row>
    <row r="70" customFormat="false" ht="12.75" hidden="false" customHeight="false" outlineLevel="0" collapsed="false">
      <c r="D70" s="372"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2"/>
    </row>
    <row r="71" customFormat="false" ht="12.75" hidden="false" customHeight="false" outlineLevel="0" collapsed="false">
      <c r="D71" s="372"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2"/>
    </row>
    <row r="72" customFormat="false" ht="12.75" hidden="false" customHeight="false" outlineLevel="0" collapsed="false">
      <c r="D72" s="372"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2"/>
    </row>
    <row r="73" customFormat="false" ht="12.75" hidden="false" customHeight="false" outlineLevel="0" collapsed="false">
      <c r="D73" s="372"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2"/>
    </row>
    <row r="74" customFormat="false" ht="12.75" hidden="false" customHeight="false" outlineLevel="0" collapsed="false">
      <c r="D74" s="372"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2"/>
    </row>
    <row r="75" customFormat="false" ht="12.75" hidden="false" customHeight="false" outlineLevel="0" collapsed="false">
      <c r="D75" s="372"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2"/>
    </row>
    <row r="76" customFormat="false" ht="12.75" hidden="false" customHeight="false" outlineLevel="0" collapsed="false">
      <c r="D76" s="372"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2"/>
    </row>
    <row r="77" customFormat="false" ht="12.75" hidden="false" customHeight="false" outlineLevel="0" collapsed="false">
      <c r="D77" s="372"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2"/>
    </row>
    <row r="78" customFormat="false" ht="12.75" hidden="false" customHeight="false" outlineLevel="0" collapsed="false">
      <c r="D78" s="372"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2"/>
    </row>
    <row r="79" customFormat="false" ht="12.75" hidden="false" customHeight="false" outlineLevel="0" collapsed="false">
      <c r="D79" s="372"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2"/>
    </row>
    <row r="80" customFormat="false" ht="12.75" hidden="false" customHeight="false" outlineLevel="0" collapsed="false">
      <c r="D80" s="372"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2"/>
    </row>
    <row r="81" customFormat="false" ht="12.75" hidden="false" customHeight="false" outlineLevel="0" collapsed="false">
      <c r="D81" s="372"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2"/>
    </row>
    <row r="82" customFormat="false" ht="12.75" hidden="false" customHeight="false" outlineLevel="0" collapsed="false">
      <c r="D82" s="372"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2"/>
    </row>
    <row r="83" customFormat="false" ht="12.75" hidden="false" customHeight="false" outlineLevel="0" collapsed="false">
      <c r="D83" s="372"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2"/>
    </row>
    <row r="84" customFormat="false" ht="12.75" hidden="false" customHeight="false" outlineLevel="0" collapsed="false">
      <c r="D84" s="372"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2"/>
    </row>
    <row r="85" customFormat="false" ht="12.75" hidden="false" customHeight="false" outlineLevel="0" collapsed="false">
      <c r="D85" s="372"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2"/>
    </row>
    <row r="86" customFormat="false" ht="12.75" hidden="false" customHeight="false" outlineLevel="0" collapsed="false">
      <c r="D86" s="372"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2"/>
    </row>
    <row r="87" customFormat="false" ht="12.75" hidden="false" customHeight="false" outlineLevel="0" collapsed="false">
      <c r="D87" s="372"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2"/>
    </row>
    <row r="88" customFormat="false" ht="12.75" hidden="false" customHeight="false" outlineLevel="0" collapsed="false">
      <c r="D88" s="372"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2"/>
    </row>
    <row r="89" customFormat="false" ht="12.75" hidden="false" customHeight="false" outlineLevel="0" collapsed="false">
      <c r="D89" s="372"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2"/>
    </row>
    <row r="90" customFormat="false" ht="12.75" hidden="false" customHeight="false" outlineLevel="0" collapsed="false">
      <c r="D90" s="372"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2"/>
    </row>
    <row r="91" customFormat="false" ht="12.75" hidden="false" customHeight="false" outlineLevel="0" collapsed="false">
      <c r="D91" s="372"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2"/>
    </row>
    <row r="92" customFormat="false" ht="12.75" hidden="false" customHeight="false" outlineLevel="0" collapsed="false">
      <c r="D92" s="372"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2"/>
    </row>
    <row r="93" customFormat="false" ht="12.75" hidden="false" customHeight="false" outlineLevel="0" collapsed="false">
      <c r="D93" s="372"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2"/>
    </row>
    <row r="94" customFormat="false" ht="12.75" hidden="false" customHeight="false" outlineLevel="0" collapsed="false">
      <c r="D94" s="372"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2"/>
    </row>
    <row r="95" customFormat="false" ht="12.75" hidden="false" customHeight="false" outlineLevel="0" collapsed="false">
      <c r="D95" s="372"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2"/>
    </row>
    <row r="96" customFormat="false" ht="12.75" hidden="false" customHeight="false" outlineLevel="0" collapsed="false">
      <c r="D96" s="372"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2"/>
    </row>
    <row r="97" customFormat="false" ht="12.75" hidden="false" customHeight="false" outlineLevel="0" collapsed="false">
      <c r="D97" s="372"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2"/>
    </row>
    <row r="98" customFormat="false" ht="12.75" hidden="false" customHeight="false" outlineLevel="0" collapsed="false">
      <c r="D98" s="372"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2"/>
    </row>
    <row r="99" customFormat="false" ht="12.75" hidden="false" customHeight="false" outlineLevel="0" collapsed="false">
      <c r="D99" s="372"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2"/>
    </row>
    <row r="100" customFormat="false" ht="12.75" hidden="false" customHeight="false" outlineLevel="0" collapsed="false">
      <c r="D100" s="372"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2"/>
    </row>
    <row r="101" customFormat="false" ht="12.75" hidden="false" customHeight="false" outlineLevel="0" collapsed="false">
      <c r="D101" s="372"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2"/>
    </row>
    <row r="102" customFormat="false" ht="12.75" hidden="false" customHeight="false" outlineLevel="0" collapsed="false">
      <c r="D102" s="372"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2"/>
    </row>
    <row r="103" customFormat="false" ht="12.75" hidden="false" customHeight="false" outlineLevel="0" collapsed="false">
      <c r="D103" s="372"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2"/>
    </row>
    <row r="104" customFormat="false" ht="12.75" hidden="false" customHeight="false" outlineLevel="0" collapsed="false">
      <c r="D104" s="372"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2"/>
    </row>
    <row r="105" customFormat="false" ht="12.75" hidden="false" customHeight="false" outlineLevel="0" collapsed="false">
      <c r="D105" s="372"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2"/>
    </row>
    <row r="106" customFormat="false" ht="12.75" hidden="false" customHeight="false" outlineLevel="0" collapsed="false">
      <c r="D106" s="372"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2"/>
    </row>
    <row r="107" customFormat="false" ht="12.75" hidden="false" customHeight="false" outlineLevel="0" collapsed="false">
      <c r="D107" s="372"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2"/>
    </row>
    <row r="108" customFormat="false" ht="12.75" hidden="false" customHeight="false" outlineLevel="0" collapsed="false">
      <c r="D108" s="372"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2"/>
    </row>
    <row r="109" customFormat="false" ht="12.75" hidden="false" customHeight="false" outlineLevel="0" collapsed="false">
      <c r="D109" s="372"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2"/>
    </row>
    <row r="110" customFormat="false" ht="12.75" hidden="false" customHeight="false" outlineLevel="0" collapsed="false">
      <c r="D110" s="372"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2"/>
    </row>
    <row r="111" customFormat="false" ht="12.75" hidden="false" customHeight="false" outlineLevel="0" collapsed="false">
      <c r="D111" s="372"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2"/>
    </row>
    <row r="112" customFormat="false" ht="12.75" hidden="false" customHeight="false" outlineLevel="0" collapsed="false">
      <c r="D112" s="372"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2"/>
    </row>
    <row r="113" customFormat="false" ht="12.75" hidden="false" customHeight="false" outlineLevel="0" collapsed="false">
      <c r="D113" s="372"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2"/>
    </row>
    <row r="114" customFormat="false" ht="12.75" hidden="false" customHeight="false" outlineLevel="0" collapsed="false">
      <c r="D114" s="372"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2"/>
    </row>
    <row r="115" customFormat="false" ht="12.75" hidden="false" customHeight="false" outlineLevel="0" collapsed="false">
      <c r="D115" s="372"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2"/>
    </row>
    <row r="116" customFormat="false" ht="12.75" hidden="false" customHeight="false" outlineLevel="0" collapsed="false">
      <c r="D116" s="372"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2"/>
    </row>
    <row r="117" customFormat="false" ht="12.75" hidden="false" customHeight="false" outlineLevel="0" collapsed="false">
      <c r="D117" s="372"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2"/>
    </row>
    <row r="118" customFormat="false" ht="12.75" hidden="false" customHeight="false" outlineLevel="0" collapsed="false">
      <c r="D118" s="372"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2"/>
    </row>
    <row r="119" customFormat="false" ht="12.75" hidden="false" customHeight="false" outlineLevel="0" collapsed="false">
      <c r="D119" s="372"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2"/>
    </row>
    <row r="120" customFormat="false" ht="12.75" hidden="false" customHeight="false" outlineLevel="0" collapsed="false">
      <c r="D120" s="372"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2"/>
    </row>
    <row r="121" customFormat="false" ht="12.75" hidden="false" customHeight="false" outlineLevel="0" collapsed="false">
      <c r="D121" s="372"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2"/>
    </row>
    <row r="122" customFormat="false" ht="12.75" hidden="false" customHeight="false" outlineLevel="0" collapsed="false">
      <c r="D122" s="372"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2"/>
    </row>
    <row r="123" customFormat="false" ht="12.75" hidden="false" customHeight="false" outlineLevel="0" collapsed="false">
      <c r="D123" s="372"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2"/>
    </row>
    <row r="124" customFormat="false" ht="12.75" hidden="false" customHeight="false" outlineLevel="0" collapsed="false">
      <c r="D124" s="372"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2"/>
    </row>
    <row r="125" customFormat="false" ht="12.75" hidden="false" customHeight="false" outlineLevel="0" collapsed="false">
      <c r="D125" s="372"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2"/>
    </row>
    <row r="126" customFormat="false" ht="12.75" hidden="false" customHeight="false" outlineLevel="0" collapsed="false">
      <c r="D126" s="372"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2"/>
    </row>
    <row r="127" customFormat="false" ht="12.75" hidden="false" customHeight="false" outlineLevel="0" collapsed="false">
      <c r="D127" s="372"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2"/>
    </row>
    <row r="128" customFormat="false" ht="12.75" hidden="false" customHeight="false" outlineLevel="0" collapsed="false">
      <c r="D128" s="372"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2"/>
    </row>
    <row r="129" customFormat="false" ht="12.75" hidden="false" customHeight="false" outlineLevel="0" collapsed="false">
      <c r="D129" s="372"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2"/>
    </row>
    <row r="130" customFormat="false" ht="12.75" hidden="false" customHeight="false" outlineLevel="0" collapsed="false">
      <c r="D130" s="372"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2"/>
    </row>
    <row r="131" customFormat="false" ht="12.75" hidden="false" customHeight="false" outlineLevel="0" collapsed="false">
      <c r="D131" s="372"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2"/>
    </row>
    <row r="132" customFormat="false" ht="12.75" hidden="false" customHeight="false" outlineLevel="0" collapsed="false">
      <c r="D132" s="372"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2"/>
    </row>
    <row r="133" customFormat="false" ht="12.75" hidden="false" customHeight="false" outlineLevel="0" collapsed="false">
      <c r="D133" s="372"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2"/>
    </row>
    <row r="134" customFormat="false" ht="12.75" hidden="false" customHeight="false" outlineLevel="0" collapsed="false">
      <c r="D134" s="372"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2"/>
    </row>
    <row r="135" customFormat="false" ht="12.75" hidden="false" customHeight="false" outlineLevel="0" collapsed="false">
      <c r="D135" s="372"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2"/>
    </row>
    <row r="136" customFormat="false" ht="12.75" hidden="false" customHeight="false" outlineLevel="0" collapsed="false">
      <c r="D136" s="372"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2"/>
    </row>
    <row r="137" customFormat="false" ht="12.75" hidden="false" customHeight="false" outlineLevel="0" collapsed="false">
      <c r="D137" s="372"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2"/>
    </row>
    <row r="138" customFormat="false" ht="12.75" hidden="false" customHeight="false" outlineLevel="0" collapsed="false">
      <c r="D138" s="372"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2"/>
    </row>
    <row r="139" customFormat="false" ht="12.75" hidden="false" customHeight="false" outlineLevel="0" collapsed="false">
      <c r="D139" s="372"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2"/>
    </row>
    <row r="140" customFormat="false" ht="12.75" hidden="false" customHeight="false" outlineLevel="0" collapsed="false">
      <c r="D140" s="372"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2"/>
    </row>
    <row r="141" customFormat="false" ht="12.75" hidden="false" customHeight="false" outlineLevel="0" collapsed="false">
      <c r="D141" s="372"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2"/>
    </row>
    <row r="142" customFormat="false" ht="12.75" hidden="false" customHeight="false" outlineLevel="0" collapsed="false">
      <c r="D142" s="372"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2"/>
    </row>
    <row r="143" customFormat="false" ht="12.75" hidden="false" customHeight="false" outlineLevel="0" collapsed="false">
      <c r="D143" s="372"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2"/>
    </row>
    <row r="144" customFormat="false" ht="12.75" hidden="false" customHeight="false" outlineLevel="0" collapsed="false">
      <c r="D144" s="372"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2"/>
    </row>
    <row r="145" customFormat="false" ht="12.75" hidden="false" customHeight="false" outlineLevel="0" collapsed="false">
      <c r="D145" s="372"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2"/>
    </row>
    <row r="146" customFormat="false" ht="12.75" hidden="false" customHeight="false" outlineLevel="0" collapsed="false">
      <c r="D146" s="372"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2"/>
    </row>
    <row r="147" customFormat="false" ht="12.75" hidden="false" customHeight="false" outlineLevel="0" collapsed="false">
      <c r="D147" s="372"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2"/>
    </row>
    <row r="148" customFormat="false" ht="12.75" hidden="false" customHeight="false" outlineLevel="0" collapsed="false">
      <c r="D148" s="372"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2"/>
    </row>
    <row r="149" customFormat="false" ht="12.75" hidden="false" customHeight="false" outlineLevel="0" collapsed="false">
      <c r="D149" s="372"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2"/>
    </row>
    <row r="150" customFormat="false" ht="12.75" hidden="false" customHeight="false" outlineLevel="0" collapsed="false">
      <c r="D150" s="372"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2"/>
    </row>
    <row r="151" customFormat="false" ht="12.75" hidden="false" customHeight="false" outlineLevel="0" collapsed="false">
      <c r="D151" s="372"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2"/>
    </row>
    <row r="152" customFormat="false" ht="12.75" hidden="false" customHeight="false" outlineLevel="0" collapsed="false">
      <c r="D152" s="372"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2"/>
    </row>
    <row r="153" customFormat="false" ht="12.75" hidden="false" customHeight="false" outlineLevel="0" collapsed="false">
      <c r="D153" s="372"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2"/>
    </row>
    <row r="154" customFormat="false" ht="12.75" hidden="false" customHeight="false" outlineLevel="0" collapsed="false">
      <c r="D154" s="372"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2"/>
    </row>
    <row r="155" customFormat="false" ht="12.75" hidden="false" customHeight="false" outlineLevel="0" collapsed="false">
      <c r="D155" s="372"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2"/>
    </row>
    <row r="156" customFormat="false" ht="12.75" hidden="false" customHeight="false" outlineLevel="0" collapsed="false">
      <c r="D156" s="372"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2"/>
    </row>
    <row r="157" customFormat="false" ht="12.75" hidden="false" customHeight="false" outlineLevel="0" collapsed="false">
      <c r="D157" s="372"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2"/>
    </row>
    <row r="158" customFormat="false" ht="12.75" hidden="false" customHeight="false" outlineLevel="0" collapsed="false">
      <c r="D158" s="372"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2"/>
    </row>
    <row r="159" customFormat="false" ht="12.75" hidden="false" customHeight="false" outlineLevel="0" collapsed="false">
      <c r="D159" s="372"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2"/>
    </row>
    <row r="160" customFormat="false" ht="12.75" hidden="false" customHeight="false" outlineLevel="0" collapsed="false">
      <c r="D160" s="372"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2"/>
    </row>
    <row r="161" customFormat="false" ht="12.75" hidden="false" customHeight="false" outlineLevel="0" collapsed="false">
      <c r="D161" s="372"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2"/>
    </row>
    <row r="162" customFormat="false" ht="12.75" hidden="false" customHeight="false" outlineLevel="0" collapsed="false">
      <c r="D162" s="372"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2"/>
    </row>
    <row r="163" customFormat="false" ht="12.75" hidden="false" customHeight="false" outlineLevel="0" collapsed="false">
      <c r="D163" s="372"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2"/>
    </row>
    <row r="164" customFormat="false" ht="12.75" hidden="false" customHeight="false" outlineLevel="0" collapsed="false">
      <c r="D164" s="372"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2"/>
    </row>
    <row r="165" customFormat="false" ht="12.75" hidden="false" customHeight="false" outlineLevel="0" collapsed="false">
      <c r="D165" s="372"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2"/>
    </row>
    <row r="166" customFormat="false" ht="12.75" hidden="false" customHeight="false" outlineLevel="0" collapsed="false">
      <c r="D166" s="372"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2"/>
    </row>
    <row r="167" customFormat="false" ht="12.75" hidden="false" customHeight="false" outlineLevel="0" collapsed="false">
      <c r="D167" s="372"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2"/>
    </row>
    <row r="168" customFormat="false" ht="12.75" hidden="false" customHeight="false" outlineLevel="0" collapsed="false">
      <c r="D168" s="372"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2"/>
    </row>
    <row r="169" customFormat="false" ht="12.75" hidden="false" customHeight="false" outlineLevel="0" collapsed="false">
      <c r="D169" s="372"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2"/>
    </row>
    <row r="170" customFormat="false" ht="12.75" hidden="false" customHeight="false" outlineLevel="0" collapsed="false">
      <c r="D170" s="372"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2"/>
    </row>
    <row r="171" customFormat="false" ht="12.75" hidden="false" customHeight="false" outlineLevel="0" collapsed="false">
      <c r="D171" s="372"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2"/>
    </row>
    <row r="172" customFormat="false" ht="12.75" hidden="false" customHeight="false" outlineLevel="0" collapsed="false">
      <c r="D172" s="372"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2"/>
    </row>
    <row r="173" customFormat="false" ht="12.75" hidden="false" customHeight="false" outlineLevel="0" collapsed="false">
      <c r="D173" s="372"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2"/>
    </row>
    <row r="174" customFormat="false" ht="12.75" hidden="false" customHeight="false" outlineLevel="0" collapsed="false">
      <c r="D174" s="372"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2"/>
    </row>
    <row r="175" customFormat="false" ht="12.75" hidden="false" customHeight="false" outlineLevel="0" collapsed="false">
      <c r="D175" s="372"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2"/>
    </row>
    <row r="176" customFormat="false" ht="12.75" hidden="false" customHeight="false" outlineLevel="0" collapsed="false">
      <c r="D176" s="372"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2"/>
    </row>
    <row r="177" customFormat="false" ht="12.75" hidden="false" customHeight="false" outlineLevel="0" collapsed="false">
      <c r="D177" s="372"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2"/>
    </row>
    <row r="178" customFormat="false" ht="12.75" hidden="false" customHeight="false" outlineLevel="0" collapsed="false">
      <c r="D178" s="372"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2"/>
    </row>
    <row r="179" customFormat="false" ht="12.75" hidden="false" customHeight="false" outlineLevel="0" collapsed="false">
      <c r="D179" s="372"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2"/>
    </row>
    <row r="180" customFormat="false" ht="12.75" hidden="false" customHeight="false" outlineLevel="0" collapsed="false">
      <c r="D180" s="372"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2"/>
    </row>
    <row r="181" customFormat="false" ht="12.75" hidden="false" customHeight="false" outlineLevel="0" collapsed="false">
      <c r="D181" s="372"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2"/>
    </row>
    <row r="182" customFormat="false" ht="12.75" hidden="false" customHeight="false" outlineLevel="0" collapsed="false">
      <c r="D182" s="372"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2"/>
    </row>
    <row r="183" customFormat="false" ht="12.75" hidden="false" customHeight="false" outlineLevel="0" collapsed="false">
      <c r="D183" s="372"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2"/>
    </row>
    <row r="184" customFormat="false" ht="12.75" hidden="false" customHeight="false" outlineLevel="0" collapsed="false">
      <c r="D184" s="372"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2"/>
    </row>
    <row r="185" customFormat="false" ht="12.75" hidden="false" customHeight="false" outlineLevel="0" collapsed="false">
      <c r="D185" s="372"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2"/>
    </row>
    <row r="186" customFormat="false" ht="12.75" hidden="false" customHeight="false" outlineLevel="0" collapsed="false">
      <c r="D186" s="372"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2"/>
    </row>
    <row r="187" customFormat="false" ht="12.75" hidden="false" customHeight="false" outlineLevel="0" collapsed="false">
      <c r="D187" s="372"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2"/>
    </row>
    <row r="188" customFormat="false" ht="12.75" hidden="false" customHeight="false" outlineLevel="0" collapsed="false">
      <c r="D188" s="372"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2"/>
    </row>
    <row r="189" customFormat="false" ht="12.75" hidden="false" customHeight="false" outlineLevel="0" collapsed="false">
      <c r="D189" s="372"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2"/>
    </row>
    <row r="190" customFormat="false" ht="12.75" hidden="false" customHeight="false" outlineLevel="0" collapsed="false">
      <c r="D190" s="372"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2"/>
    </row>
    <row r="191" customFormat="false" ht="12.75" hidden="false" customHeight="false" outlineLevel="0" collapsed="false">
      <c r="D191" s="372"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2"/>
    </row>
    <row r="192" customFormat="false" ht="12.75" hidden="false" customHeight="false" outlineLevel="0" collapsed="false">
      <c r="D192" s="372"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2"/>
    </row>
    <row r="193" customFormat="false" ht="12.75" hidden="false" customHeight="false" outlineLevel="0" collapsed="false">
      <c r="D193" s="372"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2"/>
    </row>
    <row r="194" customFormat="false" ht="12.75" hidden="false" customHeight="false" outlineLevel="0" collapsed="false">
      <c r="D194" s="372"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2"/>
    </row>
    <row r="195" customFormat="false" ht="12.75" hidden="false" customHeight="false" outlineLevel="0" collapsed="false">
      <c r="D195" s="372"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2"/>
    </row>
    <row r="196" customFormat="false" ht="12.75" hidden="false" customHeight="false" outlineLevel="0" collapsed="false">
      <c r="D196" s="372"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2"/>
    </row>
    <row r="197" customFormat="false" ht="12.75" hidden="false" customHeight="false" outlineLevel="0" collapsed="false">
      <c r="D197" s="372"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2"/>
    </row>
    <row r="198" customFormat="false" ht="12.75" hidden="false" customHeight="false" outlineLevel="0" collapsed="false">
      <c r="D198" s="372"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2"/>
    </row>
    <row r="199" customFormat="false" ht="12.75" hidden="false" customHeight="false" outlineLevel="0" collapsed="false">
      <c r="D199" s="372"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2"/>
    </row>
    <row r="200" customFormat="false" ht="12.75" hidden="false" customHeight="false" outlineLevel="0" collapsed="false">
      <c r="D200" s="372"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2"/>
    </row>
    <row r="201" customFormat="false" ht="12.75" hidden="false" customHeight="false" outlineLevel="0" collapsed="false">
      <c r="D201" s="372"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2"/>
    </row>
    <row r="202" customFormat="false" ht="12.75" hidden="false" customHeight="false" outlineLevel="0" collapsed="false">
      <c r="D202" s="372"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2"/>
    </row>
    <row r="203" customFormat="false" ht="12.75" hidden="false" customHeight="false" outlineLevel="0" collapsed="false">
      <c r="D203" s="372"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2"/>
    </row>
    <row r="204" customFormat="false" ht="12.75" hidden="false" customHeight="false" outlineLevel="0" collapsed="false">
      <c r="D204" s="372"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2"/>
    </row>
    <row r="205" customFormat="false" ht="12.75" hidden="false" customHeight="false" outlineLevel="0" collapsed="false">
      <c r="U205" s="372"/>
    </row>
    <row r="206" customFormat="false" ht="12.75" hidden="false" customHeight="false" outlineLevel="0" collapsed="false">
      <c r="U206" s="372"/>
    </row>
    <row r="207" customFormat="false" ht="12.75" hidden="false" customHeight="false" outlineLevel="0" collapsed="false">
      <c r="U207" s="372"/>
    </row>
    <row r="208" customFormat="false" ht="12.75" hidden="false" customHeight="false" outlineLevel="0" collapsed="false">
      <c r="U208" s="372"/>
    </row>
    <row r="209" customFormat="false" ht="12.75" hidden="false" customHeight="false" outlineLevel="0" collapsed="false">
      <c r="U209" s="372"/>
    </row>
    <row r="210" customFormat="false" ht="12.75" hidden="false" customHeight="false" outlineLevel="0" collapsed="false">
      <c r="U210" s="372"/>
    </row>
    <row r="211" customFormat="false" ht="12.75" hidden="false" customHeight="false" outlineLevel="0" collapsed="false">
      <c r="U211" s="372"/>
    </row>
    <row r="212" customFormat="false" ht="12.75" hidden="false" customHeight="false" outlineLevel="0" collapsed="false">
      <c r="U212" s="372"/>
    </row>
    <row r="213" customFormat="false" ht="12.75" hidden="false" customHeight="false" outlineLevel="0" collapsed="false">
      <c r="U213" s="372"/>
    </row>
    <row r="214" customFormat="false" ht="12.75" hidden="false" customHeight="false" outlineLevel="0" collapsed="false">
      <c r="U214" s="372"/>
    </row>
    <row r="215" customFormat="false" ht="12.75" hidden="false" customHeight="false" outlineLevel="0" collapsed="false">
      <c r="U215" s="372"/>
    </row>
    <row r="216" customFormat="false" ht="12.75" hidden="false" customHeight="false" outlineLevel="0" collapsed="false">
      <c r="U216" s="372"/>
    </row>
    <row r="217" customFormat="false" ht="12.75" hidden="false" customHeight="false" outlineLevel="0" collapsed="false">
      <c r="U217" s="372"/>
    </row>
    <row r="218" customFormat="false" ht="12.75" hidden="false" customHeight="false" outlineLevel="0" collapsed="false">
      <c r="U218" s="372"/>
    </row>
    <row r="219" customFormat="false" ht="12.75" hidden="false" customHeight="false" outlineLevel="0" collapsed="false">
      <c r="U219" s="372"/>
    </row>
    <row r="220" customFormat="false" ht="12.75" hidden="false" customHeight="false" outlineLevel="0" collapsed="false">
      <c r="U220" s="372"/>
    </row>
    <row r="221" customFormat="false" ht="12.75" hidden="false" customHeight="false" outlineLevel="0" collapsed="false">
      <c r="U221" s="372"/>
    </row>
    <row r="222" customFormat="false" ht="12.75" hidden="false" customHeight="false" outlineLevel="0" collapsed="false">
      <c r="U222" s="372"/>
    </row>
    <row r="223" customFormat="false" ht="12.75" hidden="false" customHeight="false" outlineLevel="0" collapsed="false">
      <c r="U223" s="372"/>
    </row>
    <row r="224" customFormat="false" ht="12.75" hidden="false" customHeight="false" outlineLevel="0" collapsed="false">
      <c r="U224" s="372"/>
    </row>
    <row r="225" customFormat="false" ht="12.75" hidden="false" customHeight="false" outlineLevel="0" collapsed="false">
      <c r="U225" s="372"/>
    </row>
    <row r="226" customFormat="false" ht="12.75" hidden="false" customHeight="false" outlineLevel="0" collapsed="false">
      <c r="U226" s="372"/>
    </row>
    <row r="227" customFormat="false" ht="12.75" hidden="false" customHeight="false" outlineLevel="0" collapsed="false">
      <c r="U227" s="372"/>
    </row>
    <row r="228" customFormat="false" ht="12.75" hidden="false" customHeight="false" outlineLevel="0" collapsed="false">
      <c r="U228" s="372"/>
    </row>
    <row r="229" customFormat="false" ht="12.75" hidden="false" customHeight="false" outlineLevel="0" collapsed="false">
      <c r="U229" s="372"/>
    </row>
    <row r="230" customFormat="false" ht="12.75" hidden="false" customHeight="false" outlineLevel="0" collapsed="false">
      <c r="U230" s="372"/>
    </row>
    <row r="231" customFormat="false" ht="12.75" hidden="false" customHeight="false" outlineLevel="0" collapsed="false">
      <c r="U231" s="372"/>
    </row>
    <row r="232" customFormat="false" ht="12.75" hidden="false" customHeight="false" outlineLevel="0" collapsed="false">
      <c r="U232" s="372"/>
    </row>
    <row r="233" customFormat="false" ht="12.75" hidden="false" customHeight="false" outlineLevel="0" collapsed="false">
      <c r="U233" s="372"/>
    </row>
    <row r="234" customFormat="false" ht="12.75" hidden="false" customHeight="false" outlineLevel="0" collapsed="false">
      <c r="U234" s="372"/>
    </row>
    <row r="235" customFormat="false" ht="12.75" hidden="false" customHeight="false" outlineLevel="0" collapsed="false">
      <c r="U235" s="372"/>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5" width="9.66"/>
    <col collapsed="false" customWidth="true" hidden="false" outlineLevel="0" max="2" min="2" style="346" width="14.66"/>
    <col collapsed="false" customWidth="true" hidden="false" outlineLevel="0" max="3" min="3" style="181" width="13.66"/>
    <col collapsed="false" customWidth="true" hidden="false" outlineLevel="0" max="4" min="4" style="347" width="12.66"/>
    <col collapsed="false" customWidth="true" hidden="false" outlineLevel="0" max="5" min="5" style="348" width="12.66"/>
    <col collapsed="false" customWidth="true" hidden="false" outlineLevel="0" max="6" min="6" style="181" width="12.66"/>
    <col collapsed="false" customWidth="false" hidden="false" outlineLevel="0" max="257" min="7" style="181" width="9.15"/>
  </cols>
  <sheetData>
    <row r="1" s="353" customFormat="true" ht="12.75" hidden="false" customHeight="true" outlineLevel="0" collapsed="false">
      <c r="A1" s="349" t="s">
        <v>238</v>
      </c>
      <c r="B1" s="350" t="s">
        <v>239</v>
      </c>
      <c r="C1" s="351" t="s">
        <v>240</v>
      </c>
      <c r="D1" s="352" t="n">
        <f aca="false">SUM(D4:D47)</f>
        <v>0</v>
      </c>
      <c r="E1" s="351" t="n">
        <f aca="false">SUM(E4:E47)/2</f>
        <v>3000</v>
      </c>
      <c r="F1" s="351" t="n">
        <f aca="false">SUM(F4:F47)/2</f>
        <v>0</v>
      </c>
    </row>
    <row r="2" s="353" customFormat="true" ht="12.75" hidden="false" customHeight="true" outlineLevel="0" collapsed="false">
      <c r="A2" s="349"/>
      <c r="B2" s="350"/>
      <c r="C2" s="354" t="s">
        <v>241</v>
      </c>
      <c r="D2" s="355" t="s">
        <v>242</v>
      </c>
      <c r="E2" s="354" t="s">
        <v>243</v>
      </c>
      <c r="F2" s="354" t="s">
        <v>244</v>
      </c>
    </row>
    <row r="3" s="356" customFormat="true" ht="24" hidden="false" customHeight="true" outlineLevel="0" collapsed="false">
      <c r="A3" s="349"/>
      <c r="B3" s="350"/>
      <c r="C3" s="354"/>
      <c r="D3" s="355"/>
      <c r="E3" s="354"/>
      <c r="F3" s="354"/>
    </row>
    <row r="5" customFormat="false" ht="12.75" hidden="false" customHeight="false" outlineLevel="0" collapsed="false">
      <c r="A5" s="357" t="n">
        <v>46419</v>
      </c>
      <c r="B5" s="358" t="n">
        <v>46419</v>
      </c>
      <c r="C5" s="359"/>
      <c r="D5" s="360"/>
      <c r="E5" s="361"/>
      <c r="F5" s="362"/>
    </row>
    <row r="6" customFormat="false" ht="12.75" hidden="false" customHeight="false" outlineLevel="0" collapsed="false">
      <c r="A6" s="363" t="n">
        <v>46420</v>
      </c>
      <c r="B6" s="346" t="n">
        <v>46420</v>
      </c>
      <c r="E6" s="348" t="n">
        <v>200</v>
      </c>
      <c r="F6" s="364"/>
    </row>
    <row r="7" customFormat="false" ht="12.75" hidden="false" customHeight="false" outlineLevel="0" collapsed="false">
      <c r="A7" s="363" t="n">
        <v>46421</v>
      </c>
      <c r="B7" s="346" t="n">
        <v>46421</v>
      </c>
      <c r="E7" s="348" t="n">
        <v>200</v>
      </c>
      <c r="F7" s="364"/>
    </row>
    <row r="8" customFormat="false" ht="12.75" hidden="false" customHeight="false" outlineLevel="0" collapsed="false">
      <c r="A8" s="363" t="n">
        <v>46422</v>
      </c>
      <c r="B8" s="346" t="n">
        <v>46422</v>
      </c>
      <c r="E8" s="348" t="n">
        <v>200</v>
      </c>
      <c r="F8" s="364"/>
    </row>
    <row r="9" customFormat="false" ht="12.75" hidden="false" customHeight="false" outlineLevel="0" collapsed="false">
      <c r="A9" s="363" t="n">
        <v>46423</v>
      </c>
      <c r="B9" s="346" t="n">
        <v>46423</v>
      </c>
      <c r="E9" s="348" t="n">
        <v>200</v>
      </c>
      <c r="F9" s="364"/>
    </row>
    <row r="10" customFormat="false" ht="12.75" hidden="false" customHeight="false" outlineLevel="0" collapsed="false">
      <c r="A10" s="363" t="n">
        <v>46424</v>
      </c>
      <c r="B10" s="346" t="n">
        <v>46424</v>
      </c>
      <c r="E10" s="348" t="n">
        <v>200</v>
      </c>
      <c r="F10" s="364"/>
    </row>
    <row r="11" customFormat="false" ht="12.75" hidden="false" customHeight="false" outlineLevel="0" collapsed="false">
      <c r="A11" s="363" t="n">
        <v>46425</v>
      </c>
      <c r="B11" s="346" t="n">
        <v>46425</v>
      </c>
      <c r="F11" s="364"/>
    </row>
    <row r="12" customFormat="false" ht="12.75" hidden="false" customHeight="false" outlineLevel="0" collapsed="false">
      <c r="A12" s="363" t="n">
        <v>46425</v>
      </c>
      <c r="B12" s="346" t="s">
        <v>245</v>
      </c>
      <c r="F12" s="364"/>
    </row>
    <row r="13" customFormat="false" ht="12.75" hidden="false" customHeight="false" outlineLevel="0" collapsed="false">
      <c r="A13" s="363" t="n">
        <v>46425</v>
      </c>
      <c r="B13" s="346" t="s">
        <v>246</v>
      </c>
      <c r="F13" s="364"/>
    </row>
    <row r="14" customFormat="false" ht="12.75" hidden="false" customHeight="false" outlineLevel="0" collapsed="false">
      <c r="A14" s="365"/>
      <c r="B14" s="366"/>
      <c r="C14" s="367"/>
      <c r="D14" s="368"/>
      <c r="E14" s="369" t="n">
        <f aca="false">SUM(E5:E13)</f>
        <v>1000</v>
      </c>
      <c r="F14" s="370" t="n">
        <f aca="false">SUM(F5:F13)</f>
        <v>0</v>
      </c>
    </row>
    <row r="16" customFormat="false" ht="12.75" hidden="false" customHeight="false" outlineLevel="0" collapsed="false">
      <c r="A16" s="357" t="n">
        <v>46426</v>
      </c>
      <c r="B16" s="358" t="n">
        <v>46426</v>
      </c>
      <c r="C16" s="359"/>
      <c r="D16" s="360"/>
      <c r="E16" s="361"/>
      <c r="F16" s="362"/>
    </row>
    <row r="17" customFormat="false" ht="12.75" hidden="false" customHeight="false" outlineLevel="0" collapsed="false">
      <c r="A17" s="363" t="n">
        <v>46427</v>
      </c>
      <c r="B17" s="346" t="n">
        <v>46427</v>
      </c>
      <c r="E17" s="348" t="n">
        <v>200</v>
      </c>
      <c r="F17" s="364"/>
    </row>
    <row r="18" customFormat="false" ht="12.75" hidden="false" customHeight="false" outlineLevel="0" collapsed="false">
      <c r="A18" s="363" t="n">
        <v>46428</v>
      </c>
      <c r="B18" s="346" t="n">
        <v>46428</v>
      </c>
      <c r="E18" s="348" t="n">
        <v>200</v>
      </c>
      <c r="F18" s="364"/>
    </row>
    <row r="19" customFormat="false" ht="12.75" hidden="false" customHeight="false" outlineLevel="0" collapsed="false">
      <c r="A19" s="363" t="n">
        <v>46429</v>
      </c>
      <c r="B19" s="346" t="n">
        <v>46429</v>
      </c>
      <c r="E19" s="348" t="n">
        <v>200</v>
      </c>
      <c r="F19" s="364"/>
    </row>
    <row r="20" customFormat="false" ht="12.75" hidden="false" customHeight="false" outlineLevel="0" collapsed="false">
      <c r="A20" s="363" t="n">
        <v>46430</v>
      </c>
      <c r="B20" s="346" t="n">
        <v>46430</v>
      </c>
      <c r="E20" s="348" t="n">
        <v>200</v>
      </c>
      <c r="F20" s="364"/>
    </row>
    <row r="21" customFormat="false" ht="12.75" hidden="false" customHeight="false" outlineLevel="0" collapsed="false">
      <c r="A21" s="363" t="n">
        <v>46431</v>
      </c>
      <c r="B21" s="346" t="n">
        <v>46431</v>
      </c>
      <c r="E21" s="348" t="n">
        <v>200</v>
      </c>
      <c r="F21" s="364"/>
    </row>
    <row r="22" customFormat="false" ht="12.75" hidden="false" customHeight="false" outlineLevel="0" collapsed="false">
      <c r="A22" s="363" t="n">
        <v>46432</v>
      </c>
      <c r="B22" s="346" t="n">
        <v>46432</v>
      </c>
      <c r="F22" s="364"/>
    </row>
    <row r="23" customFormat="false" ht="12.75" hidden="false" customHeight="false" outlineLevel="0" collapsed="false">
      <c r="A23" s="363" t="n">
        <v>46432</v>
      </c>
      <c r="B23" s="346" t="s">
        <v>245</v>
      </c>
      <c r="F23" s="364"/>
    </row>
    <row r="24" customFormat="false" ht="12.75" hidden="false" customHeight="false" outlineLevel="0" collapsed="false">
      <c r="A24" s="363" t="n">
        <v>46432</v>
      </c>
      <c r="B24" s="346" t="s">
        <v>246</v>
      </c>
      <c r="F24" s="364"/>
    </row>
    <row r="25" customFormat="false" ht="12.75" hidden="false" customHeight="false" outlineLevel="0" collapsed="false">
      <c r="A25" s="365"/>
      <c r="B25" s="366"/>
      <c r="C25" s="367"/>
      <c r="D25" s="368"/>
      <c r="E25" s="369" t="n">
        <f aca="false">SUM(E16:E24)</f>
        <v>1000</v>
      </c>
      <c r="F25" s="370" t="n">
        <f aca="false">SUM(F16:F24)</f>
        <v>0</v>
      </c>
    </row>
    <row r="27" customFormat="false" ht="12.75" hidden="false" customHeight="false" outlineLevel="0" collapsed="false">
      <c r="A27" s="357" t="n">
        <v>46433</v>
      </c>
      <c r="B27" s="358" t="n">
        <v>46433</v>
      </c>
      <c r="C27" s="359"/>
      <c r="D27" s="360"/>
      <c r="E27" s="361"/>
      <c r="F27" s="362"/>
    </row>
    <row r="28" customFormat="false" ht="12.75" hidden="false" customHeight="false" outlineLevel="0" collapsed="false">
      <c r="A28" s="363" t="n">
        <v>46434</v>
      </c>
      <c r="B28" s="346" t="n">
        <v>46434</v>
      </c>
      <c r="E28" s="348" t="n">
        <v>200</v>
      </c>
      <c r="F28" s="364"/>
    </row>
    <row r="29" customFormat="false" ht="12.75" hidden="false" customHeight="false" outlineLevel="0" collapsed="false">
      <c r="A29" s="363" t="n">
        <v>46435</v>
      </c>
      <c r="B29" s="346" t="n">
        <v>46435</v>
      </c>
      <c r="E29" s="348" t="n">
        <v>200</v>
      </c>
      <c r="F29" s="364"/>
    </row>
    <row r="30" customFormat="false" ht="12.75" hidden="false" customHeight="false" outlineLevel="0" collapsed="false">
      <c r="A30" s="363" t="n">
        <v>46436</v>
      </c>
      <c r="B30" s="346" t="n">
        <v>46436</v>
      </c>
      <c r="E30" s="348" t="n">
        <v>200</v>
      </c>
      <c r="F30" s="364"/>
    </row>
    <row r="31" customFormat="false" ht="12.75" hidden="false" customHeight="false" outlineLevel="0" collapsed="false">
      <c r="A31" s="363" t="n">
        <v>46437</v>
      </c>
      <c r="B31" s="346" t="n">
        <v>46437</v>
      </c>
      <c r="E31" s="348" t="n">
        <v>200</v>
      </c>
      <c r="F31" s="364"/>
    </row>
    <row r="32" customFormat="false" ht="12.75" hidden="false" customHeight="false" outlineLevel="0" collapsed="false">
      <c r="A32" s="363" t="n">
        <v>46438</v>
      </c>
      <c r="B32" s="346" t="n">
        <v>46438</v>
      </c>
      <c r="E32" s="348" t="n">
        <v>200</v>
      </c>
      <c r="F32" s="364"/>
    </row>
    <row r="33" customFormat="false" ht="12.75" hidden="false" customHeight="false" outlineLevel="0" collapsed="false">
      <c r="A33" s="363" t="n">
        <v>46439</v>
      </c>
      <c r="B33" s="346" t="n">
        <v>46439</v>
      </c>
      <c r="F33" s="364"/>
    </row>
    <row r="34" customFormat="false" ht="12.75" hidden="false" customHeight="false" outlineLevel="0" collapsed="false">
      <c r="A34" s="363" t="n">
        <v>46439</v>
      </c>
      <c r="B34" s="346" t="s">
        <v>245</v>
      </c>
      <c r="F34" s="364"/>
    </row>
    <row r="35" customFormat="false" ht="12.75" hidden="false" customHeight="false" outlineLevel="0" collapsed="false">
      <c r="A35" s="363" t="n">
        <v>46439</v>
      </c>
      <c r="B35" s="346" t="s">
        <v>246</v>
      </c>
      <c r="F35" s="364"/>
    </row>
    <row r="36" customFormat="false" ht="12.75" hidden="false" customHeight="false" outlineLevel="0" collapsed="false">
      <c r="A36" s="365"/>
      <c r="B36" s="366"/>
      <c r="C36" s="367"/>
      <c r="D36" s="368"/>
      <c r="E36" s="369" t="n">
        <f aca="false">SUM(E27:E35)</f>
        <v>1000</v>
      </c>
      <c r="F36" s="370" t="n">
        <f aca="false">SUM(F27:F35)</f>
        <v>0</v>
      </c>
    </row>
    <row r="38" customFormat="false" ht="12.75" hidden="false" customHeight="false" outlineLevel="0" collapsed="false">
      <c r="A38" s="357" t="n">
        <v>46440</v>
      </c>
      <c r="B38" s="358" t="n">
        <v>46440</v>
      </c>
      <c r="C38" s="359"/>
      <c r="D38" s="360"/>
      <c r="E38" s="361"/>
      <c r="F38" s="362"/>
    </row>
    <row r="39" customFormat="false" ht="12.75" hidden="false" customHeight="false" outlineLevel="0" collapsed="false">
      <c r="A39" s="363" t="n">
        <v>46441</v>
      </c>
      <c r="B39" s="346" t="n">
        <v>46441</v>
      </c>
      <c r="F39" s="364"/>
    </row>
    <row r="40" customFormat="false" ht="12.75" hidden="false" customHeight="false" outlineLevel="0" collapsed="false">
      <c r="A40" s="363" t="n">
        <v>46442</v>
      </c>
      <c r="B40" s="346" t="n">
        <v>46442</v>
      </c>
      <c r="F40" s="364"/>
    </row>
    <row r="41" customFormat="false" ht="12.75" hidden="false" customHeight="false" outlineLevel="0" collapsed="false">
      <c r="A41" s="363" t="n">
        <v>46443</v>
      </c>
      <c r="B41" s="346" t="n">
        <v>46443</v>
      </c>
      <c r="F41" s="364"/>
    </row>
    <row r="42" customFormat="false" ht="12.75" hidden="false" customHeight="false" outlineLevel="0" collapsed="false">
      <c r="A42" s="363" t="n">
        <v>46444</v>
      </c>
      <c r="B42" s="346" t="n">
        <v>46444</v>
      </c>
      <c r="F42" s="364"/>
    </row>
    <row r="43" customFormat="false" ht="12.75" hidden="false" customHeight="false" outlineLevel="0" collapsed="false">
      <c r="A43" s="363" t="n">
        <v>46445</v>
      </c>
      <c r="B43" s="346" t="n">
        <v>46445</v>
      </c>
      <c r="F43" s="364"/>
    </row>
    <row r="44" customFormat="false" ht="12.75" hidden="false" customHeight="false" outlineLevel="0" collapsed="false">
      <c r="A44" s="363" t="n">
        <v>46446</v>
      </c>
      <c r="B44" s="346" t="n">
        <v>46446</v>
      </c>
      <c r="F44" s="364"/>
    </row>
    <row r="45" customFormat="false" ht="12.75" hidden="false" customHeight="false" outlineLevel="0" collapsed="false">
      <c r="A45" s="363" t="n">
        <v>46446</v>
      </c>
      <c r="B45" s="346" t="s">
        <v>245</v>
      </c>
      <c r="F45" s="364"/>
    </row>
    <row r="46" customFormat="false" ht="12.75" hidden="false" customHeight="false" outlineLevel="0" collapsed="false">
      <c r="A46" s="363" t="n">
        <v>46446</v>
      </c>
      <c r="B46" s="346" t="s">
        <v>246</v>
      </c>
      <c r="F46" s="364"/>
    </row>
    <row r="47" customFormat="false" ht="12.75" hidden="false" customHeight="false" outlineLevel="0" collapsed="false">
      <c r="A47" s="365"/>
      <c r="B47" s="366"/>
      <c r="C47" s="367"/>
      <c r="D47" s="368"/>
      <c r="E47" s="369" t="n">
        <f aca="false">SUM(E38:E46)</f>
        <v>0</v>
      </c>
      <c r="F47" s="370"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1" width="9.66"/>
    <col collapsed="false" customWidth="true" hidden="false" outlineLevel="0" max="2" min="2" style="180" width="23.99"/>
    <col collapsed="false" customWidth="true" hidden="false" outlineLevel="0" max="3" min="3" style="180" width="15.99"/>
    <col collapsed="false" customWidth="false" hidden="false" outlineLevel="0" max="5" min="4" style="372" width="9.15"/>
    <col collapsed="false" customWidth="true" hidden="false" outlineLevel="0" max="6" min="6" style="373"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82"/>
    <col collapsed="false" customWidth="false" hidden="false" outlineLevel="0" max="14" min="14" style="181" width="9.15"/>
    <col collapsed="false" customWidth="true" hidden="false" outlineLevel="0" max="15" min="15" style="181" width="9.33"/>
    <col collapsed="false" customWidth="true" hidden="false" outlineLevel="0" max="18" min="16" style="181" width="7.66"/>
    <col collapsed="false" customWidth="true" hidden="false" outlineLevel="0" max="19" min="19" style="181" width="8.15"/>
    <col collapsed="false" customWidth="true" hidden="false" outlineLevel="0" max="20" min="20" style="180" width="12.5"/>
    <col collapsed="false" customWidth="true" hidden="false" outlineLevel="0" max="21" min="21" style="181" width="8.15"/>
    <col collapsed="false" customWidth="false" hidden="false" outlineLevel="0" max="257" min="22" style="180" width="9.15"/>
  </cols>
  <sheetData>
    <row r="1" s="181" customFormat="true" ht="13.5" hidden="false" customHeight="true" outlineLevel="0" collapsed="false">
      <c r="A1" s="390" t="n">
        <f aca="false">E1+SalesFeb!$D$1+PurchasesJan!A1</f>
        <v>0</v>
      </c>
      <c r="B1" s="391" t="s">
        <v>247</v>
      </c>
      <c r="C1" s="392" t="s">
        <v>240</v>
      </c>
      <c r="D1" s="376" t="str">
        <f aca="false">IF((F1-SUM(G1:S1)&lt;&gt;0),(F1-SUM(G1:S1))," ")</f>
        <v> </v>
      </c>
      <c r="E1" s="352" t="n">
        <f aca="false">SUM(E5:E199)</f>
        <v>0</v>
      </c>
      <c r="F1" s="351" t="n">
        <f aca="false">SUM(F5:F199)</f>
        <v>300</v>
      </c>
      <c r="G1" s="351" t="n">
        <f aca="false">SUM(G5:G199)</f>
        <v>300</v>
      </c>
      <c r="H1" s="351" t="n">
        <f aca="false">SUM(H5:H199)</f>
        <v>0</v>
      </c>
      <c r="I1" s="351" t="n">
        <f aca="false">SUM(I5:I199)</f>
        <v>0</v>
      </c>
      <c r="J1" s="351" t="n">
        <f aca="false">SUM(J5:J199)</f>
        <v>0</v>
      </c>
      <c r="K1" s="351" t="n">
        <f aca="false">SUM(K5:K199)</f>
        <v>0</v>
      </c>
      <c r="L1" s="351" t="n">
        <f aca="false">SUM(L5:L199)</f>
        <v>0</v>
      </c>
      <c r="M1" s="351" t="n">
        <f aca="false">SUM(M5:M199)</f>
        <v>0</v>
      </c>
      <c r="N1" s="351" t="n">
        <f aca="false">SUM(N5:N199)</f>
        <v>0</v>
      </c>
      <c r="O1" s="351" t="n">
        <f aca="false">SUM(O5:O199)</f>
        <v>0</v>
      </c>
      <c r="P1" s="351" t="n">
        <f aca="false">SUM(P5:P199)</f>
        <v>0</v>
      </c>
      <c r="Q1" s="351" t="n">
        <f aca="false">SUM(Q5:Q199)</f>
        <v>0</v>
      </c>
      <c r="R1" s="351" t="n">
        <f aca="false">SUM(R5:R199)</f>
        <v>0</v>
      </c>
      <c r="S1" s="393" t="n">
        <f aca="false">SUM(S5:S199)</f>
        <v>0</v>
      </c>
      <c r="T1" s="394" t="n">
        <f aca="false">S1+PurchasesJan!T1</f>
        <v>8000</v>
      </c>
      <c r="U1" s="393" t="n">
        <f aca="false">SUM(U4:U199)</f>
        <v>0</v>
      </c>
    </row>
    <row r="2" s="181" customFormat="true" ht="13.5" hidden="false" customHeight="true" outlineLevel="0" collapsed="false">
      <c r="A2" s="395" t="n">
        <f aca="false">U1+PurchasesJan!A2</f>
        <v>0</v>
      </c>
      <c r="B2" s="240" t="s">
        <v>248</v>
      </c>
      <c r="C2" s="379" t="s">
        <v>249</v>
      </c>
      <c r="D2" s="379" t="s">
        <v>250</v>
      </c>
      <c r="E2" s="379" t="s">
        <v>251</v>
      </c>
      <c r="F2" s="207" t="s">
        <v>252</v>
      </c>
      <c r="G2" s="380" t="s">
        <v>253</v>
      </c>
      <c r="H2" s="380"/>
      <c r="I2" s="381" t="n">
        <f aca="false">G1+H1+I1+J1+PurchasesJan!I2</f>
        <v>4680</v>
      </c>
      <c r="J2" s="381"/>
      <c r="K2" s="207" t="s">
        <v>254</v>
      </c>
      <c r="L2" s="207" t="s">
        <v>255</v>
      </c>
      <c r="M2" s="207" t="s">
        <v>256</v>
      </c>
      <c r="N2" s="207" t="s">
        <v>288</v>
      </c>
      <c r="O2" s="207" t="s">
        <v>258</v>
      </c>
      <c r="P2" s="207" t="s">
        <v>259</v>
      </c>
      <c r="Q2" s="207" t="s">
        <v>260</v>
      </c>
      <c r="R2" s="207" t="s">
        <v>261</v>
      </c>
      <c r="S2" s="382" t="s">
        <v>262</v>
      </c>
      <c r="T2" s="383" t="str">
        <f aca="false">IF(T1&gt;'Fixed Assets'!$D$74,"ENTER VEHICLE CHANGES        on Fixed Asset schedule","Motor Vehicles: make, model, date reg. and reg. Mark")</f>
        <v>ENTER VEHICLE CHANGES        on Fixed Asset schedule</v>
      </c>
      <c r="U2" s="382" t="s">
        <v>116</v>
      </c>
    </row>
    <row r="3" s="385" customFormat="true" ht="45" hidden="false" customHeight="true" outlineLevel="0" collapsed="false">
      <c r="A3" s="384" t="s">
        <v>263</v>
      </c>
      <c r="B3" s="207" t="s">
        <v>264</v>
      </c>
      <c r="C3" s="379"/>
      <c r="D3" s="379"/>
      <c r="E3" s="379"/>
      <c r="F3" s="379"/>
      <c r="G3" s="207" t="s">
        <v>111</v>
      </c>
      <c r="H3" s="207" t="s">
        <v>265</v>
      </c>
      <c r="I3" s="207" t="s">
        <v>113</v>
      </c>
      <c r="J3" s="207" t="s">
        <v>114</v>
      </c>
      <c r="K3" s="207"/>
      <c r="L3" s="207"/>
      <c r="M3" s="207"/>
      <c r="N3" s="207"/>
      <c r="O3" s="207"/>
      <c r="P3" s="207"/>
      <c r="Q3" s="207"/>
      <c r="R3" s="207"/>
      <c r="S3" s="382"/>
      <c r="T3" s="383"/>
      <c r="U3" s="382"/>
    </row>
    <row r="4" s="388" customFormat="true" ht="12.75" hidden="false" customHeight="false" outlineLevel="0" collapsed="false">
      <c r="A4" s="386" t="str">
        <f aca="false">IF((E1&lt;&gt;0),Admin!$B$15," ")</f>
        <v> </v>
      </c>
      <c r="B4" s="207"/>
      <c r="C4" s="207"/>
      <c r="D4" s="207"/>
      <c r="E4" s="207"/>
      <c r="F4" s="207"/>
      <c r="G4" s="375" t="s">
        <v>266</v>
      </c>
      <c r="H4" s="375" t="s">
        <v>267</v>
      </c>
      <c r="I4" s="375" t="s">
        <v>268</v>
      </c>
      <c r="J4" s="375" t="s">
        <v>269</v>
      </c>
      <c r="K4" s="375" t="s">
        <v>270</v>
      </c>
      <c r="L4" s="375" t="s">
        <v>271</v>
      </c>
      <c r="M4" s="375" t="s">
        <v>272</v>
      </c>
      <c r="N4" s="375" t="s">
        <v>273</v>
      </c>
      <c r="O4" s="375" t="s">
        <v>274</v>
      </c>
      <c r="P4" s="375" t="s">
        <v>275</v>
      </c>
      <c r="Q4" s="375" t="s">
        <v>276</v>
      </c>
      <c r="R4" s="375" t="s">
        <v>277</v>
      </c>
      <c r="S4" s="387" t="s">
        <v>278</v>
      </c>
      <c r="T4" s="383"/>
      <c r="U4" s="394" t="n">
        <f aca="false">IF((A1&lt;Admin!$F$22),((A1-PurchasesJan!A1)*Admin!$G$21),(A1*Admin!$G$21-(A1-Admin!$F$21)*(Admin!$G$21-Admin!$G$22)-PurchasesJan!A2))</f>
        <v>0</v>
      </c>
    </row>
    <row r="5" s="372" customFormat="true" ht="12.75" hidden="false" customHeight="false" outlineLevel="0" collapsed="false">
      <c r="A5" s="371" t="n">
        <v>46433</v>
      </c>
      <c r="B5" s="389" t="s">
        <v>284</v>
      </c>
      <c r="D5" s="372" t="s">
        <v>285</v>
      </c>
      <c r="F5" s="372"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2"/>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2"/>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2"/>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2"/>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2"/>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2"/>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2"/>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2"/>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2"/>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2"/>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2"/>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2"/>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2"/>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2"/>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2"/>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2"/>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2"/>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2"/>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2"/>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2"/>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2"/>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2"/>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2"/>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2"/>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2"/>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2"/>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2"/>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2"/>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2"/>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2"/>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2"/>
    </row>
    <row r="37" customFormat="false" ht="12.75" hidden="false" customHeight="false" outlineLevel="0" collapsed="false">
      <c r="D37" s="372"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2"/>
    </row>
    <row r="38" customFormat="false" ht="12.75" hidden="false" customHeight="false" outlineLevel="0" collapsed="false">
      <c r="D38" s="372"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2"/>
    </row>
    <row r="39" customFormat="false" ht="12.75" hidden="false" customHeight="false" outlineLevel="0" collapsed="false">
      <c r="D39" s="372"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2"/>
    </row>
    <row r="40" customFormat="false" ht="12.75" hidden="false" customHeight="false" outlineLevel="0" collapsed="false">
      <c r="D40" s="372"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2"/>
    </row>
    <row r="41" customFormat="false" ht="12.75" hidden="false" customHeight="false" outlineLevel="0" collapsed="false">
      <c r="D41" s="372"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2"/>
    </row>
    <row r="42" customFormat="false" ht="12.75" hidden="false" customHeight="false" outlineLevel="0" collapsed="false">
      <c r="D42" s="372"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2"/>
    </row>
    <row r="43" customFormat="false" ht="12.75" hidden="false" customHeight="false" outlineLevel="0" collapsed="false">
      <c r="D43" s="372"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2"/>
    </row>
    <row r="44" customFormat="false" ht="12.75" hidden="false" customHeight="false" outlineLevel="0" collapsed="false">
      <c r="D44" s="372"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2"/>
    </row>
    <row r="45" customFormat="false" ht="12.75" hidden="false" customHeight="false" outlineLevel="0" collapsed="false">
      <c r="D45" s="372"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2"/>
    </row>
    <row r="46" customFormat="false" ht="12.75" hidden="false" customHeight="false" outlineLevel="0" collapsed="false">
      <c r="D46" s="372"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2"/>
    </row>
    <row r="47" customFormat="false" ht="12.75" hidden="false" customHeight="false" outlineLevel="0" collapsed="false">
      <c r="D47" s="372"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2"/>
    </row>
    <row r="48" customFormat="false" ht="12.75" hidden="false" customHeight="false" outlineLevel="0" collapsed="false">
      <c r="D48" s="372"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2"/>
    </row>
    <row r="49" customFormat="false" ht="12.75" hidden="false" customHeight="false" outlineLevel="0" collapsed="false">
      <c r="D49" s="372"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2"/>
    </row>
    <row r="50" customFormat="false" ht="12.75" hidden="false" customHeight="false" outlineLevel="0" collapsed="false">
      <c r="D50" s="372"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2"/>
    </row>
    <row r="51" customFormat="false" ht="12.75" hidden="false" customHeight="false" outlineLevel="0" collapsed="false">
      <c r="D51" s="372"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2"/>
    </row>
    <row r="52" customFormat="false" ht="12.75" hidden="false" customHeight="false" outlineLevel="0" collapsed="false">
      <c r="D52" s="372"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2"/>
    </row>
    <row r="53" customFormat="false" ht="12.75" hidden="false" customHeight="false" outlineLevel="0" collapsed="false">
      <c r="D53" s="372"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2"/>
    </row>
    <row r="54" customFormat="false" ht="12.75" hidden="false" customHeight="false" outlineLevel="0" collapsed="false">
      <c r="D54" s="372"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2"/>
    </row>
    <row r="55" customFormat="false" ht="12.75" hidden="false" customHeight="false" outlineLevel="0" collapsed="false">
      <c r="D55" s="372"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2"/>
    </row>
    <row r="56" customFormat="false" ht="12.75" hidden="false" customHeight="false" outlineLevel="0" collapsed="false">
      <c r="D56" s="372"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2"/>
    </row>
    <row r="57" customFormat="false" ht="12.75" hidden="false" customHeight="false" outlineLevel="0" collapsed="false">
      <c r="D57" s="372"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2"/>
    </row>
    <row r="58" customFormat="false" ht="12.75" hidden="false" customHeight="false" outlineLevel="0" collapsed="false">
      <c r="D58" s="372"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2"/>
    </row>
    <row r="59" customFormat="false" ht="12.75" hidden="false" customHeight="false" outlineLevel="0" collapsed="false">
      <c r="D59" s="372"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2"/>
    </row>
    <row r="60" customFormat="false" ht="12.75" hidden="false" customHeight="false" outlineLevel="0" collapsed="false">
      <c r="D60" s="372"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2"/>
    </row>
    <row r="61" customFormat="false" ht="12.75" hidden="false" customHeight="false" outlineLevel="0" collapsed="false">
      <c r="D61" s="372"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2"/>
    </row>
    <row r="62" customFormat="false" ht="12.75" hidden="false" customHeight="false" outlineLevel="0" collapsed="false">
      <c r="D62" s="372"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2"/>
    </row>
    <row r="63" customFormat="false" ht="12.75" hidden="false" customHeight="false" outlineLevel="0" collapsed="false">
      <c r="D63" s="372"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2"/>
    </row>
    <row r="64" customFormat="false" ht="12.75" hidden="false" customHeight="false" outlineLevel="0" collapsed="false">
      <c r="D64" s="372"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2"/>
    </row>
    <row r="65" customFormat="false" ht="12.75" hidden="false" customHeight="false" outlineLevel="0" collapsed="false">
      <c r="D65" s="372"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2"/>
    </row>
    <row r="66" customFormat="false" ht="12.75" hidden="false" customHeight="false" outlineLevel="0" collapsed="false">
      <c r="D66" s="372"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2"/>
    </row>
    <row r="67" customFormat="false" ht="12.75" hidden="false" customHeight="false" outlineLevel="0" collapsed="false">
      <c r="D67" s="372"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2"/>
    </row>
    <row r="68" customFormat="false" ht="12.75" hidden="false" customHeight="false" outlineLevel="0" collapsed="false">
      <c r="D68" s="372"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2"/>
    </row>
    <row r="69" customFormat="false" ht="12.75" hidden="false" customHeight="false" outlineLevel="0" collapsed="false">
      <c r="D69" s="372"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2"/>
    </row>
    <row r="70" customFormat="false" ht="12.75" hidden="false" customHeight="false" outlineLevel="0" collapsed="false">
      <c r="D70" s="372"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2"/>
    </row>
    <row r="71" customFormat="false" ht="12.75" hidden="false" customHeight="false" outlineLevel="0" collapsed="false">
      <c r="D71" s="372"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2"/>
    </row>
    <row r="72" customFormat="false" ht="12.75" hidden="false" customHeight="false" outlineLevel="0" collapsed="false">
      <c r="D72" s="372"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2"/>
    </row>
    <row r="73" customFormat="false" ht="12.75" hidden="false" customHeight="false" outlineLevel="0" collapsed="false">
      <c r="D73" s="372"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2"/>
    </row>
    <row r="74" customFormat="false" ht="12.75" hidden="false" customHeight="false" outlineLevel="0" collapsed="false">
      <c r="D74" s="372"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2"/>
    </row>
    <row r="75" customFormat="false" ht="12.75" hidden="false" customHeight="false" outlineLevel="0" collapsed="false">
      <c r="D75" s="372"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2"/>
    </row>
    <row r="76" customFormat="false" ht="12.75" hidden="false" customHeight="false" outlineLevel="0" collapsed="false">
      <c r="D76" s="372"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2"/>
    </row>
    <row r="77" customFormat="false" ht="12.75" hidden="false" customHeight="false" outlineLevel="0" collapsed="false">
      <c r="D77" s="372"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2"/>
    </row>
    <row r="78" customFormat="false" ht="12.75" hidden="false" customHeight="false" outlineLevel="0" collapsed="false">
      <c r="D78" s="372"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2"/>
    </row>
    <row r="79" customFormat="false" ht="12.75" hidden="false" customHeight="false" outlineLevel="0" collapsed="false">
      <c r="D79" s="372"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2"/>
    </row>
    <row r="80" customFormat="false" ht="12.75" hidden="false" customHeight="false" outlineLevel="0" collapsed="false">
      <c r="D80" s="372"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2"/>
    </row>
    <row r="81" customFormat="false" ht="12.75" hidden="false" customHeight="false" outlineLevel="0" collapsed="false">
      <c r="D81" s="372"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2"/>
    </row>
    <row r="82" customFormat="false" ht="12.75" hidden="false" customHeight="false" outlineLevel="0" collapsed="false">
      <c r="D82" s="372"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2"/>
    </row>
    <row r="83" customFormat="false" ht="12.75" hidden="false" customHeight="false" outlineLevel="0" collapsed="false">
      <c r="D83" s="372"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2"/>
    </row>
    <row r="84" customFormat="false" ht="12.75" hidden="false" customHeight="false" outlineLevel="0" collapsed="false">
      <c r="D84" s="372"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2"/>
    </row>
    <row r="85" customFormat="false" ht="12.75" hidden="false" customHeight="false" outlineLevel="0" collapsed="false">
      <c r="D85" s="372"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2"/>
    </row>
    <row r="86" customFormat="false" ht="12.75" hidden="false" customHeight="false" outlineLevel="0" collapsed="false">
      <c r="D86" s="372"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2"/>
    </row>
    <row r="87" customFormat="false" ht="12.75" hidden="false" customHeight="false" outlineLevel="0" collapsed="false">
      <c r="D87" s="372"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2"/>
    </row>
    <row r="88" customFormat="false" ht="12.75" hidden="false" customHeight="false" outlineLevel="0" collapsed="false">
      <c r="D88" s="372"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2"/>
    </row>
    <row r="89" customFormat="false" ht="12.75" hidden="false" customHeight="false" outlineLevel="0" collapsed="false">
      <c r="D89" s="372"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2"/>
    </row>
    <row r="90" customFormat="false" ht="12.75" hidden="false" customHeight="false" outlineLevel="0" collapsed="false">
      <c r="D90" s="372"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2"/>
    </row>
    <row r="91" customFormat="false" ht="12.75" hidden="false" customHeight="false" outlineLevel="0" collapsed="false">
      <c r="D91" s="372"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2"/>
    </row>
    <row r="92" customFormat="false" ht="12.75" hidden="false" customHeight="false" outlineLevel="0" collapsed="false">
      <c r="D92" s="372"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2"/>
    </row>
    <row r="93" customFormat="false" ht="12.75" hidden="false" customHeight="false" outlineLevel="0" collapsed="false">
      <c r="D93" s="372"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2"/>
    </row>
    <row r="94" customFormat="false" ht="12.75" hidden="false" customHeight="false" outlineLevel="0" collapsed="false">
      <c r="D94" s="372"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2"/>
    </row>
    <row r="95" customFormat="false" ht="12.75" hidden="false" customHeight="false" outlineLevel="0" collapsed="false">
      <c r="D95" s="372"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2"/>
    </row>
    <row r="96" customFormat="false" ht="12.75" hidden="false" customHeight="false" outlineLevel="0" collapsed="false">
      <c r="D96" s="372"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2"/>
    </row>
    <row r="97" customFormat="false" ht="12.75" hidden="false" customHeight="false" outlineLevel="0" collapsed="false">
      <c r="D97" s="372"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2"/>
    </row>
    <row r="98" customFormat="false" ht="12.75" hidden="false" customHeight="false" outlineLevel="0" collapsed="false">
      <c r="D98" s="372"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2"/>
    </row>
    <row r="99" customFormat="false" ht="12.75" hidden="false" customHeight="false" outlineLevel="0" collapsed="false">
      <c r="D99" s="372"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2"/>
    </row>
    <row r="100" customFormat="false" ht="12.75" hidden="false" customHeight="false" outlineLevel="0" collapsed="false">
      <c r="D100" s="372"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2"/>
    </row>
    <row r="101" customFormat="false" ht="12.75" hidden="false" customHeight="false" outlineLevel="0" collapsed="false">
      <c r="D101" s="372"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2"/>
    </row>
    <row r="102" customFormat="false" ht="12.75" hidden="false" customHeight="false" outlineLevel="0" collapsed="false">
      <c r="D102" s="372"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2"/>
    </row>
    <row r="103" customFormat="false" ht="12.75" hidden="false" customHeight="false" outlineLevel="0" collapsed="false">
      <c r="D103" s="372"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2"/>
    </row>
    <row r="104" customFormat="false" ht="12.75" hidden="false" customHeight="false" outlineLevel="0" collapsed="false">
      <c r="D104" s="372"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2"/>
    </row>
    <row r="105" customFormat="false" ht="12.75" hidden="false" customHeight="false" outlineLevel="0" collapsed="false">
      <c r="D105" s="372"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2"/>
    </row>
    <row r="106" customFormat="false" ht="12.75" hidden="false" customHeight="false" outlineLevel="0" collapsed="false">
      <c r="D106" s="372"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2"/>
    </row>
    <row r="107" customFormat="false" ht="12.75" hidden="false" customHeight="false" outlineLevel="0" collapsed="false">
      <c r="D107" s="372"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2"/>
    </row>
    <row r="108" customFormat="false" ht="12.75" hidden="false" customHeight="false" outlineLevel="0" collapsed="false">
      <c r="D108" s="372"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2"/>
    </row>
    <row r="109" customFormat="false" ht="12.75" hidden="false" customHeight="false" outlineLevel="0" collapsed="false">
      <c r="D109" s="372"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2"/>
    </row>
    <row r="110" customFormat="false" ht="12.75" hidden="false" customHeight="false" outlineLevel="0" collapsed="false">
      <c r="D110" s="372"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2"/>
    </row>
    <row r="111" customFormat="false" ht="12.75" hidden="false" customHeight="false" outlineLevel="0" collapsed="false">
      <c r="D111" s="372"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2"/>
    </row>
    <row r="112" customFormat="false" ht="12.75" hidden="false" customHeight="false" outlineLevel="0" collapsed="false">
      <c r="D112" s="372"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2"/>
    </row>
    <row r="113" customFormat="false" ht="12.75" hidden="false" customHeight="false" outlineLevel="0" collapsed="false">
      <c r="D113" s="372"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2"/>
    </row>
    <row r="114" customFormat="false" ht="12.75" hidden="false" customHeight="false" outlineLevel="0" collapsed="false">
      <c r="D114" s="372"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2"/>
    </row>
    <row r="115" customFormat="false" ht="12.75" hidden="false" customHeight="false" outlineLevel="0" collapsed="false">
      <c r="D115" s="372"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2"/>
    </row>
    <row r="116" customFormat="false" ht="12.75" hidden="false" customHeight="false" outlineLevel="0" collapsed="false">
      <c r="D116" s="372"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2"/>
    </row>
    <row r="117" customFormat="false" ht="12.75" hidden="false" customHeight="false" outlineLevel="0" collapsed="false">
      <c r="D117" s="372"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2"/>
    </row>
    <row r="118" customFormat="false" ht="12.75" hidden="false" customHeight="false" outlineLevel="0" collapsed="false">
      <c r="D118" s="372"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2"/>
    </row>
    <row r="119" customFormat="false" ht="12.75" hidden="false" customHeight="false" outlineLevel="0" collapsed="false">
      <c r="D119" s="372"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2"/>
    </row>
    <row r="120" customFormat="false" ht="12.75" hidden="false" customHeight="false" outlineLevel="0" collapsed="false">
      <c r="D120" s="372"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2"/>
    </row>
    <row r="121" customFormat="false" ht="12.75" hidden="false" customHeight="false" outlineLevel="0" collapsed="false">
      <c r="D121" s="372"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2"/>
    </row>
    <row r="122" customFormat="false" ht="12.75" hidden="false" customHeight="false" outlineLevel="0" collapsed="false">
      <c r="D122" s="372"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2"/>
    </row>
    <row r="123" customFormat="false" ht="12.75" hidden="false" customHeight="false" outlineLevel="0" collapsed="false">
      <c r="D123" s="372"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2"/>
    </row>
    <row r="124" customFormat="false" ht="12.75" hidden="false" customHeight="false" outlineLevel="0" collapsed="false">
      <c r="D124" s="372"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2"/>
    </row>
    <row r="125" customFormat="false" ht="12.75" hidden="false" customHeight="false" outlineLevel="0" collapsed="false">
      <c r="D125" s="372"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2"/>
    </row>
    <row r="126" customFormat="false" ht="12.75" hidden="false" customHeight="false" outlineLevel="0" collapsed="false">
      <c r="D126" s="372"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2"/>
    </row>
    <row r="127" customFormat="false" ht="12.75" hidden="false" customHeight="false" outlineLevel="0" collapsed="false">
      <c r="D127" s="372"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2"/>
    </row>
    <row r="128" customFormat="false" ht="12.75" hidden="false" customHeight="false" outlineLevel="0" collapsed="false">
      <c r="D128" s="372"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2"/>
    </row>
    <row r="129" customFormat="false" ht="12.75" hidden="false" customHeight="false" outlineLevel="0" collapsed="false">
      <c r="D129" s="372"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2"/>
    </row>
    <row r="130" customFormat="false" ht="12.75" hidden="false" customHeight="false" outlineLevel="0" collapsed="false">
      <c r="D130" s="372"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2"/>
    </row>
    <row r="131" customFormat="false" ht="12.75" hidden="false" customHeight="false" outlineLevel="0" collapsed="false">
      <c r="D131" s="372"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2"/>
    </row>
    <row r="132" customFormat="false" ht="12.75" hidden="false" customHeight="false" outlineLevel="0" collapsed="false">
      <c r="D132" s="372"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2"/>
    </row>
    <row r="133" customFormat="false" ht="12.75" hidden="false" customHeight="false" outlineLevel="0" collapsed="false">
      <c r="D133" s="372"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2"/>
    </row>
    <row r="134" customFormat="false" ht="12.75" hidden="false" customHeight="false" outlineLevel="0" collapsed="false">
      <c r="D134" s="372"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2"/>
    </row>
    <row r="135" customFormat="false" ht="12.75" hidden="false" customHeight="false" outlineLevel="0" collapsed="false">
      <c r="D135" s="372"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2"/>
    </row>
    <row r="136" customFormat="false" ht="12.75" hidden="false" customHeight="false" outlineLevel="0" collapsed="false">
      <c r="D136" s="372"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2"/>
    </row>
    <row r="137" customFormat="false" ht="12.75" hidden="false" customHeight="false" outlineLevel="0" collapsed="false">
      <c r="D137" s="372"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2"/>
    </row>
    <row r="138" customFormat="false" ht="12.75" hidden="false" customHeight="false" outlineLevel="0" collapsed="false">
      <c r="D138" s="372"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2"/>
    </row>
    <row r="139" customFormat="false" ht="12.75" hidden="false" customHeight="false" outlineLevel="0" collapsed="false">
      <c r="D139" s="372"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2"/>
    </row>
    <row r="140" customFormat="false" ht="12.75" hidden="false" customHeight="false" outlineLevel="0" collapsed="false">
      <c r="D140" s="372"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2"/>
    </row>
    <row r="141" customFormat="false" ht="12.75" hidden="false" customHeight="false" outlineLevel="0" collapsed="false">
      <c r="D141" s="372"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2"/>
    </row>
    <row r="142" customFormat="false" ht="12.75" hidden="false" customHeight="false" outlineLevel="0" collapsed="false">
      <c r="D142" s="372"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2"/>
    </row>
    <row r="143" customFormat="false" ht="12.75" hidden="false" customHeight="false" outlineLevel="0" collapsed="false">
      <c r="D143" s="372"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2"/>
    </row>
    <row r="144" customFormat="false" ht="12.75" hidden="false" customHeight="false" outlineLevel="0" collapsed="false">
      <c r="D144" s="372"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2"/>
    </row>
    <row r="145" customFormat="false" ht="12.75" hidden="false" customHeight="false" outlineLevel="0" collapsed="false">
      <c r="D145" s="372"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2"/>
    </row>
    <row r="146" customFormat="false" ht="12.75" hidden="false" customHeight="false" outlineLevel="0" collapsed="false">
      <c r="D146" s="372"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2"/>
    </row>
    <row r="147" customFormat="false" ht="12.75" hidden="false" customHeight="false" outlineLevel="0" collapsed="false">
      <c r="D147" s="372"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2"/>
    </row>
    <row r="148" customFormat="false" ht="12.75" hidden="false" customHeight="false" outlineLevel="0" collapsed="false">
      <c r="D148" s="372"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2"/>
    </row>
    <row r="149" customFormat="false" ht="12.75" hidden="false" customHeight="false" outlineLevel="0" collapsed="false">
      <c r="D149" s="372"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2"/>
    </row>
    <row r="150" customFormat="false" ht="12.75" hidden="false" customHeight="false" outlineLevel="0" collapsed="false">
      <c r="D150" s="372"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2"/>
    </row>
    <row r="151" customFormat="false" ht="12.75" hidden="false" customHeight="false" outlineLevel="0" collapsed="false">
      <c r="D151" s="372"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2"/>
    </row>
    <row r="152" customFormat="false" ht="12.75" hidden="false" customHeight="false" outlineLevel="0" collapsed="false">
      <c r="D152" s="372"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2"/>
    </row>
    <row r="153" customFormat="false" ht="12.75" hidden="false" customHeight="false" outlineLevel="0" collapsed="false">
      <c r="D153" s="372"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2"/>
    </row>
    <row r="154" customFormat="false" ht="12.75" hidden="false" customHeight="false" outlineLevel="0" collapsed="false">
      <c r="D154" s="372"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2"/>
    </row>
    <row r="155" customFormat="false" ht="12.75" hidden="false" customHeight="false" outlineLevel="0" collapsed="false">
      <c r="D155" s="372"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2"/>
    </row>
    <row r="156" customFormat="false" ht="12.75" hidden="false" customHeight="false" outlineLevel="0" collapsed="false">
      <c r="D156" s="372"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2"/>
    </row>
    <row r="157" customFormat="false" ht="12.75" hidden="false" customHeight="false" outlineLevel="0" collapsed="false">
      <c r="D157" s="372"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2"/>
    </row>
    <row r="158" customFormat="false" ht="12.75" hidden="false" customHeight="false" outlineLevel="0" collapsed="false">
      <c r="D158" s="372"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2"/>
    </row>
    <row r="159" customFormat="false" ht="12.75" hidden="false" customHeight="false" outlineLevel="0" collapsed="false">
      <c r="D159" s="372"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2"/>
    </row>
    <row r="160" customFormat="false" ht="12.75" hidden="false" customHeight="false" outlineLevel="0" collapsed="false">
      <c r="D160" s="372"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2"/>
    </row>
    <row r="161" customFormat="false" ht="12.75" hidden="false" customHeight="false" outlineLevel="0" collapsed="false">
      <c r="D161" s="372"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2"/>
    </row>
    <row r="162" customFormat="false" ht="12.75" hidden="false" customHeight="false" outlineLevel="0" collapsed="false">
      <c r="D162" s="372"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2"/>
    </row>
    <row r="163" customFormat="false" ht="12.75" hidden="false" customHeight="false" outlineLevel="0" collapsed="false">
      <c r="D163" s="372"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2"/>
    </row>
    <row r="164" customFormat="false" ht="12.75" hidden="false" customHeight="false" outlineLevel="0" collapsed="false">
      <c r="D164" s="372"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2"/>
    </row>
    <row r="165" customFormat="false" ht="12.75" hidden="false" customHeight="false" outlineLevel="0" collapsed="false">
      <c r="D165" s="372"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2"/>
    </row>
    <row r="166" customFormat="false" ht="12.75" hidden="false" customHeight="false" outlineLevel="0" collapsed="false">
      <c r="D166" s="372"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2"/>
    </row>
    <row r="167" customFormat="false" ht="12.75" hidden="false" customHeight="false" outlineLevel="0" collapsed="false">
      <c r="D167" s="372"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2"/>
    </row>
    <row r="168" customFormat="false" ht="12.75" hidden="false" customHeight="false" outlineLevel="0" collapsed="false">
      <c r="D168" s="372"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2"/>
    </row>
    <row r="169" customFormat="false" ht="12.75" hidden="false" customHeight="false" outlineLevel="0" collapsed="false">
      <c r="D169" s="372"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2"/>
    </row>
    <row r="170" customFormat="false" ht="12.75" hidden="false" customHeight="false" outlineLevel="0" collapsed="false">
      <c r="D170" s="372"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2"/>
    </row>
    <row r="171" customFormat="false" ht="12.75" hidden="false" customHeight="false" outlineLevel="0" collapsed="false">
      <c r="D171" s="372"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2"/>
    </row>
    <row r="172" customFormat="false" ht="12.75" hidden="false" customHeight="false" outlineLevel="0" collapsed="false">
      <c r="D172" s="372"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2"/>
    </row>
    <row r="173" customFormat="false" ht="12.75" hidden="false" customHeight="false" outlineLevel="0" collapsed="false">
      <c r="D173" s="372"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2"/>
    </row>
    <row r="174" customFormat="false" ht="12.75" hidden="false" customHeight="false" outlineLevel="0" collapsed="false">
      <c r="D174" s="372"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2"/>
    </row>
    <row r="175" customFormat="false" ht="12.75" hidden="false" customHeight="false" outlineLevel="0" collapsed="false">
      <c r="D175" s="372"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2"/>
    </row>
    <row r="176" customFormat="false" ht="12.75" hidden="false" customHeight="false" outlineLevel="0" collapsed="false">
      <c r="D176" s="372"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2"/>
    </row>
    <row r="177" customFormat="false" ht="12.75" hidden="false" customHeight="false" outlineLevel="0" collapsed="false">
      <c r="D177" s="372"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2"/>
    </row>
    <row r="178" customFormat="false" ht="12.75" hidden="false" customHeight="false" outlineLevel="0" collapsed="false">
      <c r="D178" s="372"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2"/>
    </row>
    <row r="179" customFormat="false" ht="12.75" hidden="false" customHeight="false" outlineLevel="0" collapsed="false">
      <c r="D179" s="372"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2"/>
    </row>
    <row r="180" customFormat="false" ht="12.75" hidden="false" customHeight="false" outlineLevel="0" collapsed="false">
      <c r="D180" s="372"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2"/>
    </row>
    <row r="181" customFormat="false" ht="12.75" hidden="false" customHeight="false" outlineLevel="0" collapsed="false">
      <c r="D181" s="372"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2"/>
    </row>
    <row r="182" customFormat="false" ht="12.75" hidden="false" customHeight="false" outlineLevel="0" collapsed="false">
      <c r="D182" s="372"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2"/>
    </row>
    <row r="183" customFormat="false" ht="12.75" hidden="false" customHeight="false" outlineLevel="0" collapsed="false">
      <c r="D183" s="372"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2"/>
    </row>
    <row r="184" customFormat="false" ht="12.75" hidden="false" customHeight="false" outlineLevel="0" collapsed="false">
      <c r="D184" s="372"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2"/>
    </row>
    <row r="185" customFormat="false" ht="12.75" hidden="false" customHeight="false" outlineLevel="0" collapsed="false">
      <c r="D185" s="372"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2"/>
    </row>
    <row r="186" customFormat="false" ht="12.75" hidden="false" customHeight="false" outlineLevel="0" collapsed="false">
      <c r="D186" s="372"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2"/>
    </row>
    <row r="187" customFormat="false" ht="12.75" hidden="false" customHeight="false" outlineLevel="0" collapsed="false">
      <c r="D187" s="372"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2"/>
    </row>
    <row r="188" customFormat="false" ht="12.75" hidden="false" customHeight="false" outlineLevel="0" collapsed="false">
      <c r="D188" s="372"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2"/>
    </row>
    <row r="189" customFormat="false" ht="12.75" hidden="false" customHeight="false" outlineLevel="0" collapsed="false">
      <c r="D189" s="372"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2"/>
    </row>
    <row r="190" customFormat="false" ht="12.75" hidden="false" customHeight="false" outlineLevel="0" collapsed="false">
      <c r="D190" s="372"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2"/>
    </row>
    <row r="191" customFormat="false" ht="12.75" hidden="false" customHeight="false" outlineLevel="0" collapsed="false">
      <c r="D191" s="372"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2"/>
    </row>
    <row r="192" customFormat="false" ht="12.75" hidden="false" customHeight="false" outlineLevel="0" collapsed="false">
      <c r="D192" s="372"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2"/>
    </row>
    <row r="193" customFormat="false" ht="12.75" hidden="false" customHeight="false" outlineLevel="0" collapsed="false">
      <c r="D193" s="372"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2"/>
    </row>
    <row r="194" customFormat="false" ht="12.75" hidden="false" customHeight="false" outlineLevel="0" collapsed="false">
      <c r="D194" s="372"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2"/>
    </row>
    <row r="195" customFormat="false" ht="12.75" hidden="false" customHeight="false" outlineLevel="0" collapsed="false">
      <c r="D195" s="372"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2"/>
    </row>
    <row r="196" customFormat="false" ht="12.75" hidden="false" customHeight="false" outlineLevel="0" collapsed="false">
      <c r="D196" s="372"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2"/>
    </row>
    <row r="197" customFormat="false" ht="12.75" hidden="false" customHeight="false" outlineLevel="0" collapsed="false">
      <c r="D197" s="372"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2"/>
    </row>
    <row r="198" customFormat="false" ht="12.75" hidden="false" customHeight="false" outlineLevel="0" collapsed="false">
      <c r="D198" s="372"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2"/>
    </row>
    <row r="199" customFormat="false" ht="12.75" hidden="false" customHeight="false" outlineLevel="0" collapsed="false">
      <c r="D199" s="372"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2"/>
    </row>
    <row r="200" customFormat="false" ht="12.75" hidden="false" customHeight="false" outlineLevel="0" collapsed="false">
      <c r="D200" s="372"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2"/>
    </row>
    <row r="201" customFormat="false" ht="12.75" hidden="false" customHeight="false" outlineLevel="0" collapsed="false">
      <c r="D201" s="372"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2"/>
    </row>
    <row r="202" customFormat="false" ht="12.75" hidden="false" customHeight="false" outlineLevel="0" collapsed="false">
      <c r="D202" s="372"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2"/>
    </row>
    <row r="203" customFormat="false" ht="12.75" hidden="false" customHeight="false" outlineLevel="0" collapsed="false">
      <c r="D203" s="372"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2"/>
    </row>
    <row r="204" customFormat="false" ht="12.75" hidden="false" customHeight="false" outlineLevel="0" collapsed="false">
      <c r="D204" s="372"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2"/>
    </row>
    <row r="205" customFormat="false" ht="12.75" hidden="false" customHeight="false" outlineLevel="0" collapsed="false">
      <c r="U205" s="372"/>
    </row>
    <row r="206" customFormat="false" ht="12.75" hidden="false" customHeight="false" outlineLevel="0" collapsed="false">
      <c r="U206" s="372"/>
    </row>
    <row r="207" customFormat="false" ht="12.75" hidden="false" customHeight="false" outlineLevel="0" collapsed="false">
      <c r="U207" s="372"/>
    </row>
    <row r="208" customFormat="false" ht="12.75" hidden="false" customHeight="false" outlineLevel="0" collapsed="false">
      <c r="U208" s="372"/>
    </row>
    <row r="209" customFormat="false" ht="12.75" hidden="false" customHeight="false" outlineLevel="0" collapsed="false">
      <c r="U209" s="372"/>
    </row>
    <row r="210" customFormat="false" ht="12.75" hidden="false" customHeight="false" outlineLevel="0" collapsed="false">
      <c r="U210" s="372"/>
    </row>
    <row r="211" customFormat="false" ht="12.75" hidden="false" customHeight="false" outlineLevel="0" collapsed="false">
      <c r="U211" s="372"/>
    </row>
    <row r="212" customFormat="false" ht="12.75" hidden="false" customHeight="false" outlineLevel="0" collapsed="false">
      <c r="U212" s="372"/>
    </row>
    <row r="213" customFormat="false" ht="12.75" hidden="false" customHeight="false" outlineLevel="0" collapsed="false">
      <c r="U213" s="372"/>
    </row>
    <row r="214" customFormat="false" ht="12.75" hidden="false" customHeight="false" outlineLevel="0" collapsed="false">
      <c r="U214" s="372"/>
    </row>
    <row r="215" customFormat="false" ht="12.75" hidden="false" customHeight="false" outlineLevel="0" collapsed="false">
      <c r="U215" s="372"/>
    </row>
    <row r="216" customFormat="false" ht="12.75" hidden="false" customHeight="false" outlineLevel="0" collapsed="false">
      <c r="U216" s="372"/>
    </row>
    <row r="217" customFormat="false" ht="12.75" hidden="false" customHeight="false" outlineLevel="0" collapsed="false">
      <c r="U217" s="372"/>
    </row>
    <row r="218" customFormat="false" ht="12.75" hidden="false" customHeight="false" outlineLevel="0" collapsed="false">
      <c r="U218" s="372"/>
    </row>
    <row r="219" customFormat="false" ht="12.75" hidden="false" customHeight="false" outlineLevel="0" collapsed="false">
      <c r="U219" s="372"/>
    </row>
    <row r="220" customFormat="false" ht="12.75" hidden="false" customHeight="false" outlineLevel="0" collapsed="false">
      <c r="U220" s="372"/>
    </row>
    <row r="221" customFormat="false" ht="12.75" hidden="false" customHeight="false" outlineLevel="0" collapsed="false">
      <c r="U221" s="372"/>
    </row>
    <row r="222" customFormat="false" ht="12.75" hidden="false" customHeight="false" outlineLevel="0" collapsed="false">
      <c r="U222" s="372"/>
    </row>
    <row r="223" customFormat="false" ht="12.75" hidden="false" customHeight="false" outlineLevel="0" collapsed="false">
      <c r="U223" s="372"/>
    </row>
    <row r="224" customFormat="false" ht="12.75" hidden="false" customHeight="false" outlineLevel="0" collapsed="false">
      <c r="U224" s="372"/>
    </row>
    <row r="225" customFormat="false" ht="12.75" hidden="false" customHeight="false" outlineLevel="0" collapsed="false">
      <c r="U225" s="372"/>
    </row>
    <row r="226" customFormat="false" ht="12.75" hidden="false" customHeight="false" outlineLevel="0" collapsed="false">
      <c r="U226" s="372"/>
    </row>
    <row r="227" customFormat="false" ht="12.75" hidden="false" customHeight="false" outlineLevel="0" collapsed="false">
      <c r="U227" s="372"/>
    </row>
    <row r="228" customFormat="false" ht="12.75" hidden="false" customHeight="false" outlineLevel="0" collapsed="false">
      <c r="U228" s="372"/>
    </row>
    <row r="229" customFormat="false" ht="12.75" hidden="false" customHeight="false" outlineLevel="0" collapsed="false">
      <c r="U229" s="372"/>
    </row>
    <row r="230" customFormat="false" ht="12.75" hidden="false" customHeight="false" outlineLevel="0" collapsed="false">
      <c r="U230" s="372"/>
    </row>
    <row r="231" customFormat="false" ht="12.75" hidden="false" customHeight="false" outlineLevel="0" collapsed="false">
      <c r="U231" s="372"/>
    </row>
    <row r="232" customFormat="false" ht="12.75" hidden="false" customHeight="false" outlineLevel="0" collapsed="false">
      <c r="U232" s="372"/>
    </row>
    <row r="233" customFormat="false" ht="12.75" hidden="false" customHeight="false" outlineLevel="0" collapsed="false">
      <c r="U233" s="372"/>
    </row>
    <row r="234" customFormat="false" ht="12.75" hidden="false" customHeight="false" outlineLevel="0" collapsed="false">
      <c r="U234" s="372"/>
    </row>
    <row r="235" customFormat="false" ht="12.75" hidden="false" customHeight="false" outlineLevel="0" collapsed="false">
      <c r="U235" s="372"/>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6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5" width="9.66"/>
    <col collapsed="false" customWidth="true" hidden="false" outlineLevel="0" max="2" min="2" style="346" width="14.66"/>
    <col collapsed="false" customWidth="true" hidden="false" outlineLevel="0" max="3" min="3" style="181" width="13.66"/>
    <col collapsed="false" customWidth="true" hidden="false" outlineLevel="0" max="4" min="4" style="347" width="12.66"/>
    <col collapsed="false" customWidth="true" hidden="false" outlineLevel="0" max="6" min="5" style="181" width="12.66"/>
    <col collapsed="false" customWidth="true" hidden="false" outlineLevel="0" max="7" min="7" style="0" width="8.82"/>
    <col collapsed="false" customWidth="false" hidden="false" outlineLevel="0" max="257" min="8" style="181" width="9.15"/>
  </cols>
  <sheetData>
    <row r="1" s="353" customFormat="true" ht="12.75" hidden="false" customHeight="true" outlineLevel="0" collapsed="false">
      <c r="A1" s="349" t="s">
        <v>238</v>
      </c>
      <c r="B1" s="350" t="s">
        <v>239</v>
      </c>
      <c r="C1" s="351" t="s">
        <v>240</v>
      </c>
      <c r="D1" s="352" t="n">
        <f aca="false">SUM(D4:D63)</f>
        <v>0</v>
      </c>
      <c r="E1" s="351" t="n">
        <f aca="false">SUM(E4:E63)/2</f>
        <v>3000</v>
      </c>
      <c r="F1" s="351" t="n">
        <f aca="false">SUM(F4:F63)/2</f>
        <v>0</v>
      </c>
    </row>
    <row r="2" s="353" customFormat="true" ht="12.75" hidden="false" customHeight="true" outlineLevel="0" collapsed="false">
      <c r="A2" s="349"/>
      <c r="B2" s="350"/>
      <c r="C2" s="354" t="s">
        <v>241</v>
      </c>
      <c r="D2" s="355" t="s">
        <v>242</v>
      </c>
      <c r="E2" s="354" t="s">
        <v>243</v>
      </c>
      <c r="F2" s="354" t="s">
        <v>244</v>
      </c>
    </row>
    <row r="3" s="356" customFormat="true" ht="24" hidden="false" customHeight="true" outlineLevel="0" collapsed="false">
      <c r="A3" s="349"/>
      <c r="B3" s="350"/>
      <c r="C3" s="354"/>
      <c r="D3" s="355"/>
      <c r="E3" s="354"/>
      <c r="F3" s="354"/>
    </row>
    <row r="5" customFormat="false" ht="12.75" hidden="false" customHeight="false" outlineLevel="0" collapsed="false">
      <c r="A5" s="357" t="n">
        <v>46447</v>
      </c>
      <c r="B5" s="358" t="n">
        <v>46447</v>
      </c>
      <c r="C5" s="359"/>
      <c r="D5" s="360"/>
      <c r="E5" s="361"/>
      <c r="F5" s="362"/>
    </row>
    <row r="6" customFormat="false" ht="12.75" hidden="false" customHeight="false" outlineLevel="0" collapsed="false">
      <c r="A6" s="363" t="n">
        <v>46448</v>
      </c>
      <c r="B6" s="346" t="n">
        <v>46448</v>
      </c>
      <c r="E6" s="181" t="n">
        <v>200</v>
      </c>
      <c r="F6" s="364"/>
    </row>
    <row r="7" customFormat="false" ht="12.75" hidden="false" customHeight="false" outlineLevel="0" collapsed="false">
      <c r="A7" s="363" t="n">
        <v>46449</v>
      </c>
      <c r="B7" s="346" t="n">
        <v>46449</v>
      </c>
      <c r="E7" s="181" t="n">
        <v>200</v>
      </c>
      <c r="F7" s="364"/>
    </row>
    <row r="8" customFormat="false" ht="12.75" hidden="false" customHeight="false" outlineLevel="0" collapsed="false">
      <c r="A8" s="363" t="n">
        <v>46450</v>
      </c>
      <c r="B8" s="346" t="n">
        <v>46450</v>
      </c>
      <c r="E8" s="181" t="n">
        <v>200</v>
      </c>
      <c r="F8" s="364"/>
    </row>
    <row r="9" customFormat="false" ht="12.75" hidden="false" customHeight="false" outlineLevel="0" collapsed="false">
      <c r="A9" s="363" t="n">
        <v>46451</v>
      </c>
      <c r="B9" s="346" t="n">
        <v>46451</v>
      </c>
      <c r="E9" s="181" t="n">
        <v>200</v>
      </c>
      <c r="F9" s="364"/>
    </row>
    <row r="10" customFormat="false" ht="12.75" hidden="false" customHeight="false" outlineLevel="0" collapsed="false">
      <c r="A10" s="363" t="n">
        <v>46452</v>
      </c>
      <c r="B10" s="346" t="n">
        <v>46452</v>
      </c>
      <c r="E10" s="181" t="n">
        <v>200</v>
      </c>
      <c r="F10" s="364"/>
    </row>
    <row r="11" customFormat="false" ht="12.75" hidden="false" customHeight="false" outlineLevel="0" collapsed="false">
      <c r="A11" s="363" t="n">
        <v>46453</v>
      </c>
      <c r="B11" s="346" t="n">
        <v>46453</v>
      </c>
      <c r="F11" s="364"/>
    </row>
    <row r="12" customFormat="false" ht="12.75" hidden="false" customHeight="false" outlineLevel="0" collapsed="false">
      <c r="A12" s="363" t="n">
        <v>46453</v>
      </c>
      <c r="B12" s="346" t="s">
        <v>245</v>
      </c>
      <c r="F12" s="364"/>
    </row>
    <row r="13" customFormat="false" ht="12.75" hidden="false" customHeight="false" outlineLevel="0" collapsed="false">
      <c r="A13" s="363" t="n">
        <v>46453</v>
      </c>
      <c r="B13" s="346" t="s">
        <v>246</v>
      </c>
      <c r="F13" s="364"/>
    </row>
    <row r="14" customFormat="false" ht="12.75" hidden="false" customHeight="false" outlineLevel="0" collapsed="false">
      <c r="A14" s="365"/>
      <c r="B14" s="366"/>
      <c r="C14" s="367"/>
      <c r="D14" s="368"/>
      <c r="E14" s="369" t="n">
        <f aca="false">SUM(E5:E13)</f>
        <v>1000</v>
      </c>
      <c r="F14" s="370" t="n">
        <f aca="false">SUM(F5:F13)</f>
        <v>0</v>
      </c>
    </row>
    <row r="16" customFormat="false" ht="12.75" hidden="false" customHeight="false" outlineLevel="0" collapsed="false">
      <c r="A16" s="357" t="n">
        <v>46454</v>
      </c>
      <c r="B16" s="358" t="n">
        <v>46454</v>
      </c>
      <c r="C16" s="359"/>
      <c r="D16" s="360"/>
      <c r="E16" s="361"/>
      <c r="F16" s="362"/>
    </row>
    <row r="17" customFormat="false" ht="12.75" hidden="false" customHeight="false" outlineLevel="0" collapsed="false">
      <c r="A17" s="363" t="n">
        <v>46455</v>
      </c>
      <c r="B17" s="346" t="n">
        <v>46455</v>
      </c>
      <c r="E17" s="181" t="n">
        <v>200</v>
      </c>
      <c r="F17" s="364"/>
    </row>
    <row r="18" customFormat="false" ht="12.75" hidden="false" customHeight="false" outlineLevel="0" collapsed="false">
      <c r="A18" s="363" t="n">
        <v>46456</v>
      </c>
      <c r="B18" s="346" t="n">
        <v>46456</v>
      </c>
      <c r="E18" s="181" t="n">
        <v>200</v>
      </c>
      <c r="F18" s="364"/>
    </row>
    <row r="19" customFormat="false" ht="12.75" hidden="false" customHeight="false" outlineLevel="0" collapsed="false">
      <c r="A19" s="363" t="n">
        <v>46457</v>
      </c>
      <c r="B19" s="346" t="n">
        <v>46457</v>
      </c>
      <c r="E19" s="181" t="n">
        <v>200</v>
      </c>
      <c r="F19" s="364"/>
    </row>
    <row r="20" customFormat="false" ht="12.75" hidden="false" customHeight="false" outlineLevel="0" collapsed="false">
      <c r="A20" s="363" t="n">
        <v>46458</v>
      </c>
      <c r="B20" s="346" t="n">
        <v>46458</v>
      </c>
      <c r="E20" s="181" t="n">
        <v>200</v>
      </c>
      <c r="F20" s="364"/>
    </row>
    <row r="21" customFormat="false" ht="12.75" hidden="false" customHeight="false" outlineLevel="0" collapsed="false">
      <c r="A21" s="363" t="n">
        <v>46459</v>
      </c>
      <c r="B21" s="346" t="n">
        <v>46459</v>
      </c>
      <c r="E21" s="181" t="n">
        <v>200</v>
      </c>
      <c r="F21" s="364"/>
    </row>
    <row r="22" customFormat="false" ht="12.75" hidden="false" customHeight="false" outlineLevel="0" collapsed="false">
      <c r="A22" s="363" t="n">
        <v>46460</v>
      </c>
      <c r="B22" s="346" t="n">
        <v>46460</v>
      </c>
      <c r="F22" s="364"/>
    </row>
    <row r="23" customFormat="false" ht="12.75" hidden="false" customHeight="false" outlineLevel="0" collapsed="false">
      <c r="A23" s="363" t="n">
        <v>46460</v>
      </c>
      <c r="B23" s="346" t="s">
        <v>245</v>
      </c>
      <c r="F23" s="364"/>
    </row>
    <row r="24" customFormat="false" ht="12.75" hidden="false" customHeight="false" outlineLevel="0" collapsed="false">
      <c r="A24" s="363" t="n">
        <v>46460</v>
      </c>
      <c r="B24" s="346" t="s">
        <v>246</v>
      </c>
      <c r="F24" s="364"/>
    </row>
    <row r="25" customFormat="false" ht="12.75" hidden="false" customHeight="false" outlineLevel="0" collapsed="false">
      <c r="A25" s="365"/>
      <c r="B25" s="366"/>
      <c r="C25" s="367"/>
      <c r="D25" s="368"/>
      <c r="E25" s="369" t="n">
        <f aca="false">SUM(E16:E24)</f>
        <v>1000</v>
      </c>
      <c r="F25" s="370" t="n">
        <f aca="false">SUM(F16:F24)</f>
        <v>0</v>
      </c>
    </row>
    <row r="27" customFormat="false" ht="12.75" hidden="false" customHeight="false" outlineLevel="0" collapsed="false">
      <c r="A27" s="357" t="n">
        <v>46461</v>
      </c>
      <c r="B27" s="358" t="n">
        <v>46461</v>
      </c>
      <c r="C27" s="359"/>
      <c r="D27" s="360"/>
      <c r="E27" s="361"/>
      <c r="F27" s="362"/>
    </row>
    <row r="28" customFormat="false" ht="12.75" hidden="false" customHeight="false" outlineLevel="0" collapsed="false">
      <c r="A28" s="363" t="n">
        <v>46462</v>
      </c>
      <c r="B28" s="346" t="n">
        <v>46462</v>
      </c>
      <c r="E28" s="181" t="n">
        <v>200</v>
      </c>
      <c r="F28" s="364"/>
    </row>
    <row r="29" customFormat="false" ht="12.75" hidden="false" customHeight="false" outlineLevel="0" collapsed="false">
      <c r="A29" s="363" t="n">
        <v>46463</v>
      </c>
      <c r="B29" s="346" t="n">
        <v>46463</v>
      </c>
      <c r="E29" s="181" t="n">
        <v>200</v>
      </c>
      <c r="F29" s="364"/>
    </row>
    <row r="30" customFormat="false" ht="12.75" hidden="false" customHeight="false" outlineLevel="0" collapsed="false">
      <c r="A30" s="363" t="n">
        <v>46464</v>
      </c>
      <c r="B30" s="346" t="n">
        <v>46464</v>
      </c>
      <c r="E30" s="181" t="n">
        <v>200</v>
      </c>
      <c r="F30" s="364"/>
    </row>
    <row r="31" customFormat="false" ht="12.75" hidden="false" customHeight="false" outlineLevel="0" collapsed="false">
      <c r="A31" s="363" t="n">
        <v>46465</v>
      </c>
      <c r="B31" s="346" t="n">
        <v>46465</v>
      </c>
      <c r="E31" s="181" t="n">
        <v>200</v>
      </c>
      <c r="F31" s="364"/>
    </row>
    <row r="32" customFormat="false" ht="12.75" hidden="false" customHeight="false" outlineLevel="0" collapsed="false">
      <c r="A32" s="363" t="n">
        <v>46466</v>
      </c>
      <c r="B32" s="346" t="n">
        <v>46466</v>
      </c>
      <c r="E32" s="181" t="n">
        <v>200</v>
      </c>
      <c r="F32" s="364"/>
    </row>
    <row r="33" customFormat="false" ht="12.75" hidden="false" customHeight="false" outlineLevel="0" collapsed="false">
      <c r="A33" s="363" t="n">
        <v>46467</v>
      </c>
      <c r="B33" s="346" t="n">
        <v>46467</v>
      </c>
      <c r="F33" s="364"/>
    </row>
    <row r="34" customFormat="false" ht="12.75" hidden="false" customHeight="false" outlineLevel="0" collapsed="false">
      <c r="A34" s="363" t="n">
        <v>46467</v>
      </c>
      <c r="B34" s="346" t="s">
        <v>245</v>
      </c>
      <c r="F34" s="364"/>
    </row>
    <row r="35" customFormat="false" ht="12.75" hidden="false" customHeight="false" outlineLevel="0" collapsed="false">
      <c r="A35" s="363" t="n">
        <v>46467</v>
      </c>
      <c r="B35" s="346" t="s">
        <v>246</v>
      </c>
      <c r="F35" s="364"/>
    </row>
    <row r="36" customFormat="false" ht="12.75" hidden="false" customHeight="false" outlineLevel="0" collapsed="false">
      <c r="A36" s="365"/>
      <c r="B36" s="366"/>
      <c r="C36" s="367"/>
      <c r="D36" s="368"/>
      <c r="E36" s="369" t="n">
        <f aca="false">SUM(E27:E35)</f>
        <v>1000</v>
      </c>
      <c r="F36" s="370" t="n">
        <f aca="false">SUM(F27:F35)</f>
        <v>0</v>
      </c>
    </row>
    <row r="38" customFormat="false" ht="12.75" hidden="false" customHeight="false" outlineLevel="0" collapsed="false">
      <c r="A38" s="357" t="n">
        <v>46468</v>
      </c>
      <c r="B38" s="358" t="n">
        <v>46468</v>
      </c>
      <c r="C38" s="359"/>
      <c r="D38" s="360"/>
      <c r="E38" s="361"/>
      <c r="F38" s="362"/>
    </row>
    <row r="39" customFormat="false" ht="12.75" hidden="false" customHeight="false" outlineLevel="0" collapsed="false">
      <c r="A39" s="363" t="n">
        <v>46469</v>
      </c>
      <c r="B39" s="346" t="n">
        <v>46469</v>
      </c>
      <c r="F39" s="364"/>
    </row>
    <row r="40" customFormat="false" ht="12.75" hidden="false" customHeight="false" outlineLevel="0" collapsed="false">
      <c r="A40" s="363" t="n">
        <v>46470</v>
      </c>
      <c r="B40" s="346" t="n">
        <v>46470</v>
      </c>
      <c r="F40" s="364"/>
    </row>
    <row r="41" customFormat="false" ht="12.75" hidden="false" customHeight="false" outlineLevel="0" collapsed="false">
      <c r="A41" s="363" t="n">
        <v>46471</v>
      </c>
      <c r="B41" s="346" t="n">
        <v>46471</v>
      </c>
      <c r="F41" s="364"/>
    </row>
    <row r="42" customFormat="false" ht="12.75" hidden="false" customHeight="false" outlineLevel="0" collapsed="false">
      <c r="A42" s="363" t="n">
        <v>46472</v>
      </c>
      <c r="B42" s="346" t="n">
        <v>46472</v>
      </c>
      <c r="F42" s="364"/>
    </row>
    <row r="43" customFormat="false" ht="12.75" hidden="false" customHeight="false" outlineLevel="0" collapsed="false">
      <c r="A43" s="363" t="n">
        <v>46473</v>
      </c>
      <c r="B43" s="346" t="n">
        <v>46473</v>
      </c>
      <c r="F43" s="364"/>
    </row>
    <row r="44" customFormat="false" ht="12.75" hidden="false" customHeight="false" outlineLevel="0" collapsed="false">
      <c r="A44" s="363" t="n">
        <v>46474</v>
      </c>
      <c r="B44" s="346" t="n">
        <v>46474</v>
      </c>
      <c r="F44" s="364"/>
    </row>
    <row r="45" customFormat="false" ht="12.75" hidden="false" customHeight="false" outlineLevel="0" collapsed="false">
      <c r="A45" s="363" t="n">
        <v>46474</v>
      </c>
      <c r="B45" s="346" t="s">
        <v>245</v>
      </c>
      <c r="F45" s="364"/>
    </row>
    <row r="46" customFormat="false" ht="12.75" hidden="false" customHeight="false" outlineLevel="0" collapsed="false">
      <c r="A46" s="363" t="n">
        <v>46474</v>
      </c>
      <c r="B46" s="346" t="s">
        <v>246</v>
      </c>
      <c r="F46" s="364"/>
    </row>
    <row r="47" customFormat="false" ht="12.75" hidden="false" customHeight="false" outlineLevel="0" collapsed="false">
      <c r="A47" s="365"/>
      <c r="B47" s="366"/>
      <c r="C47" s="367"/>
      <c r="D47" s="368"/>
      <c r="E47" s="369" t="n">
        <f aca="false">SUM(E38:E46)</f>
        <v>0</v>
      </c>
      <c r="F47" s="370" t="n">
        <f aca="false">SUM(F38:F46)</f>
        <v>0</v>
      </c>
    </row>
    <row r="49" customFormat="false" ht="12.75" hidden="false" customHeight="false" outlineLevel="0" collapsed="false">
      <c r="A49" s="357" t="n">
        <v>46475</v>
      </c>
      <c r="B49" s="358" t="n">
        <v>46475</v>
      </c>
      <c r="C49" s="359"/>
      <c r="D49" s="360"/>
      <c r="E49" s="361"/>
      <c r="F49" s="362"/>
    </row>
    <row r="50" customFormat="false" ht="12.75" hidden="false" customHeight="false" outlineLevel="0" collapsed="false">
      <c r="A50" s="363" t="n">
        <v>46476</v>
      </c>
      <c r="B50" s="346" t="n">
        <v>46476</v>
      </c>
      <c r="F50" s="364"/>
    </row>
    <row r="51" customFormat="false" ht="12.75" hidden="false" customHeight="false" outlineLevel="0" collapsed="false">
      <c r="A51" s="363" t="n">
        <v>46477</v>
      </c>
      <c r="B51" s="346" t="n">
        <v>46477</v>
      </c>
      <c r="F51" s="364"/>
    </row>
    <row r="52" customFormat="false" ht="12.75" hidden="false" customHeight="false" outlineLevel="0" collapsed="false">
      <c r="A52" s="363" t="n">
        <v>46478</v>
      </c>
      <c r="B52" s="346" t="n">
        <v>46478</v>
      </c>
      <c r="F52" s="364"/>
    </row>
    <row r="53" customFormat="false" ht="12.75" hidden="false" customHeight="false" outlineLevel="0" collapsed="false">
      <c r="A53" s="363" t="n">
        <v>46479</v>
      </c>
      <c r="B53" s="346" t="n">
        <v>46479</v>
      </c>
      <c r="F53" s="364"/>
    </row>
    <row r="54" customFormat="false" ht="12.75" hidden="false" customHeight="false" outlineLevel="0" collapsed="false">
      <c r="A54" s="363" t="n">
        <v>46480</v>
      </c>
      <c r="B54" s="346" t="n">
        <v>46480</v>
      </c>
      <c r="F54" s="364"/>
    </row>
    <row r="55" customFormat="false" ht="12.75" hidden="false" customHeight="false" outlineLevel="0" collapsed="false">
      <c r="A55" s="363" t="n">
        <v>46481</v>
      </c>
      <c r="B55" s="346" t="n">
        <v>46481</v>
      </c>
      <c r="F55" s="364"/>
    </row>
    <row r="56" customFormat="false" ht="12.75" hidden="false" customHeight="false" outlineLevel="0" collapsed="false">
      <c r="A56" s="363" t="n">
        <v>46481</v>
      </c>
      <c r="B56" s="346" t="s">
        <v>245</v>
      </c>
      <c r="F56" s="364"/>
    </row>
    <row r="57" customFormat="false" ht="12.75" hidden="false" customHeight="false" outlineLevel="0" collapsed="false">
      <c r="A57" s="363" t="n">
        <v>46481</v>
      </c>
      <c r="B57" s="346" t="s">
        <v>246</v>
      </c>
      <c r="F57" s="364"/>
    </row>
    <row r="58" customFormat="false" ht="12.75" hidden="false" customHeight="false" outlineLevel="0" collapsed="false">
      <c r="A58" s="365"/>
      <c r="B58" s="366"/>
      <c r="C58" s="367"/>
      <c r="D58" s="368"/>
      <c r="E58" s="369" t="n">
        <f aca="false">SUM(E49:E57)</f>
        <v>0</v>
      </c>
      <c r="F58" s="370" t="n">
        <f aca="false">SUM(F49:F57)</f>
        <v>0</v>
      </c>
    </row>
    <row r="60" customFormat="false" ht="12.75" hidden="false" customHeight="false" outlineLevel="0" collapsed="false">
      <c r="A60" s="357" t="n">
        <v>46482</v>
      </c>
      <c r="B60" s="358" t="n">
        <v>46482</v>
      </c>
      <c r="C60" s="359"/>
      <c r="D60" s="360"/>
      <c r="E60" s="361"/>
      <c r="F60" s="362"/>
    </row>
    <row r="61" customFormat="false" ht="12.75" hidden="false" customHeight="false" outlineLevel="0" collapsed="false">
      <c r="A61" s="363" t="n">
        <v>46482</v>
      </c>
      <c r="B61" s="346" t="s">
        <v>245</v>
      </c>
      <c r="F61" s="364"/>
    </row>
    <row r="62" customFormat="false" ht="12.75" hidden="false" customHeight="false" outlineLevel="0" collapsed="false">
      <c r="A62" s="363" t="n">
        <v>46482</v>
      </c>
      <c r="B62" s="346" t="s">
        <v>246</v>
      </c>
      <c r="F62" s="364"/>
    </row>
    <row r="63" customFormat="false" ht="12.75" hidden="false" customHeight="false" outlineLevel="0" collapsed="false">
      <c r="A63" s="365"/>
      <c r="B63" s="366"/>
      <c r="C63" s="367"/>
      <c r="D63" s="368"/>
      <c r="E63" s="369" t="n">
        <f aca="false">SUM(E60:E62)</f>
        <v>0</v>
      </c>
      <c r="F63" s="370" t="n">
        <f aca="false">SUM(F60:F62)</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1" width="9.66"/>
    <col collapsed="false" customWidth="true" hidden="false" outlineLevel="0" max="2" min="2" style="180" width="23.99"/>
    <col collapsed="false" customWidth="true" hidden="false" outlineLevel="0" max="3" min="3" style="180" width="15.99"/>
    <col collapsed="false" customWidth="false" hidden="false" outlineLevel="0" max="5" min="4" style="372" width="9.15"/>
    <col collapsed="false" customWidth="true" hidden="false" outlineLevel="0" max="6" min="6" style="373"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99"/>
    <col collapsed="false" customWidth="false" hidden="false" outlineLevel="0" max="14" min="14" style="181" width="9.15"/>
    <col collapsed="false" customWidth="true" hidden="false" outlineLevel="0" max="15" min="15" style="181" width="9.33"/>
    <col collapsed="false" customWidth="true" hidden="false" outlineLevel="0" max="18" min="16" style="181" width="7.66"/>
    <col collapsed="false" customWidth="true" hidden="false" outlineLevel="0" max="19" min="19" style="181" width="7.82"/>
    <col collapsed="false" customWidth="true" hidden="false" outlineLevel="0" max="20" min="20" style="180" width="12.5"/>
    <col collapsed="false" customWidth="true" hidden="false" outlineLevel="0" max="21" min="21" style="181" width="8.15"/>
    <col collapsed="false" customWidth="false" hidden="false" outlineLevel="0" max="257" min="22" style="180" width="9.15"/>
  </cols>
  <sheetData>
    <row r="1" s="181" customFormat="true" ht="13.5" hidden="false" customHeight="true" outlineLevel="0" collapsed="false">
      <c r="A1" s="390" t="n">
        <f aca="false">E1+SalesMar!$D$1+PurchasesFeb!A1</f>
        <v>0</v>
      </c>
      <c r="B1" s="391" t="s">
        <v>247</v>
      </c>
      <c r="C1" s="392" t="s">
        <v>240</v>
      </c>
      <c r="D1" s="376" t="str">
        <f aca="false">IF((F1-SUM(G1:S1)&lt;&gt;0),(F1-SUM(G1:S1))," ")</f>
        <v> </v>
      </c>
      <c r="E1" s="352" t="n">
        <f aca="false">SUM(E5:E199)</f>
        <v>0</v>
      </c>
      <c r="F1" s="351" t="n">
        <f aca="false">SUM(F5:F199)</f>
        <v>300</v>
      </c>
      <c r="G1" s="351" t="n">
        <f aca="false">SUM(G5:G199)</f>
        <v>300</v>
      </c>
      <c r="H1" s="351" t="n">
        <f aca="false">SUM(H5:H199)</f>
        <v>0</v>
      </c>
      <c r="I1" s="351" t="n">
        <f aca="false">SUM(I5:I199)</f>
        <v>0</v>
      </c>
      <c r="J1" s="351" t="n">
        <f aca="false">SUM(J5:J199)</f>
        <v>0</v>
      </c>
      <c r="K1" s="351" t="n">
        <f aca="false">SUM(K5:K199)</f>
        <v>0</v>
      </c>
      <c r="L1" s="351" t="n">
        <f aca="false">SUM(L5:L199)</f>
        <v>0</v>
      </c>
      <c r="M1" s="351" t="n">
        <f aca="false">SUM(M5:M199)</f>
        <v>0</v>
      </c>
      <c r="N1" s="351" t="n">
        <f aca="false">SUM(N5:N199)</f>
        <v>0</v>
      </c>
      <c r="O1" s="351" t="n">
        <f aca="false">SUM(O5:O199)</f>
        <v>0</v>
      </c>
      <c r="P1" s="351" t="n">
        <f aca="false">SUM(P5:P199)</f>
        <v>0</v>
      </c>
      <c r="Q1" s="351" t="n">
        <f aca="false">SUM(Q5:Q199)</f>
        <v>0</v>
      </c>
      <c r="R1" s="351" t="n">
        <f aca="false">SUM(R5:R199)</f>
        <v>0</v>
      </c>
      <c r="S1" s="393" t="n">
        <f aca="false">SUM(S5:S199)</f>
        <v>0</v>
      </c>
      <c r="T1" s="394" t="n">
        <f aca="false">S1+PurchasesFeb!T1</f>
        <v>8000</v>
      </c>
      <c r="U1" s="393" t="n">
        <f aca="false">SUM(U4:U199)</f>
        <v>0</v>
      </c>
    </row>
    <row r="2" s="181" customFormat="true" ht="13.5" hidden="false" customHeight="true" outlineLevel="0" collapsed="false">
      <c r="A2" s="395" t="n">
        <f aca="false">U1+PurchasesFeb!A2</f>
        <v>0</v>
      </c>
      <c r="B2" s="240" t="s">
        <v>248</v>
      </c>
      <c r="C2" s="379" t="s">
        <v>249</v>
      </c>
      <c r="D2" s="379" t="s">
        <v>250</v>
      </c>
      <c r="E2" s="379" t="s">
        <v>251</v>
      </c>
      <c r="F2" s="207" t="s">
        <v>252</v>
      </c>
      <c r="G2" s="380" t="s">
        <v>253</v>
      </c>
      <c r="H2" s="380"/>
      <c r="I2" s="381" t="n">
        <f aca="false">G1+H1+I1+J1+PurchasesFeb!I2</f>
        <v>4980</v>
      </c>
      <c r="J2" s="381"/>
      <c r="K2" s="207" t="s">
        <v>254</v>
      </c>
      <c r="L2" s="207" t="s">
        <v>255</v>
      </c>
      <c r="M2" s="207" t="s">
        <v>256</v>
      </c>
      <c r="N2" s="207" t="s">
        <v>288</v>
      </c>
      <c r="O2" s="207" t="s">
        <v>258</v>
      </c>
      <c r="P2" s="207" t="s">
        <v>259</v>
      </c>
      <c r="Q2" s="207" t="s">
        <v>260</v>
      </c>
      <c r="R2" s="207" t="s">
        <v>261</v>
      </c>
      <c r="S2" s="382" t="s">
        <v>262</v>
      </c>
      <c r="T2" s="383" t="str">
        <f aca="false">IF(T1&gt;'Fixed Assets'!$D$62,"ENTER VEHICLE CHANGES        on Fixed Asset schedule","Motor Vehicles: make, model, date reg. and reg. Mark")</f>
        <v>Motor Vehicles: make, model, date reg. and reg. Mark</v>
      </c>
      <c r="U2" s="382" t="s">
        <v>116</v>
      </c>
    </row>
    <row r="3" s="385" customFormat="true" ht="45" hidden="false" customHeight="true" outlineLevel="0" collapsed="false">
      <c r="A3" s="384" t="s">
        <v>263</v>
      </c>
      <c r="B3" s="207" t="s">
        <v>264</v>
      </c>
      <c r="C3" s="379"/>
      <c r="D3" s="379"/>
      <c r="E3" s="379"/>
      <c r="F3" s="379"/>
      <c r="G3" s="207" t="s">
        <v>111</v>
      </c>
      <c r="H3" s="207" t="s">
        <v>265</v>
      </c>
      <c r="I3" s="207" t="s">
        <v>113</v>
      </c>
      <c r="J3" s="207" t="s">
        <v>114</v>
      </c>
      <c r="K3" s="207"/>
      <c r="L3" s="207"/>
      <c r="M3" s="207"/>
      <c r="N3" s="207"/>
      <c r="O3" s="207"/>
      <c r="P3" s="207"/>
      <c r="Q3" s="207"/>
      <c r="R3" s="207"/>
      <c r="S3" s="382"/>
      <c r="T3" s="383"/>
      <c r="U3" s="382"/>
    </row>
    <row r="4" s="388" customFormat="true" ht="12.75" hidden="false" customHeight="false" outlineLevel="0" collapsed="false">
      <c r="A4" s="386" t="str">
        <f aca="false">IF((E1&lt;&gt;0),Admin!$B$16," ")</f>
        <v> </v>
      </c>
      <c r="B4" s="207"/>
      <c r="C4" s="207"/>
      <c r="D4" s="207"/>
      <c r="E4" s="207"/>
      <c r="F4" s="207"/>
      <c r="G4" s="375" t="s">
        <v>266</v>
      </c>
      <c r="H4" s="375" t="s">
        <v>267</v>
      </c>
      <c r="I4" s="375" t="s">
        <v>268</v>
      </c>
      <c r="J4" s="375" t="s">
        <v>269</v>
      </c>
      <c r="K4" s="375" t="s">
        <v>270</v>
      </c>
      <c r="L4" s="375" t="s">
        <v>271</v>
      </c>
      <c r="M4" s="375" t="s">
        <v>272</v>
      </c>
      <c r="N4" s="375" t="s">
        <v>273</v>
      </c>
      <c r="O4" s="375" t="s">
        <v>274</v>
      </c>
      <c r="P4" s="375" t="s">
        <v>275</v>
      </c>
      <c r="Q4" s="375" t="s">
        <v>276</v>
      </c>
      <c r="R4" s="375" t="s">
        <v>277</v>
      </c>
      <c r="S4" s="387" t="s">
        <v>278</v>
      </c>
      <c r="T4" s="383"/>
      <c r="U4" s="394" t="n">
        <f aca="false">IF((A1&lt;Admin!$F$22),((A1-PurchasesFeb!A1)*Admin!$G$21),(A1*Admin!$G$21-(A1-Admin!$F$21)*(Admin!$G$21-Admin!$G$22)-PurchasesFeb!A2))</f>
        <v>0</v>
      </c>
    </row>
    <row r="5" s="372" customFormat="true" ht="12.75" hidden="false" customHeight="false" outlineLevel="0" collapsed="false">
      <c r="A5" s="371" t="n">
        <v>46461</v>
      </c>
      <c r="B5" s="389" t="s">
        <v>284</v>
      </c>
      <c r="D5" s="372" t="s">
        <v>285</v>
      </c>
      <c r="F5" s="372"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2"/>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2"/>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2"/>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2"/>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2"/>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2"/>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2"/>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2"/>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2"/>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2"/>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2"/>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2"/>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2"/>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2"/>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2"/>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2"/>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2"/>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2"/>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2"/>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2"/>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2"/>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2"/>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2"/>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2"/>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2"/>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2"/>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2"/>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2"/>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2"/>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2"/>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2"/>
    </row>
    <row r="37" customFormat="false" ht="12.75" hidden="false" customHeight="false" outlineLevel="0" collapsed="false">
      <c r="D37" s="372"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2"/>
    </row>
    <row r="38" customFormat="false" ht="12.75" hidden="false" customHeight="false" outlineLevel="0" collapsed="false">
      <c r="D38" s="372"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2"/>
    </row>
    <row r="39" customFormat="false" ht="12.75" hidden="false" customHeight="false" outlineLevel="0" collapsed="false">
      <c r="D39" s="372"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2"/>
    </row>
    <row r="40" customFormat="false" ht="12.75" hidden="false" customHeight="false" outlineLevel="0" collapsed="false">
      <c r="D40" s="372"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2"/>
    </row>
    <row r="41" customFormat="false" ht="12.75" hidden="false" customHeight="false" outlineLevel="0" collapsed="false">
      <c r="D41" s="372"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2"/>
    </row>
    <row r="42" customFormat="false" ht="12.75" hidden="false" customHeight="false" outlineLevel="0" collapsed="false">
      <c r="D42" s="372"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2"/>
    </row>
    <row r="43" customFormat="false" ht="12.75" hidden="false" customHeight="false" outlineLevel="0" collapsed="false">
      <c r="D43" s="372"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2"/>
    </row>
    <row r="44" customFormat="false" ht="12.75" hidden="false" customHeight="false" outlineLevel="0" collapsed="false">
      <c r="D44" s="372"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2"/>
    </row>
    <row r="45" customFormat="false" ht="12.75" hidden="false" customHeight="false" outlineLevel="0" collapsed="false">
      <c r="D45" s="372"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2"/>
    </row>
    <row r="46" customFormat="false" ht="12.75" hidden="false" customHeight="false" outlineLevel="0" collapsed="false">
      <c r="D46" s="372"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2"/>
    </row>
    <row r="47" customFormat="false" ht="12.75" hidden="false" customHeight="false" outlineLevel="0" collapsed="false">
      <c r="D47" s="372"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2"/>
    </row>
    <row r="48" customFormat="false" ht="12.75" hidden="false" customHeight="false" outlineLevel="0" collapsed="false">
      <c r="D48" s="372"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2"/>
    </row>
    <row r="49" customFormat="false" ht="12.75" hidden="false" customHeight="false" outlineLevel="0" collapsed="false">
      <c r="D49" s="372"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2"/>
    </row>
    <row r="50" customFormat="false" ht="12.75" hidden="false" customHeight="false" outlineLevel="0" collapsed="false">
      <c r="D50" s="372"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2"/>
    </row>
    <row r="51" customFormat="false" ht="12.75" hidden="false" customHeight="false" outlineLevel="0" collapsed="false">
      <c r="D51" s="372"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2"/>
    </row>
    <row r="52" customFormat="false" ht="12.75" hidden="false" customHeight="false" outlineLevel="0" collapsed="false">
      <c r="D52" s="372"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2"/>
    </row>
    <row r="53" customFormat="false" ht="12.75" hidden="false" customHeight="false" outlineLevel="0" collapsed="false">
      <c r="D53" s="372"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2"/>
    </row>
    <row r="54" customFormat="false" ht="12.75" hidden="false" customHeight="false" outlineLevel="0" collapsed="false">
      <c r="D54" s="372"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2"/>
    </row>
    <row r="55" customFormat="false" ht="12.75" hidden="false" customHeight="false" outlineLevel="0" collapsed="false">
      <c r="D55" s="372"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2"/>
    </row>
    <row r="56" customFormat="false" ht="12.75" hidden="false" customHeight="false" outlineLevel="0" collapsed="false">
      <c r="D56" s="372"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2"/>
    </row>
    <row r="57" customFormat="false" ht="12.75" hidden="false" customHeight="false" outlineLevel="0" collapsed="false">
      <c r="D57" s="372"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2"/>
    </row>
    <row r="58" customFormat="false" ht="12.75" hidden="false" customHeight="false" outlineLevel="0" collapsed="false">
      <c r="D58" s="372"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2"/>
    </row>
    <row r="59" customFormat="false" ht="12.75" hidden="false" customHeight="false" outlineLevel="0" collapsed="false">
      <c r="D59" s="372"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2"/>
    </row>
    <row r="60" customFormat="false" ht="12.75" hidden="false" customHeight="false" outlineLevel="0" collapsed="false">
      <c r="D60" s="372"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2"/>
    </row>
    <row r="61" customFormat="false" ht="12.75" hidden="false" customHeight="false" outlineLevel="0" collapsed="false">
      <c r="D61" s="372"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2"/>
    </row>
    <row r="62" customFormat="false" ht="12.75" hidden="false" customHeight="false" outlineLevel="0" collapsed="false">
      <c r="D62" s="372"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2"/>
    </row>
    <row r="63" customFormat="false" ht="12.75" hidden="false" customHeight="false" outlineLevel="0" collapsed="false">
      <c r="D63" s="372"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2"/>
    </row>
    <row r="64" customFormat="false" ht="12.75" hidden="false" customHeight="false" outlineLevel="0" collapsed="false">
      <c r="D64" s="372"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2"/>
    </row>
    <row r="65" customFormat="false" ht="12.75" hidden="false" customHeight="false" outlineLevel="0" collapsed="false">
      <c r="D65" s="372"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2"/>
    </row>
    <row r="66" customFormat="false" ht="12.75" hidden="false" customHeight="false" outlineLevel="0" collapsed="false">
      <c r="D66" s="372"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2"/>
    </row>
    <row r="67" customFormat="false" ht="12.75" hidden="false" customHeight="false" outlineLevel="0" collapsed="false">
      <c r="D67" s="372"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2"/>
    </row>
    <row r="68" customFormat="false" ht="12.75" hidden="false" customHeight="false" outlineLevel="0" collapsed="false">
      <c r="D68" s="372"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2"/>
    </row>
    <row r="69" customFormat="false" ht="12.75" hidden="false" customHeight="false" outlineLevel="0" collapsed="false">
      <c r="D69" s="372"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2"/>
    </row>
    <row r="70" customFormat="false" ht="12.75" hidden="false" customHeight="false" outlineLevel="0" collapsed="false">
      <c r="D70" s="372"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2"/>
    </row>
    <row r="71" customFormat="false" ht="12.75" hidden="false" customHeight="false" outlineLevel="0" collapsed="false">
      <c r="D71" s="372"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2"/>
    </row>
    <row r="72" customFormat="false" ht="12.75" hidden="false" customHeight="false" outlineLevel="0" collapsed="false">
      <c r="D72" s="372"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2"/>
    </row>
    <row r="73" customFormat="false" ht="12.75" hidden="false" customHeight="false" outlineLevel="0" collapsed="false">
      <c r="D73" s="372"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2"/>
    </row>
    <row r="74" customFormat="false" ht="12.75" hidden="false" customHeight="false" outlineLevel="0" collapsed="false">
      <c r="D74" s="372"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2"/>
    </row>
    <row r="75" customFormat="false" ht="12.75" hidden="false" customHeight="false" outlineLevel="0" collapsed="false">
      <c r="D75" s="372"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2"/>
    </row>
    <row r="76" customFormat="false" ht="12.75" hidden="false" customHeight="false" outlineLevel="0" collapsed="false">
      <c r="D76" s="372"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2"/>
    </row>
    <row r="77" customFormat="false" ht="12.75" hidden="false" customHeight="false" outlineLevel="0" collapsed="false">
      <c r="D77" s="372"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2"/>
    </row>
    <row r="78" customFormat="false" ht="12.75" hidden="false" customHeight="false" outlineLevel="0" collapsed="false">
      <c r="D78" s="372"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2"/>
    </row>
    <row r="79" customFormat="false" ht="12.75" hidden="false" customHeight="false" outlineLevel="0" collapsed="false">
      <c r="D79" s="372"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2"/>
    </row>
    <row r="80" customFormat="false" ht="12.75" hidden="false" customHeight="false" outlineLevel="0" collapsed="false">
      <c r="D80" s="372"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2"/>
    </row>
    <row r="81" customFormat="false" ht="12.75" hidden="false" customHeight="false" outlineLevel="0" collapsed="false">
      <c r="D81" s="372"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2"/>
    </row>
    <row r="82" customFormat="false" ht="12.75" hidden="false" customHeight="false" outlineLevel="0" collapsed="false">
      <c r="D82" s="372"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2"/>
    </row>
    <row r="83" customFormat="false" ht="12.75" hidden="false" customHeight="false" outlineLevel="0" collapsed="false">
      <c r="D83" s="372"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2"/>
    </row>
    <row r="84" customFormat="false" ht="12.75" hidden="false" customHeight="false" outlineLevel="0" collapsed="false">
      <c r="D84" s="372"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2"/>
    </row>
    <row r="85" customFormat="false" ht="12.75" hidden="false" customHeight="false" outlineLevel="0" collapsed="false">
      <c r="D85" s="372"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2"/>
    </row>
    <row r="86" customFormat="false" ht="12.75" hidden="false" customHeight="false" outlineLevel="0" collapsed="false">
      <c r="D86" s="372"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2"/>
    </row>
    <row r="87" customFormat="false" ht="12.75" hidden="false" customHeight="false" outlineLevel="0" collapsed="false">
      <c r="D87" s="372"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2"/>
    </row>
    <row r="88" customFormat="false" ht="12.75" hidden="false" customHeight="false" outlineLevel="0" collapsed="false">
      <c r="D88" s="372"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2"/>
    </row>
    <row r="89" customFormat="false" ht="12.75" hidden="false" customHeight="false" outlineLevel="0" collapsed="false">
      <c r="D89" s="372"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2"/>
    </row>
    <row r="90" customFormat="false" ht="12.75" hidden="false" customHeight="false" outlineLevel="0" collapsed="false">
      <c r="D90" s="372"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2"/>
    </row>
    <row r="91" customFormat="false" ht="12.75" hidden="false" customHeight="false" outlineLevel="0" collapsed="false">
      <c r="D91" s="372"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2"/>
    </row>
    <row r="92" customFormat="false" ht="12.75" hidden="false" customHeight="false" outlineLevel="0" collapsed="false">
      <c r="D92" s="372"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2"/>
    </row>
    <row r="93" customFormat="false" ht="12.75" hidden="false" customHeight="false" outlineLevel="0" collapsed="false">
      <c r="D93" s="372"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2"/>
    </row>
    <row r="94" customFormat="false" ht="12.75" hidden="false" customHeight="false" outlineLevel="0" collapsed="false">
      <c r="D94" s="372"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2"/>
    </row>
    <row r="95" customFormat="false" ht="12.75" hidden="false" customHeight="false" outlineLevel="0" collapsed="false">
      <c r="D95" s="372"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2"/>
    </row>
    <row r="96" customFormat="false" ht="12.75" hidden="false" customHeight="false" outlineLevel="0" collapsed="false">
      <c r="D96" s="372"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2"/>
    </row>
    <row r="97" customFormat="false" ht="12.75" hidden="false" customHeight="false" outlineLevel="0" collapsed="false">
      <c r="D97" s="372"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2"/>
    </row>
    <row r="98" customFormat="false" ht="12.75" hidden="false" customHeight="false" outlineLevel="0" collapsed="false">
      <c r="D98" s="372"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2"/>
    </row>
    <row r="99" customFormat="false" ht="12.75" hidden="false" customHeight="false" outlineLevel="0" collapsed="false">
      <c r="D99" s="372"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2"/>
    </row>
    <row r="100" customFormat="false" ht="12.75" hidden="false" customHeight="false" outlineLevel="0" collapsed="false">
      <c r="D100" s="372"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2"/>
    </row>
    <row r="101" customFormat="false" ht="12.75" hidden="false" customHeight="false" outlineLevel="0" collapsed="false">
      <c r="D101" s="372"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2"/>
    </row>
    <row r="102" customFormat="false" ht="12.75" hidden="false" customHeight="false" outlineLevel="0" collapsed="false">
      <c r="D102" s="372"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2"/>
    </row>
    <row r="103" customFormat="false" ht="12.75" hidden="false" customHeight="false" outlineLevel="0" collapsed="false">
      <c r="D103" s="372"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2"/>
    </row>
    <row r="104" customFormat="false" ht="12.75" hidden="false" customHeight="false" outlineLevel="0" collapsed="false">
      <c r="D104" s="372"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2"/>
    </row>
    <row r="105" customFormat="false" ht="12.75" hidden="false" customHeight="false" outlineLevel="0" collapsed="false">
      <c r="D105" s="372"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2"/>
    </row>
    <row r="106" customFormat="false" ht="12.75" hidden="false" customHeight="false" outlineLevel="0" collapsed="false">
      <c r="D106" s="372"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2"/>
    </row>
    <row r="107" customFormat="false" ht="12.75" hidden="false" customHeight="false" outlineLevel="0" collapsed="false">
      <c r="D107" s="372"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2"/>
    </row>
    <row r="108" customFormat="false" ht="12.75" hidden="false" customHeight="false" outlineLevel="0" collapsed="false">
      <c r="D108" s="372"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2"/>
    </row>
    <row r="109" customFormat="false" ht="12.75" hidden="false" customHeight="false" outlineLevel="0" collapsed="false">
      <c r="D109" s="372"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2"/>
    </row>
    <row r="110" customFormat="false" ht="12.75" hidden="false" customHeight="false" outlineLevel="0" collapsed="false">
      <c r="D110" s="372"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2"/>
    </row>
    <row r="111" customFormat="false" ht="12.75" hidden="false" customHeight="false" outlineLevel="0" collapsed="false">
      <c r="D111" s="372"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2"/>
    </row>
    <row r="112" customFormat="false" ht="12.75" hidden="false" customHeight="false" outlineLevel="0" collapsed="false">
      <c r="D112" s="372"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2"/>
    </row>
    <row r="113" customFormat="false" ht="12.75" hidden="false" customHeight="false" outlineLevel="0" collapsed="false">
      <c r="D113" s="372"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2"/>
    </row>
    <row r="114" customFormat="false" ht="12.75" hidden="false" customHeight="false" outlineLevel="0" collapsed="false">
      <c r="D114" s="372"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2"/>
    </row>
    <row r="115" customFormat="false" ht="12.75" hidden="false" customHeight="false" outlineLevel="0" collapsed="false">
      <c r="D115" s="372"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2"/>
    </row>
    <row r="116" customFormat="false" ht="12.75" hidden="false" customHeight="false" outlineLevel="0" collapsed="false">
      <c r="D116" s="372"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2"/>
    </row>
    <row r="117" customFormat="false" ht="12.75" hidden="false" customHeight="false" outlineLevel="0" collapsed="false">
      <c r="D117" s="372"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2"/>
    </row>
    <row r="118" customFormat="false" ht="12.75" hidden="false" customHeight="false" outlineLevel="0" collapsed="false">
      <c r="D118" s="372"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2"/>
    </row>
    <row r="119" customFormat="false" ht="12.75" hidden="false" customHeight="false" outlineLevel="0" collapsed="false">
      <c r="D119" s="372"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2"/>
    </row>
    <row r="120" customFormat="false" ht="12.75" hidden="false" customHeight="false" outlineLevel="0" collapsed="false">
      <c r="D120" s="372"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2"/>
    </row>
    <row r="121" customFormat="false" ht="12.75" hidden="false" customHeight="false" outlineLevel="0" collapsed="false">
      <c r="D121" s="372"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2"/>
    </row>
    <row r="122" customFormat="false" ht="12.75" hidden="false" customHeight="false" outlineLevel="0" collapsed="false">
      <c r="D122" s="372"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2"/>
    </row>
    <row r="123" customFormat="false" ht="12.75" hidden="false" customHeight="false" outlineLevel="0" collapsed="false">
      <c r="D123" s="372"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2"/>
    </row>
    <row r="124" customFormat="false" ht="12.75" hidden="false" customHeight="false" outlineLevel="0" collapsed="false">
      <c r="D124" s="372"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2"/>
    </row>
    <row r="125" customFormat="false" ht="12.75" hidden="false" customHeight="false" outlineLevel="0" collapsed="false">
      <c r="D125" s="372"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2"/>
    </row>
    <row r="126" customFormat="false" ht="12.75" hidden="false" customHeight="false" outlineLevel="0" collapsed="false">
      <c r="D126" s="372"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2"/>
    </row>
    <row r="127" customFormat="false" ht="12.75" hidden="false" customHeight="false" outlineLevel="0" collapsed="false">
      <c r="D127" s="372"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2"/>
    </row>
    <row r="128" customFormat="false" ht="12.75" hidden="false" customHeight="false" outlineLevel="0" collapsed="false">
      <c r="D128" s="372"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2"/>
    </row>
    <row r="129" customFormat="false" ht="12.75" hidden="false" customHeight="false" outlineLevel="0" collapsed="false">
      <c r="D129" s="372"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2"/>
    </row>
    <row r="130" customFormat="false" ht="12.75" hidden="false" customHeight="false" outlineLevel="0" collapsed="false">
      <c r="D130" s="372"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2"/>
    </row>
    <row r="131" customFormat="false" ht="12.75" hidden="false" customHeight="false" outlineLevel="0" collapsed="false">
      <c r="D131" s="372"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2"/>
    </row>
    <row r="132" customFormat="false" ht="12.75" hidden="false" customHeight="false" outlineLevel="0" collapsed="false">
      <c r="D132" s="372"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2"/>
    </row>
    <row r="133" customFormat="false" ht="12.75" hidden="false" customHeight="false" outlineLevel="0" collapsed="false">
      <c r="D133" s="372"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2"/>
    </row>
    <row r="134" customFormat="false" ht="12.75" hidden="false" customHeight="false" outlineLevel="0" collapsed="false">
      <c r="D134" s="372"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2"/>
    </row>
    <row r="135" customFormat="false" ht="12.75" hidden="false" customHeight="false" outlineLevel="0" collapsed="false">
      <c r="D135" s="372"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2"/>
    </row>
    <row r="136" customFormat="false" ht="12.75" hidden="false" customHeight="false" outlineLevel="0" collapsed="false">
      <c r="D136" s="372"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2"/>
    </row>
    <row r="137" customFormat="false" ht="12.75" hidden="false" customHeight="false" outlineLevel="0" collapsed="false">
      <c r="D137" s="372"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2"/>
    </row>
    <row r="138" customFormat="false" ht="12.75" hidden="false" customHeight="false" outlineLevel="0" collapsed="false">
      <c r="D138" s="372"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2"/>
    </row>
    <row r="139" customFormat="false" ht="12.75" hidden="false" customHeight="false" outlineLevel="0" collapsed="false">
      <c r="D139" s="372"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2"/>
    </row>
    <row r="140" customFormat="false" ht="12.75" hidden="false" customHeight="false" outlineLevel="0" collapsed="false">
      <c r="D140" s="372"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2"/>
    </row>
    <row r="141" customFormat="false" ht="12.75" hidden="false" customHeight="false" outlineLevel="0" collapsed="false">
      <c r="D141" s="372"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2"/>
    </row>
    <row r="142" customFormat="false" ht="12.75" hidden="false" customHeight="false" outlineLevel="0" collapsed="false">
      <c r="D142" s="372"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2"/>
    </row>
    <row r="143" customFormat="false" ht="12.75" hidden="false" customHeight="false" outlineLevel="0" collapsed="false">
      <c r="D143" s="372"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2"/>
    </row>
    <row r="144" customFormat="false" ht="12.75" hidden="false" customHeight="false" outlineLevel="0" collapsed="false">
      <c r="D144" s="372"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2"/>
    </row>
    <row r="145" customFormat="false" ht="12.75" hidden="false" customHeight="false" outlineLevel="0" collapsed="false">
      <c r="D145" s="372"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2"/>
    </row>
    <row r="146" customFormat="false" ht="12.75" hidden="false" customHeight="false" outlineLevel="0" collapsed="false">
      <c r="D146" s="372"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2"/>
    </row>
    <row r="147" customFormat="false" ht="12.75" hidden="false" customHeight="false" outlineLevel="0" collapsed="false">
      <c r="D147" s="372"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2"/>
    </row>
    <row r="148" customFormat="false" ht="12.75" hidden="false" customHeight="false" outlineLevel="0" collapsed="false">
      <c r="D148" s="372"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2"/>
    </row>
    <row r="149" customFormat="false" ht="12.75" hidden="false" customHeight="false" outlineLevel="0" collapsed="false">
      <c r="D149" s="372"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2"/>
    </row>
    <row r="150" customFormat="false" ht="12.75" hidden="false" customHeight="false" outlineLevel="0" collapsed="false">
      <c r="D150" s="372"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2"/>
    </row>
    <row r="151" customFormat="false" ht="12.75" hidden="false" customHeight="false" outlineLevel="0" collapsed="false">
      <c r="D151" s="372"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2"/>
    </row>
    <row r="152" customFormat="false" ht="12.75" hidden="false" customHeight="false" outlineLevel="0" collapsed="false">
      <c r="D152" s="372"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2"/>
    </row>
    <row r="153" customFormat="false" ht="12.75" hidden="false" customHeight="false" outlineLevel="0" collapsed="false">
      <c r="D153" s="372"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2"/>
    </row>
    <row r="154" customFormat="false" ht="12.75" hidden="false" customHeight="false" outlineLevel="0" collapsed="false">
      <c r="D154" s="372"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2"/>
    </row>
    <row r="155" customFormat="false" ht="12.75" hidden="false" customHeight="false" outlineLevel="0" collapsed="false">
      <c r="D155" s="372"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2"/>
    </row>
    <row r="156" customFormat="false" ht="12.75" hidden="false" customHeight="false" outlineLevel="0" collapsed="false">
      <c r="D156" s="372"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2"/>
    </row>
    <row r="157" customFormat="false" ht="12.75" hidden="false" customHeight="false" outlineLevel="0" collapsed="false">
      <c r="D157" s="372"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2"/>
    </row>
    <row r="158" customFormat="false" ht="12.75" hidden="false" customHeight="false" outlineLevel="0" collapsed="false">
      <c r="D158" s="372"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2"/>
    </row>
    <row r="159" customFormat="false" ht="12.75" hidden="false" customHeight="false" outlineLevel="0" collapsed="false">
      <c r="D159" s="372"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2"/>
    </row>
    <row r="160" customFormat="false" ht="12.75" hidden="false" customHeight="false" outlineLevel="0" collapsed="false">
      <c r="D160" s="372"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2"/>
    </row>
    <row r="161" customFormat="false" ht="12.75" hidden="false" customHeight="false" outlineLevel="0" collapsed="false">
      <c r="D161" s="372"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2"/>
    </row>
    <row r="162" customFormat="false" ht="12.75" hidden="false" customHeight="false" outlineLevel="0" collapsed="false">
      <c r="D162" s="372"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2"/>
    </row>
    <row r="163" customFormat="false" ht="12.75" hidden="false" customHeight="false" outlineLevel="0" collapsed="false">
      <c r="D163" s="372"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2"/>
    </row>
    <row r="164" customFormat="false" ht="12.75" hidden="false" customHeight="false" outlineLevel="0" collapsed="false">
      <c r="D164" s="372"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2"/>
    </row>
    <row r="165" customFormat="false" ht="12.75" hidden="false" customHeight="false" outlineLevel="0" collapsed="false">
      <c r="D165" s="372"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2"/>
    </row>
    <row r="166" customFormat="false" ht="12.75" hidden="false" customHeight="false" outlineLevel="0" collapsed="false">
      <c r="D166" s="372"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2"/>
    </row>
    <row r="167" customFormat="false" ht="12.75" hidden="false" customHeight="false" outlineLevel="0" collapsed="false">
      <c r="D167" s="372"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2"/>
    </row>
    <row r="168" customFormat="false" ht="12.75" hidden="false" customHeight="false" outlineLevel="0" collapsed="false">
      <c r="D168" s="372"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2"/>
    </row>
    <row r="169" customFormat="false" ht="12.75" hidden="false" customHeight="false" outlineLevel="0" collapsed="false">
      <c r="D169" s="372"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2"/>
    </row>
    <row r="170" customFormat="false" ht="12.75" hidden="false" customHeight="false" outlineLevel="0" collapsed="false">
      <c r="D170" s="372"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2"/>
    </row>
    <row r="171" customFormat="false" ht="12.75" hidden="false" customHeight="false" outlineLevel="0" collapsed="false">
      <c r="D171" s="372"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2"/>
    </row>
    <row r="172" customFormat="false" ht="12.75" hidden="false" customHeight="false" outlineLevel="0" collapsed="false">
      <c r="D172" s="372"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2"/>
    </row>
    <row r="173" customFormat="false" ht="12.75" hidden="false" customHeight="false" outlineLevel="0" collapsed="false">
      <c r="D173" s="372"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2"/>
    </row>
    <row r="174" customFormat="false" ht="12.75" hidden="false" customHeight="false" outlineLevel="0" collapsed="false">
      <c r="D174" s="372"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2"/>
    </row>
    <row r="175" customFormat="false" ht="12.75" hidden="false" customHeight="false" outlineLevel="0" collapsed="false">
      <c r="D175" s="372"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2"/>
    </row>
    <row r="176" customFormat="false" ht="12.75" hidden="false" customHeight="false" outlineLevel="0" collapsed="false">
      <c r="D176" s="372"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2"/>
    </row>
    <row r="177" customFormat="false" ht="12.75" hidden="false" customHeight="false" outlineLevel="0" collapsed="false">
      <c r="D177" s="372"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2"/>
    </row>
    <row r="178" customFormat="false" ht="12.75" hidden="false" customHeight="false" outlineLevel="0" collapsed="false">
      <c r="D178" s="372"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2"/>
    </row>
    <row r="179" customFormat="false" ht="12.75" hidden="false" customHeight="false" outlineLevel="0" collapsed="false">
      <c r="D179" s="372"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2"/>
    </row>
    <row r="180" customFormat="false" ht="12.75" hidden="false" customHeight="false" outlineLevel="0" collapsed="false">
      <c r="D180" s="372"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2"/>
    </row>
    <row r="181" customFormat="false" ht="12.75" hidden="false" customHeight="false" outlineLevel="0" collapsed="false">
      <c r="D181" s="372"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2"/>
    </row>
    <row r="182" customFormat="false" ht="12.75" hidden="false" customHeight="false" outlineLevel="0" collapsed="false">
      <c r="D182" s="372"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2"/>
    </row>
    <row r="183" customFormat="false" ht="12.75" hidden="false" customHeight="false" outlineLevel="0" collapsed="false">
      <c r="D183" s="372"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2"/>
    </row>
    <row r="184" customFormat="false" ht="12.75" hidden="false" customHeight="false" outlineLevel="0" collapsed="false">
      <c r="D184" s="372"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2"/>
    </row>
    <row r="185" customFormat="false" ht="12.75" hidden="false" customHeight="false" outlineLevel="0" collapsed="false">
      <c r="D185" s="372"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2"/>
    </row>
    <row r="186" customFormat="false" ht="12.75" hidden="false" customHeight="false" outlineLevel="0" collapsed="false">
      <c r="D186" s="372"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2"/>
    </row>
    <row r="187" customFormat="false" ht="12.75" hidden="false" customHeight="false" outlineLevel="0" collapsed="false">
      <c r="D187" s="372"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2"/>
    </row>
    <row r="188" customFormat="false" ht="12.75" hidden="false" customHeight="false" outlineLevel="0" collapsed="false">
      <c r="D188" s="372"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2"/>
    </row>
    <row r="189" customFormat="false" ht="12.75" hidden="false" customHeight="false" outlineLevel="0" collapsed="false">
      <c r="D189" s="372"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2"/>
    </row>
    <row r="190" customFormat="false" ht="12.75" hidden="false" customHeight="false" outlineLevel="0" collapsed="false">
      <c r="D190" s="372"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2"/>
    </row>
    <row r="191" customFormat="false" ht="12.75" hidden="false" customHeight="false" outlineLevel="0" collapsed="false">
      <c r="D191" s="372"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2"/>
    </row>
    <row r="192" customFormat="false" ht="12.75" hidden="false" customHeight="false" outlineLevel="0" collapsed="false">
      <c r="D192" s="372"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2"/>
    </row>
    <row r="193" customFormat="false" ht="12.75" hidden="false" customHeight="false" outlineLevel="0" collapsed="false">
      <c r="D193" s="372"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2"/>
    </row>
    <row r="194" customFormat="false" ht="12.75" hidden="false" customHeight="false" outlineLevel="0" collapsed="false">
      <c r="D194" s="372"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2"/>
    </row>
    <row r="195" customFormat="false" ht="12.75" hidden="false" customHeight="false" outlineLevel="0" collapsed="false">
      <c r="D195" s="372"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2"/>
    </row>
    <row r="196" customFormat="false" ht="12.75" hidden="false" customHeight="false" outlineLevel="0" collapsed="false">
      <c r="D196" s="372"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2"/>
    </row>
    <row r="197" customFormat="false" ht="12.75" hidden="false" customHeight="false" outlineLevel="0" collapsed="false">
      <c r="D197" s="372"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2"/>
    </row>
    <row r="198" customFormat="false" ht="12.75" hidden="false" customHeight="false" outlineLevel="0" collapsed="false">
      <c r="D198" s="372"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2"/>
    </row>
    <row r="199" customFormat="false" ht="12.75" hidden="false" customHeight="false" outlineLevel="0" collapsed="false">
      <c r="D199" s="372"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2"/>
    </row>
    <row r="200" customFormat="false" ht="12.75" hidden="false" customHeight="false" outlineLevel="0" collapsed="false">
      <c r="D200" s="372"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2"/>
    </row>
    <row r="201" customFormat="false" ht="12.75" hidden="false" customHeight="false" outlineLevel="0" collapsed="false">
      <c r="D201" s="372"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2"/>
    </row>
    <row r="202" customFormat="false" ht="12.75" hidden="false" customHeight="false" outlineLevel="0" collapsed="false">
      <c r="D202" s="372"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2"/>
    </row>
    <row r="203" customFormat="false" ht="12.75" hidden="false" customHeight="false" outlineLevel="0" collapsed="false">
      <c r="D203" s="372"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2"/>
    </row>
    <row r="204" customFormat="false" ht="12.75" hidden="false" customHeight="false" outlineLevel="0" collapsed="false">
      <c r="D204" s="372"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2"/>
    </row>
    <row r="205" customFormat="false" ht="12.75" hidden="false" customHeight="false" outlineLevel="0" collapsed="false">
      <c r="U205" s="372"/>
    </row>
    <row r="206" customFormat="false" ht="12.75" hidden="false" customHeight="false" outlineLevel="0" collapsed="false">
      <c r="U206" s="372"/>
    </row>
    <row r="207" customFormat="false" ht="12.75" hidden="false" customHeight="false" outlineLevel="0" collapsed="false">
      <c r="U207" s="372"/>
    </row>
    <row r="208" customFormat="false" ht="12.75" hidden="false" customHeight="false" outlineLevel="0" collapsed="false">
      <c r="U208" s="372"/>
    </row>
    <row r="209" customFormat="false" ht="12.75" hidden="false" customHeight="false" outlineLevel="0" collapsed="false">
      <c r="U209" s="372"/>
    </row>
    <row r="210" customFormat="false" ht="12.75" hidden="false" customHeight="false" outlineLevel="0" collapsed="false">
      <c r="U210" s="372"/>
    </row>
    <row r="211" customFormat="false" ht="12.75" hidden="false" customHeight="false" outlineLevel="0" collapsed="false">
      <c r="U211" s="372"/>
    </row>
    <row r="212" customFormat="false" ht="12.75" hidden="false" customHeight="false" outlineLevel="0" collapsed="false">
      <c r="U212" s="372"/>
    </row>
    <row r="213" customFormat="false" ht="12.75" hidden="false" customHeight="false" outlineLevel="0" collapsed="false">
      <c r="U213" s="372"/>
    </row>
    <row r="214" customFormat="false" ht="12.75" hidden="false" customHeight="false" outlineLevel="0" collapsed="false">
      <c r="U214" s="372"/>
    </row>
    <row r="215" customFormat="false" ht="12.75" hidden="false" customHeight="false" outlineLevel="0" collapsed="false">
      <c r="U215" s="372"/>
    </row>
    <row r="216" customFormat="false" ht="12.75" hidden="false" customHeight="false" outlineLevel="0" collapsed="false">
      <c r="U216" s="372"/>
    </row>
    <row r="217" customFormat="false" ht="12.75" hidden="false" customHeight="false" outlineLevel="0" collapsed="false">
      <c r="U217" s="372"/>
    </row>
    <row r="218" customFormat="false" ht="12.75" hidden="false" customHeight="false" outlineLevel="0" collapsed="false">
      <c r="U218" s="372"/>
    </row>
    <row r="219" customFormat="false" ht="12.75" hidden="false" customHeight="false" outlineLevel="0" collapsed="false">
      <c r="U219" s="372"/>
    </row>
    <row r="220" customFormat="false" ht="12.75" hidden="false" customHeight="false" outlineLevel="0" collapsed="false">
      <c r="U220" s="372"/>
    </row>
    <row r="221" customFormat="false" ht="12.75" hidden="false" customHeight="false" outlineLevel="0" collapsed="false">
      <c r="U221" s="372"/>
    </row>
    <row r="222" customFormat="false" ht="12.75" hidden="false" customHeight="false" outlineLevel="0" collapsed="false">
      <c r="U222" s="372"/>
    </row>
    <row r="223" customFormat="false" ht="12.75" hidden="false" customHeight="false" outlineLevel="0" collapsed="false">
      <c r="U223" s="372"/>
    </row>
    <row r="224" customFormat="false" ht="12.75" hidden="false" customHeight="false" outlineLevel="0" collapsed="false">
      <c r="U224" s="372"/>
    </row>
    <row r="225" customFormat="false" ht="12.75" hidden="false" customHeight="false" outlineLevel="0" collapsed="false">
      <c r="U225" s="372"/>
    </row>
    <row r="226" customFormat="false" ht="12.75" hidden="false" customHeight="false" outlineLevel="0" collapsed="false">
      <c r="U226" s="372"/>
    </row>
    <row r="227" customFormat="false" ht="12.75" hidden="false" customHeight="false" outlineLevel="0" collapsed="false">
      <c r="U227" s="372"/>
    </row>
    <row r="228" customFormat="false" ht="12.75" hidden="false" customHeight="false" outlineLevel="0" collapsed="false">
      <c r="U228" s="372"/>
    </row>
    <row r="229" customFormat="false" ht="12.75" hidden="false" customHeight="false" outlineLevel="0" collapsed="false">
      <c r="U229" s="372"/>
    </row>
    <row r="230" customFormat="false" ht="12.75" hidden="false" customHeight="false" outlineLevel="0" collapsed="false">
      <c r="U230" s="372"/>
    </row>
    <row r="231" customFormat="false" ht="12.75" hidden="false" customHeight="false" outlineLevel="0" collapsed="false">
      <c r="U231" s="372"/>
    </row>
    <row r="232" customFormat="false" ht="12.75" hidden="false" customHeight="false" outlineLevel="0" collapsed="false">
      <c r="U232" s="372"/>
    </row>
    <row r="233" customFormat="false" ht="12.75" hidden="false" customHeight="false" outlineLevel="0" collapsed="false">
      <c r="U233" s="372"/>
    </row>
    <row r="234" customFormat="false" ht="12.75" hidden="false" customHeight="false" outlineLevel="0" collapsed="false">
      <c r="U234" s="372"/>
    </row>
    <row r="235" customFormat="false" ht="12.75" hidden="false" customHeight="false" outlineLevel="0" collapsed="false">
      <c r="U235" s="372"/>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55" width="1.5"/>
    <col collapsed="false" customWidth="true" hidden="false" outlineLevel="0" max="2" min="2" style="396" width="10.15"/>
    <col collapsed="false" customWidth="true" hidden="false" outlineLevel="0" max="3" min="3" style="55" width="4.66"/>
    <col collapsed="false" customWidth="true" hidden="false" outlineLevel="0" max="5" min="4" style="55" width="11.15"/>
    <col collapsed="false" customWidth="true" hidden="false" outlineLevel="0" max="6" min="6" style="55" width="10.99"/>
    <col collapsed="false" customWidth="false" hidden="false" outlineLevel="0" max="7" min="7" style="397" width="9.15"/>
    <col collapsed="false" customWidth="true" hidden="false" outlineLevel="0" max="8" min="8" style="55" width="4.66"/>
    <col collapsed="false" customWidth="false" hidden="false" outlineLevel="0" max="12" min="9" style="55" width="9.15"/>
    <col collapsed="false" customWidth="true" hidden="false" outlineLevel="0" max="13" min="13" style="55" width="11.5"/>
    <col collapsed="false" customWidth="false" hidden="false" outlineLevel="0" max="14" min="14" style="55" width="9.15"/>
    <col collapsed="false" customWidth="true" hidden="false" outlineLevel="0" max="15" min="15" style="55" width="5.99"/>
    <col collapsed="false" customWidth="false" hidden="false" outlineLevel="0" max="257" min="16" style="55" width="9.15"/>
  </cols>
  <sheetData>
    <row r="1" customFormat="false" ht="12" hidden="false" customHeight="true" outlineLevel="0" collapsed="false">
      <c r="A1" s="68"/>
      <c r="B1" s="398" t="s">
        <v>293</v>
      </c>
      <c r="C1" s="68"/>
      <c r="D1" s="399"/>
      <c r="E1" s="399"/>
      <c r="F1" s="399"/>
      <c r="G1" s="400"/>
      <c r="H1" s="68"/>
      <c r="I1" s="68"/>
      <c r="J1" s="68"/>
      <c r="K1" s="68"/>
      <c r="L1" s="68"/>
      <c r="M1" s="68"/>
      <c r="N1" s="68"/>
      <c r="O1" s="68"/>
    </row>
    <row r="2" customFormat="false" ht="12" hidden="false" customHeight="true" outlineLevel="0" collapsed="false">
      <c r="A2" s="68"/>
      <c r="B2" s="401" t="n">
        <v>46081</v>
      </c>
      <c r="C2" s="68"/>
      <c r="D2" s="402" t="s">
        <v>294</v>
      </c>
      <c r="E2" s="402"/>
      <c r="F2" s="402"/>
      <c r="G2" s="403" t="str">
        <f aca="false">B23</f>
        <v>2026-27</v>
      </c>
      <c r="H2" s="68"/>
      <c r="I2" s="404" t="s">
        <v>295</v>
      </c>
      <c r="J2" s="404"/>
      <c r="K2" s="405" t="str">
        <f aca="false">G2</f>
        <v>2026-27</v>
      </c>
      <c r="L2" s="68"/>
      <c r="M2" s="68"/>
      <c r="N2" s="68"/>
      <c r="O2" s="68"/>
    </row>
    <row r="3" customFormat="false" ht="12" hidden="false" customHeight="true" outlineLevel="0" collapsed="false">
      <c r="A3" s="68"/>
      <c r="B3" s="401" t="n">
        <v>46112</v>
      </c>
      <c r="C3" s="68"/>
      <c r="D3" s="68"/>
      <c r="E3" s="68"/>
      <c r="F3" s="68"/>
      <c r="G3" s="406"/>
      <c r="H3" s="68"/>
      <c r="I3" s="68"/>
      <c r="J3" s="407"/>
      <c r="K3" s="407"/>
      <c r="L3" s="400"/>
      <c r="M3" s="68"/>
      <c r="N3" s="68"/>
      <c r="O3" s="68"/>
    </row>
    <row r="4" customFormat="false" ht="12" hidden="false" customHeight="true" outlineLevel="0" collapsed="false">
      <c r="A4" s="68"/>
      <c r="B4" s="408" t="n">
        <v>46118</v>
      </c>
      <c r="C4" s="68"/>
      <c r="D4" s="409" t="s">
        <v>71</v>
      </c>
      <c r="E4" s="409"/>
      <c r="F4" s="409"/>
      <c r="G4" s="410" t="n">
        <v>1</v>
      </c>
      <c r="H4" s="68"/>
      <c r="I4" s="409" t="s">
        <v>296</v>
      </c>
      <c r="J4" s="409"/>
      <c r="K4" s="409"/>
      <c r="L4" s="409"/>
      <c r="M4" s="409"/>
      <c r="N4" s="411" t="n">
        <v>12570</v>
      </c>
      <c r="O4" s="406" t="s">
        <v>31</v>
      </c>
    </row>
    <row r="5" customFormat="false" ht="12" hidden="false" customHeight="true" outlineLevel="0" collapsed="false">
      <c r="A5" s="68"/>
      <c r="B5" s="401" t="n">
        <v>46142</v>
      </c>
      <c r="C5" s="68"/>
      <c r="D5" s="409" t="s">
        <v>297</v>
      </c>
      <c r="E5" s="409"/>
      <c r="F5" s="409"/>
      <c r="G5" s="410" t="n">
        <v>0.14</v>
      </c>
      <c r="H5" s="68"/>
      <c r="I5" s="68" t="s">
        <v>298</v>
      </c>
      <c r="J5" s="68"/>
      <c r="K5" s="68"/>
      <c r="L5" s="68"/>
      <c r="M5" s="68"/>
      <c r="N5" s="412" t="n">
        <v>100000</v>
      </c>
      <c r="O5" s="406"/>
    </row>
    <row r="6" customFormat="false" ht="12" hidden="false" customHeight="true" outlineLevel="0" collapsed="false">
      <c r="A6" s="68"/>
      <c r="B6" s="401" t="n">
        <v>46173</v>
      </c>
      <c r="C6" s="68"/>
      <c r="D6" s="68"/>
      <c r="E6" s="68"/>
      <c r="F6" s="68"/>
      <c r="G6" s="406"/>
      <c r="H6" s="68"/>
      <c r="I6" s="409" t="s">
        <v>299</v>
      </c>
      <c r="J6" s="409"/>
      <c r="K6" s="409"/>
      <c r="L6" s="409"/>
      <c r="M6" s="409"/>
      <c r="N6" s="410" t="n">
        <v>0.2</v>
      </c>
      <c r="O6" s="406" t="s">
        <v>300</v>
      </c>
    </row>
    <row r="7" customFormat="false" ht="12" hidden="false" customHeight="true" outlineLevel="0" collapsed="false">
      <c r="A7" s="68"/>
      <c r="B7" s="401" t="n">
        <v>46203</v>
      </c>
      <c r="C7" s="68"/>
      <c r="D7" s="409" t="s">
        <v>301</v>
      </c>
      <c r="E7" s="409"/>
      <c r="F7" s="409"/>
      <c r="G7" s="406"/>
      <c r="H7" s="68"/>
      <c r="I7" s="409" t="s">
        <v>302</v>
      </c>
      <c r="J7" s="409"/>
      <c r="K7" s="409"/>
      <c r="L7" s="409"/>
      <c r="M7" s="409"/>
      <c r="N7" s="410" t="n">
        <v>0.4</v>
      </c>
      <c r="O7" s="406" t="s">
        <v>300</v>
      </c>
    </row>
    <row r="8" customFormat="false" ht="12" hidden="false" customHeight="true" outlineLevel="0" collapsed="false">
      <c r="A8" s="68"/>
      <c r="B8" s="401" t="n">
        <v>46234</v>
      </c>
      <c r="C8" s="68"/>
      <c r="D8" s="68"/>
      <c r="E8" s="412"/>
      <c r="F8" s="68"/>
      <c r="G8" s="412"/>
      <c r="H8" s="68"/>
      <c r="I8" s="68" t="s">
        <v>303</v>
      </c>
      <c r="J8" s="68"/>
      <c r="K8" s="68"/>
      <c r="L8" s="68"/>
      <c r="M8" s="68"/>
      <c r="N8" s="410" t="n">
        <v>0.45</v>
      </c>
      <c r="O8" s="406"/>
    </row>
    <row r="9" customFormat="false" ht="12" hidden="false" customHeight="true" outlineLevel="0" collapsed="false">
      <c r="A9" s="68"/>
      <c r="B9" s="401" t="n">
        <v>46265</v>
      </c>
      <c r="C9" s="68"/>
      <c r="D9" s="68"/>
      <c r="E9" s="406"/>
      <c r="F9" s="68"/>
      <c r="G9" s="406"/>
      <c r="H9" s="68"/>
      <c r="I9" s="409" t="s">
        <v>304</v>
      </c>
      <c r="J9" s="409"/>
      <c r="K9" s="409"/>
      <c r="L9" s="413" t="s">
        <v>305</v>
      </c>
      <c r="M9" s="413" t="s">
        <v>306</v>
      </c>
      <c r="N9" s="414" t="s">
        <v>307</v>
      </c>
      <c r="O9" s="406"/>
    </row>
    <row r="10" customFormat="false" ht="12" hidden="false" customHeight="true" outlineLevel="0" collapsed="false">
      <c r="A10" s="68"/>
      <c r="B10" s="401" t="n">
        <v>46295</v>
      </c>
      <c r="C10" s="68"/>
      <c r="D10" s="68"/>
      <c r="E10" s="406"/>
      <c r="F10" s="68"/>
      <c r="G10" s="406"/>
      <c r="H10" s="68"/>
      <c r="I10" s="68"/>
      <c r="J10" s="68"/>
      <c r="K10" s="68"/>
      <c r="L10" s="68"/>
      <c r="M10" s="68"/>
      <c r="N10" s="406"/>
      <c r="O10" s="406"/>
    </row>
    <row r="11" customFormat="false" ht="12" hidden="false" customHeight="true" outlineLevel="0" collapsed="false">
      <c r="A11" s="68"/>
      <c r="B11" s="401" t="n">
        <v>46326</v>
      </c>
      <c r="C11" s="68"/>
      <c r="D11" s="402" t="s">
        <v>308</v>
      </c>
      <c r="E11" s="402"/>
      <c r="F11" s="402"/>
      <c r="G11" s="406" t="s">
        <v>300</v>
      </c>
      <c r="H11" s="68"/>
      <c r="I11" s="68" t="s">
        <v>309</v>
      </c>
      <c r="J11" s="68"/>
      <c r="K11" s="415" t="n">
        <v>0.2</v>
      </c>
      <c r="L11" s="406" t="n">
        <f aca="false">N11</f>
        <v>0</v>
      </c>
      <c r="M11" s="406" t="n">
        <v>37700</v>
      </c>
      <c r="N11" s="412" t="n">
        <v>0</v>
      </c>
      <c r="O11" s="406"/>
    </row>
    <row r="12" customFormat="false" ht="12" hidden="false" customHeight="true" outlineLevel="0" collapsed="false">
      <c r="A12" s="68"/>
      <c r="B12" s="401" t="n">
        <v>46356</v>
      </c>
      <c r="C12" s="68"/>
      <c r="D12" s="68"/>
      <c r="E12" s="68"/>
      <c r="F12" s="68"/>
      <c r="G12" s="406"/>
      <c r="H12" s="68"/>
      <c r="I12" s="68" t="s">
        <v>310</v>
      </c>
      <c r="J12" s="68"/>
      <c r="K12" s="415" t="n">
        <v>0.4</v>
      </c>
      <c r="L12" s="406" t="n">
        <v>37701</v>
      </c>
      <c r="M12" s="68"/>
      <c r="N12" s="412" t="n">
        <v>37701</v>
      </c>
      <c r="O12" s="406"/>
    </row>
    <row r="13" customFormat="false" ht="12" hidden="false" customHeight="true" outlineLevel="0" collapsed="false">
      <c r="A13" s="68"/>
      <c r="B13" s="401" t="n">
        <v>46387</v>
      </c>
      <c r="C13" s="68"/>
      <c r="D13" s="409" t="s">
        <v>311</v>
      </c>
      <c r="E13" s="409"/>
      <c r="F13" s="409"/>
      <c r="G13" s="410" t="n">
        <v>0</v>
      </c>
      <c r="H13" s="68"/>
      <c r="I13" s="68" t="s">
        <v>312</v>
      </c>
      <c r="J13" s="68"/>
      <c r="K13" s="415" t="n">
        <v>0.45</v>
      </c>
      <c r="L13" s="406" t="n">
        <v>125141</v>
      </c>
      <c r="M13" s="68"/>
      <c r="N13" s="412" t="n">
        <v>125140</v>
      </c>
      <c r="O13" s="68"/>
    </row>
    <row r="14" customFormat="false" ht="12" hidden="false" customHeight="true" outlineLevel="0" collapsed="false">
      <c r="A14" s="68"/>
      <c r="B14" s="401" t="n">
        <v>46418</v>
      </c>
      <c r="C14" s="68"/>
      <c r="D14" s="409" t="s">
        <v>313</v>
      </c>
      <c r="E14" s="409"/>
      <c r="F14" s="409"/>
      <c r="G14" s="410" t="n">
        <v>0.1</v>
      </c>
      <c r="H14" s="68"/>
      <c r="I14" s="402" t="s">
        <v>314</v>
      </c>
      <c r="J14" s="402"/>
      <c r="K14" s="402"/>
      <c r="L14" s="405" t="str">
        <f aca="false">G2</f>
        <v>2026-27</v>
      </c>
      <c r="M14" s="68"/>
      <c r="N14" s="68"/>
      <c r="O14" s="68"/>
    </row>
    <row r="15" customFormat="false" ht="12" hidden="false" customHeight="true" outlineLevel="0" collapsed="false">
      <c r="A15" s="68"/>
      <c r="B15" s="401" t="n">
        <v>46446</v>
      </c>
      <c r="C15" s="68"/>
      <c r="D15" s="409" t="s">
        <v>315</v>
      </c>
      <c r="E15" s="409"/>
      <c r="F15" s="409"/>
      <c r="G15" s="410" t="n">
        <v>0.2</v>
      </c>
      <c r="H15" s="68"/>
      <c r="I15" s="68"/>
      <c r="J15" s="68"/>
      <c r="K15" s="68"/>
      <c r="L15" s="68"/>
      <c r="M15" s="68"/>
      <c r="N15" s="68"/>
      <c r="O15" s="68"/>
    </row>
    <row r="16" customFormat="false" ht="12" hidden="false" customHeight="true" outlineLevel="0" collapsed="false">
      <c r="A16" s="68"/>
      <c r="B16" s="401" t="n">
        <v>46477</v>
      </c>
      <c r="C16" s="68"/>
      <c r="D16" s="409" t="s">
        <v>316</v>
      </c>
      <c r="E16" s="409"/>
      <c r="F16" s="409"/>
      <c r="G16" s="410" t="n">
        <v>0.33</v>
      </c>
      <c r="H16" s="68"/>
      <c r="I16" s="409" t="s">
        <v>317</v>
      </c>
      <c r="J16" s="409"/>
      <c r="K16" s="409"/>
      <c r="L16" s="416" t="n">
        <v>3.65</v>
      </c>
      <c r="M16" s="68" t="s">
        <v>318</v>
      </c>
      <c r="N16" s="68" t="n">
        <v>7105</v>
      </c>
      <c r="O16" s="68"/>
    </row>
    <row r="17" customFormat="false" ht="12" hidden="false" customHeight="true" outlineLevel="0" collapsed="false">
      <c r="A17" s="68"/>
      <c r="B17" s="408" t="n">
        <v>46482</v>
      </c>
      <c r="C17" s="68"/>
      <c r="D17" s="409" t="s">
        <v>319</v>
      </c>
      <c r="E17" s="409"/>
      <c r="F17" s="409"/>
      <c r="G17" s="410" t="n">
        <v>0.25</v>
      </c>
      <c r="H17" s="68"/>
      <c r="I17" s="68"/>
      <c r="J17" s="68"/>
      <c r="K17" s="68"/>
      <c r="L17" s="417"/>
      <c r="M17" s="68"/>
      <c r="N17" s="68"/>
      <c r="O17" s="68"/>
    </row>
    <row r="18" customFormat="false" ht="12" hidden="false" customHeight="true" outlineLevel="0" collapsed="false">
      <c r="A18" s="68"/>
      <c r="B18" s="401" t="n">
        <v>46507</v>
      </c>
      <c r="C18" s="68"/>
      <c r="D18" s="68"/>
      <c r="E18" s="68"/>
      <c r="F18" s="68"/>
      <c r="G18" s="406"/>
      <c r="H18" s="68"/>
      <c r="I18" s="68"/>
      <c r="J18" s="68"/>
      <c r="K18" s="68"/>
      <c r="L18" s="68"/>
      <c r="M18" s="68"/>
      <c r="N18" s="68"/>
      <c r="O18" s="68"/>
    </row>
    <row r="19" customFormat="false" ht="12" hidden="false" customHeight="true" outlineLevel="0" collapsed="false">
      <c r="A19" s="68"/>
      <c r="B19" s="401" t="n">
        <v>46538</v>
      </c>
      <c r="C19" s="68"/>
      <c r="D19" s="402" t="s">
        <v>320</v>
      </c>
      <c r="E19" s="402"/>
      <c r="F19" s="406" t="s">
        <v>321</v>
      </c>
      <c r="G19" s="406" t="s">
        <v>322</v>
      </c>
      <c r="H19" s="68"/>
      <c r="I19" s="418" t="s">
        <v>323</v>
      </c>
      <c r="J19" s="418"/>
      <c r="K19" s="418"/>
      <c r="L19" s="68"/>
      <c r="M19" s="419" t="s">
        <v>324</v>
      </c>
      <c r="N19" s="68"/>
      <c r="O19" s="68"/>
    </row>
    <row r="20" customFormat="false" ht="12" hidden="false" customHeight="true" outlineLevel="0" collapsed="false">
      <c r="A20" s="68"/>
      <c r="B20" s="401" t="n">
        <v>46568</v>
      </c>
      <c r="C20" s="68"/>
      <c r="D20" s="400"/>
      <c r="E20" s="400"/>
      <c r="F20" s="406"/>
      <c r="G20" s="406"/>
      <c r="H20" s="68"/>
      <c r="I20" s="418"/>
      <c r="J20" s="418"/>
      <c r="K20" s="418"/>
      <c r="L20" s="420" t="n">
        <v>0.06</v>
      </c>
      <c r="M20" s="419"/>
      <c r="N20" s="412" t="n">
        <v>12570</v>
      </c>
      <c r="O20" s="406" t="s">
        <v>31</v>
      </c>
    </row>
    <row r="21" customFormat="false" ht="12" hidden="false" customHeight="true" outlineLevel="0" collapsed="false">
      <c r="A21" s="68"/>
      <c r="B21" s="401" t="n">
        <v>46783</v>
      </c>
      <c r="C21" s="68"/>
      <c r="D21" s="409" t="s">
        <v>325</v>
      </c>
      <c r="E21" s="409"/>
      <c r="F21" s="412" t="n">
        <v>10000</v>
      </c>
      <c r="G21" s="416" t="n">
        <v>0.45</v>
      </c>
      <c r="H21" s="68"/>
      <c r="I21" s="421"/>
      <c r="J21" s="421"/>
      <c r="K21" s="421"/>
      <c r="L21" s="415"/>
      <c r="M21" s="68"/>
      <c r="N21" s="68"/>
      <c r="O21" s="68"/>
    </row>
    <row r="22" customFormat="false" ht="12" hidden="false" customHeight="true" outlineLevel="0" collapsed="false">
      <c r="A22" s="68"/>
      <c r="B22" s="401" t="n">
        <v>46965</v>
      </c>
      <c r="C22" s="68"/>
      <c r="D22" s="68" t="s">
        <v>326</v>
      </c>
      <c r="E22" s="68"/>
      <c r="F22" s="412" t="n">
        <v>10001</v>
      </c>
      <c r="G22" s="416" t="n">
        <v>0.25</v>
      </c>
      <c r="H22" s="68"/>
      <c r="I22" s="418" t="s">
        <v>327</v>
      </c>
      <c r="J22" s="418"/>
      <c r="K22" s="418"/>
      <c r="L22" s="68"/>
      <c r="M22" s="419" t="s">
        <v>328</v>
      </c>
      <c r="N22" s="68"/>
      <c r="O22" s="68"/>
    </row>
    <row r="23" customFormat="false" ht="12" hidden="false" customHeight="true" outlineLevel="0" collapsed="false">
      <c r="A23" s="68"/>
      <c r="B23" s="408" t="s">
        <v>329</v>
      </c>
      <c r="C23" s="68"/>
      <c r="D23" s="68"/>
      <c r="E23" s="68"/>
      <c r="F23" s="406"/>
      <c r="G23" s="417"/>
      <c r="H23" s="68"/>
      <c r="I23" s="418"/>
      <c r="J23" s="418"/>
      <c r="K23" s="418"/>
      <c r="L23" s="420" t="n">
        <v>0.02</v>
      </c>
      <c r="M23" s="419"/>
      <c r="N23" s="412" t="n">
        <v>50270</v>
      </c>
      <c r="O23" s="406" t="s">
        <v>31</v>
      </c>
    </row>
    <row r="24" customFormat="false" ht="12" hidden="false" customHeight="true" outlineLevel="0" collapsed="false">
      <c r="A24" s="68"/>
      <c r="B24" s="408" t="s">
        <v>330</v>
      </c>
      <c r="C24" s="68"/>
      <c r="D24" s="402" t="s">
        <v>320</v>
      </c>
      <c r="E24" s="402"/>
      <c r="F24" s="68"/>
      <c r="G24" s="68"/>
      <c r="H24" s="68"/>
      <c r="I24" s="68"/>
      <c r="J24" s="68"/>
      <c r="K24" s="68"/>
      <c r="L24" s="68"/>
      <c r="M24" s="68"/>
      <c r="N24" s="68"/>
      <c r="O24" s="68"/>
    </row>
    <row r="25" customFormat="false" ht="12" hidden="false" customHeight="true" outlineLevel="0" collapsed="false">
      <c r="A25" s="68"/>
      <c r="B25" s="68"/>
      <c r="C25" s="68"/>
      <c r="D25" s="68"/>
      <c r="E25" s="68"/>
      <c r="F25" s="68"/>
      <c r="G25" s="68"/>
      <c r="H25" s="68"/>
      <c r="I25" s="68"/>
      <c r="J25" s="68"/>
      <c r="K25" s="68"/>
      <c r="L25" s="68"/>
      <c r="M25" s="68"/>
      <c r="N25" s="68"/>
      <c r="O25" s="68"/>
    </row>
    <row r="26" customFormat="false" ht="12" hidden="false" customHeight="true" outlineLevel="0" collapsed="false">
      <c r="A26" s="68"/>
      <c r="B26" s="422"/>
      <c r="C26" s="68"/>
      <c r="D26" s="409" t="s">
        <v>331</v>
      </c>
      <c r="E26" s="409"/>
      <c r="F26" s="412" t="n">
        <v>90000</v>
      </c>
      <c r="G26" s="68"/>
      <c r="H26" s="68"/>
      <c r="I26" s="68"/>
      <c r="J26" s="68"/>
      <c r="K26" s="68"/>
      <c r="L26" s="68"/>
      <c r="M26" s="68"/>
      <c r="N26" s="68"/>
      <c r="O26" s="68"/>
    </row>
    <row r="27" customFormat="false" ht="12" hidden="false" customHeight="false" outlineLevel="0" collapsed="false">
      <c r="A27" s="68"/>
      <c r="B27" s="422"/>
      <c r="C27" s="68"/>
      <c r="D27" s="68"/>
      <c r="E27" s="68"/>
      <c r="F27" s="68"/>
      <c r="G27" s="406"/>
      <c r="H27" s="68"/>
      <c r="I27" s="68"/>
      <c r="J27" s="68"/>
      <c r="K27" s="68"/>
      <c r="L27" s="68"/>
      <c r="M27" s="68"/>
      <c r="N27" s="68"/>
      <c r="O27" s="68"/>
    </row>
  </sheetData>
  <mergeCells count="26">
    <mergeCell ref="D1:F1"/>
    <mergeCell ref="D2:F2"/>
    <mergeCell ref="I2:J2"/>
    <mergeCell ref="D4:F4"/>
    <mergeCell ref="I4:M4"/>
    <mergeCell ref="D5:F5"/>
    <mergeCell ref="I6:M6"/>
    <mergeCell ref="D7:F7"/>
    <mergeCell ref="I7:M7"/>
    <mergeCell ref="I9:K9"/>
    <mergeCell ref="D11:F11"/>
    <mergeCell ref="D13:F13"/>
    <mergeCell ref="D14:F14"/>
    <mergeCell ref="I14:K14"/>
    <mergeCell ref="D15:F15"/>
    <mergeCell ref="D16:F16"/>
    <mergeCell ref="I16:K16"/>
    <mergeCell ref="D17:F17"/>
    <mergeCell ref="D19:E19"/>
    <mergeCell ref="I19:K20"/>
    <mergeCell ref="M19:M20"/>
    <mergeCell ref="D21:E21"/>
    <mergeCell ref="I22:K23"/>
    <mergeCell ref="M22:M23"/>
    <mergeCell ref="D24:E24"/>
    <mergeCell ref="D26:E2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Company>y</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2002-12-30T15:31:19Z</dcterms:created>
  <dc:creator>Terry Cartwright</dc:creator>
  <dc:description/>
  <dc:language>en-US</dc:language>
  <cp:lastModifiedBy>Cartwright, Antony</cp:lastModifiedBy>
  <cp:lastPrinted>2008-06-02T20:50:10Z</cp:lastPrinted>
  <dcterms:modified xsi:type="dcterms:W3CDTF">2026-03-31T22:02:53Z</dcterms:modified>
  <cp:revision>0</cp:revision>
  <dc:subject/>
  <dc:title>Financial Accounts</dc:title>
</cp:coreProperties>
</file>

<file path=docProps/custom.xml><?xml version="1.0" encoding="utf-8"?>
<Properties xmlns="http://schemas.openxmlformats.org/officeDocument/2006/custom-properties" xmlns:vt="http://schemas.openxmlformats.org/officeDocument/2006/docPropsVTypes"/>
</file>